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Khai báo" sheetId="2" state="visible" r:id="rId2"/>
    <sheet xmlns:r="http://schemas.openxmlformats.org/officeDocument/2006/relationships" name="Nhập số" sheetId="3" state="visible" r:id="rId3"/>
    <sheet xmlns:r="http://schemas.openxmlformats.org/officeDocument/2006/relationships" name="Realtime" sheetId="4" state="visible" r:id="rId4"/>
    <sheet xmlns:r="http://schemas.openxmlformats.org/officeDocument/2006/relationships" name="Lũy kế" sheetId="5" state="visible" r:id="rId5"/>
    <sheet xmlns:r="http://schemas.openxmlformats.org/officeDocument/2006/relationships" name="Chi tiết NV" sheetId="6" state="visible" r:id="rId6"/>
    <sheet xmlns:r="http://schemas.openxmlformats.org/officeDocument/2006/relationships" name="Dán TĐ lũy kế" sheetId="7" state="visible" r:id="rId7"/>
    <sheet xmlns:r="http://schemas.openxmlformats.org/officeDocument/2006/relationships" name="Dán TĐ realtime" sheetId="8" state="visible" r:id="rId8"/>
    <sheet xmlns:r="http://schemas.openxmlformats.org/officeDocument/2006/relationships" name="Dán TĐ nhân viên" sheetId="9" state="visible" r:id="rId9"/>
    <sheet xmlns:r="http://schemas.openxmlformats.org/officeDocument/2006/relationships" name="Dán DT nhân viên" sheetId="10" state="visible" r:id="rId10"/>
    <sheet xmlns:r="http://schemas.openxmlformats.org/officeDocument/2006/relationships" name="Dán DT NV realtime" sheetId="11" state="visible" r:id="rId11"/>
    <sheet xmlns:r="http://schemas.openxmlformats.org/officeDocument/2006/relationships" name="Tính" sheetId="12" state="visible" r:id="rId12"/>
  </sheets>
  <definedNames>
    <definedName name="NgayQua">'Khai báo'!$B$5</definedName>
    <definedName name="SoNgay">'Khai báo'!$B$6</definedName>
    <definedName name="MucTieuTC">'Khai báo'!$B$7</definedName>
    <definedName name="CoRT">'Khai báo'!$B$8</definedName>
    <definedName name="CoRTNhom">'Khai báo'!$B$9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"/>
    <numFmt numFmtId="166" formatCode="#,##0 &quot;Triệu&quot;"/>
    <numFmt numFmtId="167" formatCode="#,##0.0 &quot;Triệu&quot;"/>
  </numFmts>
  <fonts count="2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B1B1B"/>
      <sz val="10"/>
    </font>
    <font>
      <name val="Arial"/>
      <color rgb="001B1B1B"/>
      <sz val="10"/>
    </font>
    <font>
      <name val="Arial"/>
      <i val="1"/>
      <color rgb="00555555"/>
      <sz val="9"/>
    </font>
    <font>
      <name val="Arial"/>
      <b val="1"/>
      <color rgb="00C00000"/>
      <sz val="10"/>
    </font>
    <font>
      <name val="Arial"/>
      <color rgb="00555555"/>
      <sz val="9"/>
    </font>
    <font>
      <name val="Arial"/>
      <b val="1"/>
      <color rgb="001D7A3A"/>
      <sz val="14"/>
    </font>
    <font>
      <name val="Arial"/>
      <b val="1"/>
      <color rgb="001B1B1B"/>
      <sz val="12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b val="1"/>
      <color rgb="001F4E9C"/>
      <sz val="11"/>
    </font>
    <font>
      <name val="Arial"/>
      <b val="1"/>
      <color rgb="001D7A3A"/>
      <sz val="11"/>
    </font>
    <font>
      <name val="Arial"/>
      <b val="1"/>
      <color rgb="001B1B1B"/>
      <sz val="11"/>
    </font>
    <font>
      <name val="Arial"/>
      <b val="1"/>
      <color rgb="00C55A11"/>
      <sz val="11"/>
    </font>
    <font>
      <name val="Arial"/>
      <b val="1"/>
      <color rgb="001F3864"/>
      <sz val="8"/>
    </font>
    <font>
      <name val="Arial"/>
      <b val="1"/>
      <color rgb="001B1B1B"/>
      <sz val="9"/>
    </font>
    <font>
      <name val="Arial"/>
      <color rgb="001B1B1B"/>
      <sz val="9"/>
    </font>
    <font>
      <name val="Arial"/>
      <b val="1"/>
      <color rgb="001F6FB2"/>
      <sz val="14"/>
    </font>
    <font>
      <name val="Arial"/>
      <b val="1"/>
      <color rgb="001D7A3A"/>
      <sz val="10"/>
    </font>
  </fonts>
  <fills count="12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FFF2CC"/>
        <bgColor rgb="00FFF2CC"/>
      </patternFill>
    </fill>
    <fill>
      <patternFill patternType="solid">
        <fgColor rgb="009DC3E6"/>
        <bgColor rgb="009DC3E6"/>
      </patternFill>
    </fill>
    <fill>
      <patternFill patternType="solid">
        <fgColor rgb="00FF0000"/>
        <bgColor rgb="00FF0000"/>
      </patternFill>
    </fill>
    <fill>
      <patternFill patternType="solid">
        <fgColor rgb="000E8F5B"/>
        <bgColor rgb="000E8F5B"/>
      </patternFill>
    </fill>
    <fill>
      <patternFill patternType="solid">
        <fgColor rgb="00FFFF00"/>
        <bgColor rgb="00FFFF00"/>
      </patternFill>
    </fill>
    <fill>
      <patternFill patternType="solid">
        <fgColor rgb="005B9BD5"/>
        <bgColor rgb="005B9BD5"/>
      </patternFill>
    </fill>
    <fill>
      <patternFill patternType="solid">
        <fgColor rgb="00C55A11"/>
        <bgColor rgb="00C55A11"/>
      </patternFill>
    </fill>
    <fill>
      <patternFill patternType="solid">
        <fgColor rgb="002B5A2B"/>
        <bgColor rgb="002B5A2B"/>
      </patternFill>
    </fill>
    <fill>
      <patternFill patternType="solid">
        <fgColor rgb="00DCEAD3"/>
        <bgColor rgb="00DCEAD3"/>
      </patternFill>
    </fill>
  </fills>
  <borders count="9">
    <border>
      <left/>
      <right/>
      <top/>
      <bottom/>
      <diagonal/>
    </border>
    <border>
      <left style="thin">
        <color rgb="008F9AA7"/>
      </left>
      <right style="thin">
        <color rgb="008F9AA7"/>
      </right>
      <top style="thin">
        <color rgb="008F9AA7"/>
      </top>
      <bottom style="thin">
        <color rgb="008F9AA7"/>
      </bottom>
    </border>
    <border>
      <left/>
      <right/>
      <top style="thin">
        <color rgb="008F9AA7"/>
      </top>
      <bottom/>
      <diagonal/>
    </border>
    <border>
      <left/>
      <right style="thin">
        <color rgb="008F9AA7"/>
      </right>
      <top style="thin">
        <color rgb="008F9AA7"/>
      </top>
      <bottom/>
      <diagonal/>
    </border>
    <border>
      <left/>
      <right/>
      <top style="thin">
        <color rgb="008F9AA7"/>
      </top>
      <bottom style="thin">
        <color rgb="008F9AA7"/>
      </bottom>
      <diagonal/>
    </border>
    <border>
      <left/>
      <right style="thin">
        <color rgb="008F9AA7"/>
      </right>
      <top style="thin">
        <color rgb="008F9AA7"/>
      </top>
      <bottom style="thin">
        <color rgb="008F9AA7"/>
      </bottom>
      <diagonal/>
    </border>
    <border>
      <left style="thin">
        <color rgb="008F9AA7"/>
      </left>
      <right/>
      <top/>
      <bottom/>
      <diagonal/>
    </border>
    <border>
      <left style="thin">
        <color rgb="008F9AA7"/>
      </left>
      <right style="thin">
        <color rgb="008F9AA7"/>
      </right>
      <top/>
      <bottom/>
      <diagonal/>
    </border>
    <border>
      <left style="thin">
        <color rgb="008F9AA7"/>
      </left>
      <right style="thin">
        <color rgb="008F9AA7"/>
      </right>
      <top/>
      <bottom style="thin">
        <color rgb="008F9AA7"/>
      </bottom>
      <diagonal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8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9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3" fontId="3" fillId="3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9" fontId="3" fillId="3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right" vertical="center"/>
    </xf>
    <xf numFmtId="165" fontId="3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8" fillId="3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3" fontId="10" fillId="0" borderId="1" applyAlignment="1" pivotButton="0" quotePrefix="0" xfId="0">
      <alignment horizontal="center" vertical="center"/>
    </xf>
    <xf numFmtId="166" fontId="10" fillId="0" borderId="1" applyAlignment="1" pivotButton="0" quotePrefix="0" xfId="0">
      <alignment horizontal="center" vertical="center"/>
    </xf>
    <xf numFmtId="167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3" fontId="12" fillId="0" borderId="1" applyAlignment="1" pivotButton="0" quotePrefix="0" xfId="0">
      <alignment horizontal="center" vertical="center"/>
    </xf>
    <xf numFmtId="9" fontId="11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9" fontId="14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3" fontId="11" fillId="0" borderId="1" applyAlignment="1" pivotButton="0" quotePrefix="0" xfId="0">
      <alignment horizontal="center" vertical="center"/>
    </xf>
    <xf numFmtId="9" fontId="10" fillId="7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9" fontId="13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right" vertical="center"/>
    </xf>
    <xf numFmtId="9" fontId="3" fillId="0" borderId="0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164" fontId="2" fillId="0" borderId="0" applyAlignment="1" pivotButton="0" quotePrefix="0" xfId="0">
      <alignment horizontal="right" vertical="center"/>
    </xf>
    <xf numFmtId="3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0" fillId="0" borderId="8" pivotButton="0" quotePrefix="0" xfId="0"/>
    <xf numFmtId="0" fontId="2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3" fontId="8" fillId="0" borderId="1" applyAlignment="1" pivotButton="0" quotePrefix="0" xfId="0">
      <alignment horizontal="center" vertical="center"/>
    </xf>
    <xf numFmtId="9" fontId="8" fillId="0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9" fontId="0" fillId="0" borderId="0" applyAlignment="1" pivotButton="0" quotePrefix="0" xfId="0">
      <alignment horizontal="center"/>
    </xf>
    <xf numFmtId="0" fontId="2" fillId="11" borderId="1" pivotButton="0" quotePrefix="0" xfId="0"/>
    <xf numFmtId="0" fontId="2" fillId="0" borderId="0" applyAlignment="1" pivotButton="0" quotePrefix="0" xfId="0">
      <alignment horizontal="center"/>
    </xf>
    <xf numFmtId="0" fontId="9" fillId="0" borderId="0" pivotButton="0" quotePrefix="0" xfId="0"/>
    <xf numFmtId="0" fontId="15" fillId="0" borderId="0" applyAlignment="1" pivotButton="0" quotePrefix="0" xfId="0">
      <alignment horizontal="center"/>
    </xf>
    <xf numFmtId="9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3" fontId="2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left"/>
    </xf>
    <xf numFmtId="164" fontId="17" fillId="0" borderId="0" applyAlignment="1" pivotButton="0" quotePrefix="0" xfId="0">
      <alignment horizontal="right"/>
    </xf>
    <xf numFmtId="9" fontId="16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dxfs count="11">
    <dxf>
      <font>
        <b val="1"/>
        <color rgb="007A150B"/>
      </font>
      <fill>
        <patternFill patternType="solid">
          <fgColor rgb="00E8B4B0"/>
          <bgColor rgb="00E8B4B0"/>
        </patternFill>
      </fill>
      <border>
        <left style="thin">
          <color rgb="008F9AA7"/>
        </left>
        <right style="thin">
          <color rgb="008F9AA7"/>
        </right>
        <top style="thin">
          <color rgb="008F9AA7"/>
        </top>
        <bottom style="thin">
          <color rgb="008F9AA7"/>
        </bottom>
      </border>
    </dxf>
    <dxf>
      <font>
        <b val="1"/>
        <color rgb="00006100"/>
      </font>
      <fill>
        <patternFill patternType="solid">
          <fgColor rgb="00C6EFCE"/>
          <bgColor rgb="00C6EFCE"/>
        </patternFill>
      </fill>
      <border>
        <left style="thin">
          <color rgb="008F9AA7"/>
        </left>
        <right style="thin">
          <color rgb="008F9AA7"/>
        </right>
        <top style="thin">
          <color rgb="008F9AA7"/>
        </top>
        <bottom style="thin">
          <color rgb="008F9AA7"/>
        </bottom>
      </border>
    </dxf>
    <dxf>
      <font>
        <b val="1"/>
        <color rgb="007A4A00"/>
      </font>
      <fill>
        <patternFill patternType="solid">
          <fgColor rgb="00FFEB9C"/>
          <bgColor rgb="00FFEB9C"/>
        </patternFill>
      </fill>
      <border>
        <left style="thin">
          <color rgb="008F9AA7"/>
        </left>
        <right style="thin">
          <color rgb="008F9AA7"/>
        </right>
        <top style="thin">
          <color rgb="008F9AA7"/>
        </top>
        <bottom style="thin">
          <color rgb="008F9AA7"/>
        </bottom>
      </border>
    </dxf>
    <dxf>
      <font>
        <b val="1"/>
        <color rgb="009C0006"/>
      </font>
      <fill>
        <patternFill patternType="solid">
          <fgColor rgb="00FFC7CE"/>
          <bgColor rgb="00FFC7CE"/>
        </patternFill>
      </fill>
      <border>
        <left style="thin">
          <color rgb="008F9AA7"/>
        </left>
        <right style="thin">
          <color rgb="008F9AA7"/>
        </right>
        <top style="thin">
          <color rgb="008F9AA7"/>
        </top>
        <bottom style="thin">
          <color rgb="008F9AA7"/>
        </bottom>
      </border>
    </dxf>
    <dxf>
      <font>
        <b val="1"/>
        <color rgb="005B2A86"/>
      </font>
    </dxf>
    <dxf>
      <border>
        <left style="thin">
          <color rgb="008F9AA7"/>
        </left>
        <right style="thin">
          <color rgb="008F9AA7"/>
        </right>
        <top style="thin">
          <color rgb="008F9AA7"/>
        </top>
        <bottom style="thin">
          <color rgb="008F9AA7"/>
        </bottom>
      </border>
    </dxf>
    <dxf>
      <fill>
        <patternFill patternType="solid">
          <fgColor rgb="002B5A2B"/>
          <bgColor rgb="002B5A2B"/>
        </patternFill>
      </fill>
      <border>
        <left style="thin">
          <color rgb="008F9AA7"/>
        </left>
        <right style="thin">
          <color rgb="008F9AA7"/>
        </right>
        <top style="thin">
          <color rgb="008F9AA7"/>
        </top>
        <bottom style="thin">
          <color rgb="008F9AA7"/>
        </bottom>
      </border>
    </dxf>
    <dxf>
      <fill>
        <patternFill patternType="solid">
          <fgColor rgb="00DCEAD3"/>
          <bgColor rgb="00DCEAD3"/>
        </patternFill>
      </fill>
      <border>
        <left style="thin">
          <color rgb="008F9AA7"/>
        </left>
        <right style="thin">
          <color rgb="008F9AA7"/>
        </right>
        <top style="thin">
          <color rgb="008F9AA7"/>
        </top>
        <bottom style="thin">
          <color rgb="008F9AA7"/>
        </bottom>
      </border>
    </dxf>
    <dxf>
      <fill>
        <patternFill patternType="solid">
          <fgColor rgb="001F3864"/>
          <bgColor rgb="001F3864"/>
        </patternFill>
      </fill>
      <border>
        <left style="thin">
          <color rgb="008F9AA7"/>
        </left>
        <right style="thin">
          <color rgb="008F9AA7"/>
        </right>
        <top style="thin">
          <color rgb="008F9AA7"/>
        </top>
        <bottom style="thin">
          <color rgb="008F9AA7"/>
        </bottom>
      </border>
    </dxf>
    <dxf>
      <fill>
        <patternFill patternType="solid">
          <fgColor rgb="00D9E2F3"/>
          <bgColor rgb="00D9E2F3"/>
        </patternFill>
      </fill>
      <border>
        <left style="thin">
          <color rgb="008F9AA7"/>
        </left>
        <right style="thin">
          <color rgb="008F9AA7"/>
        </right>
        <top style="thin">
          <color rgb="008F9AA7"/>
        </top>
        <bottom style="thin">
          <color rgb="008F9AA7"/>
        </bottom>
      </border>
    </dxf>
    <dxf>
      <fill>
        <patternFill patternType="solid">
          <fgColor rgb="002F5597"/>
          <bgColor rgb="002F5597"/>
        </patternFill>
      </fill>
      <border>
        <left style="thin">
          <color rgb="008F9AA7"/>
        </left>
        <right style="thin">
          <color rgb="008F9AA7"/>
        </right>
        <top style="thin">
          <color rgb="008F9AA7"/>
        </top>
        <bottom style="thin">
          <color rgb="008F9AA7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2">
      <c r="B2" s="1" t="inlineStr">
        <is>
          <t>FILE ĐỔ SỐ TAY — Realtime · Lũy kế · Chi tiết NV (không cần AutoBI)</t>
        </is>
      </c>
    </row>
    <row r="3">
      <c r="B3" s="2" t="inlineStr"/>
    </row>
    <row r="4">
      <c r="B4" s="3" t="inlineStr">
        <is>
          <t>ĐẦU THÁNG (1 lần)</t>
        </is>
      </c>
    </row>
    <row r="5">
      <c r="B5" s="2" t="inlineStr">
        <is>
          <t>1. Sheet "Khai báo": tên cụm, tháng, mục tiêu trả chậm; tên gọn + tên trên BI + target tháng từng siêu thị.</t>
        </is>
      </c>
    </row>
    <row r="6">
      <c r="B6" s="2" t="inlineStr">
        <is>
          <t>2. Nhóm thi đua: tên gọn, tên chương trình trên BI (bỏ phần "T10 - "), loại Chính / Vượt trội, target từng shop (trống = lấy target BI).</t>
        </is>
      </c>
    </row>
    <row r="7">
      <c r="B7" s="2" t="inlineStr">
        <is>
          <t>3. Nhân viên: mã NV, họ tên, siêu thị 1/2/3, % phân bổ (trống = chia đều phần còn lại).</t>
        </is>
      </c>
    </row>
    <row r="8">
      <c r="B8" s="2" t="inlineStr"/>
    </row>
    <row r="9">
      <c r="B9" s="3" t="inlineStr">
        <is>
          <t>MỖI NGÀY</t>
        </is>
      </c>
    </row>
    <row r="10">
      <c r="B10" s="2" t="inlineStr">
        <is>
          <t>4. Trang Thi đua: chọn các siêu thị · Lũy kế · Danh sách · Tải lại · bấm "Chép bảng" → dán vào ô A1 sheet "Dán TĐ lũy kế".</t>
        </is>
      </c>
    </row>
    <row r="11">
      <c r="B11" s="2" t="inlineStr">
        <is>
          <t>5. Cùng trang, bấm vào TÊN SIÊU THỊ để ra từng nhân viên · "Chép bảng" → dán A1 sheet "Dán TĐ nhân viên" (siêu thị thứ 2 dán tiếp ngay dưới).</t>
        </is>
      </c>
    </row>
    <row r="12">
      <c r="B12" s="2" t="inlineStr">
        <is>
          <t>6. Muốn có Realtime: chọn Realtime · "Chép bảng" → dán A1 sheet "Dán TĐ realtime".</t>
        </is>
      </c>
    </row>
    <row r="13">
      <c r="B13" s="2" t="inlineStr">
        <is>
          <t>7. Trang Doanh thu hợp nhất (DT quy đổi): tab Nhân viên · bôi đen cả bảng → dán A1 sheet "Dán DT nhân viên" (Realtime → "Dán DT NV realtime").</t>
        </is>
      </c>
    </row>
    <row r="14">
      <c r="B14" s="2" t="inlineStr">
        <is>
          <t>8. Sheet "Nhập số": gõ DT QĐ lũy kế, DT thực, % trả chậm (và realtime nếu có) của từng siêu thị.</t>
        </is>
      </c>
    </row>
    <row r="15">
      <c r="B15" s="2" t="inlineStr">
        <is>
          <t>9. Mở sheet Realtime / Lũy kế / Chi tiết NV, chọn ô "Xem" (Tổng cụm hoặc từng siêu thị). Mọi số tự tính, tự xếp, tự tô màu.</t>
        </is>
      </c>
    </row>
    <row r="16">
      <c r="B16" s="2" t="inlineStr"/>
    </row>
    <row r="17">
      <c r="B17" s="3" t="inlineStr">
        <is>
          <t>LƯU Ý</t>
        </is>
      </c>
    </row>
    <row r="18">
      <c r="B18" s="2" t="inlineStr">
        <is>
          <t>• Trước khi dán ngày mới: chọn cả cột A–H của sheet dán và xóa (Delete), rồi dán lại vào A1. Không xóa cột K–O (công thức).</t>
        </is>
      </c>
    </row>
    <row r="19">
      <c r="B19" s="2" t="inlineStr">
        <is>
          <t>• Ngày đã qua tự lấy theo hôm nay (hôm qua); xem số ngày khác thì gõ đè ô B5 ở Khai báo.</t>
        </is>
      </c>
    </row>
    <row r="20">
      <c r="B20" s="2" t="inlineStr">
        <is>
          <t>• Dự kiến = lũy kế ÷ ngày đã qua × số ngày tháng ÷ target. Nhóm đạt khi Dự kiến ≥ 100%.</t>
        </is>
      </c>
    </row>
    <row r="21">
      <c r="B21" s="2" t="inlineStr">
        <is>
          <t>• Không tìm thấy nhóm: kiểm tra tên chương trình trên BI ở Khai báo (chỉ cần phần cuối, ví dụ "BẢO HIỂM THỢ ĐMX_CE").</t>
        </is>
      </c>
    </row>
    <row r="22">
      <c r="B22" s="2" t="inlineStr">
        <is>
          <t>• Sheet "Tính" là bảng tính trung gian, không sửa.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0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  <col width="14" customWidth="1" min="4" max="4"/>
    <col width="14" customWidth="1" min="5" max="5"/>
    <col width="14" customWidth="1" min="6" max="6"/>
    <col width="30" customWidth="1" min="7" max="7"/>
  </cols>
  <sheetData>
    <row r="1">
      <c r="A1" s="4" t="inlineStr">
        <is>
          <t>KHAI BÁO — làm 1 lần đầu tháng (ô vàng là ô nhập)</t>
        </is>
      </c>
      <c r="B1" s="5" t="n"/>
      <c r="C1" s="5" t="n"/>
      <c r="D1" s="5" t="n"/>
      <c r="E1" s="5" t="n"/>
      <c r="F1" s="5" t="n"/>
      <c r="G1" s="6" t="n"/>
    </row>
    <row r="3">
      <c r="A3" s="7" t="inlineStr">
        <is>
          <t>Tên cụm / báo cáo</t>
        </is>
      </c>
      <c r="B3" s="8" t="inlineStr"/>
    </row>
    <row r="4">
      <c r="A4" s="7" t="inlineStr">
        <is>
          <t>Tháng</t>
        </is>
      </c>
      <c r="B4" s="8" t="inlineStr">
        <is>
          <t>10/2026</t>
        </is>
      </c>
    </row>
    <row r="5">
      <c r="A5" s="7" t="inlineStr">
        <is>
          <t>Ngày đã qua (lũy kế đến hết ngày)</t>
        </is>
      </c>
      <c r="B5" s="9">
        <f>MAX(1,DAY(TODAY())-1)</f>
        <v/>
      </c>
      <c r="C5" s="10" t="inlineStr">
        <is>
          <t>tự tính theo hôm nay — gõ số để ghi đè</t>
        </is>
      </c>
    </row>
    <row r="6">
      <c r="A6" s="7" t="inlineStr">
        <is>
          <t>Số ngày trong tháng</t>
        </is>
      </c>
      <c r="B6" s="9">
        <f>DAY(EOMONTH(TODAY(),0))</f>
        <v/>
      </c>
    </row>
    <row r="7">
      <c r="A7" s="7" t="inlineStr">
        <is>
          <t>Mục tiêu trả chậm</t>
        </is>
      </c>
      <c r="B7" s="11" t="n">
        <v>0.3</v>
      </c>
    </row>
    <row r="8">
      <c r="A8" s="7" t="inlineStr">
        <is>
          <t>Có doanh thu realtime hôm nay (1 = có)</t>
        </is>
      </c>
      <c r="B8" s="9">
        <f>IF(SUM('Nhập số'!E4:E7)&gt;0,1,0)</f>
        <v/>
      </c>
      <c r="C8" s="10" t="inlineStr">
        <is>
          <t>tự nhận khi Nhập số có DT realtime</t>
        </is>
      </c>
    </row>
    <row r="9">
      <c r="A9" s="7" t="inlineStr">
        <is>
          <t>Có số nhóm hàng realtime (1 = có)</t>
        </is>
      </c>
      <c r="B9" s="9">
        <f>IF(COUNTA('Dán TĐ realtime'!A1:A30)&gt;0,1,0)</f>
        <v/>
      </c>
    </row>
    <row r="11" ht="30" customHeight="1">
      <c r="A11" s="12" t="inlineStr">
        <is>
          <t>Siêu thị</t>
        </is>
      </c>
      <c r="B11" s="12" t="inlineStr">
        <is>
          <t>Tên gọn (hiện trên báo cáo)</t>
        </is>
      </c>
      <c r="C11" s="12" t="inlineStr">
        <is>
          <t>Tên trên BI (đúng như dòng ở bảng Thi đua)</t>
        </is>
      </c>
      <c r="D11" s="12" t="inlineStr">
        <is>
          <t>Target tháng (DT QĐ, triệu)</t>
        </is>
      </c>
      <c r="E11" s="12" t="inlineStr">
        <is>
          <t>Target ngày (trống = tự chia)</t>
        </is>
      </c>
    </row>
    <row r="12">
      <c r="A12" s="7" t="inlineStr">
        <is>
          <t>Siêu thị 1</t>
        </is>
      </c>
      <c r="B12" s="13" t="n"/>
      <c r="C12" s="13" t="n"/>
      <c r="D12" s="9" t="n"/>
      <c r="E12" s="9" t="n"/>
    </row>
    <row r="13">
      <c r="A13" s="7" t="inlineStr">
        <is>
          <t>Siêu thị 2</t>
        </is>
      </c>
      <c r="B13" s="13" t="n"/>
      <c r="C13" s="13" t="n"/>
      <c r="D13" s="9" t="n"/>
      <c r="E13" s="9" t="n"/>
    </row>
    <row r="14">
      <c r="A14" s="7" t="inlineStr">
        <is>
          <t>Siêu thị 3</t>
        </is>
      </c>
      <c r="B14" s="13" t="n"/>
      <c r="C14" s="13" t="n"/>
      <c r="D14" s="9" t="n"/>
      <c r="E14" s="9" t="n"/>
    </row>
    <row r="15">
      <c r="A15" s="7" t="inlineStr">
        <is>
          <t>Siêu thị 4</t>
        </is>
      </c>
      <c r="B15" s="13" t="n"/>
      <c r="C15" s="13" t="n"/>
      <c r="D15" s="9" t="n"/>
      <c r="E15" s="9" t="n"/>
    </row>
    <row r="16">
      <c r="A16" s="14" t="inlineStr">
        <is>
          <t>NHÓM THI ĐUA — target trống = lấy target trên BI · DT tính bằng triệu, SL tính bằng cái (như BI)</t>
        </is>
      </c>
    </row>
    <row r="17">
      <c r="A17" s="12" t="inlineStr">
        <is>
          <t>Nhóm thi đua (tên gọn)</t>
        </is>
      </c>
      <c r="B17" s="12" t="inlineStr">
        <is>
          <t>Tên chương trình trên BI (bỏ "T10 - ")</t>
        </is>
      </c>
      <c r="C17" s="12" t="inlineStr">
        <is>
          <t>Loại</t>
        </is>
      </c>
      <c r="D17" s="12" t="inlineStr">
        <is>
          <t>Target ST1</t>
        </is>
      </c>
      <c r="E17" s="12" t="inlineStr">
        <is>
          <t>Target ST2</t>
        </is>
      </c>
      <c r="F17" s="12" t="inlineStr">
        <is>
          <t>Target ST3</t>
        </is>
      </c>
      <c r="G17" s="12" t="inlineStr">
        <is>
          <t>Target ST4</t>
        </is>
      </c>
      <c r="H17" s="12" t="inlineStr">
        <is>
          <t>Ghi chú</t>
        </is>
      </c>
    </row>
    <row r="18">
      <c r="A18" s="13" t="n"/>
      <c r="B18" s="13" t="n"/>
      <c r="C18" s="15" t="n"/>
      <c r="D18" s="16" t="n"/>
      <c r="E18" s="16" t="n"/>
      <c r="F18" s="16" t="n"/>
      <c r="G18" s="16" t="n"/>
      <c r="H18" s="13" t="n"/>
    </row>
    <row r="19">
      <c r="A19" s="13" t="n"/>
      <c r="B19" s="13" t="n"/>
      <c r="C19" s="15" t="n"/>
      <c r="D19" s="16" t="n"/>
      <c r="E19" s="16" t="n"/>
      <c r="F19" s="16" t="n"/>
      <c r="G19" s="16" t="n"/>
      <c r="H19" s="13" t="n"/>
    </row>
    <row r="20">
      <c r="A20" s="13" t="n"/>
      <c r="B20" s="13" t="n"/>
      <c r="C20" s="15" t="n"/>
      <c r="D20" s="16" t="n"/>
      <c r="E20" s="16" t="n"/>
      <c r="F20" s="16" t="n"/>
      <c r="G20" s="16" t="n"/>
      <c r="H20" s="13" t="n"/>
    </row>
    <row r="21">
      <c r="A21" s="13" t="n"/>
      <c r="B21" s="13" t="n"/>
      <c r="C21" s="15" t="n"/>
      <c r="D21" s="16" t="n"/>
      <c r="E21" s="16" t="n"/>
      <c r="F21" s="16" t="n"/>
      <c r="G21" s="16" t="n"/>
      <c r="H21" s="13" t="n"/>
    </row>
    <row r="22">
      <c r="A22" s="13" t="n"/>
      <c r="B22" s="13" t="n"/>
      <c r="C22" s="15" t="n"/>
      <c r="D22" s="16" t="n"/>
      <c r="E22" s="16" t="n"/>
      <c r="F22" s="16" t="n"/>
      <c r="G22" s="16" t="n"/>
      <c r="H22" s="13" t="n"/>
    </row>
    <row r="23">
      <c r="A23" s="13" t="n"/>
      <c r="B23" s="13" t="n"/>
      <c r="C23" s="15" t="n"/>
      <c r="D23" s="16" t="n"/>
      <c r="E23" s="16" t="n"/>
      <c r="F23" s="16" t="n"/>
      <c r="G23" s="16" t="n"/>
      <c r="H23" s="13" t="n"/>
    </row>
    <row r="24">
      <c r="A24" s="13" t="n"/>
      <c r="B24" s="13" t="n"/>
      <c r="C24" s="15" t="n"/>
      <c r="D24" s="16" t="n"/>
      <c r="E24" s="16" t="n"/>
      <c r="F24" s="16" t="n"/>
      <c r="G24" s="16" t="n"/>
      <c r="H24" s="13" t="n"/>
    </row>
    <row r="25">
      <c r="A25" s="13" t="n"/>
      <c r="B25" s="13" t="n"/>
      <c r="C25" s="15" t="n"/>
      <c r="D25" s="16" t="n"/>
      <c r="E25" s="16" t="n"/>
      <c r="F25" s="16" t="n"/>
      <c r="G25" s="16" t="n"/>
      <c r="H25" s="13" t="n"/>
    </row>
    <row r="26">
      <c r="A26" s="13" t="n"/>
      <c r="B26" s="13" t="n"/>
      <c r="C26" s="15" t="n"/>
      <c r="D26" s="16" t="n"/>
      <c r="E26" s="16" t="n"/>
      <c r="F26" s="16" t="n"/>
      <c r="G26" s="16" t="n"/>
      <c r="H26" s="13" t="n"/>
    </row>
    <row r="27">
      <c r="A27" s="13" t="n"/>
      <c r="B27" s="13" t="n"/>
      <c r="C27" s="15" t="n"/>
      <c r="D27" s="16" t="n"/>
      <c r="E27" s="16" t="n"/>
      <c r="F27" s="16" t="n"/>
      <c r="G27" s="16" t="n"/>
      <c r="H27" s="13" t="n"/>
    </row>
    <row r="28">
      <c r="A28" s="13" t="n"/>
      <c r="B28" s="13" t="n"/>
      <c r="C28" s="15" t="n"/>
      <c r="D28" s="16" t="n"/>
      <c r="E28" s="16" t="n"/>
      <c r="F28" s="16" t="n"/>
      <c r="G28" s="16" t="n"/>
      <c r="H28" s="13" t="n"/>
    </row>
    <row r="29">
      <c r="A29" s="13" t="n"/>
      <c r="B29" s="13" t="n"/>
      <c r="C29" s="15" t="n"/>
      <c r="D29" s="16" t="n"/>
      <c r="E29" s="16" t="n"/>
      <c r="F29" s="16" t="n"/>
      <c r="G29" s="16" t="n"/>
      <c r="H29" s="13" t="n"/>
    </row>
    <row r="30">
      <c r="A30" s="13" t="n"/>
      <c r="B30" s="13" t="n"/>
      <c r="C30" s="15" t="n"/>
      <c r="D30" s="16" t="n"/>
      <c r="E30" s="16" t="n"/>
      <c r="F30" s="16" t="n"/>
      <c r="G30" s="16" t="n"/>
      <c r="H30" s="13" t="n"/>
    </row>
    <row r="31">
      <c r="A31" s="13" t="n"/>
      <c r="B31" s="13" t="n"/>
      <c r="C31" s="15" t="n"/>
      <c r="D31" s="16" t="n"/>
      <c r="E31" s="16" t="n"/>
      <c r="F31" s="16" t="n"/>
      <c r="G31" s="16" t="n"/>
      <c r="H31" s="13" t="n"/>
    </row>
    <row r="32">
      <c r="A32" s="13" t="n"/>
      <c r="B32" s="13" t="n"/>
      <c r="C32" s="15" t="n"/>
      <c r="D32" s="16" t="n"/>
      <c r="E32" s="16" t="n"/>
      <c r="F32" s="16" t="n"/>
      <c r="G32" s="16" t="n"/>
      <c r="H32" s="13" t="n"/>
    </row>
    <row r="33">
      <c r="A33" s="13" t="n"/>
      <c r="B33" s="13" t="n"/>
      <c r="C33" s="15" t="n"/>
      <c r="D33" s="16" t="n"/>
      <c r="E33" s="16" t="n"/>
      <c r="F33" s="16" t="n"/>
      <c r="G33" s="16" t="n"/>
      <c r="H33" s="13" t="n"/>
    </row>
    <row r="34">
      <c r="A34" s="13" t="n"/>
      <c r="B34" s="13" t="n"/>
      <c r="C34" s="15" t="n"/>
      <c r="D34" s="16" t="n"/>
      <c r="E34" s="16" t="n"/>
      <c r="F34" s="16" t="n"/>
      <c r="G34" s="16" t="n"/>
      <c r="H34" s="13" t="n"/>
    </row>
    <row r="35">
      <c r="A35" s="13" t="n"/>
      <c r="B35" s="13" t="n"/>
      <c r="C35" s="15" t="n"/>
      <c r="D35" s="16" t="n"/>
      <c r="E35" s="16" t="n"/>
      <c r="F35" s="16" t="n"/>
      <c r="G35" s="16" t="n"/>
      <c r="H35" s="13" t="n"/>
    </row>
    <row r="36">
      <c r="A36" s="13" t="n"/>
      <c r="B36" s="13" t="n"/>
      <c r="C36" s="15" t="n"/>
      <c r="D36" s="16" t="n"/>
      <c r="E36" s="16" t="n"/>
      <c r="F36" s="16" t="n"/>
      <c r="G36" s="16" t="n"/>
      <c r="H36" s="13" t="n"/>
    </row>
    <row r="37">
      <c r="A37" s="13" t="n"/>
      <c r="B37" s="13" t="n"/>
      <c r="C37" s="15" t="n"/>
      <c r="D37" s="16" t="n"/>
      <c r="E37" s="16" t="n"/>
      <c r="F37" s="16" t="n"/>
      <c r="G37" s="16" t="n"/>
      <c r="H37" s="13" t="n"/>
    </row>
    <row r="44">
      <c r="A44" s="14" t="inlineStr">
        <is>
          <t>NHÂN VIÊN — % phân bổ trống = chia đều phần còn lại của siêu thị</t>
        </is>
      </c>
    </row>
    <row r="45">
      <c r="A45" s="4" t="inlineStr">
        <is>
          <t>Mã NV</t>
        </is>
      </c>
      <c r="B45" s="4" t="inlineStr">
        <is>
          <t>Họ tên</t>
        </is>
      </c>
      <c r="C45" s="4" t="inlineStr">
        <is>
          <t>Siêu thị (1/2/3)</t>
        </is>
      </c>
      <c r="D45" s="4" t="inlineStr">
        <is>
          <t>% phân bổ</t>
        </is>
      </c>
    </row>
    <row r="46">
      <c r="A46" s="13" t="n"/>
      <c r="B46" s="13" t="n"/>
      <c r="C46" s="15" t="n"/>
      <c r="D46" s="17" t="n"/>
    </row>
    <row r="47">
      <c r="A47" s="13" t="n"/>
      <c r="B47" s="13" t="n"/>
      <c r="C47" s="15" t="n"/>
      <c r="D47" s="17" t="n"/>
    </row>
    <row r="48">
      <c r="A48" s="13" t="n"/>
      <c r="B48" s="13" t="n"/>
      <c r="C48" s="15" t="n"/>
      <c r="D48" s="17" t="n"/>
    </row>
    <row r="49">
      <c r="A49" s="13" t="n"/>
      <c r="B49" s="13" t="n"/>
      <c r="C49" s="15" t="n"/>
      <c r="D49" s="17" t="n"/>
    </row>
    <row r="50">
      <c r="A50" s="13" t="n"/>
      <c r="B50" s="13" t="n"/>
      <c r="C50" s="15" t="n"/>
      <c r="D50" s="17" t="n"/>
    </row>
    <row r="51">
      <c r="A51" s="13" t="n"/>
      <c r="B51" s="13" t="n"/>
      <c r="C51" s="15" t="n"/>
      <c r="D51" s="17" t="n"/>
    </row>
    <row r="52">
      <c r="A52" s="13" t="n"/>
      <c r="B52" s="13" t="n"/>
      <c r="C52" s="15" t="n"/>
      <c r="D52" s="17" t="n"/>
    </row>
    <row r="53">
      <c r="A53" s="13" t="n"/>
      <c r="B53" s="13" t="n"/>
      <c r="C53" s="15" t="n"/>
      <c r="D53" s="17" t="n"/>
    </row>
    <row r="54">
      <c r="A54" s="13" t="n"/>
      <c r="B54" s="13" t="n"/>
      <c r="C54" s="15" t="n"/>
      <c r="D54" s="17" t="n"/>
    </row>
    <row r="55">
      <c r="A55" s="13" t="n"/>
      <c r="B55" s="13" t="n"/>
      <c r="C55" s="15" t="n"/>
      <c r="D55" s="17" t="n"/>
    </row>
    <row r="56">
      <c r="A56" s="13" t="n"/>
      <c r="B56" s="13" t="n"/>
      <c r="C56" s="15" t="n"/>
      <c r="D56" s="17" t="n"/>
    </row>
    <row r="57">
      <c r="A57" s="13" t="n"/>
      <c r="B57" s="13" t="n"/>
      <c r="C57" s="15" t="n"/>
      <c r="D57" s="17" t="n"/>
    </row>
    <row r="58">
      <c r="A58" s="13" t="n"/>
      <c r="B58" s="13" t="n"/>
      <c r="C58" s="15" t="n"/>
      <c r="D58" s="17" t="n"/>
    </row>
    <row r="59">
      <c r="A59" s="13" t="n"/>
      <c r="B59" s="13" t="n"/>
      <c r="C59" s="15" t="n"/>
      <c r="D59" s="17" t="n"/>
    </row>
    <row r="60">
      <c r="A60" s="13" t="n"/>
      <c r="B60" s="13" t="n"/>
      <c r="C60" s="15" t="n"/>
      <c r="D60" s="17" t="n"/>
    </row>
    <row r="61">
      <c r="A61" s="13" t="n"/>
      <c r="B61" s="13" t="n"/>
      <c r="C61" s="15" t="n"/>
      <c r="D61" s="17" t="n"/>
    </row>
    <row r="62">
      <c r="A62" s="13" t="n"/>
      <c r="B62" s="13" t="n"/>
      <c r="C62" s="15" t="n"/>
      <c r="D62" s="17" t="n"/>
    </row>
    <row r="63">
      <c r="A63" s="13" t="n"/>
      <c r="B63" s="13" t="n"/>
      <c r="C63" s="15" t="n"/>
      <c r="D63" s="17" t="n"/>
    </row>
    <row r="64">
      <c r="A64" s="13" t="n"/>
      <c r="B64" s="13" t="n"/>
      <c r="C64" s="15" t="n"/>
      <c r="D64" s="17" t="n"/>
    </row>
    <row r="65">
      <c r="A65" s="13" t="n"/>
      <c r="B65" s="13" t="n"/>
      <c r="C65" s="15" t="n"/>
      <c r="D65" s="17" t="n"/>
    </row>
    <row r="66">
      <c r="A66" s="13" t="n"/>
      <c r="B66" s="13" t="n"/>
      <c r="C66" s="15" t="n"/>
      <c r="D66" s="17" t="n"/>
    </row>
    <row r="67">
      <c r="A67" s="13" t="n"/>
      <c r="B67" s="13" t="n"/>
      <c r="C67" s="15" t="n"/>
      <c r="D67" s="17" t="n"/>
    </row>
    <row r="68">
      <c r="A68" s="13" t="n"/>
      <c r="B68" s="13" t="n"/>
      <c r="C68" s="15" t="n"/>
      <c r="D68" s="17" t="n"/>
    </row>
    <row r="69">
      <c r="A69" s="13" t="n"/>
      <c r="B69" s="13" t="n"/>
      <c r="C69" s="15" t="n"/>
      <c r="D69" s="17" t="n"/>
    </row>
    <row r="70">
      <c r="A70" s="13" t="n"/>
      <c r="B70" s="13" t="n"/>
      <c r="C70" s="15" t="n"/>
      <c r="D70" s="17" t="n"/>
    </row>
    <row r="71">
      <c r="A71" s="13" t="n"/>
      <c r="B71" s="13" t="n"/>
      <c r="C71" s="15" t="n"/>
      <c r="D71" s="17" t="n"/>
    </row>
    <row r="72">
      <c r="A72" s="13" t="n"/>
      <c r="B72" s="13" t="n"/>
      <c r="C72" s="15" t="n"/>
      <c r="D72" s="17" t="n"/>
    </row>
    <row r="73">
      <c r="A73" s="13" t="n"/>
      <c r="B73" s="13" t="n"/>
      <c r="C73" s="15" t="n"/>
      <c r="D73" s="17" t="n"/>
    </row>
    <row r="74">
      <c r="A74" s="13" t="n"/>
      <c r="B74" s="13" t="n"/>
      <c r="C74" s="15" t="n"/>
      <c r="D74" s="17" t="n"/>
    </row>
    <row r="75">
      <c r="A75" s="13" t="n"/>
      <c r="B75" s="13" t="n"/>
      <c r="C75" s="15" t="n"/>
      <c r="D75" s="17" t="n"/>
    </row>
    <row r="76">
      <c r="A76" s="13" t="n"/>
      <c r="B76" s="13" t="n"/>
      <c r="C76" s="15" t="n"/>
      <c r="D76" s="17" t="n"/>
    </row>
    <row r="77">
      <c r="A77" s="13" t="n"/>
      <c r="B77" s="13" t="n"/>
      <c r="C77" s="15" t="n"/>
      <c r="D77" s="17" t="n"/>
    </row>
    <row r="78">
      <c r="A78" s="13" t="n"/>
      <c r="B78" s="13" t="n"/>
      <c r="C78" s="15" t="n"/>
      <c r="D78" s="17" t="n"/>
    </row>
    <row r="79">
      <c r="A79" s="13" t="n"/>
      <c r="B79" s="13" t="n"/>
      <c r="C79" s="15" t="n"/>
      <c r="D79" s="17" t="n"/>
    </row>
    <row r="80">
      <c r="A80" s="13" t="n"/>
      <c r="B80" s="13" t="n"/>
      <c r="C80" s="15" t="n"/>
      <c r="D80" s="17" t="n"/>
    </row>
    <row r="81">
      <c r="A81" s="13" t="n"/>
      <c r="B81" s="13" t="n"/>
      <c r="C81" s="15" t="n"/>
      <c r="D81" s="17" t="n"/>
    </row>
    <row r="82">
      <c r="A82" s="13" t="n"/>
      <c r="B82" s="13" t="n"/>
      <c r="C82" s="15" t="n"/>
      <c r="D82" s="17" t="n"/>
    </row>
    <row r="83">
      <c r="A83" s="13" t="n"/>
      <c r="B83" s="13" t="n"/>
      <c r="C83" s="15" t="n"/>
      <c r="D83" s="17" t="n"/>
    </row>
    <row r="84">
      <c r="A84" s="13" t="n"/>
      <c r="B84" s="13" t="n"/>
      <c r="C84" s="15" t="n"/>
      <c r="D84" s="17" t="n"/>
    </row>
    <row r="85">
      <c r="A85" s="13" t="n"/>
      <c r="B85" s="13" t="n"/>
      <c r="C85" s="15" t="n"/>
      <c r="D85" s="17" t="n"/>
    </row>
    <row r="86">
      <c r="A86" s="13" t="n"/>
      <c r="B86" s="13" t="n"/>
      <c r="C86" s="15" t="n"/>
      <c r="D86" s="17" t="n"/>
    </row>
    <row r="87">
      <c r="A87" s="13" t="n"/>
      <c r="B87" s="13" t="n"/>
      <c r="C87" s="15" t="n"/>
      <c r="D87" s="17" t="n"/>
    </row>
    <row r="88">
      <c r="A88" s="13" t="n"/>
      <c r="B88" s="13" t="n"/>
      <c r="C88" s="15" t="n"/>
      <c r="D88" s="17" t="n"/>
    </row>
    <row r="89">
      <c r="A89" s="13" t="n"/>
      <c r="B89" s="13" t="n"/>
      <c r="C89" s="15" t="n"/>
      <c r="D89" s="17" t="n"/>
    </row>
    <row r="90">
      <c r="A90" s="13" t="n"/>
      <c r="B90" s="13" t="n"/>
      <c r="C90" s="15" t="n"/>
      <c r="D90" s="17" t="n"/>
    </row>
  </sheetData>
  <mergeCells count="1">
    <mergeCell ref="A1:G1"/>
  </mergeCells>
  <dataValidations count="2">
    <dataValidation sqref="C18:C42" showDropDown="0" showInputMessage="0" showErrorMessage="0" allowBlank="1" type="list">
      <formula1>"Chính,Vượt trội"</formula1>
    </dataValidation>
    <dataValidation sqref="C46:C90" showDropDown="0" showInputMessage="0" showErrorMessage="0" allowBlank="1" type="list">
      <formula1>"1,2,3,4"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4" t="inlineStr">
        <is>
          <t>NHẬP SỐ DOANH THU MỖI NGÀY (lấy ở trang Doanh thu hợp nhất, chế độ DT quy đổi)</t>
        </is>
      </c>
      <c r="B1" s="5" t="n"/>
      <c r="C1" s="5" t="n"/>
      <c r="D1" s="5" t="n"/>
      <c r="E1" s="5" t="n"/>
      <c r="F1" s="5" t="n"/>
      <c r="G1" s="6" t="n"/>
    </row>
    <row r="3" ht="30" customHeight="1">
      <c r="A3" s="18" t="inlineStr">
        <is>
          <t>Siêu thị</t>
        </is>
      </c>
      <c r="B3" s="18" t="inlineStr">
        <is>
          <t>DT QĐ lũy kế</t>
        </is>
      </c>
      <c r="C3" s="18" t="inlineStr">
        <is>
          <t>DT thực lũy kế</t>
        </is>
      </c>
      <c r="D3" s="18" t="inlineStr">
        <is>
          <t>% trả chậm lũy kế</t>
        </is>
      </c>
      <c r="E3" s="18" t="inlineStr">
        <is>
          <t>DT QĐ realtime hôm nay</t>
        </is>
      </c>
      <c r="F3" s="18" t="inlineStr">
        <is>
          <t>DT thực realtime</t>
        </is>
      </c>
      <c r="G3" s="18" t="inlineStr">
        <is>
          <t>% trả chậm realtime</t>
        </is>
      </c>
    </row>
    <row r="4">
      <c r="A4" s="7">
        <f>IF('Khai báo'!B12="","",'Khai báo'!B12)</f>
        <v/>
      </c>
      <c r="B4" s="16" t="n"/>
      <c r="C4" s="16" t="n"/>
      <c r="D4" s="11" t="n"/>
      <c r="E4" s="16" t="n"/>
      <c r="F4" s="16" t="n"/>
      <c r="G4" s="11" t="n"/>
    </row>
    <row r="5">
      <c r="A5" s="7">
        <f>IF('Khai báo'!B13="","",'Khai báo'!B13)</f>
        <v/>
      </c>
      <c r="B5" s="16" t="n"/>
      <c r="C5" s="16" t="n"/>
      <c r="D5" s="11" t="n"/>
      <c r="E5" s="16" t="n"/>
      <c r="F5" s="16" t="n"/>
      <c r="G5" s="11" t="n"/>
    </row>
    <row r="6">
      <c r="A6" s="7">
        <f>IF('Khai báo'!B14="","",'Khai báo'!B14)</f>
        <v/>
      </c>
      <c r="B6" s="16" t="n"/>
      <c r="C6" s="16" t="n"/>
      <c r="D6" s="11" t="n"/>
      <c r="E6" s="16" t="n"/>
      <c r="F6" s="16" t="n"/>
      <c r="G6" s="11" t="n"/>
    </row>
    <row r="7">
      <c r="A7" s="7">
        <f>IF('Khai báo'!B15="","",'Khai báo'!B15)</f>
        <v/>
      </c>
      <c r="B7" s="16" t="n"/>
      <c r="C7" s="16" t="n"/>
      <c r="D7" s="11" t="n"/>
      <c r="E7" s="16" t="n"/>
      <c r="F7" s="16" t="n"/>
      <c r="G7" s="11" t="n"/>
    </row>
    <row r="9">
      <c r="A9" s="10" t="inlineStr">
        <is>
          <t>Tiền: triệu đồng · % trả chậm gõ dạng 34% · realtime để trống nếu chưa có số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8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11" customWidth="1" min="3" max="3"/>
    <col width="11" customWidth="1" min="4" max="4"/>
    <col width="9" customWidth="1" min="5" max="5"/>
    <col width="2.5" customWidth="1" min="6" max="6"/>
    <col width="20" customWidth="1" min="7" max="7"/>
    <col width="11" customWidth="1" min="8" max="8"/>
    <col width="12" customWidth="1" min="9" max="9"/>
    <col width="10" customWidth="1" min="10" max="10"/>
    <col width="10" customWidth="1" min="11" max="11"/>
    <col width="11" customWidth="1" min="12" max="12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79" max="79"/>
    <col hidden="1" width="13" customWidth="1" min="80" max="80"/>
    <col hidden="1" width="13" customWidth="1" min="81" max="81"/>
    <col hidden="1" width="13" customWidth="1" min="82" max="82"/>
  </cols>
  <sheetData>
    <row r="1">
      <c r="A1" s="19">
        <f>"BÁO CÁO REALTIME — "&amp;'Khai báo'!B3&amp;" · "&amp;TEXT(TODAY(),"dd/mm/yyyy")</f>
        <v/>
      </c>
      <c r="AZ1">
        <f>IFERROR(MATCH($B$2,'Tính'!$B$31:$B$34,0),0)</f>
        <v/>
      </c>
    </row>
    <row r="2">
      <c r="A2" s="20" t="inlineStr">
        <is>
          <t>Xem:</t>
        </is>
      </c>
      <c r="B2" s="21" t="inlineStr">
        <is>
          <t>Tổng cụm</t>
        </is>
      </c>
      <c r="C2" s="5" t="n"/>
      <c r="D2" s="6" t="n"/>
      <c r="F2" s="10" t="inlineStr">
        <is>
          <t>◀ bấm ô vàng để chọn Tổng cụm hoặc từng siêu thị</t>
        </is>
      </c>
      <c r="BA2" t="inlineStr">
        <is>
          <t>Nhóm (view)</t>
        </is>
      </c>
      <c r="BJ2" t="inlineStr">
        <is>
          <t>Thứ tự</t>
        </is>
      </c>
    </row>
    <row r="3">
      <c r="BA3">
        <f>'Tính'!B3</f>
        <v/>
      </c>
      <c r="BB3">
        <f>'Tính'!D3</f>
        <v/>
      </c>
      <c r="BC3">
        <f>IF($AZ$1=0,'Tính'!$Z$3,CHOOSE($AZ$1,'Tính'!$G$3,'Tính'!$L$3,'Tính'!$Q$3,'Tính'!$V$3))</f>
        <v/>
      </c>
      <c r="BD3">
        <f>IF($AZ$1=0,'Tính'!$Y$3,CHOOSE($AZ$1,'Tính'!$E$3,'Tính'!$J$3,'Tính'!$O$3,'Tính'!$T$3))</f>
        <v/>
      </c>
      <c r="BE3">
        <f>IF($AZ$1=0,'Tính'!$AB$3,CHOOSE($AZ$1,'Tính'!$I$3,'Tính'!$N$3,'Tính'!$S$3,'Tính'!$X$3))</f>
        <v/>
      </c>
      <c r="BF3">
        <f>IF($AZ$1=0,'Tính'!$AA$3,CHOOSE($AZ$1,'Tính'!$H$3,'Tính'!$M$3,'Tính'!$R$3,'Tính'!$W$3))</f>
        <v/>
      </c>
      <c r="BG3">
        <f>IF(BC3&gt;0,BD3/NgayQua*SoNgay/BC3,IF(BD3&gt;0,1,0))</f>
        <v/>
      </c>
      <c r="BH3">
        <f>IF(CoRTNhom=1,IF(BC3&gt;0,(BD3+BF3)/(NgayQua+1)*SoNgay/BC3,IF(BD3+BF3&gt;0,1,0)),BG3)</f>
        <v/>
      </c>
      <c r="BI3">
        <f>IF(BA3="",-1,IF(BB3="Chính",1000,0)+BH3+(20-1)/100000)</f>
        <v/>
      </c>
      <c r="BJ3">
        <f>IF(LARGE($BI$3:$BI$22,1)&lt;0,"",MATCH(LARGE($BI$3:$BI$22,1),$BI$3:$BI$22,0))</f>
        <v/>
      </c>
      <c r="CA3" t="n">
        <v>1</v>
      </c>
      <c r="CB3">
        <f>IF('Tính'!B39="",0,IF(OR($AZ$1=0,'Tính'!D39=$AZ$1),1,0))</f>
        <v/>
      </c>
      <c r="CC3">
        <f>IF(CB3=1,'Tính'!L39*1000+'Tính'!M39+1+(45-1)/1000000,-1)</f>
        <v/>
      </c>
      <c r="CD3">
        <f>IF(LARGE($CC$3:$CC$47,1)&lt;0,"",MATCH(LARGE($CC$3:$CC$47,1),$CC$3:$CC$47,0))</f>
        <v/>
      </c>
    </row>
    <row r="4">
      <c r="A4" s="22" t="inlineStr">
        <is>
          <t>Mục tiêu ngày</t>
        </is>
      </c>
      <c r="B4" s="6" t="n"/>
      <c r="C4" s="23" t="inlineStr">
        <is>
          <t>Thực hiện</t>
        </is>
      </c>
      <c r="D4" s="5" t="n"/>
      <c r="E4" s="6" t="n"/>
      <c r="G4" s="24" t="inlineStr">
        <is>
          <t>Target QĐ</t>
        </is>
      </c>
      <c r="H4" s="6" t="n"/>
      <c r="I4" s="25">
        <f>INDEX('Tính'!$D$31:$D$35,IF($AZ$1=0,5,$AZ$1))</f>
        <v/>
      </c>
      <c r="J4" s="5" t="n"/>
      <c r="K4" s="5" t="n"/>
      <c r="L4" s="6" t="n"/>
      <c r="BA4">
        <f>'Tính'!B4</f>
        <v/>
      </c>
      <c r="BB4">
        <f>'Tính'!D4</f>
        <v/>
      </c>
      <c r="BC4">
        <f>IF($AZ$1=0,'Tính'!$Z$4,CHOOSE($AZ$1,'Tính'!$G$4,'Tính'!$L$4,'Tính'!$Q$4,'Tính'!$V$4))</f>
        <v/>
      </c>
      <c r="BD4">
        <f>IF($AZ$1=0,'Tính'!$Y$4,CHOOSE($AZ$1,'Tính'!$E$4,'Tính'!$J$4,'Tính'!$O$4,'Tính'!$T$4))</f>
        <v/>
      </c>
      <c r="BE4">
        <f>IF($AZ$1=0,'Tính'!$AB$4,CHOOSE($AZ$1,'Tính'!$I$4,'Tính'!$N$4,'Tính'!$S$4,'Tính'!$X$4))</f>
        <v/>
      </c>
      <c r="BF4">
        <f>IF($AZ$1=0,'Tính'!$AA$4,CHOOSE($AZ$1,'Tính'!$H$4,'Tính'!$M$4,'Tính'!$R$4,'Tính'!$W$4))</f>
        <v/>
      </c>
      <c r="BG4">
        <f>IF(BC4&gt;0,BD4/NgayQua*SoNgay/BC4,IF(BD4&gt;0,1,0))</f>
        <v/>
      </c>
      <c r="BH4">
        <f>IF(CoRTNhom=1,IF(BC4&gt;0,(BD4+BF4)/(NgayQua+1)*SoNgay/BC4,IF(BD4+BF4&gt;0,1,0)),BG4)</f>
        <v/>
      </c>
      <c r="BI4">
        <f>IF(BA4="",-1,IF(BB4="Chính",1000,0)+BH4+(20-2)/100000)</f>
        <v/>
      </c>
      <c r="BJ4">
        <f>IF(LARGE($BI$3:$BI$22,2)&lt;0,"",MATCH(LARGE($BI$3:$BI$22,2),$BI$3:$BI$22,0))</f>
        <v/>
      </c>
      <c r="CA4" t="n">
        <v>2</v>
      </c>
      <c r="CB4">
        <f>IF('Tính'!B40="",0,IF(OR($AZ$1=0,'Tính'!D40=$AZ$1),1,0))</f>
        <v/>
      </c>
      <c r="CC4">
        <f>IF(CB4=1,'Tính'!L40*1000+'Tính'!M40+1+(45-2)/1000000,-1)</f>
        <v/>
      </c>
      <c r="CD4">
        <f>IF(LARGE($CC$3:$CC$47,2)&lt;0,"",MATCH(LARGE($CC$3:$CC$47,2),$CC$3:$CC$47,0))</f>
        <v/>
      </c>
    </row>
    <row r="5">
      <c r="A5" s="26">
        <f>INDEX('Tính'!$E$31:$E$35,IF($AZ$1=0,5,$AZ$1))</f>
        <v/>
      </c>
      <c r="B5" s="6" t="n"/>
      <c r="C5" s="27">
        <f>INDEX('Tính'!$I$31:$I$35,IF($AZ$1=0,5,$AZ$1))</f>
        <v/>
      </c>
      <c r="D5" s="5" t="n"/>
      <c r="E5" s="6" t="n"/>
      <c r="G5" s="28" t="inlineStr">
        <is>
          <t>Thực hiện QĐ</t>
        </is>
      </c>
      <c r="H5" s="6" t="n"/>
      <c r="I5" s="29">
        <f>INDEX('Tính'!$F$31:$F$35,IF($AZ$1=0,5,$AZ$1))</f>
        <v/>
      </c>
      <c r="J5" s="5" t="n"/>
      <c r="K5" s="5" t="n"/>
      <c r="L5" s="6" t="n"/>
      <c r="BA5">
        <f>'Tính'!B5</f>
        <v/>
      </c>
      <c r="BB5">
        <f>'Tính'!D5</f>
        <v/>
      </c>
      <c r="BC5">
        <f>IF($AZ$1=0,'Tính'!$Z$5,CHOOSE($AZ$1,'Tính'!$G$5,'Tính'!$L$5,'Tính'!$Q$5,'Tính'!$V$5))</f>
        <v/>
      </c>
      <c r="BD5">
        <f>IF($AZ$1=0,'Tính'!$Y$5,CHOOSE($AZ$1,'Tính'!$E$5,'Tính'!$J$5,'Tính'!$O$5,'Tính'!$T$5))</f>
        <v/>
      </c>
      <c r="BE5">
        <f>IF($AZ$1=0,'Tính'!$AB$5,CHOOSE($AZ$1,'Tính'!$I$5,'Tính'!$N$5,'Tính'!$S$5,'Tính'!$X$5))</f>
        <v/>
      </c>
      <c r="BF5">
        <f>IF($AZ$1=0,'Tính'!$AA$5,CHOOSE($AZ$1,'Tính'!$H$5,'Tính'!$M$5,'Tính'!$R$5,'Tính'!$W$5))</f>
        <v/>
      </c>
      <c r="BG5">
        <f>IF(BC5&gt;0,BD5/NgayQua*SoNgay/BC5,IF(BD5&gt;0,1,0))</f>
        <v/>
      </c>
      <c r="BH5">
        <f>IF(CoRTNhom=1,IF(BC5&gt;0,(BD5+BF5)/(NgayQua+1)*SoNgay/BC5,IF(BD5+BF5&gt;0,1,0)),BG5)</f>
        <v/>
      </c>
      <c r="BI5">
        <f>IF(BA5="",-1,IF(BB5="Chính",1000,0)+BH5+(20-3)/100000)</f>
        <v/>
      </c>
      <c r="BJ5">
        <f>IF(LARGE($BI$3:$BI$22,3)&lt;0,"",MATCH(LARGE($BI$3:$BI$22,3),$BI$3:$BI$22,0))</f>
        <v/>
      </c>
      <c r="CA5" t="n">
        <v>3</v>
      </c>
      <c r="CB5">
        <f>IF('Tính'!B41="",0,IF(OR($AZ$1=0,'Tính'!D41=$AZ$1),1,0))</f>
        <v/>
      </c>
      <c r="CC5">
        <f>IF(CB5=1,'Tính'!L41*1000+'Tính'!M41+1+(45-3)/1000000,-1)</f>
        <v/>
      </c>
      <c r="CD5">
        <f>IF(LARGE($CC$3:$CC$47,3)&lt;0,"",MATCH(LARGE($CC$3:$CC$47,3),$CC$3:$CC$47,0))</f>
        <v/>
      </c>
    </row>
    <row r="6">
      <c r="A6" s="28" t="inlineStr">
        <is>
          <t>Hoàn thành</t>
        </is>
      </c>
      <c r="B6" s="30">
        <f>IF(A5&gt;0,C5/A5,0)</f>
        <v/>
      </c>
      <c r="C6" s="31" t="inlineStr">
        <is>
          <t>%QĐ</t>
        </is>
      </c>
      <c r="D6" s="6" t="n"/>
      <c r="E6" s="30">
        <f>IFERROR(C5/INDEX('Tính'!$J$31:$J$35,IF($AZ$1=0,5,$AZ$1)),0)</f>
        <v/>
      </c>
      <c r="G6" s="32" t="inlineStr">
        <is>
          <t>Hoàn thành</t>
        </is>
      </c>
      <c r="H6" s="6" t="n"/>
      <c r="I6" s="33">
        <f>IF(I4&gt;0,I5/I4,0)</f>
        <v/>
      </c>
      <c r="J6" s="6" t="n"/>
      <c r="K6" s="34" t="inlineStr">
        <is>
          <t>Còn lại</t>
        </is>
      </c>
      <c r="L6" s="35">
        <f>MAX(0,I4-I5)</f>
        <v/>
      </c>
      <c r="BA6">
        <f>'Tính'!B6</f>
        <v/>
      </c>
      <c r="BB6">
        <f>'Tính'!D6</f>
        <v/>
      </c>
      <c r="BC6">
        <f>IF($AZ$1=0,'Tính'!$Z$6,CHOOSE($AZ$1,'Tính'!$G$6,'Tính'!$L$6,'Tính'!$Q$6,'Tính'!$V$6))</f>
        <v/>
      </c>
      <c r="BD6">
        <f>IF($AZ$1=0,'Tính'!$Y$6,CHOOSE($AZ$1,'Tính'!$E$6,'Tính'!$J$6,'Tính'!$O$6,'Tính'!$T$6))</f>
        <v/>
      </c>
      <c r="BE6">
        <f>IF($AZ$1=0,'Tính'!$AB$6,CHOOSE($AZ$1,'Tính'!$I$6,'Tính'!$N$6,'Tính'!$S$6,'Tính'!$X$6))</f>
        <v/>
      </c>
      <c r="BF6">
        <f>IF($AZ$1=0,'Tính'!$AA$6,CHOOSE($AZ$1,'Tính'!$H$6,'Tính'!$M$6,'Tính'!$R$6,'Tính'!$W$6))</f>
        <v/>
      </c>
      <c r="BG6">
        <f>IF(BC6&gt;0,BD6/NgayQua*SoNgay/BC6,IF(BD6&gt;0,1,0))</f>
        <v/>
      </c>
      <c r="BH6">
        <f>IF(CoRTNhom=1,IF(BC6&gt;0,(BD6+BF6)/(NgayQua+1)*SoNgay/BC6,IF(BD6+BF6&gt;0,1,0)),BG6)</f>
        <v/>
      </c>
      <c r="BI6">
        <f>IF(BA6="",-1,IF(BB6="Chính",1000,0)+BH6+(20-4)/100000)</f>
        <v/>
      </c>
      <c r="BJ6">
        <f>IF(LARGE($BI$3:$BI$22,4)&lt;0,"",MATCH(LARGE($BI$3:$BI$22,4),$BI$3:$BI$22,0))</f>
        <v/>
      </c>
      <c r="CA6" t="n">
        <v>4</v>
      </c>
      <c r="CB6">
        <f>IF('Tính'!B42="",0,IF(OR($AZ$1=0,'Tính'!D42=$AZ$1),1,0))</f>
        <v/>
      </c>
      <c r="CC6">
        <f>IF(CB6=1,'Tính'!L42*1000+'Tính'!M42+1+(45-4)/1000000,-1)</f>
        <v/>
      </c>
      <c r="CD6">
        <f>IF(LARGE($CC$3:$CC$47,4)&lt;0,"",MATCH(LARGE($CC$3:$CC$47,4),$CC$3:$CC$47,0))</f>
        <v/>
      </c>
    </row>
    <row r="7">
      <c r="A7" s="24" t="inlineStr">
        <is>
          <t>Mục tiêu trả chậm</t>
        </is>
      </c>
      <c r="B7" s="6" t="n"/>
      <c r="C7" s="36">
        <f>MucTieuTC</f>
        <v/>
      </c>
      <c r="D7" s="5" t="n"/>
      <c r="E7" s="6" t="n"/>
      <c r="G7" s="37" t="inlineStr">
        <is>
          <t>☀️ DK ngày mai</t>
        </is>
      </c>
      <c r="H7" s="6" t="n"/>
      <c r="I7" s="33">
        <f>IF(I4&gt;0,IF(CoRT=1,(I5+C5)/(NgayQua+1)*SoNgay/I4,I5/NgayQua*SoNgay/I4),0)</f>
        <v/>
      </c>
      <c r="J7" s="5" t="n"/>
      <c r="K7" s="5" t="n"/>
      <c r="L7" s="6" t="n"/>
      <c r="BA7">
        <f>'Tính'!B7</f>
        <v/>
      </c>
      <c r="BB7">
        <f>'Tính'!D7</f>
        <v/>
      </c>
      <c r="BC7">
        <f>IF($AZ$1=0,'Tính'!$Z$7,CHOOSE($AZ$1,'Tính'!$G$7,'Tính'!$L$7,'Tính'!$Q$7,'Tính'!$V$7))</f>
        <v/>
      </c>
      <c r="BD7">
        <f>IF($AZ$1=0,'Tính'!$Y$7,CHOOSE($AZ$1,'Tính'!$E$7,'Tính'!$J$7,'Tính'!$O$7,'Tính'!$T$7))</f>
        <v/>
      </c>
      <c r="BE7">
        <f>IF($AZ$1=0,'Tính'!$AB$7,CHOOSE($AZ$1,'Tính'!$I$7,'Tính'!$N$7,'Tính'!$S$7,'Tính'!$X$7))</f>
        <v/>
      </c>
      <c r="BF7">
        <f>IF($AZ$1=0,'Tính'!$AA$7,CHOOSE($AZ$1,'Tính'!$H$7,'Tính'!$M$7,'Tính'!$R$7,'Tính'!$W$7))</f>
        <v/>
      </c>
      <c r="BG7">
        <f>IF(BC7&gt;0,BD7/NgayQua*SoNgay/BC7,IF(BD7&gt;0,1,0))</f>
        <v/>
      </c>
      <c r="BH7">
        <f>IF(CoRTNhom=1,IF(BC7&gt;0,(BD7+BF7)/(NgayQua+1)*SoNgay/BC7,IF(BD7+BF7&gt;0,1,0)),BG7)</f>
        <v/>
      </c>
      <c r="BI7">
        <f>IF(BA7="",-1,IF(BB7="Chính",1000,0)+BH7+(20-5)/100000)</f>
        <v/>
      </c>
      <c r="BJ7">
        <f>IF(LARGE($BI$3:$BI$22,5)&lt;0,"",MATCH(LARGE($BI$3:$BI$22,5),$BI$3:$BI$22,0))</f>
        <v/>
      </c>
      <c r="CA7" t="n">
        <v>5</v>
      </c>
      <c r="CB7">
        <f>IF('Tính'!B43="",0,IF(OR($AZ$1=0,'Tính'!D43=$AZ$1),1,0))</f>
        <v/>
      </c>
      <c r="CC7">
        <f>IF(CB7=1,'Tính'!L43*1000+'Tính'!M43+1+(45-5)/1000000,-1)</f>
        <v/>
      </c>
      <c r="CD7">
        <f>IF(LARGE($CC$3:$CC$47,5)&lt;0,"",MATCH(LARGE($CC$3:$CC$47,5),$CC$3:$CC$47,0))</f>
        <v/>
      </c>
    </row>
    <row r="8">
      <c r="A8" s="24" t="inlineStr">
        <is>
          <t>Realtime trả chậm</t>
        </is>
      </c>
      <c r="B8" s="6" t="n"/>
      <c r="C8" s="38">
        <f>INDEX('Tính'!$K$31:$K$35,IF($AZ$1=0,5,$AZ$1))</f>
        <v/>
      </c>
      <c r="D8" s="5" t="n"/>
      <c r="E8" s="6" t="n"/>
      <c r="G8" s="39" t="inlineStr">
        <is>
          <t>Lũy kế trả chậm</t>
        </is>
      </c>
      <c r="H8" s="6" t="n"/>
      <c r="I8" s="38">
        <f>INDEX('Tính'!$H$31:$H$35,IF($AZ$1=0,5,$AZ$1))</f>
        <v/>
      </c>
      <c r="J8" s="6" t="n"/>
      <c r="K8" s="31" t="inlineStr">
        <is>
          <t>%QĐ/thực</t>
        </is>
      </c>
      <c r="L8" s="33">
        <f>IFERROR(I5/INDEX('Tính'!$G$31:$G$35,IF($AZ$1=0,5,$AZ$1)),0)</f>
        <v/>
      </c>
      <c r="BA8">
        <f>'Tính'!B8</f>
        <v/>
      </c>
      <c r="BB8">
        <f>'Tính'!D8</f>
        <v/>
      </c>
      <c r="BC8">
        <f>IF($AZ$1=0,'Tính'!$Z$8,CHOOSE($AZ$1,'Tính'!$G$8,'Tính'!$L$8,'Tính'!$Q$8,'Tính'!$V$8))</f>
        <v/>
      </c>
      <c r="BD8">
        <f>IF($AZ$1=0,'Tính'!$Y$8,CHOOSE($AZ$1,'Tính'!$E$8,'Tính'!$J$8,'Tính'!$O$8,'Tính'!$T$8))</f>
        <v/>
      </c>
      <c r="BE8">
        <f>IF($AZ$1=0,'Tính'!$AB$8,CHOOSE($AZ$1,'Tính'!$I$8,'Tính'!$N$8,'Tính'!$S$8,'Tính'!$X$8))</f>
        <v/>
      </c>
      <c r="BF8">
        <f>IF($AZ$1=0,'Tính'!$AA$8,CHOOSE($AZ$1,'Tính'!$H$8,'Tính'!$M$8,'Tính'!$R$8,'Tính'!$W$8))</f>
        <v/>
      </c>
      <c r="BG8">
        <f>IF(BC8&gt;0,BD8/NgayQua*SoNgay/BC8,IF(BD8&gt;0,1,0))</f>
        <v/>
      </c>
      <c r="BH8">
        <f>IF(CoRTNhom=1,IF(BC8&gt;0,(BD8+BF8)/(NgayQua+1)*SoNgay/BC8,IF(BD8+BF8&gt;0,1,0)),BG8)</f>
        <v/>
      </c>
      <c r="BI8">
        <f>IF(BA8="",-1,IF(BB8="Chính",1000,0)+BH8+(20-6)/100000)</f>
        <v/>
      </c>
      <c r="BJ8">
        <f>IF(LARGE($BI$3:$BI$22,6)&lt;0,"",MATCH(LARGE($BI$3:$BI$22,6),$BI$3:$BI$22,0))</f>
        <v/>
      </c>
      <c r="CA8" t="n">
        <v>6</v>
      </c>
      <c r="CB8">
        <f>IF('Tính'!B44="",0,IF(OR($AZ$1=0,'Tính'!D44=$AZ$1),1,0))</f>
        <v/>
      </c>
      <c r="CC8">
        <f>IF(CB8=1,'Tính'!L44*1000+'Tính'!M44+1+(45-6)/1000000,-1)</f>
        <v/>
      </c>
      <c r="CD8">
        <f>IF(LARGE($CC$3:$CC$47,6)&lt;0,"",MATCH(LARGE($CC$3:$CC$47,6),$CC$3:$CC$47,0))</f>
        <v/>
      </c>
    </row>
    <row r="9">
      <c r="BA9">
        <f>'Tính'!B9</f>
        <v/>
      </c>
      <c r="BB9">
        <f>'Tính'!D9</f>
        <v/>
      </c>
      <c r="BC9">
        <f>IF($AZ$1=0,'Tính'!$Z$9,CHOOSE($AZ$1,'Tính'!$G$9,'Tính'!$L$9,'Tính'!$Q$9,'Tính'!$V$9))</f>
        <v/>
      </c>
      <c r="BD9">
        <f>IF($AZ$1=0,'Tính'!$Y$9,CHOOSE($AZ$1,'Tính'!$E$9,'Tính'!$J$9,'Tính'!$O$9,'Tính'!$T$9))</f>
        <v/>
      </c>
      <c r="BE9">
        <f>IF($AZ$1=0,'Tính'!$AB$9,CHOOSE($AZ$1,'Tính'!$I$9,'Tính'!$N$9,'Tính'!$S$9,'Tính'!$X$9))</f>
        <v/>
      </c>
      <c r="BF9">
        <f>IF($AZ$1=0,'Tính'!$AA$9,CHOOSE($AZ$1,'Tính'!$H$9,'Tính'!$M$9,'Tính'!$R$9,'Tính'!$W$9))</f>
        <v/>
      </c>
      <c r="BG9">
        <f>IF(BC9&gt;0,BD9/NgayQua*SoNgay/BC9,IF(BD9&gt;0,1,0))</f>
        <v/>
      </c>
      <c r="BH9">
        <f>IF(CoRTNhom=1,IF(BC9&gt;0,(BD9+BF9)/(NgayQua+1)*SoNgay/BC9,IF(BD9+BF9&gt;0,1,0)),BG9)</f>
        <v/>
      </c>
      <c r="BI9">
        <f>IF(BA9="",-1,IF(BB9="Chính",1000,0)+BH9+(20-7)/100000)</f>
        <v/>
      </c>
      <c r="BJ9">
        <f>IF(LARGE($BI$3:$BI$22,7)&lt;0,"",MATCH(LARGE($BI$3:$BI$22,7),$BI$3:$BI$22,0))</f>
        <v/>
      </c>
      <c r="CA9" t="n">
        <v>7</v>
      </c>
      <c r="CB9">
        <f>IF('Tính'!B45="",0,IF(OR($AZ$1=0,'Tính'!D45=$AZ$1),1,0))</f>
        <v/>
      </c>
      <c r="CC9">
        <f>IF(CB9=1,'Tính'!L45*1000+'Tính'!M45+1+(45-7)/1000000,-1)</f>
        <v/>
      </c>
      <c r="CD9">
        <f>IF(LARGE($CC$3:$CC$47,7)&lt;0,"",MATCH(LARGE($CC$3:$CC$47,7),$CC$3:$CC$47,0))</f>
        <v/>
      </c>
    </row>
    <row r="10">
      <c r="A10" s="40">
        <f>"Realtime: "&amp;COUNTIF($BA$3:$BA$22,"?*")&amp;" nhóm"</f>
        <v/>
      </c>
      <c r="B10" s="6" t="n"/>
      <c r="C10" s="40" t="inlineStr">
        <is>
          <t>Đạt:</t>
        </is>
      </c>
      <c r="D10" s="40">
        <f>COUNTIFS(D12:D31,"&gt;0",E12:E31,"&gt;=0.995")</f>
        <v/>
      </c>
      <c r="E10" s="6" t="n"/>
      <c r="G10" s="41" t="inlineStr">
        <is>
          <t>Lũy kế</t>
        </is>
      </c>
      <c r="H10" s="6" t="n"/>
      <c r="I10" s="41">
        <f>"Đạt DK: "&amp;COUNTIF(K12:K31,"&gt;=0.995")</f>
        <v/>
      </c>
      <c r="J10" s="6" t="n"/>
      <c r="K10" s="41">
        <f>"☀️ Đạt: "&amp;COUNTIF(L12:L31,"&gt;=0.995")</f>
        <v/>
      </c>
      <c r="L10" s="6" t="n"/>
      <c r="BA10">
        <f>'Tính'!B10</f>
        <v/>
      </c>
      <c r="BB10">
        <f>'Tính'!D10</f>
        <v/>
      </c>
      <c r="BC10">
        <f>IF($AZ$1=0,'Tính'!$Z$10,CHOOSE($AZ$1,'Tính'!$G$10,'Tính'!$L$10,'Tính'!$Q$10,'Tính'!$V$10))</f>
        <v/>
      </c>
      <c r="BD10">
        <f>IF($AZ$1=0,'Tính'!$Y$10,CHOOSE($AZ$1,'Tính'!$E$10,'Tính'!$J$10,'Tính'!$O$10,'Tính'!$T$10))</f>
        <v/>
      </c>
      <c r="BE10">
        <f>IF($AZ$1=0,'Tính'!$AB$10,CHOOSE($AZ$1,'Tính'!$I$10,'Tính'!$N$10,'Tính'!$S$10,'Tính'!$X$10))</f>
        <v/>
      </c>
      <c r="BF10">
        <f>IF($AZ$1=0,'Tính'!$AA$10,CHOOSE($AZ$1,'Tính'!$H$10,'Tính'!$M$10,'Tính'!$R$10,'Tính'!$W$10))</f>
        <v/>
      </c>
      <c r="BG10">
        <f>IF(BC10&gt;0,BD10/NgayQua*SoNgay/BC10,IF(BD10&gt;0,1,0))</f>
        <v/>
      </c>
      <c r="BH10">
        <f>IF(CoRTNhom=1,IF(BC10&gt;0,(BD10+BF10)/(NgayQua+1)*SoNgay/BC10,IF(BD10+BF10&gt;0,1,0)),BG10)</f>
        <v/>
      </c>
      <c r="BI10">
        <f>IF(BA10="",-1,IF(BB10="Chính",1000,0)+BH10+(20-8)/100000)</f>
        <v/>
      </c>
      <c r="BJ10">
        <f>IF(LARGE($BI$3:$BI$22,8)&lt;0,"",MATCH(LARGE($BI$3:$BI$22,8),$BI$3:$BI$22,0))</f>
        <v/>
      </c>
      <c r="CA10" t="n">
        <v>8</v>
      </c>
      <c r="CB10">
        <f>IF('Tính'!B46="",0,IF(OR($AZ$1=0,'Tính'!D46=$AZ$1),1,0))</f>
        <v/>
      </c>
      <c r="CC10">
        <f>IF(CB10=1,'Tính'!L46*1000+'Tính'!M46+1+(45-8)/1000000,-1)</f>
        <v/>
      </c>
      <c r="CD10">
        <f>IF(LARGE($CC$3:$CC$47,8)&lt;0,"",MATCH(LARGE($CC$3:$CC$47,8),$CC$3:$CC$47,0))</f>
        <v/>
      </c>
    </row>
    <row r="11">
      <c r="A11" s="42" t="inlineStr">
        <is>
          <t>Nhóm hàng</t>
        </is>
      </c>
      <c r="B11" s="42" t="inlineStr">
        <is>
          <t>Loại</t>
        </is>
      </c>
      <c r="C11" s="42" t="inlineStr">
        <is>
          <t>Target ngày</t>
        </is>
      </c>
      <c r="D11" s="42" t="inlineStr">
        <is>
          <t>Thực hiện</t>
        </is>
      </c>
      <c r="E11" s="42" t="inlineStr">
        <is>
          <t>Tỉ lệ</t>
        </is>
      </c>
      <c r="G11" s="4" t="inlineStr">
        <is>
          <t>Nhóm hàng</t>
        </is>
      </c>
      <c r="H11" s="4" t="inlineStr">
        <is>
          <t>Target tháng</t>
        </is>
      </c>
      <c r="I11" s="4" t="inlineStr">
        <is>
          <t>Thực hiện</t>
        </is>
      </c>
      <c r="J11" s="4" t="inlineStr">
        <is>
          <t>% Hiện tại</t>
        </is>
      </c>
      <c r="K11" s="4" t="inlineStr">
        <is>
          <t>DK</t>
        </is>
      </c>
      <c r="L11" s="4" t="inlineStr">
        <is>
          <t>☀️ DK mai</t>
        </is>
      </c>
      <c r="BA11">
        <f>'Tính'!B11</f>
        <v/>
      </c>
      <c r="BB11">
        <f>'Tính'!D11</f>
        <v/>
      </c>
      <c r="BC11">
        <f>IF($AZ$1=0,'Tính'!$Z$11,CHOOSE($AZ$1,'Tính'!$G$11,'Tính'!$L$11,'Tính'!$Q$11,'Tính'!$V$11))</f>
        <v/>
      </c>
      <c r="BD11">
        <f>IF($AZ$1=0,'Tính'!$Y$11,CHOOSE($AZ$1,'Tính'!$E$11,'Tính'!$J$11,'Tính'!$O$11,'Tính'!$T$11))</f>
        <v/>
      </c>
      <c r="BE11">
        <f>IF($AZ$1=0,'Tính'!$AB$11,CHOOSE($AZ$1,'Tính'!$I$11,'Tính'!$N$11,'Tính'!$S$11,'Tính'!$X$11))</f>
        <v/>
      </c>
      <c r="BF11">
        <f>IF($AZ$1=0,'Tính'!$AA$11,CHOOSE($AZ$1,'Tính'!$H$11,'Tính'!$M$11,'Tính'!$R$11,'Tính'!$W$11))</f>
        <v/>
      </c>
      <c r="BG11">
        <f>IF(BC11&gt;0,BD11/NgayQua*SoNgay/BC11,IF(BD11&gt;0,1,0))</f>
        <v/>
      </c>
      <c r="BH11">
        <f>IF(CoRTNhom=1,IF(BC11&gt;0,(BD11+BF11)/(NgayQua+1)*SoNgay/BC11,IF(BD11+BF11&gt;0,1,0)),BG11)</f>
        <v/>
      </c>
      <c r="BI11">
        <f>IF(BA11="",-1,IF(BB11="Chính",1000,0)+BH11+(20-9)/100000)</f>
        <v/>
      </c>
      <c r="BJ11">
        <f>IF(LARGE($BI$3:$BI$22,9)&lt;0,"",MATCH(LARGE($BI$3:$BI$22,9),$BI$3:$BI$22,0))</f>
        <v/>
      </c>
      <c r="CA11" t="n">
        <v>9</v>
      </c>
      <c r="CB11">
        <f>IF('Tính'!B47="",0,IF(OR($AZ$1=0,'Tính'!D47=$AZ$1),1,0))</f>
        <v/>
      </c>
      <c r="CC11">
        <f>IF(CB11=1,'Tính'!L47*1000+'Tính'!M47+1+(45-9)/1000000,-1)</f>
        <v/>
      </c>
      <c r="CD11">
        <f>IF(LARGE($CC$3:$CC$47,9)&lt;0,"",MATCH(LARGE($CC$3:$CC$47,9),$CC$3:$CC$47,0))</f>
        <v/>
      </c>
    </row>
    <row r="12">
      <c r="A12" s="43">
        <f>IF($BJ$3="","",INDEX($BA$3:$BA$22,$BJ$3))</f>
        <v/>
      </c>
      <c r="B12" s="44">
        <f>IF($BJ$3="","",INDEX($BB$3:$BB$22,$BJ$3))</f>
        <v/>
      </c>
      <c r="C12" s="45">
        <f>IF($BJ$3="","",INDEX($BE$3:$BE$22,$BJ$3))</f>
        <v/>
      </c>
      <c r="D12" s="45">
        <f>IF($BJ$3="","",INDEX($BF$3:$BF$22,$BJ$3))</f>
        <v/>
      </c>
      <c r="E12" s="46">
        <f>IF(A12="","",IF(D12=0,"-",IF(C12&gt;0,D12/C12,1)))</f>
        <v/>
      </c>
      <c r="G12" s="43">
        <f>A12</f>
        <v/>
      </c>
      <c r="H12" s="45">
        <f>IF($BJ$3="","",INDEX($BC$3:$BC$22,$BJ$3))</f>
        <v/>
      </c>
      <c r="I12" s="45">
        <f>IF($BJ$3="","",INDEX($BD$3:$BD$22,$BJ$3))</f>
        <v/>
      </c>
      <c r="J12" s="46">
        <f>IF(A12="","",IF(H12&gt;0,I12/H12,1))</f>
        <v/>
      </c>
      <c r="K12" s="46">
        <f>IF($BJ$3="","",INDEX($BG$3:$BG$22,$BJ$3))</f>
        <v/>
      </c>
      <c r="L12" s="46">
        <f>IF($BJ$3="","",INDEX($BH$3:$BH$22,$BJ$3))</f>
        <v/>
      </c>
      <c r="BA12">
        <f>'Tính'!B12</f>
        <v/>
      </c>
      <c r="BB12">
        <f>'Tính'!D12</f>
        <v/>
      </c>
      <c r="BC12">
        <f>IF($AZ$1=0,'Tính'!$Z$12,CHOOSE($AZ$1,'Tính'!$G$12,'Tính'!$L$12,'Tính'!$Q$12,'Tính'!$V$12))</f>
        <v/>
      </c>
      <c r="BD12">
        <f>IF($AZ$1=0,'Tính'!$Y$12,CHOOSE($AZ$1,'Tính'!$E$12,'Tính'!$J$12,'Tính'!$O$12,'Tính'!$T$12))</f>
        <v/>
      </c>
      <c r="BE12">
        <f>IF($AZ$1=0,'Tính'!$AB$12,CHOOSE($AZ$1,'Tính'!$I$12,'Tính'!$N$12,'Tính'!$S$12,'Tính'!$X$12))</f>
        <v/>
      </c>
      <c r="BF12">
        <f>IF($AZ$1=0,'Tính'!$AA$12,CHOOSE($AZ$1,'Tính'!$H$12,'Tính'!$M$12,'Tính'!$R$12,'Tính'!$W$12))</f>
        <v/>
      </c>
      <c r="BG12">
        <f>IF(BC12&gt;0,BD12/NgayQua*SoNgay/BC12,IF(BD12&gt;0,1,0))</f>
        <v/>
      </c>
      <c r="BH12">
        <f>IF(CoRTNhom=1,IF(BC12&gt;0,(BD12+BF12)/(NgayQua+1)*SoNgay/BC12,IF(BD12+BF12&gt;0,1,0)),BG12)</f>
        <v/>
      </c>
      <c r="BI12">
        <f>IF(BA12="",-1,IF(BB12="Chính",1000,0)+BH12+(20-10)/100000)</f>
        <v/>
      </c>
      <c r="BJ12">
        <f>IF(LARGE($BI$3:$BI$22,10)&lt;0,"",MATCH(LARGE($BI$3:$BI$22,10),$BI$3:$BI$22,0))</f>
        <v/>
      </c>
      <c r="CA12" t="n">
        <v>10</v>
      </c>
      <c r="CB12">
        <f>IF('Tính'!B48="",0,IF(OR($AZ$1=0,'Tính'!D48=$AZ$1),1,0))</f>
        <v/>
      </c>
      <c r="CC12">
        <f>IF(CB12=1,'Tính'!L48*1000+'Tính'!M48+1+(45-10)/1000000,-1)</f>
        <v/>
      </c>
      <c r="CD12">
        <f>IF(LARGE($CC$3:$CC$47,10)&lt;0,"",MATCH(LARGE($CC$3:$CC$47,10),$CC$3:$CC$47,0))</f>
        <v/>
      </c>
    </row>
    <row r="13">
      <c r="A13" s="43">
        <f>IF($BJ$4="","",INDEX($BA$3:$BA$22,$BJ$4))</f>
        <v/>
      </c>
      <c r="B13" s="44">
        <f>IF($BJ$4="","",INDEX($BB$3:$BB$22,$BJ$4))</f>
        <v/>
      </c>
      <c r="C13" s="45">
        <f>IF($BJ$4="","",INDEX($BE$3:$BE$22,$BJ$4))</f>
        <v/>
      </c>
      <c r="D13" s="45">
        <f>IF($BJ$4="","",INDEX($BF$3:$BF$22,$BJ$4))</f>
        <v/>
      </c>
      <c r="E13" s="46">
        <f>IF(A13="","",IF(D13=0,"-",IF(C13&gt;0,D13/C13,1)))</f>
        <v/>
      </c>
      <c r="G13" s="43">
        <f>A13</f>
        <v/>
      </c>
      <c r="H13" s="45">
        <f>IF($BJ$4="","",INDEX($BC$3:$BC$22,$BJ$4))</f>
        <v/>
      </c>
      <c r="I13" s="45">
        <f>IF($BJ$4="","",INDEX($BD$3:$BD$22,$BJ$4))</f>
        <v/>
      </c>
      <c r="J13" s="46">
        <f>IF(A13="","",IF(H13&gt;0,I13/H13,1))</f>
        <v/>
      </c>
      <c r="K13" s="46">
        <f>IF($BJ$4="","",INDEX($BG$3:$BG$22,$BJ$4))</f>
        <v/>
      </c>
      <c r="L13" s="46">
        <f>IF($BJ$4="","",INDEX($BH$3:$BH$22,$BJ$4))</f>
        <v/>
      </c>
      <c r="BA13">
        <f>'Tính'!B13</f>
        <v/>
      </c>
      <c r="BB13">
        <f>'Tính'!D13</f>
        <v/>
      </c>
      <c r="BC13">
        <f>IF($AZ$1=0,'Tính'!$Z$13,CHOOSE($AZ$1,'Tính'!$G$13,'Tính'!$L$13,'Tính'!$Q$13,'Tính'!$V$13))</f>
        <v/>
      </c>
      <c r="BD13">
        <f>IF($AZ$1=0,'Tính'!$Y$13,CHOOSE($AZ$1,'Tính'!$E$13,'Tính'!$J$13,'Tính'!$O$13,'Tính'!$T$13))</f>
        <v/>
      </c>
      <c r="BE13">
        <f>IF($AZ$1=0,'Tính'!$AB$13,CHOOSE($AZ$1,'Tính'!$I$13,'Tính'!$N$13,'Tính'!$S$13,'Tính'!$X$13))</f>
        <v/>
      </c>
      <c r="BF13">
        <f>IF($AZ$1=0,'Tính'!$AA$13,CHOOSE($AZ$1,'Tính'!$H$13,'Tính'!$M$13,'Tính'!$R$13,'Tính'!$W$13))</f>
        <v/>
      </c>
      <c r="BG13">
        <f>IF(BC13&gt;0,BD13/NgayQua*SoNgay/BC13,IF(BD13&gt;0,1,0))</f>
        <v/>
      </c>
      <c r="BH13">
        <f>IF(CoRTNhom=1,IF(BC13&gt;0,(BD13+BF13)/(NgayQua+1)*SoNgay/BC13,IF(BD13+BF13&gt;0,1,0)),BG13)</f>
        <v/>
      </c>
      <c r="BI13">
        <f>IF(BA13="",-1,IF(BB13="Chính",1000,0)+BH13+(20-11)/100000)</f>
        <v/>
      </c>
      <c r="BJ13">
        <f>IF(LARGE($BI$3:$BI$22,11)&lt;0,"",MATCH(LARGE($BI$3:$BI$22,11),$BI$3:$BI$22,0))</f>
        <v/>
      </c>
      <c r="CA13" t="n">
        <v>11</v>
      </c>
      <c r="CB13">
        <f>IF('Tính'!B49="",0,IF(OR($AZ$1=0,'Tính'!D49=$AZ$1),1,0))</f>
        <v/>
      </c>
      <c r="CC13">
        <f>IF(CB13=1,'Tính'!L49*1000+'Tính'!M49+1+(45-11)/1000000,-1)</f>
        <v/>
      </c>
      <c r="CD13">
        <f>IF(LARGE($CC$3:$CC$47,11)&lt;0,"",MATCH(LARGE($CC$3:$CC$47,11),$CC$3:$CC$47,0))</f>
        <v/>
      </c>
    </row>
    <row r="14">
      <c r="A14" s="43">
        <f>IF($BJ$5="","",INDEX($BA$3:$BA$22,$BJ$5))</f>
        <v/>
      </c>
      <c r="B14" s="44">
        <f>IF($BJ$5="","",INDEX($BB$3:$BB$22,$BJ$5))</f>
        <v/>
      </c>
      <c r="C14" s="45">
        <f>IF($BJ$5="","",INDEX($BE$3:$BE$22,$BJ$5))</f>
        <v/>
      </c>
      <c r="D14" s="45">
        <f>IF($BJ$5="","",INDEX($BF$3:$BF$22,$BJ$5))</f>
        <v/>
      </c>
      <c r="E14" s="46">
        <f>IF(A14="","",IF(D14=0,"-",IF(C14&gt;0,D14/C14,1)))</f>
        <v/>
      </c>
      <c r="G14" s="43">
        <f>A14</f>
        <v/>
      </c>
      <c r="H14" s="45">
        <f>IF($BJ$5="","",INDEX($BC$3:$BC$22,$BJ$5))</f>
        <v/>
      </c>
      <c r="I14" s="45">
        <f>IF($BJ$5="","",INDEX($BD$3:$BD$22,$BJ$5))</f>
        <v/>
      </c>
      <c r="J14" s="46">
        <f>IF(A14="","",IF(H14&gt;0,I14/H14,1))</f>
        <v/>
      </c>
      <c r="K14" s="46">
        <f>IF($BJ$5="","",INDEX($BG$3:$BG$22,$BJ$5))</f>
        <v/>
      </c>
      <c r="L14" s="46">
        <f>IF($BJ$5="","",INDEX($BH$3:$BH$22,$BJ$5))</f>
        <v/>
      </c>
      <c r="BA14">
        <f>'Tính'!B14</f>
        <v/>
      </c>
      <c r="BB14">
        <f>'Tính'!D14</f>
        <v/>
      </c>
      <c r="BC14">
        <f>IF($AZ$1=0,'Tính'!$Z$14,CHOOSE($AZ$1,'Tính'!$G$14,'Tính'!$L$14,'Tính'!$Q$14,'Tính'!$V$14))</f>
        <v/>
      </c>
      <c r="BD14">
        <f>IF($AZ$1=0,'Tính'!$Y$14,CHOOSE($AZ$1,'Tính'!$E$14,'Tính'!$J$14,'Tính'!$O$14,'Tính'!$T$14))</f>
        <v/>
      </c>
      <c r="BE14">
        <f>IF($AZ$1=0,'Tính'!$AB$14,CHOOSE($AZ$1,'Tính'!$I$14,'Tính'!$N$14,'Tính'!$S$14,'Tính'!$X$14))</f>
        <v/>
      </c>
      <c r="BF14">
        <f>IF($AZ$1=0,'Tính'!$AA$14,CHOOSE($AZ$1,'Tính'!$H$14,'Tính'!$M$14,'Tính'!$R$14,'Tính'!$W$14))</f>
        <v/>
      </c>
      <c r="BG14">
        <f>IF(BC14&gt;0,BD14/NgayQua*SoNgay/BC14,IF(BD14&gt;0,1,0))</f>
        <v/>
      </c>
      <c r="BH14">
        <f>IF(CoRTNhom=1,IF(BC14&gt;0,(BD14+BF14)/(NgayQua+1)*SoNgay/BC14,IF(BD14+BF14&gt;0,1,0)),BG14)</f>
        <v/>
      </c>
      <c r="BI14">
        <f>IF(BA14="",-1,IF(BB14="Chính",1000,0)+BH14+(20-12)/100000)</f>
        <v/>
      </c>
      <c r="BJ14">
        <f>IF(LARGE($BI$3:$BI$22,12)&lt;0,"",MATCH(LARGE($BI$3:$BI$22,12),$BI$3:$BI$22,0))</f>
        <v/>
      </c>
      <c r="CA14" t="n">
        <v>12</v>
      </c>
      <c r="CB14">
        <f>IF('Tính'!B50="",0,IF(OR($AZ$1=0,'Tính'!D50=$AZ$1),1,0))</f>
        <v/>
      </c>
      <c r="CC14">
        <f>IF(CB14=1,'Tính'!L50*1000+'Tính'!M50+1+(45-12)/1000000,-1)</f>
        <v/>
      </c>
      <c r="CD14">
        <f>IF(LARGE($CC$3:$CC$47,12)&lt;0,"",MATCH(LARGE($CC$3:$CC$47,12),$CC$3:$CC$47,0))</f>
        <v/>
      </c>
    </row>
    <row r="15">
      <c r="A15" s="43">
        <f>IF($BJ$6="","",INDEX($BA$3:$BA$22,$BJ$6))</f>
        <v/>
      </c>
      <c r="B15" s="44">
        <f>IF($BJ$6="","",INDEX($BB$3:$BB$22,$BJ$6))</f>
        <v/>
      </c>
      <c r="C15" s="45">
        <f>IF($BJ$6="","",INDEX($BE$3:$BE$22,$BJ$6))</f>
        <v/>
      </c>
      <c r="D15" s="45">
        <f>IF($BJ$6="","",INDEX($BF$3:$BF$22,$BJ$6))</f>
        <v/>
      </c>
      <c r="E15" s="46">
        <f>IF(A15="","",IF(D15=0,"-",IF(C15&gt;0,D15/C15,1)))</f>
        <v/>
      </c>
      <c r="G15" s="43">
        <f>A15</f>
        <v/>
      </c>
      <c r="H15" s="45">
        <f>IF($BJ$6="","",INDEX($BC$3:$BC$22,$BJ$6))</f>
        <v/>
      </c>
      <c r="I15" s="45">
        <f>IF($BJ$6="","",INDEX($BD$3:$BD$22,$BJ$6))</f>
        <v/>
      </c>
      <c r="J15" s="46">
        <f>IF(A15="","",IF(H15&gt;0,I15/H15,1))</f>
        <v/>
      </c>
      <c r="K15" s="46">
        <f>IF($BJ$6="","",INDEX($BG$3:$BG$22,$BJ$6))</f>
        <v/>
      </c>
      <c r="L15" s="46">
        <f>IF($BJ$6="","",INDEX($BH$3:$BH$22,$BJ$6))</f>
        <v/>
      </c>
      <c r="BA15">
        <f>'Tính'!B15</f>
        <v/>
      </c>
      <c r="BB15">
        <f>'Tính'!D15</f>
        <v/>
      </c>
      <c r="BC15">
        <f>IF($AZ$1=0,'Tính'!$Z$15,CHOOSE($AZ$1,'Tính'!$G$15,'Tính'!$L$15,'Tính'!$Q$15,'Tính'!$V$15))</f>
        <v/>
      </c>
      <c r="BD15">
        <f>IF($AZ$1=0,'Tính'!$Y$15,CHOOSE($AZ$1,'Tính'!$E$15,'Tính'!$J$15,'Tính'!$O$15,'Tính'!$T$15))</f>
        <v/>
      </c>
      <c r="BE15">
        <f>IF($AZ$1=0,'Tính'!$AB$15,CHOOSE($AZ$1,'Tính'!$I$15,'Tính'!$N$15,'Tính'!$S$15,'Tính'!$X$15))</f>
        <v/>
      </c>
      <c r="BF15">
        <f>IF($AZ$1=0,'Tính'!$AA$15,CHOOSE($AZ$1,'Tính'!$H$15,'Tính'!$M$15,'Tính'!$R$15,'Tính'!$W$15))</f>
        <v/>
      </c>
      <c r="BG15">
        <f>IF(BC15&gt;0,BD15/NgayQua*SoNgay/BC15,IF(BD15&gt;0,1,0))</f>
        <v/>
      </c>
      <c r="BH15">
        <f>IF(CoRTNhom=1,IF(BC15&gt;0,(BD15+BF15)/(NgayQua+1)*SoNgay/BC15,IF(BD15+BF15&gt;0,1,0)),BG15)</f>
        <v/>
      </c>
      <c r="BI15">
        <f>IF(BA15="",-1,IF(BB15="Chính",1000,0)+BH15+(20-13)/100000)</f>
        <v/>
      </c>
      <c r="BJ15">
        <f>IF(LARGE($BI$3:$BI$22,13)&lt;0,"",MATCH(LARGE($BI$3:$BI$22,13),$BI$3:$BI$22,0))</f>
        <v/>
      </c>
      <c r="CA15" t="n">
        <v>13</v>
      </c>
      <c r="CB15">
        <f>IF('Tính'!B51="",0,IF(OR($AZ$1=0,'Tính'!D51=$AZ$1),1,0))</f>
        <v/>
      </c>
      <c r="CC15">
        <f>IF(CB15=1,'Tính'!L51*1000+'Tính'!M51+1+(45-13)/1000000,-1)</f>
        <v/>
      </c>
      <c r="CD15">
        <f>IF(LARGE($CC$3:$CC$47,13)&lt;0,"",MATCH(LARGE($CC$3:$CC$47,13),$CC$3:$CC$47,0))</f>
        <v/>
      </c>
    </row>
    <row r="16">
      <c r="A16" s="43">
        <f>IF($BJ$7="","",INDEX($BA$3:$BA$22,$BJ$7))</f>
        <v/>
      </c>
      <c r="B16" s="44">
        <f>IF($BJ$7="","",INDEX($BB$3:$BB$22,$BJ$7))</f>
        <v/>
      </c>
      <c r="C16" s="45">
        <f>IF($BJ$7="","",INDEX($BE$3:$BE$22,$BJ$7))</f>
        <v/>
      </c>
      <c r="D16" s="45">
        <f>IF($BJ$7="","",INDEX($BF$3:$BF$22,$BJ$7))</f>
        <v/>
      </c>
      <c r="E16" s="46">
        <f>IF(A16="","",IF(D16=0,"-",IF(C16&gt;0,D16/C16,1)))</f>
        <v/>
      </c>
      <c r="G16" s="43">
        <f>A16</f>
        <v/>
      </c>
      <c r="H16" s="45">
        <f>IF($BJ$7="","",INDEX($BC$3:$BC$22,$BJ$7))</f>
        <v/>
      </c>
      <c r="I16" s="45">
        <f>IF($BJ$7="","",INDEX($BD$3:$BD$22,$BJ$7))</f>
        <v/>
      </c>
      <c r="J16" s="46">
        <f>IF(A16="","",IF(H16&gt;0,I16/H16,1))</f>
        <v/>
      </c>
      <c r="K16" s="46">
        <f>IF($BJ$7="","",INDEX($BG$3:$BG$22,$BJ$7))</f>
        <v/>
      </c>
      <c r="L16" s="46">
        <f>IF($BJ$7="","",INDEX($BH$3:$BH$22,$BJ$7))</f>
        <v/>
      </c>
      <c r="BA16">
        <f>'Tính'!B16</f>
        <v/>
      </c>
      <c r="BB16">
        <f>'Tính'!D16</f>
        <v/>
      </c>
      <c r="BC16">
        <f>IF($AZ$1=0,'Tính'!$Z$16,CHOOSE($AZ$1,'Tính'!$G$16,'Tính'!$L$16,'Tính'!$Q$16,'Tính'!$V$16))</f>
        <v/>
      </c>
      <c r="BD16">
        <f>IF($AZ$1=0,'Tính'!$Y$16,CHOOSE($AZ$1,'Tính'!$E$16,'Tính'!$J$16,'Tính'!$O$16,'Tính'!$T$16))</f>
        <v/>
      </c>
      <c r="BE16">
        <f>IF($AZ$1=0,'Tính'!$AB$16,CHOOSE($AZ$1,'Tính'!$I$16,'Tính'!$N$16,'Tính'!$S$16,'Tính'!$X$16))</f>
        <v/>
      </c>
      <c r="BF16">
        <f>IF($AZ$1=0,'Tính'!$AA$16,CHOOSE($AZ$1,'Tính'!$H$16,'Tính'!$M$16,'Tính'!$R$16,'Tính'!$W$16))</f>
        <v/>
      </c>
      <c r="BG16">
        <f>IF(BC16&gt;0,BD16/NgayQua*SoNgay/BC16,IF(BD16&gt;0,1,0))</f>
        <v/>
      </c>
      <c r="BH16">
        <f>IF(CoRTNhom=1,IF(BC16&gt;0,(BD16+BF16)/(NgayQua+1)*SoNgay/BC16,IF(BD16+BF16&gt;0,1,0)),BG16)</f>
        <v/>
      </c>
      <c r="BI16">
        <f>IF(BA16="",-1,IF(BB16="Chính",1000,0)+BH16+(20-14)/100000)</f>
        <v/>
      </c>
      <c r="BJ16">
        <f>IF(LARGE($BI$3:$BI$22,14)&lt;0,"",MATCH(LARGE($BI$3:$BI$22,14),$BI$3:$BI$22,0))</f>
        <v/>
      </c>
      <c r="CA16" t="n">
        <v>14</v>
      </c>
      <c r="CB16">
        <f>IF('Tính'!B52="",0,IF(OR($AZ$1=0,'Tính'!D52=$AZ$1),1,0))</f>
        <v/>
      </c>
      <c r="CC16">
        <f>IF(CB16=1,'Tính'!L52*1000+'Tính'!M52+1+(45-14)/1000000,-1)</f>
        <v/>
      </c>
      <c r="CD16">
        <f>IF(LARGE($CC$3:$CC$47,14)&lt;0,"",MATCH(LARGE($CC$3:$CC$47,14),$CC$3:$CC$47,0))</f>
        <v/>
      </c>
    </row>
    <row r="17">
      <c r="A17" s="43">
        <f>IF($BJ$8="","",INDEX($BA$3:$BA$22,$BJ$8))</f>
        <v/>
      </c>
      <c r="B17" s="44">
        <f>IF($BJ$8="","",INDEX($BB$3:$BB$22,$BJ$8))</f>
        <v/>
      </c>
      <c r="C17" s="45">
        <f>IF($BJ$8="","",INDEX($BE$3:$BE$22,$BJ$8))</f>
        <v/>
      </c>
      <c r="D17" s="45">
        <f>IF($BJ$8="","",INDEX($BF$3:$BF$22,$BJ$8))</f>
        <v/>
      </c>
      <c r="E17" s="46">
        <f>IF(A17="","",IF(D17=0,"-",IF(C17&gt;0,D17/C17,1)))</f>
        <v/>
      </c>
      <c r="G17" s="43">
        <f>A17</f>
        <v/>
      </c>
      <c r="H17" s="45">
        <f>IF($BJ$8="","",INDEX($BC$3:$BC$22,$BJ$8))</f>
        <v/>
      </c>
      <c r="I17" s="45">
        <f>IF($BJ$8="","",INDEX($BD$3:$BD$22,$BJ$8))</f>
        <v/>
      </c>
      <c r="J17" s="46">
        <f>IF(A17="","",IF(H17&gt;0,I17/H17,1))</f>
        <v/>
      </c>
      <c r="K17" s="46">
        <f>IF($BJ$8="","",INDEX($BG$3:$BG$22,$BJ$8))</f>
        <v/>
      </c>
      <c r="L17" s="46">
        <f>IF($BJ$8="","",INDEX($BH$3:$BH$22,$BJ$8))</f>
        <v/>
      </c>
      <c r="BA17">
        <f>'Tính'!B17</f>
        <v/>
      </c>
      <c r="BB17">
        <f>'Tính'!D17</f>
        <v/>
      </c>
      <c r="BC17">
        <f>IF($AZ$1=0,'Tính'!$Z$17,CHOOSE($AZ$1,'Tính'!$G$17,'Tính'!$L$17,'Tính'!$Q$17,'Tính'!$V$17))</f>
        <v/>
      </c>
      <c r="BD17">
        <f>IF($AZ$1=0,'Tính'!$Y$17,CHOOSE($AZ$1,'Tính'!$E$17,'Tính'!$J$17,'Tính'!$O$17,'Tính'!$T$17))</f>
        <v/>
      </c>
      <c r="BE17">
        <f>IF($AZ$1=0,'Tính'!$AB$17,CHOOSE($AZ$1,'Tính'!$I$17,'Tính'!$N$17,'Tính'!$S$17,'Tính'!$X$17))</f>
        <v/>
      </c>
      <c r="BF17">
        <f>IF($AZ$1=0,'Tính'!$AA$17,CHOOSE($AZ$1,'Tính'!$H$17,'Tính'!$M$17,'Tính'!$R$17,'Tính'!$W$17))</f>
        <v/>
      </c>
      <c r="BG17">
        <f>IF(BC17&gt;0,BD17/NgayQua*SoNgay/BC17,IF(BD17&gt;0,1,0))</f>
        <v/>
      </c>
      <c r="BH17">
        <f>IF(CoRTNhom=1,IF(BC17&gt;0,(BD17+BF17)/(NgayQua+1)*SoNgay/BC17,IF(BD17+BF17&gt;0,1,0)),BG17)</f>
        <v/>
      </c>
      <c r="BI17">
        <f>IF(BA17="",-1,IF(BB17="Chính",1000,0)+BH17+(20-15)/100000)</f>
        <v/>
      </c>
      <c r="BJ17">
        <f>IF(LARGE($BI$3:$BI$22,15)&lt;0,"",MATCH(LARGE($BI$3:$BI$22,15),$BI$3:$BI$22,0))</f>
        <v/>
      </c>
      <c r="CA17" t="n">
        <v>15</v>
      </c>
      <c r="CB17">
        <f>IF('Tính'!B53="",0,IF(OR($AZ$1=0,'Tính'!D53=$AZ$1),1,0))</f>
        <v/>
      </c>
      <c r="CC17">
        <f>IF(CB17=1,'Tính'!L53*1000+'Tính'!M53+1+(45-15)/1000000,-1)</f>
        <v/>
      </c>
      <c r="CD17">
        <f>IF(LARGE($CC$3:$CC$47,15)&lt;0,"",MATCH(LARGE($CC$3:$CC$47,15),$CC$3:$CC$47,0))</f>
        <v/>
      </c>
    </row>
    <row r="18">
      <c r="A18" s="43">
        <f>IF($BJ$9="","",INDEX($BA$3:$BA$22,$BJ$9))</f>
        <v/>
      </c>
      <c r="B18" s="44">
        <f>IF($BJ$9="","",INDEX($BB$3:$BB$22,$BJ$9))</f>
        <v/>
      </c>
      <c r="C18" s="45">
        <f>IF($BJ$9="","",INDEX($BE$3:$BE$22,$BJ$9))</f>
        <v/>
      </c>
      <c r="D18" s="45">
        <f>IF($BJ$9="","",INDEX($BF$3:$BF$22,$BJ$9))</f>
        <v/>
      </c>
      <c r="E18" s="46">
        <f>IF(A18="","",IF(D18=0,"-",IF(C18&gt;0,D18/C18,1)))</f>
        <v/>
      </c>
      <c r="G18" s="43">
        <f>A18</f>
        <v/>
      </c>
      <c r="H18" s="45">
        <f>IF($BJ$9="","",INDEX($BC$3:$BC$22,$BJ$9))</f>
        <v/>
      </c>
      <c r="I18" s="45">
        <f>IF($BJ$9="","",INDEX($BD$3:$BD$22,$BJ$9))</f>
        <v/>
      </c>
      <c r="J18" s="46">
        <f>IF(A18="","",IF(H18&gt;0,I18/H18,1))</f>
        <v/>
      </c>
      <c r="K18" s="46">
        <f>IF($BJ$9="","",INDEX($BG$3:$BG$22,$BJ$9))</f>
        <v/>
      </c>
      <c r="L18" s="46">
        <f>IF($BJ$9="","",INDEX($BH$3:$BH$22,$BJ$9))</f>
        <v/>
      </c>
      <c r="BA18">
        <f>'Tính'!B18</f>
        <v/>
      </c>
      <c r="BB18">
        <f>'Tính'!D18</f>
        <v/>
      </c>
      <c r="BC18">
        <f>IF($AZ$1=0,'Tính'!$Z$18,CHOOSE($AZ$1,'Tính'!$G$18,'Tính'!$L$18,'Tính'!$Q$18,'Tính'!$V$18))</f>
        <v/>
      </c>
      <c r="BD18">
        <f>IF($AZ$1=0,'Tính'!$Y$18,CHOOSE($AZ$1,'Tính'!$E$18,'Tính'!$J$18,'Tính'!$O$18,'Tính'!$T$18))</f>
        <v/>
      </c>
      <c r="BE18">
        <f>IF($AZ$1=0,'Tính'!$AB$18,CHOOSE($AZ$1,'Tính'!$I$18,'Tính'!$N$18,'Tính'!$S$18,'Tính'!$X$18))</f>
        <v/>
      </c>
      <c r="BF18">
        <f>IF($AZ$1=0,'Tính'!$AA$18,CHOOSE($AZ$1,'Tính'!$H$18,'Tính'!$M$18,'Tính'!$R$18,'Tính'!$W$18))</f>
        <v/>
      </c>
      <c r="BG18">
        <f>IF(BC18&gt;0,BD18/NgayQua*SoNgay/BC18,IF(BD18&gt;0,1,0))</f>
        <v/>
      </c>
      <c r="BH18">
        <f>IF(CoRTNhom=1,IF(BC18&gt;0,(BD18+BF18)/(NgayQua+1)*SoNgay/BC18,IF(BD18+BF18&gt;0,1,0)),BG18)</f>
        <v/>
      </c>
      <c r="BI18">
        <f>IF(BA18="",-1,IF(BB18="Chính",1000,0)+BH18+(20-16)/100000)</f>
        <v/>
      </c>
      <c r="BJ18">
        <f>IF(LARGE($BI$3:$BI$22,16)&lt;0,"",MATCH(LARGE($BI$3:$BI$22,16),$BI$3:$BI$22,0))</f>
        <v/>
      </c>
      <c r="CA18" t="n">
        <v>16</v>
      </c>
      <c r="CB18">
        <f>IF('Tính'!B54="",0,IF(OR($AZ$1=0,'Tính'!D54=$AZ$1),1,0))</f>
        <v/>
      </c>
      <c r="CC18">
        <f>IF(CB18=1,'Tính'!L54*1000+'Tính'!M54+1+(45-16)/1000000,-1)</f>
        <v/>
      </c>
      <c r="CD18">
        <f>IF(LARGE($CC$3:$CC$47,16)&lt;0,"",MATCH(LARGE($CC$3:$CC$47,16),$CC$3:$CC$47,0))</f>
        <v/>
      </c>
    </row>
    <row r="19">
      <c r="A19" s="43">
        <f>IF($BJ$10="","",INDEX($BA$3:$BA$22,$BJ$10))</f>
        <v/>
      </c>
      <c r="B19" s="44">
        <f>IF($BJ$10="","",INDEX($BB$3:$BB$22,$BJ$10))</f>
        <v/>
      </c>
      <c r="C19" s="45">
        <f>IF($BJ$10="","",INDEX($BE$3:$BE$22,$BJ$10))</f>
        <v/>
      </c>
      <c r="D19" s="45">
        <f>IF($BJ$10="","",INDEX($BF$3:$BF$22,$BJ$10))</f>
        <v/>
      </c>
      <c r="E19" s="46">
        <f>IF(A19="","",IF(D19=0,"-",IF(C19&gt;0,D19/C19,1)))</f>
        <v/>
      </c>
      <c r="G19" s="43">
        <f>A19</f>
        <v/>
      </c>
      <c r="H19" s="45">
        <f>IF($BJ$10="","",INDEX($BC$3:$BC$22,$BJ$10))</f>
        <v/>
      </c>
      <c r="I19" s="45">
        <f>IF($BJ$10="","",INDEX($BD$3:$BD$22,$BJ$10))</f>
        <v/>
      </c>
      <c r="J19" s="46">
        <f>IF(A19="","",IF(H19&gt;0,I19/H19,1))</f>
        <v/>
      </c>
      <c r="K19" s="46">
        <f>IF($BJ$10="","",INDEX($BG$3:$BG$22,$BJ$10))</f>
        <v/>
      </c>
      <c r="L19" s="46">
        <f>IF($BJ$10="","",INDEX($BH$3:$BH$22,$BJ$10))</f>
        <v/>
      </c>
      <c r="BA19">
        <f>'Tính'!B19</f>
        <v/>
      </c>
      <c r="BB19">
        <f>'Tính'!D19</f>
        <v/>
      </c>
      <c r="BC19">
        <f>IF($AZ$1=0,'Tính'!$Z$19,CHOOSE($AZ$1,'Tính'!$G$19,'Tính'!$L$19,'Tính'!$Q$19,'Tính'!$V$19))</f>
        <v/>
      </c>
      <c r="BD19">
        <f>IF($AZ$1=0,'Tính'!$Y$19,CHOOSE($AZ$1,'Tính'!$E$19,'Tính'!$J$19,'Tính'!$O$19,'Tính'!$T$19))</f>
        <v/>
      </c>
      <c r="BE19">
        <f>IF($AZ$1=0,'Tính'!$AB$19,CHOOSE($AZ$1,'Tính'!$I$19,'Tính'!$N$19,'Tính'!$S$19,'Tính'!$X$19))</f>
        <v/>
      </c>
      <c r="BF19">
        <f>IF($AZ$1=0,'Tính'!$AA$19,CHOOSE($AZ$1,'Tính'!$H$19,'Tính'!$M$19,'Tính'!$R$19,'Tính'!$W$19))</f>
        <v/>
      </c>
      <c r="BG19">
        <f>IF(BC19&gt;0,BD19/NgayQua*SoNgay/BC19,IF(BD19&gt;0,1,0))</f>
        <v/>
      </c>
      <c r="BH19">
        <f>IF(CoRTNhom=1,IF(BC19&gt;0,(BD19+BF19)/(NgayQua+1)*SoNgay/BC19,IF(BD19+BF19&gt;0,1,0)),BG19)</f>
        <v/>
      </c>
      <c r="BI19">
        <f>IF(BA19="",-1,IF(BB19="Chính",1000,0)+BH19+(20-17)/100000)</f>
        <v/>
      </c>
      <c r="BJ19">
        <f>IF(LARGE($BI$3:$BI$22,17)&lt;0,"",MATCH(LARGE($BI$3:$BI$22,17),$BI$3:$BI$22,0))</f>
        <v/>
      </c>
      <c r="CA19" t="n">
        <v>17</v>
      </c>
      <c r="CB19">
        <f>IF('Tính'!B55="",0,IF(OR($AZ$1=0,'Tính'!D55=$AZ$1),1,0))</f>
        <v/>
      </c>
      <c r="CC19">
        <f>IF(CB19=1,'Tính'!L55*1000+'Tính'!M55+1+(45-17)/1000000,-1)</f>
        <v/>
      </c>
      <c r="CD19">
        <f>IF(LARGE($CC$3:$CC$47,17)&lt;0,"",MATCH(LARGE($CC$3:$CC$47,17),$CC$3:$CC$47,0))</f>
        <v/>
      </c>
    </row>
    <row r="20">
      <c r="A20" s="43">
        <f>IF($BJ$11="","",INDEX($BA$3:$BA$22,$BJ$11))</f>
        <v/>
      </c>
      <c r="B20" s="44">
        <f>IF($BJ$11="","",INDEX($BB$3:$BB$22,$BJ$11))</f>
        <v/>
      </c>
      <c r="C20" s="45">
        <f>IF($BJ$11="","",INDEX($BE$3:$BE$22,$BJ$11))</f>
        <v/>
      </c>
      <c r="D20" s="45">
        <f>IF($BJ$11="","",INDEX($BF$3:$BF$22,$BJ$11))</f>
        <v/>
      </c>
      <c r="E20" s="46">
        <f>IF(A20="","",IF(D20=0,"-",IF(C20&gt;0,D20/C20,1)))</f>
        <v/>
      </c>
      <c r="G20" s="43">
        <f>A20</f>
        <v/>
      </c>
      <c r="H20" s="45">
        <f>IF($BJ$11="","",INDEX($BC$3:$BC$22,$BJ$11))</f>
        <v/>
      </c>
      <c r="I20" s="45">
        <f>IF($BJ$11="","",INDEX($BD$3:$BD$22,$BJ$11))</f>
        <v/>
      </c>
      <c r="J20" s="46">
        <f>IF(A20="","",IF(H20&gt;0,I20/H20,1))</f>
        <v/>
      </c>
      <c r="K20" s="46">
        <f>IF($BJ$11="","",INDEX($BG$3:$BG$22,$BJ$11))</f>
        <v/>
      </c>
      <c r="L20" s="46">
        <f>IF($BJ$11="","",INDEX($BH$3:$BH$22,$BJ$11))</f>
        <v/>
      </c>
      <c r="BA20">
        <f>'Tính'!B20</f>
        <v/>
      </c>
      <c r="BB20">
        <f>'Tính'!D20</f>
        <v/>
      </c>
      <c r="BC20">
        <f>IF($AZ$1=0,'Tính'!$Z$20,CHOOSE($AZ$1,'Tính'!$G$20,'Tính'!$L$20,'Tính'!$Q$20,'Tính'!$V$20))</f>
        <v/>
      </c>
      <c r="BD20">
        <f>IF($AZ$1=0,'Tính'!$Y$20,CHOOSE($AZ$1,'Tính'!$E$20,'Tính'!$J$20,'Tính'!$O$20,'Tính'!$T$20))</f>
        <v/>
      </c>
      <c r="BE20">
        <f>IF($AZ$1=0,'Tính'!$AB$20,CHOOSE($AZ$1,'Tính'!$I$20,'Tính'!$N$20,'Tính'!$S$20,'Tính'!$X$20))</f>
        <v/>
      </c>
      <c r="BF20">
        <f>IF($AZ$1=0,'Tính'!$AA$20,CHOOSE($AZ$1,'Tính'!$H$20,'Tính'!$M$20,'Tính'!$R$20,'Tính'!$W$20))</f>
        <v/>
      </c>
      <c r="BG20">
        <f>IF(BC20&gt;0,BD20/NgayQua*SoNgay/BC20,IF(BD20&gt;0,1,0))</f>
        <v/>
      </c>
      <c r="BH20">
        <f>IF(CoRTNhom=1,IF(BC20&gt;0,(BD20+BF20)/(NgayQua+1)*SoNgay/BC20,IF(BD20+BF20&gt;0,1,0)),BG20)</f>
        <v/>
      </c>
      <c r="BI20">
        <f>IF(BA20="",-1,IF(BB20="Chính",1000,0)+BH20+(20-18)/100000)</f>
        <v/>
      </c>
      <c r="BJ20">
        <f>IF(LARGE($BI$3:$BI$22,18)&lt;0,"",MATCH(LARGE($BI$3:$BI$22,18),$BI$3:$BI$22,0))</f>
        <v/>
      </c>
      <c r="CA20" t="n">
        <v>18</v>
      </c>
      <c r="CB20">
        <f>IF('Tính'!B56="",0,IF(OR($AZ$1=0,'Tính'!D56=$AZ$1),1,0))</f>
        <v/>
      </c>
      <c r="CC20">
        <f>IF(CB20=1,'Tính'!L56*1000+'Tính'!M56+1+(45-18)/1000000,-1)</f>
        <v/>
      </c>
      <c r="CD20">
        <f>IF(LARGE($CC$3:$CC$47,18)&lt;0,"",MATCH(LARGE($CC$3:$CC$47,18),$CC$3:$CC$47,0))</f>
        <v/>
      </c>
    </row>
    <row r="21">
      <c r="A21" s="43">
        <f>IF($BJ$12="","",INDEX($BA$3:$BA$22,$BJ$12))</f>
        <v/>
      </c>
      <c r="B21" s="44">
        <f>IF($BJ$12="","",INDEX($BB$3:$BB$22,$BJ$12))</f>
        <v/>
      </c>
      <c r="C21" s="45">
        <f>IF($BJ$12="","",INDEX($BE$3:$BE$22,$BJ$12))</f>
        <v/>
      </c>
      <c r="D21" s="45">
        <f>IF($BJ$12="","",INDEX($BF$3:$BF$22,$BJ$12))</f>
        <v/>
      </c>
      <c r="E21" s="46">
        <f>IF(A21="","",IF(D21=0,"-",IF(C21&gt;0,D21/C21,1)))</f>
        <v/>
      </c>
      <c r="G21" s="43">
        <f>A21</f>
        <v/>
      </c>
      <c r="H21" s="45">
        <f>IF($BJ$12="","",INDEX($BC$3:$BC$22,$BJ$12))</f>
        <v/>
      </c>
      <c r="I21" s="45">
        <f>IF($BJ$12="","",INDEX($BD$3:$BD$22,$BJ$12))</f>
        <v/>
      </c>
      <c r="J21" s="46">
        <f>IF(A21="","",IF(H21&gt;0,I21/H21,1))</f>
        <v/>
      </c>
      <c r="K21" s="46">
        <f>IF($BJ$12="","",INDEX($BG$3:$BG$22,$BJ$12))</f>
        <v/>
      </c>
      <c r="L21" s="46">
        <f>IF($BJ$12="","",INDEX($BH$3:$BH$22,$BJ$12))</f>
        <v/>
      </c>
      <c r="BA21">
        <f>'Tính'!B21</f>
        <v/>
      </c>
      <c r="BB21">
        <f>'Tính'!D21</f>
        <v/>
      </c>
      <c r="BC21">
        <f>IF($AZ$1=0,'Tính'!$Z$21,CHOOSE($AZ$1,'Tính'!$G$21,'Tính'!$L$21,'Tính'!$Q$21,'Tính'!$V$21))</f>
        <v/>
      </c>
      <c r="BD21">
        <f>IF($AZ$1=0,'Tính'!$Y$21,CHOOSE($AZ$1,'Tính'!$E$21,'Tính'!$J$21,'Tính'!$O$21,'Tính'!$T$21))</f>
        <v/>
      </c>
      <c r="BE21">
        <f>IF($AZ$1=0,'Tính'!$AB$21,CHOOSE($AZ$1,'Tính'!$I$21,'Tính'!$N$21,'Tính'!$S$21,'Tính'!$X$21))</f>
        <v/>
      </c>
      <c r="BF21">
        <f>IF($AZ$1=0,'Tính'!$AA$21,CHOOSE($AZ$1,'Tính'!$H$21,'Tính'!$M$21,'Tính'!$R$21,'Tính'!$W$21))</f>
        <v/>
      </c>
      <c r="BG21">
        <f>IF(BC21&gt;0,BD21/NgayQua*SoNgay/BC21,IF(BD21&gt;0,1,0))</f>
        <v/>
      </c>
      <c r="BH21">
        <f>IF(CoRTNhom=1,IF(BC21&gt;0,(BD21+BF21)/(NgayQua+1)*SoNgay/BC21,IF(BD21+BF21&gt;0,1,0)),BG21)</f>
        <v/>
      </c>
      <c r="BI21">
        <f>IF(BA21="",-1,IF(BB21="Chính",1000,0)+BH21+(20-19)/100000)</f>
        <v/>
      </c>
      <c r="BJ21">
        <f>IF(LARGE($BI$3:$BI$22,19)&lt;0,"",MATCH(LARGE($BI$3:$BI$22,19),$BI$3:$BI$22,0))</f>
        <v/>
      </c>
      <c r="CA21" t="n">
        <v>19</v>
      </c>
      <c r="CB21">
        <f>IF('Tính'!B57="",0,IF(OR($AZ$1=0,'Tính'!D57=$AZ$1),1,0))</f>
        <v/>
      </c>
      <c r="CC21">
        <f>IF(CB21=1,'Tính'!L57*1000+'Tính'!M57+1+(45-19)/1000000,-1)</f>
        <v/>
      </c>
      <c r="CD21">
        <f>IF(LARGE($CC$3:$CC$47,19)&lt;0,"",MATCH(LARGE($CC$3:$CC$47,19),$CC$3:$CC$47,0))</f>
        <v/>
      </c>
    </row>
    <row r="22">
      <c r="A22" s="43">
        <f>IF($BJ$13="","",INDEX($BA$3:$BA$22,$BJ$13))</f>
        <v/>
      </c>
      <c r="B22" s="44">
        <f>IF($BJ$13="","",INDEX($BB$3:$BB$22,$BJ$13))</f>
        <v/>
      </c>
      <c r="C22" s="45">
        <f>IF($BJ$13="","",INDEX($BE$3:$BE$22,$BJ$13))</f>
        <v/>
      </c>
      <c r="D22" s="45">
        <f>IF($BJ$13="","",INDEX($BF$3:$BF$22,$BJ$13))</f>
        <v/>
      </c>
      <c r="E22" s="46">
        <f>IF(A22="","",IF(D22=0,"-",IF(C22&gt;0,D22/C22,1)))</f>
        <v/>
      </c>
      <c r="G22" s="43">
        <f>A22</f>
        <v/>
      </c>
      <c r="H22" s="45">
        <f>IF($BJ$13="","",INDEX($BC$3:$BC$22,$BJ$13))</f>
        <v/>
      </c>
      <c r="I22" s="45">
        <f>IF($BJ$13="","",INDEX($BD$3:$BD$22,$BJ$13))</f>
        <v/>
      </c>
      <c r="J22" s="46">
        <f>IF(A22="","",IF(H22&gt;0,I22/H22,1))</f>
        <v/>
      </c>
      <c r="K22" s="46">
        <f>IF($BJ$13="","",INDEX($BG$3:$BG$22,$BJ$13))</f>
        <v/>
      </c>
      <c r="L22" s="46">
        <f>IF($BJ$13="","",INDEX($BH$3:$BH$22,$BJ$13))</f>
        <v/>
      </c>
      <c r="BA22">
        <f>'Tính'!B22</f>
        <v/>
      </c>
      <c r="BB22">
        <f>'Tính'!D22</f>
        <v/>
      </c>
      <c r="BC22">
        <f>IF($AZ$1=0,'Tính'!$Z$22,CHOOSE($AZ$1,'Tính'!$G$22,'Tính'!$L$22,'Tính'!$Q$22,'Tính'!$V$22))</f>
        <v/>
      </c>
      <c r="BD22">
        <f>IF($AZ$1=0,'Tính'!$Y$22,CHOOSE($AZ$1,'Tính'!$E$22,'Tính'!$J$22,'Tính'!$O$22,'Tính'!$T$22))</f>
        <v/>
      </c>
      <c r="BE22">
        <f>IF($AZ$1=0,'Tính'!$AB$22,CHOOSE($AZ$1,'Tính'!$I$22,'Tính'!$N$22,'Tính'!$S$22,'Tính'!$X$22))</f>
        <v/>
      </c>
      <c r="BF22">
        <f>IF($AZ$1=0,'Tính'!$AA$22,CHOOSE($AZ$1,'Tính'!$H$22,'Tính'!$M$22,'Tính'!$R$22,'Tính'!$W$22))</f>
        <v/>
      </c>
      <c r="BG22">
        <f>IF(BC22&gt;0,BD22/NgayQua*SoNgay/BC22,IF(BD22&gt;0,1,0))</f>
        <v/>
      </c>
      <c r="BH22">
        <f>IF(CoRTNhom=1,IF(BC22&gt;0,(BD22+BF22)/(NgayQua+1)*SoNgay/BC22,IF(BD22+BF22&gt;0,1,0)),BG22)</f>
        <v/>
      </c>
      <c r="BI22">
        <f>IF(BA22="",-1,IF(BB22="Chính",1000,0)+BH22+(20-20)/100000)</f>
        <v/>
      </c>
      <c r="BJ22">
        <f>IF(LARGE($BI$3:$BI$22,20)&lt;0,"",MATCH(LARGE($BI$3:$BI$22,20),$BI$3:$BI$22,0))</f>
        <v/>
      </c>
      <c r="CA22" t="n">
        <v>20</v>
      </c>
      <c r="CB22">
        <f>IF('Tính'!B58="",0,IF(OR($AZ$1=0,'Tính'!D58=$AZ$1),1,0))</f>
        <v/>
      </c>
      <c r="CC22">
        <f>IF(CB22=1,'Tính'!L58*1000+'Tính'!M58+1+(45-20)/1000000,-1)</f>
        <v/>
      </c>
      <c r="CD22">
        <f>IF(LARGE($CC$3:$CC$47,20)&lt;0,"",MATCH(LARGE($CC$3:$CC$47,20),$CC$3:$CC$47,0))</f>
        <v/>
      </c>
    </row>
    <row r="23">
      <c r="A23" s="43">
        <f>IF($BJ$14="","",INDEX($BA$3:$BA$22,$BJ$14))</f>
        <v/>
      </c>
      <c r="B23" s="44">
        <f>IF($BJ$14="","",INDEX($BB$3:$BB$22,$BJ$14))</f>
        <v/>
      </c>
      <c r="C23" s="45">
        <f>IF($BJ$14="","",INDEX($BE$3:$BE$22,$BJ$14))</f>
        <v/>
      </c>
      <c r="D23" s="45">
        <f>IF($BJ$14="","",INDEX($BF$3:$BF$22,$BJ$14))</f>
        <v/>
      </c>
      <c r="E23" s="46">
        <f>IF(A23="","",IF(D23=0,"-",IF(C23&gt;0,D23/C23,1)))</f>
        <v/>
      </c>
      <c r="G23" s="43">
        <f>A23</f>
        <v/>
      </c>
      <c r="H23" s="45">
        <f>IF($BJ$14="","",INDEX($BC$3:$BC$22,$BJ$14))</f>
        <v/>
      </c>
      <c r="I23" s="45">
        <f>IF($BJ$14="","",INDEX($BD$3:$BD$22,$BJ$14))</f>
        <v/>
      </c>
      <c r="J23" s="46">
        <f>IF(A23="","",IF(H23&gt;0,I23/H23,1))</f>
        <v/>
      </c>
      <c r="K23" s="46">
        <f>IF($BJ$14="","",INDEX($BG$3:$BG$22,$BJ$14))</f>
        <v/>
      </c>
      <c r="L23" s="46">
        <f>IF($BJ$14="","",INDEX($BH$3:$BH$22,$BJ$14))</f>
        <v/>
      </c>
      <c r="CA23" t="n">
        <v>21</v>
      </c>
      <c r="CB23">
        <f>IF('Tính'!B59="",0,IF(OR($AZ$1=0,'Tính'!D59=$AZ$1),1,0))</f>
        <v/>
      </c>
      <c r="CC23">
        <f>IF(CB23=1,'Tính'!L59*1000+'Tính'!M59+1+(45-21)/1000000,-1)</f>
        <v/>
      </c>
      <c r="CD23">
        <f>IF(LARGE($CC$3:$CC$47,21)&lt;0,"",MATCH(LARGE($CC$3:$CC$47,21),$CC$3:$CC$47,0))</f>
        <v/>
      </c>
    </row>
    <row r="24">
      <c r="A24" s="43">
        <f>IF($BJ$15="","",INDEX($BA$3:$BA$22,$BJ$15))</f>
        <v/>
      </c>
      <c r="B24" s="44">
        <f>IF($BJ$15="","",INDEX($BB$3:$BB$22,$BJ$15))</f>
        <v/>
      </c>
      <c r="C24" s="45">
        <f>IF($BJ$15="","",INDEX($BE$3:$BE$22,$BJ$15))</f>
        <v/>
      </c>
      <c r="D24" s="45">
        <f>IF($BJ$15="","",INDEX($BF$3:$BF$22,$BJ$15))</f>
        <v/>
      </c>
      <c r="E24" s="46">
        <f>IF(A24="","",IF(D24=0,"-",IF(C24&gt;0,D24/C24,1)))</f>
        <v/>
      </c>
      <c r="G24" s="43">
        <f>A24</f>
        <v/>
      </c>
      <c r="H24" s="45">
        <f>IF($BJ$15="","",INDEX($BC$3:$BC$22,$BJ$15))</f>
        <v/>
      </c>
      <c r="I24" s="45">
        <f>IF($BJ$15="","",INDEX($BD$3:$BD$22,$BJ$15))</f>
        <v/>
      </c>
      <c r="J24" s="46">
        <f>IF(A24="","",IF(H24&gt;0,I24/H24,1))</f>
        <v/>
      </c>
      <c r="K24" s="46">
        <f>IF($BJ$15="","",INDEX($BG$3:$BG$22,$BJ$15))</f>
        <v/>
      </c>
      <c r="L24" s="46">
        <f>IF($BJ$15="","",INDEX($BH$3:$BH$22,$BJ$15))</f>
        <v/>
      </c>
      <c r="CA24" t="n">
        <v>22</v>
      </c>
      <c r="CB24">
        <f>IF('Tính'!B60="",0,IF(OR($AZ$1=0,'Tính'!D60=$AZ$1),1,0))</f>
        <v/>
      </c>
      <c r="CC24">
        <f>IF(CB24=1,'Tính'!L60*1000+'Tính'!M60+1+(45-22)/1000000,-1)</f>
        <v/>
      </c>
      <c r="CD24">
        <f>IF(LARGE($CC$3:$CC$47,22)&lt;0,"",MATCH(LARGE($CC$3:$CC$47,22),$CC$3:$CC$47,0))</f>
        <v/>
      </c>
    </row>
    <row r="25">
      <c r="A25" s="43">
        <f>IF($BJ$16="","",INDEX($BA$3:$BA$22,$BJ$16))</f>
        <v/>
      </c>
      <c r="B25" s="44">
        <f>IF($BJ$16="","",INDEX($BB$3:$BB$22,$BJ$16))</f>
        <v/>
      </c>
      <c r="C25" s="45">
        <f>IF($BJ$16="","",INDEX($BE$3:$BE$22,$BJ$16))</f>
        <v/>
      </c>
      <c r="D25" s="45">
        <f>IF($BJ$16="","",INDEX($BF$3:$BF$22,$BJ$16))</f>
        <v/>
      </c>
      <c r="E25" s="46">
        <f>IF(A25="","",IF(D25=0,"-",IF(C25&gt;0,D25/C25,1)))</f>
        <v/>
      </c>
      <c r="G25" s="43">
        <f>A25</f>
        <v/>
      </c>
      <c r="H25" s="45">
        <f>IF($BJ$16="","",INDEX($BC$3:$BC$22,$BJ$16))</f>
        <v/>
      </c>
      <c r="I25" s="45">
        <f>IF($BJ$16="","",INDEX($BD$3:$BD$22,$BJ$16))</f>
        <v/>
      </c>
      <c r="J25" s="46">
        <f>IF(A25="","",IF(H25&gt;0,I25/H25,1))</f>
        <v/>
      </c>
      <c r="K25" s="46">
        <f>IF($BJ$16="","",INDEX($BG$3:$BG$22,$BJ$16))</f>
        <v/>
      </c>
      <c r="L25" s="46">
        <f>IF($BJ$16="","",INDEX($BH$3:$BH$22,$BJ$16))</f>
        <v/>
      </c>
      <c r="CA25" t="n">
        <v>23</v>
      </c>
      <c r="CB25">
        <f>IF('Tính'!B61="",0,IF(OR($AZ$1=0,'Tính'!D61=$AZ$1),1,0))</f>
        <v/>
      </c>
      <c r="CC25">
        <f>IF(CB25=1,'Tính'!L61*1000+'Tính'!M61+1+(45-23)/1000000,-1)</f>
        <v/>
      </c>
      <c r="CD25">
        <f>IF(LARGE($CC$3:$CC$47,23)&lt;0,"",MATCH(LARGE($CC$3:$CC$47,23),$CC$3:$CC$47,0))</f>
        <v/>
      </c>
    </row>
    <row r="26">
      <c r="A26" s="43">
        <f>IF($BJ$17="","",INDEX($BA$3:$BA$22,$BJ$17))</f>
        <v/>
      </c>
      <c r="B26" s="44">
        <f>IF($BJ$17="","",INDEX($BB$3:$BB$22,$BJ$17))</f>
        <v/>
      </c>
      <c r="C26" s="45">
        <f>IF($BJ$17="","",INDEX($BE$3:$BE$22,$BJ$17))</f>
        <v/>
      </c>
      <c r="D26" s="45">
        <f>IF($BJ$17="","",INDEX($BF$3:$BF$22,$BJ$17))</f>
        <v/>
      </c>
      <c r="E26" s="46">
        <f>IF(A26="","",IF(D26=0,"-",IF(C26&gt;0,D26/C26,1)))</f>
        <v/>
      </c>
      <c r="G26" s="43">
        <f>A26</f>
        <v/>
      </c>
      <c r="H26" s="45">
        <f>IF($BJ$17="","",INDEX($BC$3:$BC$22,$BJ$17))</f>
        <v/>
      </c>
      <c r="I26" s="45">
        <f>IF($BJ$17="","",INDEX($BD$3:$BD$22,$BJ$17))</f>
        <v/>
      </c>
      <c r="J26" s="46">
        <f>IF(A26="","",IF(H26&gt;0,I26/H26,1))</f>
        <v/>
      </c>
      <c r="K26" s="46">
        <f>IF($BJ$17="","",INDEX($BG$3:$BG$22,$BJ$17))</f>
        <v/>
      </c>
      <c r="L26" s="46">
        <f>IF($BJ$17="","",INDEX($BH$3:$BH$22,$BJ$17))</f>
        <v/>
      </c>
      <c r="CA26" t="n">
        <v>24</v>
      </c>
      <c r="CB26">
        <f>IF('Tính'!B62="",0,IF(OR($AZ$1=0,'Tính'!D62=$AZ$1),1,0))</f>
        <v/>
      </c>
      <c r="CC26">
        <f>IF(CB26=1,'Tính'!L62*1000+'Tính'!M62+1+(45-24)/1000000,-1)</f>
        <v/>
      </c>
      <c r="CD26">
        <f>IF(LARGE($CC$3:$CC$47,24)&lt;0,"",MATCH(LARGE($CC$3:$CC$47,24),$CC$3:$CC$47,0))</f>
        <v/>
      </c>
    </row>
    <row r="27">
      <c r="A27" s="43">
        <f>IF($BJ$18="","",INDEX($BA$3:$BA$22,$BJ$18))</f>
        <v/>
      </c>
      <c r="B27" s="44">
        <f>IF($BJ$18="","",INDEX($BB$3:$BB$22,$BJ$18))</f>
        <v/>
      </c>
      <c r="C27" s="45">
        <f>IF($BJ$18="","",INDEX($BE$3:$BE$22,$BJ$18))</f>
        <v/>
      </c>
      <c r="D27" s="45">
        <f>IF($BJ$18="","",INDEX($BF$3:$BF$22,$BJ$18))</f>
        <v/>
      </c>
      <c r="E27" s="46">
        <f>IF(A27="","",IF(D27=0,"-",IF(C27&gt;0,D27/C27,1)))</f>
        <v/>
      </c>
      <c r="G27" s="43">
        <f>A27</f>
        <v/>
      </c>
      <c r="H27" s="45">
        <f>IF($BJ$18="","",INDEX($BC$3:$BC$22,$BJ$18))</f>
        <v/>
      </c>
      <c r="I27" s="45">
        <f>IF($BJ$18="","",INDEX($BD$3:$BD$22,$BJ$18))</f>
        <v/>
      </c>
      <c r="J27" s="46">
        <f>IF(A27="","",IF(H27&gt;0,I27/H27,1))</f>
        <v/>
      </c>
      <c r="K27" s="46">
        <f>IF($BJ$18="","",INDEX($BG$3:$BG$22,$BJ$18))</f>
        <v/>
      </c>
      <c r="L27" s="46">
        <f>IF($BJ$18="","",INDEX($BH$3:$BH$22,$BJ$18))</f>
        <v/>
      </c>
      <c r="CA27" t="n">
        <v>25</v>
      </c>
      <c r="CB27">
        <f>IF('Tính'!B63="",0,IF(OR($AZ$1=0,'Tính'!D63=$AZ$1),1,0))</f>
        <v/>
      </c>
      <c r="CC27">
        <f>IF(CB27=1,'Tính'!L63*1000+'Tính'!M63+1+(45-25)/1000000,-1)</f>
        <v/>
      </c>
      <c r="CD27">
        <f>IF(LARGE($CC$3:$CC$47,25)&lt;0,"",MATCH(LARGE($CC$3:$CC$47,25),$CC$3:$CC$47,0))</f>
        <v/>
      </c>
    </row>
    <row r="28">
      <c r="A28" s="43">
        <f>IF($BJ$19="","",INDEX($BA$3:$BA$22,$BJ$19))</f>
        <v/>
      </c>
      <c r="B28" s="44">
        <f>IF($BJ$19="","",INDEX($BB$3:$BB$22,$BJ$19))</f>
        <v/>
      </c>
      <c r="C28" s="45">
        <f>IF($BJ$19="","",INDEX($BE$3:$BE$22,$BJ$19))</f>
        <v/>
      </c>
      <c r="D28" s="45">
        <f>IF($BJ$19="","",INDEX($BF$3:$BF$22,$BJ$19))</f>
        <v/>
      </c>
      <c r="E28" s="46">
        <f>IF(A28="","",IF(D28=0,"-",IF(C28&gt;0,D28/C28,1)))</f>
        <v/>
      </c>
      <c r="G28" s="43">
        <f>A28</f>
        <v/>
      </c>
      <c r="H28" s="45">
        <f>IF($BJ$19="","",INDEX($BC$3:$BC$22,$BJ$19))</f>
        <v/>
      </c>
      <c r="I28" s="45">
        <f>IF($BJ$19="","",INDEX($BD$3:$BD$22,$BJ$19))</f>
        <v/>
      </c>
      <c r="J28" s="46">
        <f>IF(A28="","",IF(H28&gt;0,I28/H28,1))</f>
        <v/>
      </c>
      <c r="K28" s="46">
        <f>IF($BJ$19="","",INDEX($BG$3:$BG$22,$BJ$19))</f>
        <v/>
      </c>
      <c r="L28" s="46">
        <f>IF($BJ$19="","",INDEX($BH$3:$BH$22,$BJ$19))</f>
        <v/>
      </c>
      <c r="CA28" t="n">
        <v>26</v>
      </c>
      <c r="CB28">
        <f>IF('Tính'!B64="",0,IF(OR($AZ$1=0,'Tính'!D64=$AZ$1),1,0))</f>
        <v/>
      </c>
      <c r="CC28">
        <f>IF(CB28=1,'Tính'!L64*1000+'Tính'!M64+1+(45-26)/1000000,-1)</f>
        <v/>
      </c>
      <c r="CD28">
        <f>IF(LARGE($CC$3:$CC$47,26)&lt;0,"",MATCH(LARGE($CC$3:$CC$47,26),$CC$3:$CC$47,0))</f>
        <v/>
      </c>
    </row>
    <row r="29">
      <c r="A29" s="43">
        <f>IF($BJ$20="","",INDEX($BA$3:$BA$22,$BJ$20))</f>
        <v/>
      </c>
      <c r="B29" s="44">
        <f>IF($BJ$20="","",INDEX($BB$3:$BB$22,$BJ$20))</f>
        <v/>
      </c>
      <c r="C29" s="45">
        <f>IF($BJ$20="","",INDEX($BE$3:$BE$22,$BJ$20))</f>
        <v/>
      </c>
      <c r="D29" s="45">
        <f>IF($BJ$20="","",INDEX($BF$3:$BF$22,$BJ$20))</f>
        <v/>
      </c>
      <c r="E29" s="46">
        <f>IF(A29="","",IF(D29=0,"-",IF(C29&gt;0,D29/C29,1)))</f>
        <v/>
      </c>
      <c r="G29" s="43">
        <f>A29</f>
        <v/>
      </c>
      <c r="H29" s="45">
        <f>IF($BJ$20="","",INDEX($BC$3:$BC$22,$BJ$20))</f>
        <v/>
      </c>
      <c r="I29" s="45">
        <f>IF($BJ$20="","",INDEX($BD$3:$BD$22,$BJ$20))</f>
        <v/>
      </c>
      <c r="J29" s="46">
        <f>IF(A29="","",IF(H29&gt;0,I29/H29,1))</f>
        <v/>
      </c>
      <c r="K29" s="46">
        <f>IF($BJ$20="","",INDEX($BG$3:$BG$22,$BJ$20))</f>
        <v/>
      </c>
      <c r="L29" s="46">
        <f>IF($BJ$20="","",INDEX($BH$3:$BH$22,$BJ$20))</f>
        <v/>
      </c>
      <c r="CA29" t="n">
        <v>27</v>
      </c>
      <c r="CB29">
        <f>IF('Tính'!B65="",0,IF(OR($AZ$1=0,'Tính'!D65=$AZ$1),1,0))</f>
        <v/>
      </c>
      <c r="CC29">
        <f>IF(CB29=1,'Tính'!L65*1000+'Tính'!M65+1+(45-27)/1000000,-1)</f>
        <v/>
      </c>
      <c r="CD29">
        <f>IF(LARGE($CC$3:$CC$47,27)&lt;0,"",MATCH(LARGE($CC$3:$CC$47,27),$CC$3:$CC$47,0))</f>
        <v/>
      </c>
    </row>
    <row r="30">
      <c r="A30" s="43">
        <f>IF($BJ$21="","",INDEX($BA$3:$BA$22,$BJ$21))</f>
        <v/>
      </c>
      <c r="B30" s="44">
        <f>IF($BJ$21="","",INDEX($BB$3:$BB$22,$BJ$21))</f>
        <v/>
      </c>
      <c r="C30" s="45">
        <f>IF($BJ$21="","",INDEX($BE$3:$BE$22,$BJ$21))</f>
        <v/>
      </c>
      <c r="D30" s="45">
        <f>IF($BJ$21="","",INDEX($BF$3:$BF$22,$BJ$21))</f>
        <v/>
      </c>
      <c r="E30" s="46">
        <f>IF(A30="","",IF(D30=0,"-",IF(C30&gt;0,D30/C30,1)))</f>
        <v/>
      </c>
      <c r="G30" s="43">
        <f>A30</f>
        <v/>
      </c>
      <c r="H30" s="45">
        <f>IF($BJ$21="","",INDEX($BC$3:$BC$22,$BJ$21))</f>
        <v/>
      </c>
      <c r="I30" s="45">
        <f>IF($BJ$21="","",INDEX($BD$3:$BD$22,$BJ$21))</f>
        <v/>
      </c>
      <c r="J30" s="46">
        <f>IF(A30="","",IF(H30&gt;0,I30/H30,1))</f>
        <v/>
      </c>
      <c r="K30" s="46">
        <f>IF($BJ$21="","",INDEX($BG$3:$BG$22,$BJ$21))</f>
        <v/>
      </c>
      <c r="L30" s="46">
        <f>IF($BJ$21="","",INDEX($BH$3:$BH$22,$BJ$21))</f>
        <v/>
      </c>
      <c r="CA30" t="n">
        <v>28</v>
      </c>
      <c r="CB30">
        <f>IF('Tính'!B66="",0,IF(OR($AZ$1=0,'Tính'!D66=$AZ$1),1,0))</f>
        <v/>
      </c>
      <c r="CC30">
        <f>IF(CB30=1,'Tính'!L66*1000+'Tính'!M66+1+(45-28)/1000000,-1)</f>
        <v/>
      </c>
      <c r="CD30">
        <f>IF(LARGE($CC$3:$CC$47,28)&lt;0,"",MATCH(LARGE($CC$3:$CC$47,28),$CC$3:$CC$47,0))</f>
        <v/>
      </c>
    </row>
    <row r="31">
      <c r="A31" s="43">
        <f>IF($BJ$22="","",INDEX($BA$3:$BA$22,$BJ$22))</f>
        <v/>
      </c>
      <c r="B31" s="44">
        <f>IF($BJ$22="","",INDEX($BB$3:$BB$22,$BJ$22))</f>
        <v/>
      </c>
      <c r="C31" s="45">
        <f>IF($BJ$22="","",INDEX($BE$3:$BE$22,$BJ$22))</f>
        <v/>
      </c>
      <c r="D31" s="45">
        <f>IF($BJ$22="","",INDEX($BF$3:$BF$22,$BJ$22))</f>
        <v/>
      </c>
      <c r="E31" s="46">
        <f>IF(A31="","",IF(D31=0,"-",IF(C31&gt;0,D31/C31,1)))</f>
        <v/>
      </c>
      <c r="G31" s="43">
        <f>A31</f>
        <v/>
      </c>
      <c r="H31" s="45">
        <f>IF($BJ$22="","",INDEX($BC$3:$BC$22,$BJ$22))</f>
        <v/>
      </c>
      <c r="I31" s="45">
        <f>IF($BJ$22="","",INDEX($BD$3:$BD$22,$BJ$22))</f>
        <v/>
      </c>
      <c r="J31" s="46">
        <f>IF(A31="","",IF(H31&gt;0,I31/H31,1))</f>
        <v/>
      </c>
      <c r="K31" s="46">
        <f>IF($BJ$22="","",INDEX($BG$3:$BG$22,$BJ$22))</f>
        <v/>
      </c>
      <c r="L31" s="46">
        <f>IF($BJ$22="","",INDEX($BH$3:$BH$22,$BJ$22))</f>
        <v/>
      </c>
      <c r="CA31" t="n">
        <v>29</v>
      </c>
      <c r="CB31">
        <f>IF('Tính'!B67="",0,IF(OR($AZ$1=0,'Tính'!D67=$AZ$1),1,0))</f>
        <v/>
      </c>
      <c r="CC31">
        <f>IF(CB31=1,'Tính'!L67*1000+'Tính'!M67+1+(45-29)/1000000,-1)</f>
        <v/>
      </c>
      <c r="CD31">
        <f>IF(LARGE($CC$3:$CC$47,29)&lt;0,"",MATCH(LARGE($CC$3:$CC$47,29),$CC$3:$CC$47,0))</f>
        <v/>
      </c>
    </row>
    <row r="32">
      <c r="CA32" t="n">
        <v>30</v>
      </c>
      <c r="CB32">
        <f>IF('Tính'!B68="",0,IF(OR($AZ$1=0,'Tính'!D68=$AZ$1),1,0))</f>
        <v/>
      </c>
      <c r="CC32">
        <f>IF(CB32=1,'Tính'!L68*1000+'Tính'!M68+1+(45-30)/1000000,-1)</f>
        <v/>
      </c>
      <c r="CD32">
        <f>IF(LARGE($CC$3:$CC$47,30)&lt;0,"",MATCH(LARGE($CC$3:$CC$47,30),$CC$3:$CC$47,0))</f>
        <v/>
      </c>
    </row>
    <row r="33">
      <c r="A33" s="47" t="inlineStr">
        <is>
          <t>DOANH THU NV HÔM NAY</t>
        </is>
      </c>
      <c r="B33" s="5" t="n"/>
      <c r="C33" s="5" t="n"/>
      <c r="D33" s="5" t="n"/>
      <c r="E33" s="6" t="n"/>
      <c r="G33" s="47" t="inlineStr">
        <is>
          <t>LŨY KẾ THÁNG</t>
        </is>
      </c>
      <c r="H33" s="5" t="n"/>
      <c r="I33" s="5" t="n"/>
      <c r="J33" s="5" t="n"/>
      <c r="K33" s="5" t="n"/>
      <c r="L33" s="6" t="n"/>
      <c r="CA33" t="n">
        <v>31</v>
      </c>
      <c r="CB33">
        <f>IF('Tính'!B69="",0,IF(OR($AZ$1=0,'Tính'!D69=$AZ$1),1,0))</f>
        <v/>
      </c>
      <c r="CC33">
        <f>IF(CB33=1,'Tính'!L69*1000+'Tính'!M69+1+(45-31)/1000000,-1)</f>
        <v/>
      </c>
      <c r="CD33">
        <f>IF(LARGE($CC$3:$CC$47,31)&lt;0,"",MATCH(LARGE($CC$3:$CC$47,31),$CC$3:$CC$47,0))</f>
        <v/>
      </c>
    </row>
    <row r="34">
      <c r="A34" s="4" t="inlineStr">
        <is>
          <t>Nhân viên</t>
        </is>
      </c>
      <c r="B34" s="6" t="n"/>
      <c r="C34" s="42" t="inlineStr">
        <is>
          <t>Hôm nay ▼</t>
        </is>
      </c>
      <c r="D34" s="5" t="n"/>
      <c r="E34" s="6" t="n"/>
      <c r="G34" s="4" t="inlineStr">
        <is>
          <t>Lũy kế</t>
        </is>
      </c>
      <c r="H34" s="4" t="inlineStr">
        <is>
          <t>Mục tiêu</t>
        </is>
      </c>
      <c r="I34" s="4" t="inlineStr">
        <is>
          <t>% HT</t>
        </is>
      </c>
      <c r="J34" s="4" t="inlineStr">
        <is>
          <t>Dự kiến</t>
        </is>
      </c>
      <c r="K34" s="4" t="inlineStr">
        <is>
          <t>Shop</t>
        </is>
      </c>
      <c r="L34" s="6" t="n"/>
      <c r="CA34" t="n">
        <v>32</v>
      </c>
      <c r="CB34">
        <f>IF('Tính'!B70="",0,IF(OR($AZ$1=0,'Tính'!D70=$AZ$1),1,0))</f>
        <v/>
      </c>
      <c r="CC34">
        <f>IF(CB34=1,'Tính'!L70*1000+'Tính'!M70+1+(45-32)/1000000,-1)</f>
        <v/>
      </c>
      <c r="CD34">
        <f>IF(LARGE($CC$3:$CC$47,32)&lt;0,"",MATCH(LARGE($CC$3:$CC$47,32),$CC$3:$CC$47,0))</f>
        <v/>
      </c>
    </row>
    <row r="35">
      <c r="A35" s="43">
        <f>IF($CD$3="","",1&amp;". "&amp;IF($CD$3="","",INDEX('Tính'!$C$39:$C$83,$CD$3)))</f>
        <v/>
      </c>
      <c r="C35" s="48">
        <f>IF($CD$3="","",INDEX('Tính'!$L$39:$L$83,$CD$3))</f>
        <v/>
      </c>
      <c r="G35" s="45">
        <f>IF($CD$3="","",INDEX('Tính'!$K$39:$K$83,$CD$3))</f>
        <v/>
      </c>
      <c r="H35" s="49">
        <f>IF($CD$3="","",INDEX('Tính'!$J$39:$J$83,$CD$3))</f>
        <v/>
      </c>
      <c r="I35" s="46">
        <f>IF($CD$3="","",INDEX('Tính'!$N$39:$N$83,$CD$3))</f>
        <v/>
      </c>
      <c r="J35" s="46">
        <f>IF($CD$3="","",INDEX('Tính'!$M$39:$M$83,$CD$3))</f>
        <v/>
      </c>
      <c r="K35" s="50">
        <f>IF($CD$3="","",INDEX('Tính'!$O$39:$O$83,$CD$3))</f>
        <v/>
      </c>
      <c r="CA35" t="n">
        <v>33</v>
      </c>
      <c r="CB35">
        <f>IF('Tính'!B71="",0,IF(OR($AZ$1=0,'Tính'!D71=$AZ$1),1,0))</f>
        <v/>
      </c>
      <c r="CC35">
        <f>IF(CB35=1,'Tính'!L71*1000+'Tính'!M71+1+(45-33)/1000000,-1)</f>
        <v/>
      </c>
      <c r="CD35">
        <f>IF(LARGE($CC$3:$CC$47,33)&lt;0,"",MATCH(LARGE($CC$3:$CC$47,33),$CC$3:$CC$47,0))</f>
        <v/>
      </c>
    </row>
    <row r="36">
      <c r="A36" s="43">
        <f>IF($CD$4="","",2&amp;". "&amp;IF($CD$4="","",INDEX('Tính'!$C$39:$C$83,$CD$4)))</f>
        <v/>
      </c>
      <c r="C36" s="48">
        <f>IF($CD$4="","",INDEX('Tính'!$L$39:$L$83,$CD$4))</f>
        <v/>
      </c>
      <c r="G36" s="45">
        <f>IF($CD$4="","",INDEX('Tính'!$K$39:$K$83,$CD$4))</f>
        <v/>
      </c>
      <c r="H36" s="49">
        <f>IF($CD$4="","",INDEX('Tính'!$J$39:$J$83,$CD$4))</f>
        <v/>
      </c>
      <c r="I36" s="46">
        <f>IF($CD$4="","",INDEX('Tính'!$N$39:$N$83,$CD$4))</f>
        <v/>
      </c>
      <c r="J36" s="46">
        <f>IF($CD$4="","",INDEX('Tính'!$M$39:$M$83,$CD$4))</f>
        <v/>
      </c>
      <c r="K36" s="50">
        <f>IF($CD$4="","",INDEX('Tính'!$O$39:$O$83,$CD$4))</f>
        <v/>
      </c>
      <c r="CA36" t="n">
        <v>34</v>
      </c>
      <c r="CB36">
        <f>IF('Tính'!B72="",0,IF(OR($AZ$1=0,'Tính'!D72=$AZ$1),1,0))</f>
        <v/>
      </c>
      <c r="CC36">
        <f>IF(CB36=1,'Tính'!L72*1000+'Tính'!M72+1+(45-34)/1000000,-1)</f>
        <v/>
      </c>
      <c r="CD36">
        <f>IF(LARGE($CC$3:$CC$47,34)&lt;0,"",MATCH(LARGE($CC$3:$CC$47,34),$CC$3:$CC$47,0))</f>
        <v/>
      </c>
    </row>
    <row r="37">
      <c r="A37" s="43">
        <f>IF($CD$5="","",3&amp;". "&amp;IF($CD$5="","",INDEX('Tính'!$C$39:$C$83,$CD$5)))</f>
        <v/>
      </c>
      <c r="C37" s="48">
        <f>IF($CD$5="","",INDEX('Tính'!$L$39:$L$83,$CD$5))</f>
        <v/>
      </c>
      <c r="G37" s="45">
        <f>IF($CD$5="","",INDEX('Tính'!$K$39:$K$83,$CD$5))</f>
        <v/>
      </c>
      <c r="H37" s="49">
        <f>IF($CD$5="","",INDEX('Tính'!$J$39:$J$83,$CD$5))</f>
        <v/>
      </c>
      <c r="I37" s="46">
        <f>IF($CD$5="","",INDEX('Tính'!$N$39:$N$83,$CD$5))</f>
        <v/>
      </c>
      <c r="J37" s="46">
        <f>IF($CD$5="","",INDEX('Tính'!$M$39:$M$83,$CD$5))</f>
        <v/>
      </c>
      <c r="K37" s="50">
        <f>IF($CD$5="","",INDEX('Tính'!$O$39:$O$83,$CD$5))</f>
        <v/>
      </c>
      <c r="CA37" t="n">
        <v>35</v>
      </c>
      <c r="CB37">
        <f>IF('Tính'!B73="",0,IF(OR($AZ$1=0,'Tính'!D73=$AZ$1),1,0))</f>
        <v/>
      </c>
      <c r="CC37">
        <f>IF(CB37=1,'Tính'!L73*1000+'Tính'!M73+1+(45-35)/1000000,-1)</f>
        <v/>
      </c>
      <c r="CD37">
        <f>IF(LARGE($CC$3:$CC$47,35)&lt;0,"",MATCH(LARGE($CC$3:$CC$47,35),$CC$3:$CC$47,0))</f>
        <v/>
      </c>
    </row>
    <row r="38">
      <c r="A38" s="43">
        <f>IF($CD$6="","",4&amp;". "&amp;IF($CD$6="","",INDEX('Tính'!$C$39:$C$83,$CD$6)))</f>
        <v/>
      </c>
      <c r="C38" s="48">
        <f>IF($CD$6="","",INDEX('Tính'!$L$39:$L$83,$CD$6))</f>
        <v/>
      </c>
      <c r="G38" s="45">
        <f>IF($CD$6="","",INDEX('Tính'!$K$39:$K$83,$CD$6))</f>
        <v/>
      </c>
      <c r="H38" s="49">
        <f>IF($CD$6="","",INDEX('Tính'!$J$39:$J$83,$CD$6))</f>
        <v/>
      </c>
      <c r="I38" s="46">
        <f>IF($CD$6="","",INDEX('Tính'!$N$39:$N$83,$CD$6))</f>
        <v/>
      </c>
      <c r="J38" s="46">
        <f>IF($CD$6="","",INDEX('Tính'!$M$39:$M$83,$CD$6))</f>
        <v/>
      </c>
      <c r="K38" s="50">
        <f>IF($CD$6="","",INDEX('Tính'!$O$39:$O$83,$CD$6))</f>
        <v/>
      </c>
      <c r="CA38" t="n">
        <v>36</v>
      </c>
      <c r="CB38">
        <f>IF('Tính'!B74="",0,IF(OR($AZ$1=0,'Tính'!D74=$AZ$1),1,0))</f>
        <v/>
      </c>
      <c r="CC38">
        <f>IF(CB38=1,'Tính'!L74*1000+'Tính'!M74+1+(45-36)/1000000,-1)</f>
        <v/>
      </c>
      <c r="CD38">
        <f>IF(LARGE($CC$3:$CC$47,36)&lt;0,"",MATCH(LARGE($CC$3:$CC$47,36),$CC$3:$CC$47,0))</f>
        <v/>
      </c>
    </row>
    <row r="39">
      <c r="A39" s="43">
        <f>IF($CD$7="","",5&amp;". "&amp;IF($CD$7="","",INDEX('Tính'!$C$39:$C$83,$CD$7)))</f>
        <v/>
      </c>
      <c r="C39" s="48">
        <f>IF($CD$7="","",INDEX('Tính'!$L$39:$L$83,$CD$7))</f>
        <v/>
      </c>
      <c r="G39" s="45">
        <f>IF($CD$7="","",INDEX('Tính'!$K$39:$K$83,$CD$7))</f>
        <v/>
      </c>
      <c r="H39" s="49">
        <f>IF($CD$7="","",INDEX('Tính'!$J$39:$J$83,$CD$7))</f>
        <v/>
      </c>
      <c r="I39" s="46">
        <f>IF($CD$7="","",INDEX('Tính'!$N$39:$N$83,$CD$7))</f>
        <v/>
      </c>
      <c r="J39" s="46">
        <f>IF($CD$7="","",INDEX('Tính'!$M$39:$M$83,$CD$7))</f>
        <v/>
      </c>
      <c r="K39" s="50">
        <f>IF($CD$7="","",INDEX('Tính'!$O$39:$O$83,$CD$7))</f>
        <v/>
      </c>
      <c r="CA39" t="n">
        <v>37</v>
      </c>
      <c r="CB39">
        <f>IF('Tính'!B75="",0,IF(OR($AZ$1=0,'Tính'!D75=$AZ$1),1,0))</f>
        <v/>
      </c>
      <c r="CC39">
        <f>IF(CB39=1,'Tính'!L75*1000+'Tính'!M75+1+(45-37)/1000000,-1)</f>
        <v/>
      </c>
      <c r="CD39">
        <f>IF(LARGE($CC$3:$CC$47,37)&lt;0,"",MATCH(LARGE($CC$3:$CC$47,37),$CC$3:$CC$47,0))</f>
        <v/>
      </c>
    </row>
    <row r="40">
      <c r="A40" s="43">
        <f>IF($CD$8="","",6&amp;". "&amp;IF($CD$8="","",INDEX('Tính'!$C$39:$C$83,$CD$8)))</f>
        <v/>
      </c>
      <c r="C40" s="48">
        <f>IF($CD$8="","",INDEX('Tính'!$L$39:$L$83,$CD$8))</f>
        <v/>
      </c>
      <c r="G40" s="45">
        <f>IF($CD$8="","",INDEX('Tính'!$K$39:$K$83,$CD$8))</f>
        <v/>
      </c>
      <c r="H40" s="49">
        <f>IF($CD$8="","",INDEX('Tính'!$J$39:$J$83,$CD$8))</f>
        <v/>
      </c>
      <c r="I40" s="46">
        <f>IF($CD$8="","",INDEX('Tính'!$N$39:$N$83,$CD$8))</f>
        <v/>
      </c>
      <c r="J40" s="46">
        <f>IF($CD$8="","",INDEX('Tính'!$M$39:$M$83,$CD$8))</f>
        <v/>
      </c>
      <c r="K40" s="50">
        <f>IF($CD$8="","",INDEX('Tính'!$O$39:$O$83,$CD$8))</f>
        <v/>
      </c>
      <c r="CA40" t="n">
        <v>38</v>
      </c>
      <c r="CB40">
        <f>IF('Tính'!B76="",0,IF(OR($AZ$1=0,'Tính'!D76=$AZ$1),1,0))</f>
        <v/>
      </c>
      <c r="CC40">
        <f>IF(CB40=1,'Tính'!L76*1000+'Tính'!M76+1+(45-38)/1000000,-1)</f>
        <v/>
      </c>
      <c r="CD40">
        <f>IF(LARGE($CC$3:$CC$47,38)&lt;0,"",MATCH(LARGE($CC$3:$CC$47,38),$CC$3:$CC$47,0))</f>
        <v/>
      </c>
    </row>
    <row r="41">
      <c r="A41" s="43">
        <f>IF($CD$9="","",7&amp;". "&amp;IF($CD$9="","",INDEX('Tính'!$C$39:$C$83,$CD$9)))</f>
        <v/>
      </c>
      <c r="C41" s="48">
        <f>IF($CD$9="","",INDEX('Tính'!$L$39:$L$83,$CD$9))</f>
        <v/>
      </c>
      <c r="G41" s="45">
        <f>IF($CD$9="","",INDEX('Tính'!$K$39:$K$83,$CD$9))</f>
        <v/>
      </c>
      <c r="H41" s="49">
        <f>IF($CD$9="","",INDEX('Tính'!$J$39:$J$83,$CD$9))</f>
        <v/>
      </c>
      <c r="I41" s="46">
        <f>IF($CD$9="","",INDEX('Tính'!$N$39:$N$83,$CD$9))</f>
        <v/>
      </c>
      <c r="J41" s="46">
        <f>IF($CD$9="","",INDEX('Tính'!$M$39:$M$83,$CD$9))</f>
        <v/>
      </c>
      <c r="K41" s="50">
        <f>IF($CD$9="","",INDEX('Tính'!$O$39:$O$83,$CD$9))</f>
        <v/>
      </c>
      <c r="CA41" t="n">
        <v>39</v>
      </c>
      <c r="CB41">
        <f>IF('Tính'!B77="",0,IF(OR($AZ$1=0,'Tính'!D77=$AZ$1),1,0))</f>
        <v/>
      </c>
      <c r="CC41">
        <f>IF(CB41=1,'Tính'!L77*1000+'Tính'!M77+1+(45-39)/1000000,-1)</f>
        <v/>
      </c>
      <c r="CD41">
        <f>IF(LARGE($CC$3:$CC$47,39)&lt;0,"",MATCH(LARGE($CC$3:$CC$47,39),$CC$3:$CC$47,0))</f>
        <v/>
      </c>
    </row>
    <row r="42">
      <c r="A42" s="43">
        <f>IF($CD$10="","",8&amp;". "&amp;IF($CD$10="","",INDEX('Tính'!$C$39:$C$83,$CD$10)))</f>
        <v/>
      </c>
      <c r="C42" s="48">
        <f>IF($CD$10="","",INDEX('Tính'!$L$39:$L$83,$CD$10))</f>
        <v/>
      </c>
      <c r="G42" s="45">
        <f>IF($CD$10="","",INDEX('Tính'!$K$39:$K$83,$CD$10))</f>
        <v/>
      </c>
      <c r="H42" s="49">
        <f>IF($CD$10="","",INDEX('Tính'!$J$39:$J$83,$CD$10))</f>
        <v/>
      </c>
      <c r="I42" s="46">
        <f>IF($CD$10="","",INDEX('Tính'!$N$39:$N$83,$CD$10))</f>
        <v/>
      </c>
      <c r="J42" s="46">
        <f>IF($CD$10="","",INDEX('Tính'!$M$39:$M$83,$CD$10))</f>
        <v/>
      </c>
      <c r="K42" s="50">
        <f>IF($CD$10="","",INDEX('Tính'!$O$39:$O$83,$CD$10))</f>
        <v/>
      </c>
      <c r="CA42" t="n">
        <v>40</v>
      </c>
      <c r="CB42">
        <f>IF('Tính'!B78="",0,IF(OR($AZ$1=0,'Tính'!D78=$AZ$1),1,0))</f>
        <v/>
      </c>
      <c r="CC42">
        <f>IF(CB42=1,'Tính'!L78*1000+'Tính'!M78+1+(45-40)/1000000,-1)</f>
        <v/>
      </c>
      <c r="CD42">
        <f>IF(LARGE($CC$3:$CC$47,40)&lt;0,"",MATCH(LARGE($CC$3:$CC$47,40),$CC$3:$CC$47,0))</f>
        <v/>
      </c>
    </row>
    <row r="43">
      <c r="A43" s="43">
        <f>IF($CD$11="","",9&amp;". "&amp;IF($CD$11="","",INDEX('Tính'!$C$39:$C$83,$CD$11)))</f>
        <v/>
      </c>
      <c r="C43" s="48">
        <f>IF($CD$11="","",INDEX('Tính'!$L$39:$L$83,$CD$11))</f>
        <v/>
      </c>
      <c r="G43" s="45">
        <f>IF($CD$11="","",INDEX('Tính'!$K$39:$K$83,$CD$11))</f>
        <v/>
      </c>
      <c r="H43" s="49">
        <f>IF($CD$11="","",INDEX('Tính'!$J$39:$J$83,$CD$11))</f>
        <v/>
      </c>
      <c r="I43" s="46">
        <f>IF($CD$11="","",INDEX('Tính'!$N$39:$N$83,$CD$11))</f>
        <v/>
      </c>
      <c r="J43" s="46">
        <f>IF($CD$11="","",INDEX('Tính'!$M$39:$M$83,$CD$11))</f>
        <v/>
      </c>
      <c r="K43" s="50">
        <f>IF($CD$11="","",INDEX('Tính'!$O$39:$O$83,$CD$11))</f>
        <v/>
      </c>
      <c r="CA43" t="n">
        <v>41</v>
      </c>
      <c r="CB43">
        <f>IF('Tính'!B79="",0,IF(OR($AZ$1=0,'Tính'!D79=$AZ$1),1,0))</f>
        <v/>
      </c>
      <c r="CC43">
        <f>IF(CB43=1,'Tính'!L79*1000+'Tính'!M79+1+(45-41)/1000000,-1)</f>
        <v/>
      </c>
      <c r="CD43">
        <f>IF(LARGE($CC$3:$CC$47,41)&lt;0,"",MATCH(LARGE($CC$3:$CC$47,41),$CC$3:$CC$47,0))</f>
        <v/>
      </c>
    </row>
    <row r="44">
      <c r="A44" s="43">
        <f>IF($CD$12="","",10&amp;". "&amp;IF($CD$12="","",INDEX('Tính'!$C$39:$C$83,$CD$12)))</f>
        <v/>
      </c>
      <c r="C44" s="48">
        <f>IF($CD$12="","",INDEX('Tính'!$L$39:$L$83,$CD$12))</f>
        <v/>
      </c>
      <c r="G44" s="45">
        <f>IF($CD$12="","",INDEX('Tính'!$K$39:$K$83,$CD$12))</f>
        <v/>
      </c>
      <c r="H44" s="49">
        <f>IF($CD$12="","",INDEX('Tính'!$J$39:$J$83,$CD$12))</f>
        <v/>
      </c>
      <c r="I44" s="46">
        <f>IF($CD$12="","",INDEX('Tính'!$N$39:$N$83,$CD$12))</f>
        <v/>
      </c>
      <c r="J44" s="46">
        <f>IF($CD$12="","",INDEX('Tính'!$M$39:$M$83,$CD$12))</f>
        <v/>
      </c>
      <c r="K44" s="50">
        <f>IF($CD$12="","",INDEX('Tính'!$O$39:$O$83,$CD$12))</f>
        <v/>
      </c>
      <c r="CA44" t="n">
        <v>42</v>
      </c>
      <c r="CB44">
        <f>IF('Tính'!B80="",0,IF(OR($AZ$1=0,'Tính'!D80=$AZ$1),1,0))</f>
        <v/>
      </c>
      <c r="CC44">
        <f>IF(CB44=1,'Tính'!L80*1000+'Tính'!M80+1+(45-42)/1000000,-1)</f>
        <v/>
      </c>
      <c r="CD44">
        <f>IF(LARGE($CC$3:$CC$47,42)&lt;0,"",MATCH(LARGE($CC$3:$CC$47,42),$CC$3:$CC$47,0))</f>
        <v/>
      </c>
    </row>
    <row r="45">
      <c r="A45" s="43">
        <f>IF($CD$13="","",11&amp;". "&amp;IF($CD$13="","",INDEX('Tính'!$C$39:$C$83,$CD$13)))</f>
        <v/>
      </c>
      <c r="C45" s="48">
        <f>IF($CD$13="","",INDEX('Tính'!$L$39:$L$83,$CD$13))</f>
        <v/>
      </c>
      <c r="G45" s="45">
        <f>IF($CD$13="","",INDEX('Tính'!$K$39:$K$83,$CD$13))</f>
        <v/>
      </c>
      <c r="H45" s="49">
        <f>IF($CD$13="","",INDEX('Tính'!$J$39:$J$83,$CD$13))</f>
        <v/>
      </c>
      <c r="I45" s="46">
        <f>IF($CD$13="","",INDEX('Tính'!$N$39:$N$83,$CD$13))</f>
        <v/>
      </c>
      <c r="J45" s="46">
        <f>IF($CD$13="","",INDEX('Tính'!$M$39:$M$83,$CD$13))</f>
        <v/>
      </c>
      <c r="K45" s="50">
        <f>IF($CD$13="","",INDEX('Tính'!$O$39:$O$83,$CD$13))</f>
        <v/>
      </c>
      <c r="CA45" t="n">
        <v>43</v>
      </c>
      <c r="CB45">
        <f>IF('Tính'!B81="",0,IF(OR($AZ$1=0,'Tính'!D81=$AZ$1),1,0))</f>
        <v/>
      </c>
      <c r="CC45">
        <f>IF(CB45=1,'Tính'!L81*1000+'Tính'!M81+1+(45-43)/1000000,-1)</f>
        <v/>
      </c>
      <c r="CD45">
        <f>IF(LARGE($CC$3:$CC$47,43)&lt;0,"",MATCH(LARGE($CC$3:$CC$47,43),$CC$3:$CC$47,0))</f>
        <v/>
      </c>
    </row>
    <row r="46">
      <c r="A46" s="43">
        <f>IF($CD$14="","",12&amp;". "&amp;IF($CD$14="","",INDEX('Tính'!$C$39:$C$83,$CD$14)))</f>
        <v/>
      </c>
      <c r="C46" s="48">
        <f>IF($CD$14="","",INDEX('Tính'!$L$39:$L$83,$CD$14))</f>
        <v/>
      </c>
      <c r="G46" s="45">
        <f>IF($CD$14="","",INDEX('Tính'!$K$39:$K$83,$CD$14))</f>
        <v/>
      </c>
      <c r="H46" s="49">
        <f>IF($CD$14="","",INDEX('Tính'!$J$39:$J$83,$CD$14))</f>
        <v/>
      </c>
      <c r="I46" s="46">
        <f>IF($CD$14="","",INDEX('Tính'!$N$39:$N$83,$CD$14))</f>
        <v/>
      </c>
      <c r="J46" s="46">
        <f>IF($CD$14="","",INDEX('Tính'!$M$39:$M$83,$CD$14))</f>
        <v/>
      </c>
      <c r="K46" s="50">
        <f>IF($CD$14="","",INDEX('Tính'!$O$39:$O$83,$CD$14))</f>
        <v/>
      </c>
      <c r="CA46" t="n">
        <v>44</v>
      </c>
      <c r="CB46">
        <f>IF('Tính'!B82="",0,IF(OR($AZ$1=0,'Tính'!D82=$AZ$1),1,0))</f>
        <v/>
      </c>
      <c r="CC46">
        <f>IF(CB46=1,'Tính'!L82*1000+'Tính'!M82+1+(45-44)/1000000,-1)</f>
        <v/>
      </c>
      <c r="CD46">
        <f>IF(LARGE($CC$3:$CC$47,44)&lt;0,"",MATCH(LARGE($CC$3:$CC$47,44),$CC$3:$CC$47,0))</f>
        <v/>
      </c>
    </row>
    <row r="47">
      <c r="A47" s="43">
        <f>IF($CD$15="","",13&amp;". "&amp;IF($CD$15="","",INDEX('Tính'!$C$39:$C$83,$CD$15)))</f>
        <v/>
      </c>
      <c r="C47" s="48">
        <f>IF($CD$15="","",INDEX('Tính'!$L$39:$L$83,$CD$15))</f>
        <v/>
      </c>
      <c r="G47" s="45">
        <f>IF($CD$15="","",INDEX('Tính'!$K$39:$K$83,$CD$15))</f>
        <v/>
      </c>
      <c r="H47" s="49">
        <f>IF($CD$15="","",INDEX('Tính'!$J$39:$J$83,$CD$15))</f>
        <v/>
      </c>
      <c r="I47" s="46">
        <f>IF($CD$15="","",INDEX('Tính'!$N$39:$N$83,$CD$15))</f>
        <v/>
      </c>
      <c r="J47" s="46">
        <f>IF($CD$15="","",INDEX('Tính'!$M$39:$M$83,$CD$15))</f>
        <v/>
      </c>
      <c r="K47" s="50">
        <f>IF($CD$15="","",INDEX('Tính'!$O$39:$O$83,$CD$15))</f>
        <v/>
      </c>
      <c r="CA47" t="n">
        <v>45</v>
      </c>
      <c r="CB47">
        <f>IF('Tính'!B83="",0,IF(OR($AZ$1=0,'Tính'!D83=$AZ$1),1,0))</f>
        <v/>
      </c>
      <c r="CC47">
        <f>IF(CB47=1,'Tính'!L83*1000+'Tính'!M83+1+(45-45)/1000000,-1)</f>
        <v/>
      </c>
      <c r="CD47">
        <f>IF(LARGE($CC$3:$CC$47,45)&lt;0,"",MATCH(LARGE($CC$3:$CC$47,45),$CC$3:$CC$47,0))</f>
        <v/>
      </c>
    </row>
    <row r="48">
      <c r="A48" s="43">
        <f>IF($CD$16="","",14&amp;". "&amp;IF($CD$16="","",INDEX('Tính'!$C$39:$C$83,$CD$16)))</f>
        <v/>
      </c>
      <c r="C48" s="48">
        <f>IF($CD$16="","",INDEX('Tính'!$L$39:$L$83,$CD$16))</f>
        <v/>
      </c>
      <c r="G48" s="45">
        <f>IF($CD$16="","",INDEX('Tính'!$K$39:$K$83,$CD$16))</f>
        <v/>
      </c>
      <c r="H48" s="49">
        <f>IF($CD$16="","",INDEX('Tính'!$J$39:$J$83,$CD$16))</f>
        <v/>
      </c>
      <c r="I48" s="46">
        <f>IF($CD$16="","",INDEX('Tính'!$N$39:$N$83,$CD$16))</f>
        <v/>
      </c>
      <c r="J48" s="46">
        <f>IF($CD$16="","",INDEX('Tính'!$M$39:$M$83,$CD$16))</f>
        <v/>
      </c>
      <c r="K48" s="50">
        <f>IF($CD$16="","",INDEX('Tính'!$O$39:$O$83,$CD$16))</f>
        <v/>
      </c>
    </row>
    <row r="49">
      <c r="A49" s="43">
        <f>IF($CD$17="","",15&amp;". "&amp;IF($CD$17="","",INDEX('Tính'!$C$39:$C$83,$CD$17)))</f>
        <v/>
      </c>
      <c r="C49" s="48">
        <f>IF($CD$17="","",INDEX('Tính'!$L$39:$L$83,$CD$17))</f>
        <v/>
      </c>
      <c r="G49" s="45">
        <f>IF($CD$17="","",INDEX('Tính'!$K$39:$K$83,$CD$17))</f>
        <v/>
      </c>
      <c r="H49" s="49">
        <f>IF($CD$17="","",INDEX('Tính'!$J$39:$J$83,$CD$17))</f>
        <v/>
      </c>
      <c r="I49" s="46">
        <f>IF($CD$17="","",INDEX('Tính'!$N$39:$N$83,$CD$17))</f>
        <v/>
      </c>
      <c r="J49" s="46">
        <f>IF($CD$17="","",INDEX('Tính'!$M$39:$M$83,$CD$17))</f>
        <v/>
      </c>
      <c r="K49" s="50">
        <f>IF($CD$17="","",INDEX('Tính'!$O$39:$O$83,$CD$17))</f>
        <v/>
      </c>
    </row>
    <row r="50">
      <c r="A50" s="43">
        <f>IF($CD$18="","",16&amp;". "&amp;IF($CD$18="","",INDEX('Tính'!$C$39:$C$83,$CD$18)))</f>
        <v/>
      </c>
      <c r="C50" s="48">
        <f>IF($CD$18="","",INDEX('Tính'!$L$39:$L$83,$CD$18))</f>
        <v/>
      </c>
      <c r="G50" s="45">
        <f>IF($CD$18="","",INDEX('Tính'!$K$39:$K$83,$CD$18))</f>
        <v/>
      </c>
      <c r="H50" s="49">
        <f>IF($CD$18="","",INDEX('Tính'!$J$39:$J$83,$CD$18))</f>
        <v/>
      </c>
      <c r="I50" s="46">
        <f>IF($CD$18="","",INDEX('Tính'!$N$39:$N$83,$CD$18))</f>
        <v/>
      </c>
      <c r="J50" s="46">
        <f>IF($CD$18="","",INDEX('Tính'!$M$39:$M$83,$CD$18))</f>
        <v/>
      </c>
      <c r="K50" s="50">
        <f>IF($CD$18="","",INDEX('Tính'!$O$39:$O$83,$CD$18))</f>
        <v/>
      </c>
    </row>
    <row r="51">
      <c r="A51" s="43">
        <f>IF($CD$19="","",17&amp;". "&amp;IF($CD$19="","",INDEX('Tính'!$C$39:$C$83,$CD$19)))</f>
        <v/>
      </c>
      <c r="C51" s="48">
        <f>IF($CD$19="","",INDEX('Tính'!$L$39:$L$83,$CD$19))</f>
        <v/>
      </c>
      <c r="G51" s="45">
        <f>IF($CD$19="","",INDEX('Tính'!$K$39:$K$83,$CD$19))</f>
        <v/>
      </c>
      <c r="H51" s="49">
        <f>IF($CD$19="","",INDEX('Tính'!$J$39:$J$83,$CD$19))</f>
        <v/>
      </c>
      <c r="I51" s="46">
        <f>IF($CD$19="","",INDEX('Tính'!$N$39:$N$83,$CD$19))</f>
        <v/>
      </c>
      <c r="J51" s="46">
        <f>IF($CD$19="","",INDEX('Tính'!$M$39:$M$83,$CD$19))</f>
        <v/>
      </c>
      <c r="K51" s="50">
        <f>IF($CD$19="","",INDEX('Tính'!$O$39:$O$83,$CD$19))</f>
        <v/>
      </c>
    </row>
    <row r="52">
      <c r="A52" s="43">
        <f>IF($CD$20="","",18&amp;". "&amp;IF($CD$20="","",INDEX('Tính'!$C$39:$C$83,$CD$20)))</f>
        <v/>
      </c>
      <c r="C52" s="48">
        <f>IF($CD$20="","",INDEX('Tính'!$L$39:$L$83,$CD$20))</f>
        <v/>
      </c>
      <c r="G52" s="45">
        <f>IF($CD$20="","",INDEX('Tính'!$K$39:$K$83,$CD$20))</f>
        <v/>
      </c>
      <c r="H52" s="49">
        <f>IF($CD$20="","",INDEX('Tính'!$J$39:$J$83,$CD$20))</f>
        <v/>
      </c>
      <c r="I52" s="46">
        <f>IF($CD$20="","",INDEX('Tính'!$N$39:$N$83,$CD$20))</f>
        <v/>
      </c>
      <c r="J52" s="46">
        <f>IF($CD$20="","",INDEX('Tính'!$M$39:$M$83,$CD$20))</f>
        <v/>
      </c>
      <c r="K52" s="50">
        <f>IF($CD$20="","",INDEX('Tính'!$O$39:$O$83,$CD$20))</f>
        <v/>
      </c>
    </row>
    <row r="53">
      <c r="A53" s="43">
        <f>IF($CD$21="","",19&amp;". "&amp;IF($CD$21="","",INDEX('Tính'!$C$39:$C$83,$CD$21)))</f>
        <v/>
      </c>
      <c r="C53" s="48">
        <f>IF($CD$21="","",INDEX('Tính'!$L$39:$L$83,$CD$21))</f>
        <v/>
      </c>
      <c r="G53" s="45">
        <f>IF($CD$21="","",INDEX('Tính'!$K$39:$K$83,$CD$21))</f>
        <v/>
      </c>
      <c r="H53" s="49">
        <f>IF($CD$21="","",INDEX('Tính'!$J$39:$J$83,$CD$21))</f>
        <v/>
      </c>
      <c r="I53" s="46">
        <f>IF($CD$21="","",INDEX('Tính'!$N$39:$N$83,$CD$21))</f>
        <v/>
      </c>
      <c r="J53" s="46">
        <f>IF($CD$21="","",INDEX('Tính'!$M$39:$M$83,$CD$21))</f>
        <v/>
      </c>
      <c r="K53" s="50">
        <f>IF($CD$21="","",INDEX('Tính'!$O$39:$O$83,$CD$21))</f>
        <v/>
      </c>
    </row>
    <row r="54">
      <c r="A54" s="43">
        <f>IF($CD$22="","",20&amp;". "&amp;IF($CD$22="","",INDEX('Tính'!$C$39:$C$83,$CD$22)))</f>
        <v/>
      </c>
      <c r="C54" s="48">
        <f>IF($CD$22="","",INDEX('Tính'!$L$39:$L$83,$CD$22))</f>
        <v/>
      </c>
      <c r="G54" s="45">
        <f>IF($CD$22="","",INDEX('Tính'!$K$39:$K$83,$CD$22))</f>
        <v/>
      </c>
      <c r="H54" s="49">
        <f>IF($CD$22="","",INDEX('Tính'!$J$39:$J$83,$CD$22))</f>
        <v/>
      </c>
      <c r="I54" s="46">
        <f>IF($CD$22="","",INDEX('Tính'!$N$39:$N$83,$CD$22))</f>
        <v/>
      </c>
      <c r="J54" s="46">
        <f>IF($CD$22="","",INDEX('Tính'!$M$39:$M$83,$CD$22))</f>
        <v/>
      </c>
      <c r="K54" s="50">
        <f>IF($CD$22="","",INDEX('Tính'!$O$39:$O$83,$CD$22))</f>
        <v/>
      </c>
    </row>
    <row r="55">
      <c r="A55" s="43">
        <f>IF($CD$23="","",21&amp;". "&amp;IF($CD$23="","",INDEX('Tính'!$C$39:$C$83,$CD$23)))</f>
        <v/>
      </c>
      <c r="C55" s="48">
        <f>IF($CD$23="","",INDEX('Tính'!$L$39:$L$83,$CD$23))</f>
        <v/>
      </c>
      <c r="G55" s="45">
        <f>IF($CD$23="","",INDEX('Tính'!$K$39:$K$83,$CD$23))</f>
        <v/>
      </c>
      <c r="H55" s="49">
        <f>IF($CD$23="","",INDEX('Tính'!$J$39:$J$83,$CD$23))</f>
        <v/>
      </c>
      <c r="I55" s="46">
        <f>IF($CD$23="","",INDEX('Tính'!$N$39:$N$83,$CD$23))</f>
        <v/>
      </c>
      <c r="J55" s="46">
        <f>IF($CD$23="","",INDEX('Tính'!$M$39:$M$83,$CD$23))</f>
        <v/>
      </c>
      <c r="K55" s="50">
        <f>IF($CD$23="","",INDEX('Tính'!$O$39:$O$83,$CD$23))</f>
        <v/>
      </c>
    </row>
    <row r="56">
      <c r="A56" s="43">
        <f>IF($CD$24="","",22&amp;". "&amp;IF($CD$24="","",INDEX('Tính'!$C$39:$C$83,$CD$24)))</f>
        <v/>
      </c>
      <c r="C56" s="48">
        <f>IF($CD$24="","",INDEX('Tính'!$L$39:$L$83,$CD$24))</f>
        <v/>
      </c>
      <c r="G56" s="45">
        <f>IF($CD$24="","",INDEX('Tính'!$K$39:$K$83,$CD$24))</f>
        <v/>
      </c>
      <c r="H56" s="49">
        <f>IF($CD$24="","",INDEX('Tính'!$J$39:$J$83,$CD$24))</f>
        <v/>
      </c>
      <c r="I56" s="46">
        <f>IF($CD$24="","",INDEX('Tính'!$N$39:$N$83,$CD$24))</f>
        <v/>
      </c>
      <c r="J56" s="46">
        <f>IF($CD$24="","",INDEX('Tính'!$M$39:$M$83,$CD$24))</f>
        <v/>
      </c>
      <c r="K56" s="50">
        <f>IF($CD$24="","",INDEX('Tính'!$O$39:$O$83,$CD$24))</f>
        <v/>
      </c>
    </row>
    <row r="57">
      <c r="A57" s="43">
        <f>IF($CD$25="","",23&amp;". "&amp;IF($CD$25="","",INDEX('Tính'!$C$39:$C$83,$CD$25)))</f>
        <v/>
      </c>
      <c r="C57" s="48">
        <f>IF($CD$25="","",INDEX('Tính'!$L$39:$L$83,$CD$25))</f>
        <v/>
      </c>
      <c r="G57" s="45">
        <f>IF($CD$25="","",INDEX('Tính'!$K$39:$K$83,$CD$25))</f>
        <v/>
      </c>
      <c r="H57" s="49">
        <f>IF($CD$25="","",INDEX('Tính'!$J$39:$J$83,$CD$25))</f>
        <v/>
      </c>
      <c r="I57" s="46">
        <f>IF($CD$25="","",INDEX('Tính'!$N$39:$N$83,$CD$25))</f>
        <v/>
      </c>
      <c r="J57" s="46">
        <f>IF($CD$25="","",INDEX('Tính'!$M$39:$M$83,$CD$25))</f>
        <v/>
      </c>
      <c r="K57" s="50">
        <f>IF($CD$25="","",INDEX('Tính'!$O$39:$O$83,$CD$25))</f>
        <v/>
      </c>
    </row>
    <row r="58">
      <c r="A58" s="43">
        <f>IF($CD$26="","",24&amp;". "&amp;IF($CD$26="","",INDEX('Tính'!$C$39:$C$83,$CD$26)))</f>
        <v/>
      </c>
      <c r="C58" s="48">
        <f>IF($CD$26="","",INDEX('Tính'!$L$39:$L$83,$CD$26))</f>
        <v/>
      </c>
      <c r="G58" s="45">
        <f>IF($CD$26="","",INDEX('Tính'!$K$39:$K$83,$CD$26))</f>
        <v/>
      </c>
      <c r="H58" s="49">
        <f>IF($CD$26="","",INDEX('Tính'!$J$39:$J$83,$CD$26))</f>
        <v/>
      </c>
      <c r="I58" s="46">
        <f>IF($CD$26="","",INDEX('Tính'!$N$39:$N$83,$CD$26))</f>
        <v/>
      </c>
      <c r="J58" s="46">
        <f>IF($CD$26="","",INDEX('Tính'!$M$39:$M$83,$CD$26))</f>
        <v/>
      </c>
      <c r="K58" s="50">
        <f>IF($CD$26="","",INDEX('Tính'!$O$39:$O$83,$CD$26))</f>
        <v/>
      </c>
    </row>
    <row r="59">
      <c r="A59" s="43">
        <f>IF($CD$27="","",25&amp;". "&amp;IF($CD$27="","",INDEX('Tính'!$C$39:$C$83,$CD$27)))</f>
        <v/>
      </c>
      <c r="C59" s="48">
        <f>IF($CD$27="","",INDEX('Tính'!$L$39:$L$83,$CD$27))</f>
        <v/>
      </c>
      <c r="G59" s="45">
        <f>IF($CD$27="","",INDEX('Tính'!$K$39:$K$83,$CD$27))</f>
        <v/>
      </c>
      <c r="H59" s="49">
        <f>IF($CD$27="","",INDEX('Tính'!$J$39:$J$83,$CD$27))</f>
        <v/>
      </c>
      <c r="I59" s="46">
        <f>IF($CD$27="","",INDEX('Tính'!$N$39:$N$83,$CD$27))</f>
        <v/>
      </c>
      <c r="J59" s="46">
        <f>IF($CD$27="","",INDEX('Tính'!$M$39:$M$83,$CD$27))</f>
        <v/>
      </c>
      <c r="K59" s="50">
        <f>IF($CD$27="","",INDEX('Tính'!$O$39:$O$83,$CD$27))</f>
        <v/>
      </c>
    </row>
    <row r="60">
      <c r="A60" s="43">
        <f>IF($CD$28="","",26&amp;". "&amp;IF($CD$28="","",INDEX('Tính'!$C$39:$C$83,$CD$28)))</f>
        <v/>
      </c>
      <c r="C60" s="48">
        <f>IF($CD$28="","",INDEX('Tính'!$L$39:$L$83,$CD$28))</f>
        <v/>
      </c>
      <c r="G60" s="45">
        <f>IF($CD$28="","",INDEX('Tính'!$K$39:$K$83,$CD$28))</f>
        <v/>
      </c>
      <c r="H60" s="49">
        <f>IF($CD$28="","",INDEX('Tính'!$J$39:$J$83,$CD$28))</f>
        <v/>
      </c>
      <c r="I60" s="46">
        <f>IF($CD$28="","",INDEX('Tính'!$N$39:$N$83,$CD$28))</f>
        <v/>
      </c>
      <c r="J60" s="46">
        <f>IF($CD$28="","",INDEX('Tính'!$M$39:$M$83,$CD$28))</f>
        <v/>
      </c>
      <c r="K60" s="50">
        <f>IF($CD$28="","",INDEX('Tính'!$O$39:$O$83,$CD$28))</f>
        <v/>
      </c>
    </row>
    <row r="61">
      <c r="A61" s="43">
        <f>IF($CD$29="","",27&amp;". "&amp;IF($CD$29="","",INDEX('Tính'!$C$39:$C$83,$CD$29)))</f>
        <v/>
      </c>
      <c r="C61" s="48">
        <f>IF($CD$29="","",INDEX('Tính'!$L$39:$L$83,$CD$29))</f>
        <v/>
      </c>
      <c r="G61" s="45">
        <f>IF($CD$29="","",INDEX('Tính'!$K$39:$K$83,$CD$29))</f>
        <v/>
      </c>
      <c r="H61" s="49">
        <f>IF($CD$29="","",INDEX('Tính'!$J$39:$J$83,$CD$29))</f>
        <v/>
      </c>
      <c r="I61" s="46">
        <f>IF($CD$29="","",INDEX('Tính'!$N$39:$N$83,$CD$29))</f>
        <v/>
      </c>
      <c r="J61" s="46">
        <f>IF($CD$29="","",INDEX('Tính'!$M$39:$M$83,$CD$29))</f>
        <v/>
      </c>
      <c r="K61" s="50">
        <f>IF($CD$29="","",INDEX('Tính'!$O$39:$O$83,$CD$29))</f>
        <v/>
      </c>
    </row>
    <row r="62">
      <c r="A62" s="43">
        <f>IF($CD$30="","",28&amp;". "&amp;IF($CD$30="","",INDEX('Tính'!$C$39:$C$83,$CD$30)))</f>
        <v/>
      </c>
      <c r="C62" s="48">
        <f>IF($CD$30="","",INDEX('Tính'!$L$39:$L$83,$CD$30))</f>
        <v/>
      </c>
      <c r="G62" s="45">
        <f>IF($CD$30="","",INDEX('Tính'!$K$39:$K$83,$CD$30))</f>
        <v/>
      </c>
      <c r="H62" s="49">
        <f>IF($CD$30="","",INDEX('Tính'!$J$39:$J$83,$CD$30))</f>
        <v/>
      </c>
      <c r="I62" s="46">
        <f>IF($CD$30="","",INDEX('Tính'!$N$39:$N$83,$CD$30))</f>
        <v/>
      </c>
      <c r="J62" s="46">
        <f>IF($CD$30="","",INDEX('Tính'!$M$39:$M$83,$CD$30))</f>
        <v/>
      </c>
      <c r="K62" s="50">
        <f>IF($CD$30="","",INDEX('Tính'!$O$39:$O$83,$CD$30))</f>
        <v/>
      </c>
    </row>
    <row r="63">
      <c r="A63" s="43">
        <f>IF($CD$31="","",29&amp;". "&amp;IF($CD$31="","",INDEX('Tính'!$C$39:$C$83,$CD$31)))</f>
        <v/>
      </c>
      <c r="C63" s="48">
        <f>IF($CD$31="","",INDEX('Tính'!$L$39:$L$83,$CD$31))</f>
        <v/>
      </c>
      <c r="G63" s="45">
        <f>IF($CD$31="","",INDEX('Tính'!$K$39:$K$83,$CD$31))</f>
        <v/>
      </c>
      <c r="H63" s="49">
        <f>IF($CD$31="","",INDEX('Tính'!$J$39:$J$83,$CD$31))</f>
        <v/>
      </c>
      <c r="I63" s="46">
        <f>IF($CD$31="","",INDEX('Tính'!$N$39:$N$83,$CD$31))</f>
        <v/>
      </c>
      <c r="J63" s="46">
        <f>IF($CD$31="","",INDEX('Tính'!$M$39:$M$83,$CD$31))</f>
        <v/>
      </c>
      <c r="K63" s="50">
        <f>IF($CD$31="","",INDEX('Tính'!$O$39:$O$83,$CD$31))</f>
        <v/>
      </c>
    </row>
    <row r="64">
      <c r="A64" s="43">
        <f>IF($CD$32="","",30&amp;". "&amp;IF($CD$32="","",INDEX('Tính'!$C$39:$C$83,$CD$32)))</f>
        <v/>
      </c>
      <c r="C64" s="48">
        <f>IF($CD$32="","",INDEX('Tính'!$L$39:$L$83,$CD$32))</f>
        <v/>
      </c>
      <c r="G64" s="45">
        <f>IF($CD$32="","",INDEX('Tính'!$K$39:$K$83,$CD$32))</f>
        <v/>
      </c>
      <c r="H64" s="49">
        <f>IF($CD$32="","",INDEX('Tính'!$J$39:$J$83,$CD$32))</f>
        <v/>
      </c>
      <c r="I64" s="46">
        <f>IF($CD$32="","",INDEX('Tính'!$N$39:$N$83,$CD$32))</f>
        <v/>
      </c>
      <c r="J64" s="46">
        <f>IF($CD$32="","",INDEX('Tính'!$M$39:$M$83,$CD$32))</f>
        <v/>
      </c>
      <c r="K64" s="50">
        <f>IF($CD$32="","",INDEX('Tính'!$O$39:$O$83,$CD$32))</f>
        <v/>
      </c>
    </row>
    <row r="65">
      <c r="A65" s="43">
        <f>IF($CD$33="","",31&amp;". "&amp;IF($CD$33="","",INDEX('Tính'!$C$39:$C$83,$CD$33)))</f>
        <v/>
      </c>
      <c r="C65" s="48">
        <f>IF($CD$33="","",INDEX('Tính'!$L$39:$L$83,$CD$33))</f>
        <v/>
      </c>
      <c r="G65" s="45">
        <f>IF($CD$33="","",INDEX('Tính'!$K$39:$K$83,$CD$33))</f>
        <v/>
      </c>
      <c r="H65" s="49">
        <f>IF($CD$33="","",INDEX('Tính'!$J$39:$J$83,$CD$33))</f>
        <v/>
      </c>
      <c r="I65" s="46">
        <f>IF($CD$33="","",INDEX('Tính'!$N$39:$N$83,$CD$33))</f>
        <v/>
      </c>
      <c r="J65" s="46">
        <f>IF($CD$33="","",INDEX('Tính'!$M$39:$M$83,$CD$33))</f>
        <v/>
      </c>
      <c r="K65" s="50">
        <f>IF($CD$33="","",INDEX('Tính'!$O$39:$O$83,$CD$33))</f>
        <v/>
      </c>
    </row>
    <row r="66">
      <c r="A66" s="43">
        <f>IF($CD$34="","",32&amp;". "&amp;IF($CD$34="","",INDEX('Tính'!$C$39:$C$83,$CD$34)))</f>
        <v/>
      </c>
      <c r="C66" s="48">
        <f>IF($CD$34="","",INDEX('Tính'!$L$39:$L$83,$CD$34))</f>
        <v/>
      </c>
      <c r="G66" s="45">
        <f>IF($CD$34="","",INDEX('Tính'!$K$39:$K$83,$CD$34))</f>
        <v/>
      </c>
      <c r="H66" s="49">
        <f>IF($CD$34="","",INDEX('Tính'!$J$39:$J$83,$CD$34))</f>
        <v/>
      </c>
      <c r="I66" s="46">
        <f>IF($CD$34="","",INDEX('Tính'!$N$39:$N$83,$CD$34))</f>
        <v/>
      </c>
      <c r="J66" s="46">
        <f>IF($CD$34="","",INDEX('Tính'!$M$39:$M$83,$CD$34))</f>
        <v/>
      </c>
      <c r="K66" s="50">
        <f>IF($CD$34="","",INDEX('Tính'!$O$39:$O$83,$CD$34))</f>
        <v/>
      </c>
    </row>
    <row r="67">
      <c r="A67" s="43">
        <f>IF($CD$35="","",33&amp;". "&amp;IF($CD$35="","",INDEX('Tính'!$C$39:$C$83,$CD$35)))</f>
        <v/>
      </c>
      <c r="C67" s="48">
        <f>IF($CD$35="","",INDEX('Tính'!$L$39:$L$83,$CD$35))</f>
        <v/>
      </c>
      <c r="G67" s="45">
        <f>IF($CD$35="","",INDEX('Tính'!$K$39:$K$83,$CD$35))</f>
        <v/>
      </c>
      <c r="H67" s="49">
        <f>IF($CD$35="","",INDEX('Tính'!$J$39:$J$83,$CD$35))</f>
        <v/>
      </c>
      <c r="I67" s="46">
        <f>IF($CD$35="","",INDEX('Tính'!$N$39:$N$83,$CD$35))</f>
        <v/>
      </c>
      <c r="J67" s="46">
        <f>IF($CD$35="","",INDEX('Tính'!$M$39:$M$83,$CD$35))</f>
        <v/>
      </c>
      <c r="K67" s="50">
        <f>IF($CD$35="","",INDEX('Tính'!$O$39:$O$83,$CD$35))</f>
        <v/>
      </c>
    </row>
    <row r="68">
      <c r="A68" s="43">
        <f>IF($CD$36="","",34&amp;". "&amp;IF($CD$36="","",INDEX('Tính'!$C$39:$C$83,$CD$36)))</f>
        <v/>
      </c>
      <c r="C68" s="48">
        <f>IF($CD$36="","",INDEX('Tính'!$L$39:$L$83,$CD$36))</f>
        <v/>
      </c>
      <c r="G68" s="45">
        <f>IF($CD$36="","",INDEX('Tính'!$K$39:$K$83,$CD$36))</f>
        <v/>
      </c>
      <c r="H68" s="49">
        <f>IF($CD$36="","",INDEX('Tính'!$J$39:$J$83,$CD$36))</f>
        <v/>
      </c>
      <c r="I68" s="46">
        <f>IF($CD$36="","",INDEX('Tính'!$N$39:$N$83,$CD$36))</f>
        <v/>
      </c>
      <c r="J68" s="46">
        <f>IF($CD$36="","",INDEX('Tính'!$M$39:$M$83,$CD$36))</f>
        <v/>
      </c>
      <c r="K68" s="50">
        <f>IF($CD$36="","",INDEX('Tính'!$O$39:$O$83,$CD$36))</f>
        <v/>
      </c>
    </row>
    <row r="69">
      <c r="A69" s="43">
        <f>IF($CD$37="","",35&amp;". "&amp;IF($CD$37="","",INDEX('Tính'!$C$39:$C$83,$CD$37)))</f>
        <v/>
      </c>
      <c r="C69" s="48">
        <f>IF($CD$37="","",INDEX('Tính'!$L$39:$L$83,$CD$37))</f>
        <v/>
      </c>
      <c r="G69" s="45">
        <f>IF($CD$37="","",INDEX('Tính'!$K$39:$K$83,$CD$37))</f>
        <v/>
      </c>
      <c r="H69" s="49">
        <f>IF($CD$37="","",INDEX('Tính'!$J$39:$J$83,$CD$37))</f>
        <v/>
      </c>
      <c r="I69" s="46">
        <f>IF($CD$37="","",INDEX('Tính'!$N$39:$N$83,$CD$37))</f>
        <v/>
      </c>
      <c r="J69" s="46">
        <f>IF($CD$37="","",INDEX('Tính'!$M$39:$M$83,$CD$37))</f>
        <v/>
      </c>
      <c r="K69" s="50">
        <f>IF($CD$37="","",INDEX('Tính'!$O$39:$O$83,$CD$37))</f>
        <v/>
      </c>
    </row>
    <row r="70">
      <c r="A70" s="43">
        <f>IF($CD$38="","",36&amp;". "&amp;IF($CD$38="","",INDEX('Tính'!$C$39:$C$83,$CD$38)))</f>
        <v/>
      </c>
      <c r="C70" s="48">
        <f>IF($CD$38="","",INDEX('Tính'!$L$39:$L$83,$CD$38))</f>
        <v/>
      </c>
      <c r="G70" s="45">
        <f>IF($CD$38="","",INDEX('Tính'!$K$39:$K$83,$CD$38))</f>
        <v/>
      </c>
      <c r="H70" s="49">
        <f>IF($CD$38="","",INDEX('Tính'!$J$39:$J$83,$CD$38))</f>
        <v/>
      </c>
      <c r="I70" s="46">
        <f>IF($CD$38="","",INDEX('Tính'!$N$39:$N$83,$CD$38))</f>
        <v/>
      </c>
      <c r="J70" s="46">
        <f>IF($CD$38="","",INDEX('Tính'!$M$39:$M$83,$CD$38))</f>
        <v/>
      </c>
      <c r="K70" s="50">
        <f>IF($CD$38="","",INDEX('Tính'!$O$39:$O$83,$CD$38))</f>
        <v/>
      </c>
    </row>
    <row r="71">
      <c r="A71" s="43">
        <f>IF($CD$39="","",37&amp;". "&amp;IF($CD$39="","",INDEX('Tính'!$C$39:$C$83,$CD$39)))</f>
        <v/>
      </c>
      <c r="C71" s="48">
        <f>IF($CD$39="","",INDEX('Tính'!$L$39:$L$83,$CD$39))</f>
        <v/>
      </c>
      <c r="G71" s="45">
        <f>IF($CD$39="","",INDEX('Tính'!$K$39:$K$83,$CD$39))</f>
        <v/>
      </c>
      <c r="H71" s="49">
        <f>IF($CD$39="","",INDEX('Tính'!$J$39:$J$83,$CD$39))</f>
        <v/>
      </c>
      <c r="I71" s="46">
        <f>IF($CD$39="","",INDEX('Tính'!$N$39:$N$83,$CD$39))</f>
        <v/>
      </c>
      <c r="J71" s="46">
        <f>IF($CD$39="","",INDEX('Tính'!$M$39:$M$83,$CD$39))</f>
        <v/>
      </c>
      <c r="K71" s="50">
        <f>IF($CD$39="","",INDEX('Tính'!$O$39:$O$83,$CD$39))</f>
        <v/>
      </c>
    </row>
    <row r="72">
      <c r="A72" s="43">
        <f>IF($CD$40="","",38&amp;". "&amp;IF($CD$40="","",INDEX('Tính'!$C$39:$C$83,$CD$40)))</f>
        <v/>
      </c>
      <c r="C72" s="48">
        <f>IF($CD$40="","",INDEX('Tính'!$L$39:$L$83,$CD$40))</f>
        <v/>
      </c>
      <c r="G72" s="45">
        <f>IF($CD$40="","",INDEX('Tính'!$K$39:$K$83,$CD$40))</f>
        <v/>
      </c>
      <c r="H72" s="49">
        <f>IF($CD$40="","",INDEX('Tính'!$J$39:$J$83,$CD$40))</f>
        <v/>
      </c>
      <c r="I72" s="46">
        <f>IF($CD$40="","",INDEX('Tính'!$N$39:$N$83,$CD$40))</f>
        <v/>
      </c>
      <c r="J72" s="46">
        <f>IF($CD$40="","",INDEX('Tính'!$M$39:$M$83,$CD$40))</f>
        <v/>
      </c>
      <c r="K72" s="50">
        <f>IF($CD$40="","",INDEX('Tính'!$O$39:$O$83,$CD$40))</f>
        <v/>
      </c>
    </row>
    <row r="73">
      <c r="A73" s="43">
        <f>IF($CD$41="","",39&amp;". "&amp;IF($CD$41="","",INDEX('Tính'!$C$39:$C$83,$CD$41)))</f>
        <v/>
      </c>
      <c r="C73" s="48">
        <f>IF($CD$41="","",INDEX('Tính'!$L$39:$L$83,$CD$41))</f>
        <v/>
      </c>
      <c r="G73" s="45">
        <f>IF($CD$41="","",INDEX('Tính'!$K$39:$K$83,$CD$41))</f>
        <v/>
      </c>
      <c r="H73" s="49">
        <f>IF($CD$41="","",INDEX('Tính'!$J$39:$J$83,$CD$41))</f>
        <v/>
      </c>
      <c r="I73" s="46">
        <f>IF($CD$41="","",INDEX('Tính'!$N$39:$N$83,$CD$41))</f>
        <v/>
      </c>
      <c r="J73" s="46">
        <f>IF($CD$41="","",INDEX('Tính'!$M$39:$M$83,$CD$41))</f>
        <v/>
      </c>
      <c r="K73" s="50">
        <f>IF($CD$41="","",INDEX('Tính'!$O$39:$O$83,$CD$41))</f>
        <v/>
      </c>
    </row>
    <row r="74">
      <c r="A74" s="43">
        <f>IF($CD$42="","",40&amp;". "&amp;IF($CD$42="","",INDEX('Tính'!$C$39:$C$83,$CD$42)))</f>
        <v/>
      </c>
      <c r="C74" s="48">
        <f>IF($CD$42="","",INDEX('Tính'!$L$39:$L$83,$CD$42))</f>
        <v/>
      </c>
      <c r="G74" s="45">
        <f>IF($CD$42="","",INDEX('Tính'!$K$39:$K$83,$CD$42))</f>
        <v/>
      </c>
      <c r="H74" s="49">
        <f>IF($CD$42="","",INDEX('Tính'!$J$39:$J$83,$CD$42))</f>
        <v/>
      </c>
      <c r="I74" s="46">
        <f>IF($CD$42="","",INDEX('Tính'!$N$39:$N$83,$CD$42))</f>
        <v/>
      </c>
      <c r="J74" s="46">
        <f>IF($CD$42="","",INDEX('Tính'!$M$39:$M$83,$CD$42))</f>
        <v/>
      </c>
      <c r="K74" s="50">
        <f>IF($CD$42="","",INDEX('Tính'!$O$39:$O$83,$CD$42))</f>
        <v/>
      </c>
    </row>
    <row r="75">
      <c r="A75" s="43">
        <f>IF($CD$43="","",41&amp;". "&amp;IF($CD$43="","",INDEX('Tính'!$C$39:$C$83,$CD$43)))</f>
        <v/>
      </c>
      <c r="C75" s="48">
        <f>IF($CD$43="","",INDEX('Tính'!$L$39:$L$83,$CD$43))</f>
        <v/>
      </c>
      <c r="G75" s="45">
        <f>IF($CD$43="","",INDEX('Tính'!$K$39:$K$83,$CD$43))</f>
        <v/>
      </c>
      <c r="H75" s="49">
        <f>IF($CD$43="","",INDEX('Tính'!$J$39:$J$83,$CD$43))</f>
        <v/>
      </c>
      <c r="I75" s="46">
        <f>IF($CD$43="","",INDEX('Tính'!$N$39:$N$83,$CD$43))</f>
        <v/>
      </c>
      <c r="J75" s="46">
        <f>IF($CD$43="","",INDEX('Tính'!$M$39:$M$83,$CD$43))</f>
        <v/>
      </c>
      <c r="K75" s="50">
        <f>IF($CD$43="","",INDEX('Tính'!$O$39:$O$83,$CD$43))</f>
        <v/>
      </c>
    </row>
    <row r="76">
      <c r="A76" s="43">
        <f>IF($CD$44="","",42&amp;". "&amp;IF($CD$44="","",INDEX('Tính'!$C$39:$C$83,$CD$44)))</f>
        <v/>
      </c>
      <c r="C76" s="48">
        <f>IF($CD$44="","",INDEX('Tính'!$L$39:$L$83,$CD$44))</f>
        <v/>
      </c>
      <c r="G76" s="45">
        <f>IF($CD$44="","",INDEX('Tính'!$K$39:$K$83,$CD$44))</f>
        <v/>
      </c>
      <c r="H76" s="49">
        <f>IF($CD$44="","",INDEX('Tính'!$J$39:$J$83,$CD$44))</f>
        <v/>
      </c>
      <c r="I76" s="46">
        <f>IF($CD$44="","",INDEX('Tính'!$N$39:$N$83,$CD$44))</f>
        <v/>
      </c>
      <c r="J76" s="46">
        <f>IF($CD$44="","",INDEX('Tính'!$M$39:$M$83,$CD$44))</f>
        <v/>
      </c>
      <c r="K76" s="50">
        <f>IF($CD$44="","",INDEX('Tính'!$O$39:$O$83,$CD$44))</f>
        <v/>
      </c>
    </row>
    <row r="77">
      <c r="A77" s="43">
        <f>IF($CD$45="","",43&amp;". "&amp;IF($CD$45="","",INDEX('Tính'!$C$39:$C$83,$CD$45)))</f>
        <v/>
      </c>
      <c r="C77" s="48">
        <f>IF($CD$45="","",INDEX('Tính'!$L$39:$L$83,$CD$45))</f>
        <v/>
      </c>
      <c r="G77" s="45">
        <f>IF($CD$45="","",INDEX('Tính'!$K$39:$K$83,$CD$45))</f>
        <v/>
      </c>
      <c r="H77" s="49">
        <f>IF($CD$45="","",INDEX('Tính'!$J$39:$J$83,$CD$45))</f>
        <v/>
      </c>
      <c r="I77" s="46">
        <f>IF($CD$45="","",INDEX('Tính'!$N$39:$N$83,$CD$45))</f>
        <v/>
      </c>
      <c r="J77" s="46">
        <f>IF($CD$45="","",INDEX('Tính'!$M$39:$M$83,$CD$45))</f>
        <v/>
      </c>
      <c r="K77" s="50">
        <f>IF($CD$45="","",INDEX('Tính'!$O$39:$O$83,$CD$45))</f>
        <v/>
      </c>
    </row>
    <row r="78">
      <c r="A78" s="43">
        <f>IF($CD$46="","",44&amp;". "&amp;IF($CD$46="","",INDEX('Tính'!$C$39:$C$83,$CD$46)))</f>
        <v/>
      </c>
      <c r="C78" s="48">
        <f>IF($CD$46="","",INDEX('Tính'!$L$39:$L$83,$CD$46))</f>
        <v/>
      </c>
      <c r="G78" s="45">
        <f>IF($CD$46="","",INDEX('Tính'!$K$39:$K$83,$CD$46))</f>
        <v/>
      </c>
      <c r="H78" s="49">
        <f>IF($CD$46="","",INDEX('Tính'!$J$39:$J$83,$CD$46))</f>
        <v/>
      </c>
      <c r="I78" s="46">
        <f>IF($CD$46="","",INDEX('Tính'!$N$39:$N$83,$CD$46))</f>
        <v/>
      </c>
      <c r="J78" s="46">
        <f>IF($CD$46="","",INDEX('Tính'!$M$39:$M$83,$CD$46))</f>
        <v/>
      </c>
      <c r="K78" s="50">
        <f>IF($CD$46="","",INDEX('Tính'!$O$39:$O$83,$CD$46))</f>
        <v/>
      </c>
    </row>
    <row r="79">
      <c r="A79" s="43">
        <f>IF($CD$47="","",45&amp;". "&amp;IF($CD$47="","",INDEX('Tính'!$C$39:$C$83,$CD$47)))</f>
        <v/>
      </c>
      <c r="C79" s="48">
        <f>IF($CD$47="","",INDEX('Tính'!$L$39:$L$83,$CD$47))</f>
        <v/>
      </c>
      <c r="G79" s="45">
        <f>IF($CD$47="","",INDEX('Tính'!$K$39:$K$83,$CD$47))</f>
        <v/>
      </c>
      <c r="H79" s="49">
        <f>IF($CD$47="","",INDEX('Tính'!$J$39:$J$83,$CD$47))</f>
        <v/>
      </c>
      <c r="I79" s="46">
        <f>IF($CD$47="","",INDEX('Tính'!$N$39:$N$83,$CD$47))</f>
        <v/>
      </c>
      <c r="J79" s="46">
        <f>IF($CD$47="","",INDEX('Tính'!$M$39:$M$83,$CD$47))</f>
        <v/>
      </c>
      <c r="K79" s="50">
        <f>IF($CD$47="","",INDEX('Tính'!$O$39:$O$83,$CD$47))</f>
        <v/>
      </c>
    </row>
    <row r="80">
      <c r="A80" s="10" t="inlineStr">
        <is>
          <t>Tiền: triệu · DK = lũy kế ÷ ngày đã qua × số ngày ÷ target · ☀️ DK mai = (lũy kế + realtime hôm nay) ÷ (ngày đã qua + 1) × số ngày ÷ target</t>
        </is>
      </c>
    </row>
  </sheetData>
  <mergeCells count="167">
    <mergeCell ref="K49:L49"/>
    <mergeCell ref="C6:D6"/>
    <mergeCell ref="C44:E44"/>
    <mergeCell ref="A64:B64"/>
    <mergeCell ref="A73:B73"/>
    <mergeCell ref="A51:B51"/>
    <mergeCell ref="I4:L4"/>
    <mergeCell ref="C40:E40"/>
    <mergeCell ref="A70:B70"/>
    <mergeCell ref="C51:E51"/>
    <mergeCell ref="C60:E60"/>
    <mergeCell ref="K35:L35"/>
    <mergeCell ref="A54:B54"/>
    <mergeCell ref="A7:B7"/>
    <mergeCell ref="C71:E71"/>
    <mergeCell ref="A41:B41"/>
    <mergeCell ref="K76:L76"/>
    <mergeCell ref="K50:L50"/>
    <mergeCell ref="A74:B74"/>
    <mergeCell ref="C7:E7"/>
    <mergeCell ref="A56:B56"/>
    <mergeCell ref="K58:L58"/>
    <mergeCell ref="K52:L52"/>
    <mergeCell ref="K67:L67"/>
    <mergeCell ref="C57:E57"/>
    <mergeCell ref="A76:B76"/>
    <mergeCell ref="K42:L42"/>
    <mergeCell ref="A42:B42"/>
    <mergeCell ref="C49:E49"/>
    <mergeCell ref="C77:E77"/>
    <mergeCell ref="C34:E34"/>
    <mergeCell ref="A53:B53"/>
    <mergeCell ref="A35:B35"/>
    <mergeCell ref="C42:E42"/>
    <mergeCell ref="A62:B62"/>
    <mergeCell ref="K53:L53"/>
    <mergeCell ref="C74:E74"/>
    <mergeCell ref="A68:B68"/>
    <mergeCell ref="K37:L37"/>
    <mergeCell ref="K69:L69"/>
    <mergeCell ref="A39:B39"/>
    <mergeCell ref="K78:L78"/>
    <mergeCell ref="A48:B48"/>
    <mergeCell ref="I6:J6"/>
    <mergeCell ref="D10:E10"/>
    <mergeCell ref="A59:B59"/>
    <mergeCell ref="C75:E75"/>
    <mergeCell ref="A45:B45"/>
    <mergeCell ref="C59:E59"/>
    <mergeCell ref="A79:B79"/>
    <mergeCell ref="K55:L55"/>
    <mergeCell ref="A61:B61"/>
    <mergeCell ref="C46:E46"/>
    <mergeCell ref="K64:L64"/>
    <mergeCell ref="K79:L79"/>
    <mergeCell ref="C65:E65"/>
    <mergeCell ref="K51:L51"/>
    <mergeCell ref="G7:H7"/>
    <mergeCell ref="C52:E52"/>
    <mergeCell ref="C61:E61"/>
    <mergeCell ref="C39:E39"/>
    <mergeCell ref="K63:L63"/>
    <mergeCell ref="A37:B37"/>
    <mergeCell ref="K41:L41"/>
    <mergeCell ref="A46:B46"/>
    <mergeCell ref="C48:E48"/>
    <mergeCell ref="C70:E70"/>
    <mergeCell ref="K72:L72"/>
    <mergeCell ref="C38:E38"/>
    <mergeCell ref="K56:L56"/>
    <mergeCell ref="K43:L43"/>
    <mergeCell ref="A71:B71"/>
    <mergeCell ref="I7:L7"/>
    <mergeCell ref="I8:J8"/>
    <mergeCell ref="A8:B8"/>
    <mergeCell ref="A52:B52"/>
    <mergeCell ref="I10:J10"/>
    <mergeCell ref="A63:B63"/>
    <mergeCell ref="C79:E79"/>
    <mergeCell ref="A10:B10"/>
    <mergeCell ref="K10:L10"/>
    <mergeCell ref="K66:L66"/>
    <mergeCell ref="F2:L2"/>
    <mergeCell ref="C73:E73"/>
    <mergeCell ref="C35:E35"/>
    <mergeCell ref="C63:E63"/>
    <mergeCell ref="A34:B34"/>
    <mergeCell ref="A77:B77"/>
    <mergeCell ref="K74:L74"/>
    <mergeCell ref="C50:E50"/>
    <mergeCell ref="K68:L68"/>
    <mergeCell ref="C55:E55"/>
    <mergeCell ref="A49:B49"/>
    <mergeCell ref="A36:B36"/>
    <mergeCell ref="K45:L45"/>
    <mergeCell ref="K54:L54"/>
    <mergeCell ref="A69:B69"/>
    <mergeCell ref="K60:L60"/>
    <mergeCell ref="G33:L33"/>
    <mergeCell ref="C36:E36"/>
    <mergeCell ref="A78:B78"/>
    <mergeCell ref="A65:B65"/>
    <mergeCell ref="K47:L47"/>
    <mergeCell ref="K44:L44"/>
    <mergeCell ref="A75:B75"/>
    <mergeCell ref="K46:L46"/>
    <mergeCell ref="K40:L40"/>
    <mergeCell ref="C67:E67"/>
    <mergeCell ref="A55:B55"/>
    <mergeCell ref="C72:E72"/>
    <mergeCell ref="C37:E37"/>
    <mergeCell ref="A57:B57"/>
    <mergeCell ref="A5:B5"/>
    <mergeCell ref="C69:E69"/>
    <mergeCell ref="K71:L71"/>
    <mergeCell ref="C78:E78"/>
    <mergeCell ref="C62:E62"/>
    <mergeCell ref="A4:B4"/>
    <mergeCell ref="A38:B38"/>
    <mergeCell ref="K73:L73"/>
    <mergeCell ref="A43:B43"/>
    <mergeCell ref="K65:L65"/>
    <mergeCell ref="C4:E4"/>
    <mergeCell ref="K57:L57"/>
    <mergeCell ref="C64:E64"/>
    <mergeCell ref="A40:B40"/>
    <mergeCell ref="A67:B67"/>
    <mergeCell ref="C54:E54"/>
    <mergeCell ref="K34:L34"/>
    <mergeCell ref="C41:E41"/>
    <mergeCell ref="A60:B60"/>
    <mergeCell ref="C56:E56"/>
    <mergeCell ref="G8:H8"/>
    <mergeCell ref="K36:L36"/>
    <mergeCell ref="C43:E43"/>
    <mergeCell ref="C76:E76"/>
    <mergeCell ref="G10:H10"/>
    <mergeCell ref="C8:E8"/>
    <mergeCell ref="A66:B66"/>
    <mergeCell ref="G6:H6"/>
    <mergeCell ref="K75:L75"/>
    <mergeCell ref="A50:B50"/>
    <mergeCell ref="K59:L59"/>
    <mergeCell ref="C66:E66"/>
    <mergeCell ref="K77:L77"/>
    <mergeCell ref="C53:E53"/>
    <mergeCell ref="A47:B47"/>
    <mergeCell ref="A33:E33"/>
    <mergeCell ref="G5:H5"/>
    <mergeCell ref="K61:L61"/>
    <mergeCell ref="C68:E68"/>
    <mergeCell ref="K39:L39"/>
    <mergeCell ref="K70:L70"/>
    <mergeCell ref="K48:L48"/>
    <mergeCell ref="G4:H4"/>
    <mergeCell ref="C58:E58"/>
    <mergeCell ref="A72:B72"/>
    <mergeCell ref="C5:E5"/>
    <mergeCell ref="K38:L38"/>
    <mergeCell ref="C45:E45"/>
    <mergeCell ref="A1:L1"/>
    <mergeCell ref="A44:B44"/>
    <mergeCell ref="K62:L62"/>
    <mergeCell ref="A58:B58"/>
    <mergeCell ref="B2:D2"/>
    <mergeCell ref="I5:L5"/>
    <mergeCell ref="C47:E47"/>
  </mergeCells>
  <conditionalFormatting sqref="B6">
    <cfRule type="expression" priority="1" dxfId="0" stopIfTrue="1">
      <formula>AND(ISNUMBER(B6),ROUND(B6,2)=0)</formula>
    </cfRule>
    <cfRule type="expression" priority="2" dxfId="1" stopIfTrue="1">
      <formula>AND(ISNUMBER(B6),B6&gt;=1)</formula>
    </cfRule>
    <cfRule type="expression" priority="3" dxfId="2" stopIfTrue="1">
      <formula>AND(ISNUMBER(B6),B6&gt;=1*0.8)</formula>
    </cfRule>
    <cfRule type="expression" priority="4" dxfId="3" stopIfTrue="1">
      <formula>ISNUMBER(B6)</formula>
    </cfRule>
  </conditionalFormatting>
  <conditionalFormatting sqref="I7">
    <cfRule type="expression" priority="5" dxfId="0" stopIfTrue="1">
      <formula>AND(ISNUMBER(I7),ROUND(I7,2)=0)</formula>
    </cfRule>
    <cfRule type="expression" priority="6" dxfId="1" stopIfTrue="1">
      <formula>AND(ISNUMBER(I7),I7&gt;=1)</formula>
    </cfRule>
    <cfRule type="expression" priority="7" dxfId="2" stopIfTrue="1">
      <formula>AND(ISNUMBER(I7),I7&gt;=1*0.8)</formula>
    </cfRule>
    <cfRule type="expression" priority="8" dxfId="3" stopIfTrue="1">
      <formula>ISNUMBER(I7)</formula>
    </cfRule>
  </conditionalFormatting>
  <conditionalFormatting sqref="I6">
    <cfRule type="expression" priority="9" dxfId="0" stopIfTrue="1">
      <formula>AND(ISNUMBER(I6),ROUND(I6,2)=0)</formula>
    </cfRule>
    <cfRule type="expression" priority="10" dxfId="1" stopIfTrue="1">
      <formula>AND(ISNUMBER(I6),I6&gt;=NgayQua/SoNgay)</formula>
    </cfRule>
    <cfRule type="expression" priority="11" dxfId="2" stopIfTrue="1">
      <formula>AND(ISNUMBER(I6),I6&gt;=NgayQua/SoNgay*0.8)</formula>
    </cfRule>
    <cfRule type="expression" priority="12" dxfId="3" stopIfTrue="1">
      <formula>ISNUMBER(I6)</formula>
    </cfRule>
  </conditionalFormatting>
  <conditionalFormatting sqref="C8">
    <cfRule type="expression" priority="13" dxfId="1" stopIfTrue="1">
      <formula>AND(ISNUMBER(C8),C8&gt;=MucTieuTC)</formula>
    </cfRule>
    <cfRule type="expression" priority="14" dxfId="3">
      <formula>ISNUMBER(C8)</formula>
    </cfRule>
  </conditionalFormatting>
  <conditionalFormatting sqref="I8">
    <cfRule type="expression" priority="15" dxfId="1" stopIfTrue="1">
      <formula>AND(ISNUMBER(I8),I8&gt;=MucTieuTC)</formula>
    </cfRule>
    <cfRule type="expression" priority="16" dxfId="3">
      <formula>ISNUMBER(I8)</formula>
    </cfRule>
  </conditionalFormatting>
  <conditionalFormatting sqref="E12:E31">
    <cfRule type="expression" priority="17" dxfId="0" stopIfTrue="1">
      <formula>AND(ISNUMBER(E12),ROUND(E12,2)=0)</formula>
    </cfRule>
    <cfRule type="expression" priority="18" dxfId="1" stopIfTrue="1">
      <formula>AND(ISNUMBER(E12),E12&gt;=1)</formula>
    </cfRule>
    <cfRule type="expression" priority="19" dxfId="2" stopIfTrue="1">
      <formula>AND(ISNUMBER(E12),E12&gt;=1*0.8)</formula>
    </cfRule>
    <cfRule type="expression" priority="20" dxfId="3" stopIfTrue="1">
      <formula>ISNUMBER(E12)</formula>
    </cfRule>
  </conditionalFormatting>
  <conditionalFormatting sqref="J12:J31">
    <cfRule type="expression" priority="21" dxfId="0" stopIfTrue="1">
      <formula>AND(ISNUMBER(J12),ROUND(J12,2)=0)</formula>
    </cfRule>
    <cfRule type="expression" priority="22" dxfId="1" stopIfTrue="1">
      <formula>AND(ISNUMBER(J12),J12&gt;=NgayQua/SoNgay)</formula>
    </cfRule>
    <cfRule type="expression" priority="23" dxfId="2" stopIfTrue="1">
      <formula>AND(ISNUMBER(J12),J12&gt;=NgayQua/SoNgay*0.8)</formula>
    </cfRule>
    <cfRule type="expression" priority="24" dxfId="3" stopIfTrue="1">
      <formula>ISNUMBER(J12)</formula>
    </cfRule>
  </conditionalFormatting>
  <conditionalFormatting sqref="K12:K31">
    <cfRule type="expression" priority="25" dxfId="0" stopIfTrue="1">
      <formula>AND(ISNUMBER(K12),ROUND(K12,2)=0)</formula>
    </cfRule>
    <cfRule type="expression" priority="26" dxfId="1" stopIfTrue="1">
      <formula>AND(ISNUMBER(K12),K12&gt;=1)</formula>
    </cfRule>
    <cfRule type="expression" priority="27" dxfId="2" stopIfTrue="1">
      <formula>AND(ISNUMBER(K12),K12&gt;=1*0.8)</formula>
    </cfRule>
    <cfRule type="expression" priority="28" dxfId="3" stopIfTrue="1">
      <formula>ISNUMBER(K12)</formula>
    </cfRule>
  </conditionalFormatting>
  <conditionalFormatting sqref="L12:L31">
    <cfRule type="expression" priority="29" dxfId="0" stopIfTrue="1">
      <formula>AND(ISNUMBER(L12),ROUND(L12,2)=0)</formula>
    </cfRule>
    <cfRule type="expression" priority="30" dxfId="1" stopIfTrue="1">
      <formula>AND(ISNUMBER(L12),L12&gt;=1)</formula>
    </cfRule>
    <cfRule type="expression" priority="31" dxfId="2" stopIfTrue="1">
      <formula>AND(ISNUMBER(L12),L12&gt;=1*0.8)</formula>
    </cfRule>
    <cfRule type="expression" priority="32" dxfId="3" stopIfTrue="1">
      <formula>ISNUMBER(L12)</formula>
    </cfRule>
  </conditionalFormatting>
  <conditionalFormatting sqref="A12:A31">
    <cfRule type="expression" priority="33" dxfId="0" stopIfTrue="1">
      <formula>AND(ISNUMBER($L12),ROUND($L12,2)=0)</formula>
    </cfRule>
    <cfRule type="expression" priority="34" dxfId="1" stopIfTrue="1">
      <formula>AND(ISNUMBER($L12),$L12&gt;=1)</formula>
    </cfRule>
    <cfRule type="expression" priority="35" dxfId="2" stopIfTrue="1">
      <formula>AND(ISNUMBER($L12),$L12&gt;=1*0.8)</formula>
    </cfRule>
    <cfRule type="expression" priority="36" dxfId="3" stopIfTrue="1">
      <formula>ISNUMBER($L12)</formula>
    </cfRule>
  </conditionalFormatting>
  <conditionalFormatting sqref="G12:G31">
    <cfRule type="expression" priority="37" dxfId="0" stopIfTrue="1">
      <formula>AND(ISNUMBER($L12),ROUND($L12,2)=0)</formula>
    </cfRule>
    <cfRule type="expression" priority="38" dxfId="1" stopIfTrue="1">
      <formula>AND(ISNUMBER($L12),$L12&gt;=1)</formula>
    </cfRule>
    <cfRule type="expression" priority="39" dxfId="2" stopIfTrue="1">
      <formula>AND(ISNUMBER($L12),$L12&gt;=1*0.8)</formula>
    </cfRule>
    <cfRule type="expression" priority="40" dxfId="3" stopIfTrue="1">
      <formula>ISNUMBER($L12)</formula>
    </cfRule>
  </conditionalFormatting>
  <conditionalFormatting sqref="B12:B31">
    <cfRule type="expression" priority="41" dxfId="4">
      <formula>$B12="Vượt trội"</formula>
    </cfRule>
  </conditionalFormatting>
  <conditionalFormatting sqref="I35:I79">
    <cfRule type="expression" priority="42" dxfId="0" stopIfTrue="1">
      <formula>AND(ISNUMBER(I35),ROUND(I35,2)=0)</formula>
    </cfRule>
    <cfRule type="expression" priority="43" dxfId="1" stopIfTrue="1">
      <formula>AND(ISNUMBER(I35),I35&gt;=NgayQua/SoNgay)</formula>
    </cfRule>
    <cfRule type="expression" priority="44" dxfId="2" stopIfTrue="1">
      <formula>AND(ISNUMBER(I35),I35&gt;=NgayQua/SoNgay*0.8)</formula>
    </cfRule>
    <cfRule type="expression" priority="45" dxfId="3" stopIfTrue="1">
      <formula>ISNUMBER(I35)</formula>
    </cfRule>
  </conditionalFormatting>
  <conditionalFormatting sqref="J35:J79">
    <cfRule type="expression" priority="46" dxfId="0" stopIfTrue="1">
      <formula>AND(ISNUMBER(J35),ROUND(J35,2)=0)</formula>
    </cfRule>
    <cfRule type="expression" priority="47" dxfId="1" stopIfTrue="1">
      <formula>AND(ISNUMBER(J35),J35&gt;=1)</formula>
    </cfRule>
    <cfRule type="expression" priority="48" dxfId="2" stopIfTrue="1">
      <formula>AND(ISNUMBER(J35),J35&gt;=1*0.8)</formula>
    </cfRule>
    <cfRule type="expression" priority="49" dxfId="3" stopIfTrue="1">
      <formula>ISNUMBER(J35)</formula>
    </cfRule>
  </conditionalFormatting>
  <conditionalFormatting sqref="A12:E31">
    <cfRule type="expression" priority="50" dxfId="5">
      <formula>$A12&lt;&gt;""</formula>
    </cfRule>
  </conditionalFormatting>
  <conditionalFormatting sqref="G12:L31">
    <cfRule type="expression" priority="51" dxfId="5">
      <formula>$G12&lt;&gt;""</formula>
    </cfRule>
  </conditionalFormatting>
  <conditionalFormatting sqref="A35:E79">
    <cfRule type="expression" priority="52" dxfId="5">
      <formula>$A35&lt;&gt;""</formula>
    </cfRule>
  </conditionalFormatting>
  <conditionalFormatting sqref="G35:L79">
    <cfRule type="expression" priority="53" dxfId="5">
      <formula>$A35&lt;&gt;""</formula>
    </cfRule>
  </conditionalFormatting>
  <dataValidations count="1">
    <dataValidation sqref="B2" showDropDown="0" showInputMessage="0" showErrorMessage="0" allowBlank="0" type="list">
      <formula1>'Tính'!$Z$31:$Z$35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D4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11" customWidth="1" min="3" max="3"/>
    <col width="11" customWidth="1" min="4" max="4"/>
    <col width="10" customWidth="1" min="5" max="5"/>
    <col width="10" customWidth="1" min="6" max="6"/>
    <col width="2.5" customWidth="1" min="7" max="7"/>
    <col width="6" customWidth="1" min="8" max="8"/>
    <col width="28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79" max="79"/>
    <col hidden="1" width="13" customWidth="1" min="80" max="80"/>
    <col hidden="1" width="13" customWidth="1" min="81" max="81"/>
    <col hidden="1" width="13" customWidth="1" min="82" max="82"/>
  </cols>
  <sheetData>
    <row r="1">
      <c r="A1" s="19">
        <f>"BÁO CÁO LŨY KẾ — "&amp;'Khai báo'!B3&amp;" · số đến hết "&amp;TEXT(NgayQua,"00")&amp;"/"&amp;'Khai báo'!B4</f>
        <v/>
      </c>
      <c r="AZ1">
        <f>IFERROR(MATCH($B$2,'Tính'!$B$31:$B$34,0),0)</f>
        <v/>
      </c>
    </row>
    <row r="2">
      <c r="A2" s="20" t="inlineStr">
        <is>
          <t>Xem:</t>
        </is>
      </c>
      <c r="B2" s="21" t="inlineStr">
        <is>
          <t>Tổng cụm</t>
        </is>
      </c>
      <c r="C2" s="5" t="n"/>
      <c r="D2" s="6" t="n"/>
      <c r="F2" s="10" t="inlineStr">
        <is>
          <t>◀ bấm ô vàng để chọn Tổng cụm hoặc từng siêu thị</t>
        </is>
      </c>
      <c r="BA2" t="inlineStr">
        <is>
          <t>Nhóm (view)</t>
        </is>
      </c>
      <c r="BJ2" t="inlineStr">
        <is>
          <t>Thứ tự</t>
        </is>
      </c>
    </row>
    <row r="3">
      <c r="BA3">
        <f>'Tính'!B3</f>
        <v/>
      </c>
      <c r="BB3">
        <f>'Tính'!D3</f>
        <v/>
      </c>
      <c r="BC3">
        <f>IF($AZ$1=0,'Tính'!$Z$3,CHOOSE($AZ$1,'Tính'!$G$3,'Tính'!$L$3,'Tính'!$Q$3,'Tính'!$V$3))</f>
        <v/>
      </c>
      <c r="BD3">
        <f>IF($AZ$1=0,'Tính'!$Y$3,CHOOSE($AZ$1,'Tính'!$E$3,'Tính'!$J$3,'Tính'!$O$3,'Tính'!$T$3))</f>
        <v/>
      </c>
      <c r="BE3">
        <f>IF($AZ$1=0,'Tính'!$AB$3,CHOOSE($AZ$1,'Tính'!$I$3,'Tính'!$N$3,'Tính'!$S$3,'Tính'!$X$3))</f>
        <v/>
      </c>
      <c r="BF3">
        <f>IF($AZ$1=0,'Tính'!$AA$3,CHOOSE($AZ$1,'Tính'!$H$3,'Tính'!$M$3,'Tính'!$R$3,'Tính'!$W$3))</f>
        <v/>
      </c>
      <c r="BG3">
        <f>IF(BC3&gt;0,BD3/NgayQua*SoNgay/BC3,IF(BD3&gt;0,1,0))</f>
        <v/>
      </c>
      <c r="BH3">
        <f>IF(CoRTNhom=1,IF(BC3&gt;0,(BD3+BF3)/(NgayQua+1)*SoNgay/BC3,IF(BD3+BF3&gt;0,1,0)),BG3)</f>
        <v/>
      </c>
      <c r="BI3">
        <f>IF(BA3="",-1,IF(BB3="Chính",1000,0)+BG3+(20-1)/100000)</f>
        <v/>
      </c>
      <c r="BJ3">
        <f>IF(LARGE($BI$3:$BI$22,1)&lt;0,"",MATCH(LARGE($BI$3:$BI$22,1),$BI$3:$BI$22,0))</f>
        <v/>
      </c>
      <c r="CA3" t="n">
        <v>1</v>
      </c>
      <c r="CB3">
        <f>IF('Tính'!B39="",0,IF(OR($AZ$1=0,'Tính'!D39=$AZ$1),1,0))</f>
        <v/>
      </c>
      <c r="CC3">
        <f>IF(CB3=1,'Tính'!M39+1+(45-1)/1000000,-1)</f>
        <v/>
      </c>
      <c r="CD3">
        <f>IF(LARGE($CC$3:$CC$47,1)&lt;0,"",MATCH(LARGE($CC$3:$CC$47,1),$CC$3:$CC$47,0))</f>
        <v/>
      </c>
    </row>
    <row r="4">
      <c r="A4" s="4" t="inlineStr">
        <is>
          <t>Nhóm hàng</t>
        </is>
      </c>
      <c r="B4" s="4">
        <f>$B$2</f>
        <v/>
      </c>
      <c r="C4" s="5" t="n"/>
      <c r="D4" s="5" t="n"/>
      <c r="E4" s="5" t="n"/>
      <c r="F4" s="6" t="n"/>
      <c r="H4" s="4" t="inlineStr">
        <is>
          <t>Hạng</t>
        </is>
      </c>
      <c r="I4" s="4" t="inlineStr">
        <is>
          <t>Nhân viên</t>
        </is>
      </c>
      <c r="J4" s="4" t="inlineStr">
        <is>
          <t>Mục tiêu</t>
        </is>
      </c>
      <c r="K4" s="4" t="inlineStr">
        <is>
          <t>DT QĐ</t>
        </is>
      </c>
      <c r="L4" s="4" t="inlineStr">
        <is>
          <t>% HT</t>
        </is>
      </c>
      <c r="M4" s="4" t="inlineStr">
        <is>
          <t>Dự kiến</t>
        </is>
      </c>
      <c r="N4" s="4" t="inlineStr">
        <is>
          <t>NH đạt</t>
        </is>
      </c>
      <c r="BA4">
        <f>'Tính'!B4</f>
        <v/>
      </c>
      <c r="BB4">
        <f>'Tính'!D4</f>
        <v/>
      </c>
      <c r="BC4">
        <f>IF($AZ$1=0,'Tính'!$Z$4,CHOOSE($AZ$1,'Tính'!$G$4,'Tính'!$L$4,'Tính'!$Q$4,'Tính'!$V$4))</f>
        <v/>
      </c>
      <c r="BD4">
        <f>IF($AZ$1=0,'Tính'!$Y$4,CHOOSE($AZ$1,'Tính'!$E$4,'Tính'!$J$4,'Tính'!$O$4,'Tính'!$T$4))</f>
        <v/>
      </c>
      <c r="BE4">
        <f>IF($AZ$1=0,'Tính'!$AB$4,CHOOSE($AZ$1,'Tính'!$I$4,'Tính'!$N$4,'Tính'!$S$4,'Tính'!$X$4))</f>
        <v/>
      </c>
      <c r="BF4">
        <f>IF($AZ$1=0,'Tính'!$AA$4,CHOOSE($AZ$1,'Tính'!$H$4,'Tính'!$M$4,'Tính'!$R$4,'Tính'!$W$4))</f>
        <v/>
      </c>
      <c r="BG4">
        <f>IF(BC4&gt;0,BD4/NgayQua*SoNgay/BC4,IF(BD4&gt;0,1,0))</f>
        <v/>
      </c>
      <c r="BH4">
        <f>IF(CoRTNhom=1,IF(BC4&gt;0,(BD4+BF4)/(NgayQua+1)*SoNgay/BC4,IF(BD4+BF4&gt;0,1,0)),BG4)</f>
        <v/>
      </c>
      <c r="BI4">
        <f>IF(BA4="",-1,IF(BB4="Chính",1000,0)+BG4+(20-2)/100000)</f>
        <v/>
      </c>
      <c r="BJ4">
        <f>IF(LARGE($BI$3:$BI$22,2)&lt;0,"",MATCH(LARGE($BI$3:$BI$22,2),$BI$3:$BI$22,0))</f>
        <v/>
      </c>
      <c r="CA4" t="n">
        <v>2</v>
      </c>
      <c r="CB4">
        <f>IF('Tính'!B40="",0,IF(OR($AZ$1=0,'Tính'!D40=$AZ$1),1,0))</f>
        <v/>
      </c>
      <c r="CC4">
        <f>IF(CB4=1,'Tính'!M40+1+(45-2)/1000000,-1)</f>
        <v/>
      </c>
      <c r="CD4">
        <f>IF(LARGE($CC$3:$CC$47,2)&lt;0,"",MATCH(LARGE($CC$3:$CC$47,2),$CC$3:$CC$47,0))</f>
        <v/>
      </c>
    </row>
    <row r="5">
      <c r="A5" s="51" t="n"/>
      <c r="B5" s="52" t="inlineStr">
        <is>
          <t>Loại</t>
        </is>
      </c>
      <c r="C5" s="52" t="inlineStr">
        <is>
          <t>Target</t>
        </is>
      </c>
      <c r="D5" s="52" t="inlineStr">
        <is>
          <t>Thực hiện</t>
        </is>
      </c>
      <c r="E5" s="52" t="inlineStr">
        <is>
          <t>Tỉ lệ</t>
        </is>
      </c>
      <c r="F5" s="52" t="inlineStr">
        <is>
          <t>Dự kiến</t>
        </is>
      </c>
      <c r="H5" s="44">
        <f>IF($CD$3="","",1)</f>
        <v/>
      </c>
      <c r="I5" s="43">
        <f>IF($CD$3="","",IF($CD$3="","",INDEX('Tính'!$F$39:$F$83,$CD$3))&amp;" · "&amp;IF($CD$3="","",INDEX('Tính'!$O$39:$O$83,$CD$3)))</f>
        <v/>
      </c>
      <c r="J5" s="49">
        <f>IF($CD$3="","",INDEX('Tính'!$J$39:$J$83,$CD$3))</f>
        <v/>
      </c>
      <c r="K5" s="45">
        <f>IF($CD$3="","",INDEX('Tính'!$K$39:$K$83,$CD$3))</f>
        <v/>
      </c>
      <c r="L5" s="46">
        <f>IF($CD$3="","",INDEX('Tính'!$N$39:$N$83,$CD$3))</f>
        <v/>
      </c>
      <c r="M5" s="46">
        <f>IF($CD$3="","",INDEX('Tính'!$M$39:$M$83,$CD$3))</f>
        <v/>
      </c>
      <c r="N5" s="44">
        <f>IF($CD$3="","",IF($CD$3="","",INDEX('Tính'!$P$39:$P$83,$CD$3))&amp;"/"&amp;COUNTIF($BA$3:$BA$22,"?*"))</f>
        <v/>
      </c>
      <c r="BA5">
        <f>'Tính'!B5</f>
        <v/>
      </c>
      <c r="BB5">
        <f>'Tính'!D5</f>
        <v/>
      </c>
      <c r="BC5">
        <f>IF($AZ$1=0,'Tính'!$Z$5,CHOOSE($AZ$1,'Tính'!$G$5,'Tính'!$L$5,'Tính'!$Q$5,'Tính'!$V$5))</f>
        <v/>
      </c>
      <c r="BD5">
        <f>IF($AZ$1=0,'Tính'!$Y$5,CHOOSE($AZ$1,'Tính'!$E$5,'Tính'!$J$5,'Tính'!$O$5,'Tính'!$T$5))</f>
        <v/>
      </c>
      <c r="BE5">
        <f>IF($AZ$1=0,'Tính'!$AB$5,CHOOSE($AZ$1,'Tính'!$I$5,'Tính'!$N$5,'Tính'!$S$5,'Tính'!$X$5))</f>
        <v/>
      </c>
      <c r="BF5">
        <f>IF($AZ$1=0,'Tính'!$AA$5,CHOOSE($AZ$1,'Tính'!$H$5,'Tính'!$M$5,'Tính'!$R$5,'Tính'!$W$5))</f>
        <v/>
      </c>
      <c r="BG5">
        <f>IF(BC5&gt;0,BD5/NgayQua*SoNgay/BC5,IF(BD5&gt;0,1,0))</f>
        <v/>
      </c>
      <c r="BH5">
        <f>IF(CoRTNhom=1,IF(BC5&gt;0,(BD5+BF5)/(NgayQua+1)*SoNgay/BC5,IF(BD5+BF5&gt;0,1,0)),BG5)</f>
        <v/>
      </c>
      <c r="BI5">
        <f>IF(BA5="",-1,IF(BB5="Chính",1000,0)+BG5+(20-3)/100000)</f>
        <v/>
      </c>
      <c r="BJ5">
        <f>IF(LARGE($BI$3:$BI$22,3)&lt;0,"",MATCH(LARGE($BI$3:$BI$22,3),$BI$3:$BI$22,0))</f>
        <v/>
      </c>
      <c r="CA5" t="n">
        <v>3</v>
      </c>
      <c r="CB5">
        <f>IF('Tính'!B41="",0,IF(OR($AZ$1=0,'Tính'!D41=$AZ$1),1,0))</f>
        <v/>
      </c>
      <c r="CC5">
        <f>IF(CB5=1,'Tính'!M41+1+(45-3)/1000000,-1)</f>
        <v/>
      </c>
      <c r="CD5">
        <f>IF(LARGE($CC$3:$CC$47,3)&lt;0,"",MATCH(LARGE($CC$3:$CC$47,3),$CC$3:$CC$47,0))</f>
        <v/>
      </c>
    </row>
    <row r="6">
      <c r="A6" s="53" t="inlineStr">
        <is>
          <t>Doanh thu</t>
        </is>
      </c>
      <c r="B6" s="53" t="inlineStr"/>
      <c r="C6" s="54">
        <f>INDEX('Tính'!$D$31:$D$35,IF($AZ$1=0,5,$AZ$1))</f>
        <v/>
      </c>
      <c r="D6" s="54">
        <f>INDEX('Tính'!$F$31:$F$35,IF($AZ$1=0,5,$AZ$1))</f>
        <v/>
      </c>
      <c r="E6" s="55">
        <f>IF(C6&gt;0,D6/C6,0)</f>
        <v/>
      </c>
      <c r="F6" s="55">
        <f>IF(C6&gt;0,D6/NgayQua*SoNgay/C6,0)</f>
        <v/>
      </c>
      <c r="H6" s="44">
        <f>IF($CD$4="","",2)</f>
        <v/>
      </c>
      <c r="I6" s="43">
        <f>IF($CD$4="","",IF($CD$4="","",INDEX('Tính'!$F$39:$F$83,$CD$4))&amp;" · "&amp;IF($CD$4="","",INDEX('Tính'!$O$39:$O$83,$CD$4)))</f>
        <v/>
      </c>
      <c r="J6" s="49">
        <f>IF($CD$4="","",INDEX('Tính'!$J$39:$J$83,$CD$4))</f>
        <v/>
      </c>
      <c r="K6" s="45">
        <f>IF($CD$4="","",INDEX('Tính'!$K$39:$K$83,$CD$4))</f>
        <v/>
      </c>
      <c r="L6" s="46">
        <f>IF($CD$4="","",INDEX('Tính'!$N$39:$N$83,$CD$4))</f>
        <v/>
      </c>
      <c r="M6" s="46">
        <f>IF($CD$4="","",INDEX('Tính'!$M$39:$M$83,$CD$4))</f>
        <v/>
      </c>
      <c r="N6" s="44">
        <f>IF($CD$4="","",IF($CD$4="","",INDEX('Tính'!$P$39:$P$83,$CD$4))&amp;"/"&amp;COUNTIF($BA$3:$BA$22,"?*"))</f>
        <v/>
      </c>
      <c r="BA6">
        <f>'Tính'!B6</f>
        <v/>
      </c>
      <c r="BB6">
        <f>'Tính'!D6</f>
        <v/>
      </c>
      <c r="BC6">
        <f>IF($AZ$1=0,'Tính'!$Z$6,CHOOSE($AZ$1,'Tính'!$G$6,'Tính'!$L$6,'Tính'!$Q$6,'Tính'!$V$6))</f>
        <v/>
      </c>
      <c r="BD6">
        <f>IF($AZ$1=0,'Tính'!$Y$6,CHOOSE($AZ$1,'Tính'!$E$6,'Tính'!$J$6,'Tính'!$O$6,'Tính'!$T$6))</f>
        <v/>
      </c>
      <c r="BE6">
        <f>IF($AZ$1=0,'Tính'!$AB$6,CHOOSE($AZ$1,'Tính'!$I$6,'Tính'!$N$6,'Tính'!$S$6,'Tính'!$X$6))</f>
        <v/>
      </c>
      <c r="BF6">
        <f>IF($AZ$1=0,'Tính'!$AA$6,CHOOSE($AZ$1,'Tính'!$H$6,'Tính'!$M$6,'Tính'!$R$6,'Tính'!$W$6))</f>
        <v/>
      </c>
      <c r="BG6">
        <f>IF(BC6&gt;0,BD6/NgayQua*SoNgay/BC6,IF(BD6&gt;0,1,0))</f>
        <v/>
      </c>
      <c r="BH6">
        <f>IF(CoRTNhom=1,IF(BC6&gt;0,(BD6+BF6)/(NgayQua+1)*SoNgay/BC6,IF(BD6+BF6&gt;0,1,0)),BG6)</f>
        <v/>
      </c>
      <c r="BI6">
        <f>IF(BA6="",-1,IF(BB6="Chính",1000,0)+BG6+(20-4)/100000)</f>
        <v/>
      </c>
      <c r="BJ6">
        <f>IF(LARGE($BI$3:$BI$22,4)&lt;0,"",MATCH(LARGE($BI$3:$BI$22,4),$BI$3:$BI$22,0))</f>
        <v/>
      </c>
      <c r="CA6" t="n">
        <v>4</v>
      </c>
      <c r="CB6">
        <f>IF('Tính'!B42="",0,IF(OR($AZ$1=0,'Tính'!D42=$AZ$1),1,0))</f>
        <v/>
      </c>
      <c r="CC6">
        <f>IF(CB6=1,'Tính'!M42+1+(45-4)/1000000,-1)</f>
        <v/>
      </c>
      <c r="CD6">
        <f>IF(LARGE($CC$3:$CC$47,4)&lt;0,"",MATCH(LARGE($CC$3:$CC$47,4),$CC$3:$CC$47,0))</f>
        <v/>
      </c>
    </row>
    <row r="7">
      <c r="A7" s="53" t="inlineStr">
        <is>
          <t>Trả chậm</t>
        </is>
      </c>
      <c r="B7" s="53" t="inlineStr"/>
      <c r="C7" s="55">
        <f>MucTieuTC</f>
        <v/>
      </c>
      <c r="D7" s="55">
        <f>INDEX('Tính'!$H$31:$H$35,IF($AZ$1=0,5,$AZ$1))</f>
        <v/>
      </c>
      <c r="E7" s="53">
        <f>IF(D7&gt;=C7,"Đạt","Chưa đạt")</f>
        <v/>
      </c>
      <c r="F7" s="6" t="n"/>
      <c r="H7" s="44">
        <f>IF($CD$5="","",3)</f>
        <v/>
      </c>
      <c r="I7" s="43">
        <f>IF($CD$5="","",IF($CD$5="","",INDEX('Tính'!$F$39:$F$83,$CD$5))&amp;" · "&amp;IF($CD$5="","",INDEX('Tính'!$O$39:$O$83,$CD$5)))</f>
        <v/>
      </c>
      <c r="J7" s="49">
        <f>IF($CD$5="","",INDEX('Tính'!$J$39:$J$83,$CD$5))</f>
        <v/>
      </c>
      <c r="K7" s="45">
        <f>IF($CD$5="","",INDEX('Tính'!$K$39:$K$83,$CD$5))</f>
        <v/>
      </c>
      <c r="L7" s="46">
        <f>IF($CD$5="","",INDEX('Tính'!$N$39:$N$83,$CD$5))</f>
        <v/>
      </c>
      <c r="M7" s="46">
        <f>IF($CD$5="","",INDEX('Tính'!$M$39:$M$83,$CD$5))</f>
        <v/>
      </c>
      <c r="N7" s="44">
        <f>IF($CD$5="","",IF($CD$5="","",INDEX('Tính'!$P$39:$P$83,$CD$5))&amp;"/"&amp;COUNTIF($BA$3:$BA$22,"?*"))</f>
        <v/>
      </c>
      <c r="BA7">
        <f>'Tính'!B7</f>
        <v/>
      </c>
      <c r="BB7">
        <f>'Tính'!D7</f>
        <v/>
      </c>
      <c r="BC7">
        <f>IF($AZ$1=0,'Tính'!$Z$7,CHOOSE($AZ$1,'Tính'!$G$7,'Tính'!$L$7,'Tính'!$Q$7,'Tính'!$V$7))</f>
        <v/>
      </c>
      <c r="BD7">
        <f>IF($AZ$1=0,'Tính'!$Y$7,CHOOSE($AZ$1,'Tính'!$E$7,'Tính'!$J$7,'Tính'!$O$7,'Tính'!$T$7))</f>
        <v/>
      </c>
      <c r="BE7">
        <f>IF($AZ$1=0,'Tính'!$AB$7,CHOOSE($AZ$1,'Tính'!$I$7,'Tính'!$N$7,'Tính'!$S$7,'Tính'!$X$7))</f>
        <v/>
      </c>
      <c r="BF7">
        <f>IF($AZ$1=0,'Tính'!$AA$7,CHOOSE($AZ$1,'Tính'!$H$7,'Tính'!$M$7,'Tính'!$R$7,'Tính'!$W$7))</f>
        <v/>
      </c>
      <c r="BG7">
        <f>IF(BC7&gt;0,BD7/NgayQua*SoNgay/BC7,IF(BD7&gt;0,1,0))</f>
        <v/>
      </c>
      <c r="BH7">
        <f>IF(CoRTNhom=1,IF(BC7&gt;0,(BD7+BF7)/(NgayQua+1)*SoNgay/BC7,IF(BD7+BF7&gt;0,1,0)),BG7)</f>
        <v/>
      </c>
      <c r="BI7">
        <f>IF(BA7="",-1,IF(BB7="Chính",1000,0)+BG7+(20-5)/100000)</f>
        <v/>
      </c>
      <c r="BJ7">
        <f>IF(LARGE($BI$3:$BI$22,5)&lt;0,"",MATCH(LARGE($BI$3:$BI$22,5),$BI$3:$BI$22,0))</f>
        <v/>
      </c>
      <c r="CA7" t="n">
        <v>5</v>
      </c>
      <c r="CB7">
        <f>IF('Tính'!B43="",0,IF(OR($AZ$1=0,'Tính'!D43=$AZ$1),1,0))</f>
        <v/>
      </c>
      <c r="CC7">
        <f>IF(CB7=1,'Tính'!M43+1+(45-5)/1000000,-1)</f>
        <v/>
      </c>
      <c r="CD7">
        <f>IF(LARGE($CC$3:$CC$47,5)&lt;0,"",MATCH(LARGE($CC$3:$CC$47,5),$CC$3:$CC$47,0))</f>
        <v/>
      </c>
    </row>
    <row r="8">
      <c r="A8" s="40">
        <f>"SL nhóm: "&amp;COUNTIF($BA$3:$BA$22,"?*")</f>
        <v/>
      </c>
      <c r="B8" s="6" t="n"/>
      <c r="C8" s="40">
        <f>"Chính đạt: "&amp;COUNTIFS(B10:B29,"Chính",F10:F29,"&gt;=0.995")&amp;"/"&amp;COUNTIF(B10:B29,"Chính")</f>
        <v/>
      </c>
      <c r="D8" s="6" t="n"/>
      <c r="E8" s="40">
        <f>"Vượt trội: "&amp;COUNTIFS(B10:B29,"Vượt trội",F10:F29,"&gt;=0.995")&amp;"/"&amp;COUNTIF(B10:B29,"Vượt trội")</f>
        <v/>
      </c>
      <c r="F8" s="6" t="n"/>
      <c r="H8" s="44">
        <f>IF($CD$6="","",4)</f>
        <v/>
      </c>
      <c r="I8" s="43">
        <f>IF($CD$6="","",IF($CD$6="","",INDEX('Tính'!$F$39:$F$83,$CD$6))&amp;" · "&amp;IF($CD$6="","",INDEX('Tính'!$O$39:$O$83,$CD$6)))</f>
        <v/>
      </c>
      <c r="J8" s="49">
        <f>IF($CD$6="","",INDEX('Tính'!$J$39:$J$83,$CD$6))</f>
        <v/>
      </c>
      <c r="K8" s="45">
        <f>IF($CD$6="","",INDEX('Tính'!$K$39:$K$83,$CD$6))</f>
        <v/>
      </c>
      <c r="L8" s="46">
        <f>IF($CD$6="","",INDEX('Tính'!$N$39:$N$83,$CD$6))</f>
        <v/>
      </c>
      <c r="M8" s="46">
        <f>IF($CD$6="","",INDEX('Tính'!$M$39:$M$83,$CD$6))</f>
        <v/>
      </c>
      <c r="N8" s="44">
        <f>IF($CD$6="","",IF($CD$6="","",INDEX('Tính'!$P$39:$P$83,$CD$6))&amp;"/"&amp;COUNTIF($BA$3:$BA$22,"?*"))</f>
        <v/>
      </c>
      <c r="BA8">
        <f>'Tính'!B8</f>
        <v/>
      </c>
      <c r="BB8">
        <f>'Tính'!D8</f>
        <v/>
      </c>
      <c r="BC8">
        <f>IF($AZ$1=0,'Tính'!$Z$8,CHOOSE($AZ$1,'Tính'!$G$8,'Tính'!$L$8,'Tính'!$Q$8,'Tính'!$V$8))</f>
        <v/>
      </c>
      <c r="BD8">
        <f>IF($AZ$1=0,'Tính'!$Y$8,CHOOSE($AZ$1,'Tính'!$E$8,'Tính'!$J$8,'Tính'!$O$8,'Tính'!$T$8))</f>
        <v/>
      </c>
      <c r="BE8">
        <f>IF($AZ$1=0,'Tính'!$AB$8,CHOOSE($AZ$1,'Tính'!$I$8,'Tính'!$N$8,'Tính'!$S$8,'Tính'!$X$8))</f>
        <v/>
      </c>
      <c r="BF8">
        <f>IF($AZ$1=0,'Tính'!$AA$8,CHOOSE($AZ$1,'Tính'!$H$8,'Tính'!$M$8,'Tính'!$R$8,'Tính'!$W$8))</f>
        <v/>
      </c>
      <c r="BG8">
        <f>IF(BC8&gt;0,BD8/NgayQua*SoNgay/BC8,IF(BD8&gt;0,1,0))</f>
        <v/>
      </c>
      <c r="BH8">
        <f>IF(CoRTNhom=1,IF(BC8&gt;0,(BD8+BF8)/(NgayQua+1)*SoNgay/BC8,IF(BD8+BF8&gt;0,1,0)),BG8)</f>
        <v/>
      </c>
      <c r="BI8">
        <f>IF(BA8="",-1,IF(BB8="Chính",1000,0)+BG8+(20-6)/100000)</f>
        <v/>
      </c>
      <c r="BJ8">
        <f>IF(LARGE($BI$3:$BI$22,6)&lt;0,"",MATCH(LARGE($BI$3:$BI$22,6),$BI$3:$BI$22,0))</f>
        <v/>
      </c>
      <c r="CA8" t="n">
        <v>6</v>
      </c>
      <c r="CB8">
        <f>IF('Tính'!B44="",0,IF(OR($AZ$1=0,'Tính'!D44=$AZ$1),1,0))</f>
        <v/>
      </c>
      <c r="CC8">
        <f>IF(CB8=1,'Tính'!M44+1+(45-6)/1000000,-1)</f>
        <v/>
      </c>
      <c r="CD8">
        <f>IF(LARGE($CC$3:$CC$47,6)&lt;0,"",MATCH(LARGE($CC$3:$CC$47,6),$CC$3:$CC$47,0))</f>
        <v/>
      </c>
    </row>
    <row r="9">
      <c r="A9" s="4" t="inlineStr">
        <is>
          <t>Nhóm hàng</t>
        </is>
      </c>
      <c r="B9" s="4" t="inlineStr">
        <is>
          <t>Loại</t>
        </is>
      </c>
      <c r="C9" s="4" t="inlineStr">
        <is>
          <t>Target</t>
        </is>
      </c>
      <c r="D9" s="4" t="inlineStr">
        <is>
          <t>Thực hiện</t>
        </is>
      </c>
      <c r="E9" s="4" t="inlineStr">
        <is>
          <t>% Hiện tại</t>
        </is>
      </c>
      <c r="F9" s="4" t="inlineStr">
        <is>
          <t>Dự kiến ▼</t>
        </is>
      </c>
      <c r="H9" s="44">
        <f>IF($CD$7="","",5)</f>
        <v/>
      </c>
      <c r="I9" s="43">
        <f>IF($CD$7="","",IF($CD$7="","",INDEX('Tính'!$F$39:$F$83,$CD$7))&amp;" · "&amp;IF($CD$7="","",INDEX('Tính'!$O$39:$O$83,$CD$7)))</f>
        <v/>
      </c>
      <c r="J9" s="49">
        <f>IF($CD$7="","",INDEX('Tính'!$J$39:$J$83,$CD$7))</f>
        <v/>
      </c>
      <c r="K9" s="45">
        <f>IF($CD$7="","",INDEX('Tính'!$K$39:$K$83,$CD$7))</f>
        <v/>
      </c>
      <c r="L9" s="46">
        <f>IF($CD$7="","",INDEX('Tính'!$N$39:$N$83,$CD$7))</f>
        <v/>
      </c>
      <c r="M9" s="46">
        <f>IF($CD$7="","",INDEX('Tính'!$M$39:$M$83,$CD$7))</f>
        <v/>
      </c>
      <c r="N9" s="44">
        <f>IF($CD$7="","",IF($CD$7="","",INDEX('Tính'!$P$39:$P$83,$CD$7))&amp;"/"&amp;COUNTIF($BA$3:$BA$22,"?*"))</f>
        <v/>
      </c>
      <c r="BA9">
        <f>'Tính'!B9</f>
        <v/>
      </c>
      <c r="BB9">
        <f>'Tính'!D9</f>
        <v/>
      </c>
      <c r="BC9">
        <f>IF($AZ$1=0,'Tính'!$Z$9,CHOOSE($AZ$1,'Tính'!$G$9,'Tính'!$L$9,'Tính'!$Q$9,'Tính'!$V$9))</f>
        <v/>
      </c>
      <c r="BD9">
        <f>IF($AZ$1=0,'Tính'!$Y$9,CHOOSE($AZ$1,'Tính'!$E$9,'Tính'!$J$9,'Tính'!$O$9,'Tính'!$T$9))</f>
        <v/>
      </c>
      <c r="BE9">
        <f>IF($AZ$1=0,'Tính'!$AB$9,CHOOSE($AZ$1,'Tính'!$I$9,'Tính'!$N$9,'Tính'!$S$9,'Tính'!$X$9))</f>
        <v/>
      </c>
      <c r="BF9">
        <f>IF($AZ$1=0,'Tính'!$AA$9,CHOOSE($AZ$1,'Tính'!$H$9,'Tính'!$M$9,'Tính'!$R$9,'Tính'!$W$9))</f>
        <v/>
      </c>
      <c r="BG9">
        <f>IF(BC9&gt;0,BD9/NgayQua*SoNgay/BC9,IF(BD9&gt;0,1,0))</f>
        <v/>
      </c>
      <c r="BH9">
        <f>IF(CoRTNhom=1,IF(BC9&gt;0,(BD9+BF9)/(NgayQua+1)*SoNgay/BC9,IF(BD9+BF9&gt;0,1,0)),BG9)</f>
        <v/>
      </c>
      <c r="BI9">
        <f>IF(BA9="",-1,IF(BB9="Chính",1000,0)+BG9+(20-7)/100000)</f>
        <v/>
      </c>
      <c r="BJ9">
        <f>IF(LARGE($BI$3:$BI$22,7)&lt;0,"",MATCH(LARGE($BI$3:$BI$22,7),$BI$3:$BI$22,0))</f>
        <v/>
      </c>
      <c r="CA9" t="n">
        <v>7</v>
      </c>
      <c r="CB9">
        <f>IF('Tính'!B45="",0,IF(OR($AZ$1=0,'Tính'!D45=$AZ$1),1,0))</f>
        <v/>
      </c>
      <c r="CC9">
        <f>IF(CB9=1,'Tính'!M45+1+(45-7)/1000000,-1)</f>
        <v/>
      </c>
      <c r="CD9">
        <f>IF(LARGE($CC$3:$CC$47,7)&lt;0,"",MATCH(LARGE($CC$3:$CC$47,7),$CC$3:$CC$47,0))</f>
        <v/>
      </c>
    </row>
    <row r="10">
      <c r="A10" s="43">
        <f>IF($BJ$3="","",INDEX($BA$3:$BA$22,$BJ$3))</f>
        <v/>
      </c>
      <c r="B10" s="44">
        <f>IF($BJ$3="","",INDEX($BB$3:$BB$22,$BJ$3))</f>
        <v/>
      </c>
      <c r="C10" s="45">
        <f>IF($BJ$3="","",INDEX($BC$3:$BC$22,$BJ$3))</f>
        <v/>
      </c>
      <c r="D10" s="45">
        <f>IF($BJ$3="","",INDEX($BD$3:$BD$22,$BJ$3))</f>
        <v/>
      </c>
      <c r="E10" s="46">
        <f>IF(A10="","",IF(C10&gt;0,D10/C10,1))</f>
        <v/>
      </c>
      <c r="F10" s="46">
        <f>IF($BJ$3="","",INDEX($BG$3:$BG$22,$BJ$3))</f>
        <v/>
      </c>
      <c r="H10" s="44">
        <f>IF($CD$8="","",6)</f>
        <v/>
      </c>
      <c r="I10" s="43">
        <f>IF($CD$8="","",IF($CD$8="","",INDEX('Tính'!$F$39:$F$83,$CD$8))&amp;" · "&amp;IF($CD$8="","",INDEX('Tính'!$O$39:$O$83,$CD$8)))</f>
        <v/>
      </c>
      <c r="J10" s="49">
        <f>IF($CD$8="","",INDEX('Tính'!$J$39:$J$83,$CD$8))</f>
        <v/>
      </c>
      <c r="K10" s="45">
        <f>IF($CD$8="","",INDEX('Tính'!$K$39:$K$83,$CD$8))</f>
        <v/>
      </c>
      <c r="L10" s="46">
        <f>IF($CD$8="","",INDEX('Tính'!$N$39:$N$83,$CD$8))</f>
        <v/>
      </c>
      <c r="M10" s="46">
        <f>IF($CD$8="","",INDEX('Tính'!$M$39:$M$83,$CD$8))</f>
        <v/>
      </c>
      <c r="N10" s="44">
        <f>IF($CD$8="","",IF($CD$8="","",INDEX('Tính'!$P$39:$P$83,$CD$8))&amp;"/"&amp;COUNTIF($BA$3:$BA$22,"?*"))</f>
        <v/>
      </c>
      <c r="BA10">
        <f>'Tính'!B10</f>
        <v/>
      </c>
      <c r="BB10">
        <f>'Tính'!D10</f>
        <v/>
      </c>
      <c r="BC10">
        <f>IF($AZ$1=0,'Tính'!$Z$10,CHOOSE($AZ$1,'Tính'!$G$10,'Tính'!$L$10,'Tính'!$Q$10,'Tính'!$V$10))</f>
        <v/>
      </c>
      <c r="BD10">
        <f>IF($AZ$1=0,'Tính'!$Y$10,CHOOSE($AZ$1,'Tính'!$E$10,'Tính'!$J$10,'Tính'!$O$10,'Tính'!$T$10))</f>
        <v/>
      </c>
      <c r="BE10">
        <f>IF($AZ$1=0,'Tính'!$AB$10,CHOOSE($AZ$1,'Tính'!$I$10,'Tính'!$N$10,'Tính'!$S$10,'Tính'!$X$10))</f>
        <v/>
      </c>
      <c r="BF10">
        <f>IF($AZ$1=0,'Tính'!$AA$10,CHOOSE($AZ$1,'Tính'!$H$10,'Tính'!$M$10,'Tính'!$R$10,'Tính'!$W$10))</f>
        <v/>
      </c>
      <c r="BG10">
        <f>IF(BC10&gt;0,BD10/NgayQua*SoNgay/BC10,IF(BD10&gt;0,1,0))</f>
        <v/>
      </c>
      <c r="BH10">
        <f>IF(CoRTNhom=1,IF(BC10&gt;0,(BD10+BF10)/(NgayQua+1)*SoNgay/BC10,IF(BD10+BF10&gt;0,1,0)),BG10)</f>
        <v/>
      </c>
      <c r="BI10">
        <f>IF(BA10="",-1,IF(BB10="Chính",1000,0)+BG10+(20-8)/100000)</f>
        <v/>
      </c>
      <c r="BJ10">
        <f>IF(LARGE($BI$3:$BI$22,8)&lt;0,"",MATCH(LARGE($BI$3:$BI$22,8),$BI$3:$BI$22,0))</f>
        <v/>
      </c>
      <c r="CA10" t="n">
        <v>8</v>
      </c>
      <c r="CB10">
        <f>IF('Tính'!B46="",0,IF(OR($AZ$1=0,'Tính'!D46=$AZ$1),1,0))</f>
        <v/>
      </c>
      <c r="CC10">
        <f>IF(CB10=1,'Tính'!M46+1+(45-8)/1000000,-1)</f>
        <v/>
      </c>
      <c r="CD10">
        <f>IF(LARGE($CC$3:$CC$47,8)&lt;0,"",MATCH(LARGE($CC$3:$CC$47,8),$CC$3:$CC$47,0))</f>
        <v/>
      </c>
    </row>
    <row r="11">
      <c r="A11" s="43">
        <f>IF($BJ$4="","",INDEX($BA$3:$BA$22,$BJ$4))</f>
        <v/>
      </c>
      <c r="B11" s="44">
        <f>IF($BJ$4="","",INDEX($BB$3:$BB$22,$BJ$4))</f>
        <v/>
      </c>
      <c r="C11" s="45">
        <f>IF($BJ$4="","",INDEX($BC$3:$BC$22,$BJ$4))</f>
        <v/>
      </c>
      <c r="D11" s="45">
        <f>IF($BJ$4="","",INDEX($BD$3:$BD$22,$BJ$4))</f>
        <v/>
      </c>
      <c r="E11" s="46">
        <f>IF(A11="","",IF(C11&gt;0,D11/C11,1))</f>
        <v/>
      </c>
      <c r="F11" s="46">
        <f>IF($BJ$4="","",INDEX($BG$3:$BG$22,$BJ$4))</f>
        <v/>
      </c>
      <c r="H11" s="44">
        <f>IF($CD$9="","",7)</f>
        <v/>
      </c>
      <c r="I11" s="43">
        <f>IF($CD$9="","",IF($CD$9="","",INDEX('Tính'!$F$39:$F$83,$CD$9))&amp;" · "&amp;IF($CD$9="","",INDEX('Tính'!$O$39:$O$83,$CD$9)))</f>
        <v/>
      </c>
      <c r="J11" s="49">
        <f>IF($CD$9="","",INDEX('Tính'!$J$39:$J$83,$CD$9))</f>
        <v/>
      </c>
      <c r="K11" s="45">
        <f>IF($CD$9="","",INDEX('Tính'!$K$39:$K$83,$CD$9))</f>
        <v/>
      </c>
      <c r="L11" s="46">
        <f>IF($CD$9="","",INDEX('Tính'!$N$39:$N$83,$CD$9))</f>
        <v/>
      </c>
      <c r="M11" s="46">
        <f>IF($CD$9="","",INDEX('Tính'!$M$39:$M$83,$CD$9))</f>
        <v/>
      </c>
      <c r="N11" s="44">
        <f>IF($CD$9="","",IF($CD$9="","",INDEX('Tính'!$P$39:$P$83,$CD$9))&amp;"/"&amp;COUNTIF($BA$3:$BA$22,"?*"))</f>
        <v/>
      </c>
      <c r="BA11">
        <f>'Tính'!B11</f>
        <v/>
      </c>
      <c r="BB11">
        <f>'Tính'!D11</f>
        <v/>
      </c>
      <c r="BC11">
        <f>IF($AZ$1=0,'Tính'!$Z$11,CHOOSE($AZ$1,'Tính'!$G$11,'Tính'!$L$11,'Tính'!$Q$11,'Tính'!$V$11))</f>
        <v/>
      </c>
      <c r="BD11">
        <f>IF($AZ$1=0,'Tính'!$Y$11,CHOOSE($AZ$1,'Tính'!$E$11,'Tính'!$J$11,'Tính'!$O$11,'Tính'!$T$11))</f>
        <v/>
      </c>
      <c r="BE11">
        <f>IF($AZ$1=0,'Tính'!$AB$11,CHOOSE($AZ$1,'Tính'!$I$11,'Tính'!$N$11,'Tính'!$S$11,'Tính'!$X$11))</f>
        <v/>
      </c>
      <c r="BF11">
        <f>IF($AZ$1=0,'Tính'!$AA$11,CHOOSE($AZ$1,'Tính'!$H$11,'Tính'!$M$11,'Tính'!$R$11,'Tính'!$W$11))</f>
        <v/>
      </c>
      <c r="BG11">
        <f>IF(BC11&gt;0,BD11/NgayQua*SoNgay/BC11,IF(BD11&gt;0,1,0))</f>
        <v/>
      </c>
      <c r="BH11">
        <f>IF(CoRTNhom=1,IF(BC11&gt;0,(BD11+BF11)/(NgayQua+1)*SoNgay/BC11,IF(BD11+BF11&gt;0,1,0)),BG11)</f>
        <v/>
      </c>
      <c r="BI11">
        <f>IF(BA11="",-1,IF(BB11="Chính",1000,0)+BG11+(20-9)/100000)</f>
        <v/>
      </c>
      <c r="BJ11">
        <f>IF(LARGE($BI$3:$BI$22,9)&lt;0,"",MATCH(LARGE($BI$3:$BI$22,9),$BI$3:$BI$22,0))</f>
        <v/>
      </c>
      <c r="CA11" t="n">
        <v>9</v>
      </c>
      <c r="CB11">
        <f>IF('Tính'!B47="",0,IF(OR($AZ$1=0,'Tính'!D47=$AZ$1),1,0))</f>
        <v/>
      </c>
      <c r="CC11">
        <f>IF(CB11=1,'Tính'!M47+1+(45-9)/1000000,-1)</f>
        <v/>
      </c>
      <c r="CD11">
        <f>IF(LARGE($CC$3:$CC$47,9)&lt;0,"",MATCH(LARGE($CC$3:$CC$47,9),$CC$3:$CC$47,0))</f>
        <v/>
      </c>
    </row>
    <row r="12">
      <c r="A12" s="43">
        <f>IF($BJ$5="","",INDEX($BA$3:$BA$22,$BJ$5))</f>
        <v/>
      </c>
      <c r="B12" s="44">
        <f>IF($BJ$5="","",INDEX($BB$3:$BB$22,$BJ$5))</f>
        <v/>
      </c>
      <c r="C12" s="45">
        <f>IF($BJ$5="","",INDEX($BC$3:$BC$22,$BJ$5))</f>
        <v/>
      </c>
      <c r="D12" s="45">
        <f>IF($BJ$5="","",INDEX($BD$3:$BD$22,$BJ$5))</f>
        <v/>
      </c>
      <c r="E12" s="46">
        <f>IF(A12="","",IF(C12&gt;0,D12/C12,1))</f>
        <v/>
      </c>
      <c r="F12" s="46">
        <f>IF($BJ$5="","",INDEX($BG$3:$BG$22,$BJ$5))</f>
        <v/>
      </c>
      <c r="H12" s="44">
        <f>IF($CD$10="","",8)</f>
        <v/>
      </c>
      <c r="I12" s="43">
        <f>IF($CD$10="","",IF($CD$10="","",INDEX('Tính'!$F$39:$F$83,$CD$10))&amp;" · "&amp;IF($CD$10="","",INDEX('Tính'!$O$39:$O$83,$CD$10)))</f>
        <v/>
      </c>
      <c r="J12" s="49">
        <f>IF($CD$10="","",INDEX('Tính'!$J$39:$J$83,$CD$10))</f>
        <v/>
      </c>
      <c r="K12" s="45">
        <f>IF($CD$10="","",INDEX('Tính'!$K$39:$K$83,$CD$10))</f>
        <v/>
      </c>
      <c r="L12" s="46">
        <f>IF($CD$10="","",INDEX('Tính'!$N$39:$N$83,$CD$10))</f>
        <v/>
      </c>
      <c r="M12" s="46">
        <f>IF($CD$10="","",INDEX('Tính'!$M$39:$M$83,$CD$10))</f>
        <v/>
      </c>
      <c r="N12" s="44">
        <f>IF($CD$10="","",IF($CD$10="","",INDEX('Tính'!$P$39:$P$83,$CD$10))&amp;"/"&amp;COUNTIF($BA$3:$BA$22,"?*"))</f>
        <v/>
      </c>
      <c r="BA12">
        <f>'Tính'!B12</f>
        <v/>
      </c>
      <c r="BB12">
        <f>'Tính'!D12</f>
        <v/>
      </c>
      <c r="BC12">
        <f>IF($AZ$1=0,'Tính'!$Z$12,CHOOSE($AZ$1,'Tính'!$G$12,'Tính'!$L$12,'Tính'!$Q$12,'Tính'!$V$12))</f>
        <v/>
      </c>
      <c r="BD12">
        <f>IF($AZ$1=0,'Tính'!$Y$12,CHOOSE($AZ$1,'Tính'!$E$12,'Tính'!$J$12,'Tính'!$O$12,'Tính'!$T$12))</f>
        <v/>
      </c>
      <c r="BE12">
        <f>IF($AZ$1=0,'Tính'!$AB$12,CHOOSE($AZ$1,'Tính'!$I$12,'Tính'!$N$12,'Tính'!$S$12,'Tính'!$X$12))</f>
        <v/>
      </c>
      <c r="BF12">
        <f>IF($AZ$1=0,'Tính'!$AA$12,CHOOSE($AZ$1,'Tính'!$H$12,'Tính'!$M$12,'Tính'!$R$12,'Tính'!$W$12))</f>
        <v/>
      </c>
      <c r="BG12">
        <f>IF(BC12&gt;0,BD12/NgayQua*SoNgay/BC12,IF(BD12&gt;0,1,0))</f>
        <v/>
      </c>
      <c r="BH12">
        <f>IF(CoRTNhom=1,IF(BC12&gt;0,(BD12+BF12)/(NgayQua+1)*SoNgay/BC12,IF(BD12+BF12&gt;0,1,0)),BG12)</f>
        <v/>
      </c>
      <c r="BI12">
        <f>IF(BA12="",-1,IF(BB12="Chính",1000,0)+BG12+(20-10)/100000)</f>
        <v/>
      </c>
      <c r="BJ12">
        <f>IF(LARGE($BI$3:$BI$22,10)&lt;0,"",MATCH(LARGE($BI$3:$BI$22,10),$BI$3:$BI$22,0))</f>
        <v/>
      </c>
      <c r="CA12" t="n">
        <v>10</v>
      </c>
      <c r="CB12">
        <f>IF('Tính'!B48="",0,IF(OR($AZ$1=0,'Tính'!D48=$AZ$1),1,0))</f>
        <v/>
      </c>
      <c r="CC12">
        <f>IF(CB12=1,'Tính'!M48+1+(45-10)/1000000,-1)</f>
        <v/>
      </c>
      <c r="CD12">
        <f>IF(LARGE($CC$3:$CC$47,10)&lt;0,"",MATCH(LARGE($CC$3:$CC$47,10),$CC$3:$CC$47,0))</f>
        <v/>
      </c>
    </row>
    <row r="13">
      <c r="A13" s="43">
        <f>IF($BJ$6="","",INDEX($BA$3:$BA$22,$BJ$6))</f>
        <v/>
      </c>
      <c r="B13" s="44">
        <f>IF($BJ$6="","",INDEX($BB$3:$BB$22,$BJ$6))</f>
        <v/>
      </c>
      <c r="C13" s="45">
        <f>IF($BJ$6="","",INDEX($BC$3:$BC$22,$BJ$6))</f>
        <v/>
      </c>
      <c r="D13" s="45">
        <f>IF($BJ$6="","",INDEX($BD$3:$BD$22,$BJ$6))</f>
        <v/>
      </c>
      <c r="E13" s="46">
        <f>IF(A13="","",IF(C13&gt;0,D13/C13,1))</f>
        <v/>
      </c>
      <c r="F13" s="46">
        <f>IF($BJ$6="","",INDEX($BG$3:$BG$22,$BJ$6))</f>
        <v/>
      </c>
      <c r="H13" s="44">
        <f>IF($CD$11="","",9)</f>
        <v/>
      </c>
      <c r="I13" s="43">
        <f>IF($CD$11="","",IF($CD$11="","",INDEX('Tính'!$F$39:$F$83,$CD$11))&amp;" · "&amp;IF($CD$11="","",INDEX('Tính'!$O$39:$O$83,$CD$11)))</f>
        <v/>
      </c>
      <c r="J13" s="49">
        <f>IF($CD$11="","",INDEX('Tính'!$J$39:$J$83,$CD$11))</f>
        <v/>
      </c>
      <c r="K13" s="45">
        <f>IF($CD$11="","",INDEX('Tính'!$K$39:$K$83,$CD$11))</f>
        <v/>
      </c>
      <c r="L13" s="46">
        <f>IF($CD$11="","",INDEX('Tính'!$N$39:$N$83,$CD$11))</f>
        <v/>
      </c>
      <c r="M13" s="46">
        <f>IF($CD$11="","",INDEX('Tính'!$M$39:$M$83,$CD$11))</f>
        <v/>
      </c>
      <c r="N13" s="44">
        <f>IF($CD$11="","",IF($CD$11="","",INDEX('Tính'!$P$39:$P$83,$CD$11))&amp;"/"&amp;COUNTIF($BA$3:$BA$22,"?*"))</f>
        <v/>
      </c>
      <c r="BA13">
        <f>'Tính'!B13</f>
        <v/>
      </c>
      <c r="BB13">
        <f>'Tính'!D13</f>
        <v/>
      </c>
      <c r="BC13">
        <f>IF($AZ$1=0,'Tính'!$Z$13,CHOOSE($AZ$1,'Tính'!$G$13,'Tính'!$L$13,'Tính'!$Q$13,'Tính'!$V$13))</f>
        <v/>
      </c>
      <c r="BD13">
        <f>IF($AZ$1=0,'Tính'!$Y$13,CHOOSE($AZ$1,'Tính'!$E$13,'Tính'!$J$13,'Tính'!$O$13,'Tính'!$T$13))</f>
        <v/>
      </c>
      <c r="BE13">
        <f>IF($AZ$1=0,'Tính'!$AB$13,CHOOSE($AZ$1,'Tính'!$I$13,'Tính'!$N$13,'Tính'!$S$13,'Tính'!$X$13))</f>
        <v/>
      </c>
      <c r="BF13">
        <f>IF($AZ$1=0,'Tính'!$AA$13,CHOOSE($AZ$1,'Tính'!$H$13,'Tính'!$M$13,'Tính'!$R$13,'Tính'!$W$13))</f>
        <v/>
      </c>
      <c r="BG13">
        <f>IF(BC13&gt;0,BD13/NgayQua*SoNgay/BC13,IF(BD13&gt;0,1,0))</f>
        <v/>
      </c>
      <c r="BH13">
        <f>IF(CoRTNhom=1,IF(BC13&gt;0,(BD13+BF13)/(NgayQua+1)*SoNgay/BC13,IF(BD13+BF13&gt;0,1,0)),BG13)</f>
        <v/>
      </c>
      <c r="BI13">
        <f>IF(BA13="",-1,IF(BB13="Chính",1000,0)+BG13+(20-11)/100000)</f>
        <v/>
      </c>
      <c r="BJ13">
        <f>IF(LARGE($BI$3:$BI$22,11)&lt;0,"",MATCH(LARGE($BI$3:$BI$22,11),$BI$3:$BI$22,0))</f>
        <v/>
      </c>
      <c r="CA13" t="n">
        <v>11</v>
      </c>
      <c r="CB13">
        <f>IF('Tính'!B49="",0,IF(OR($AZ$1=0,'Tính'!D49=$AZ$1),1,0))</f>
        <v/>
      </c>
      <c r="CC13">
        <f>IF(CB13=1,'Tính'!M49+1+(45-11)/1000000,-1)</f>
        <v/>
      </c>
      <c r="CD13">
        <f>IF(LARGE($CC$3:$CC$47,11)&lt;0,"",MATCH(LARGE($CC$3:$CC$47,11),$CC$3:$CC$47,0))</f>
        <v/>
      </c>
    </row>
    <row r="14">
      <c r="A14" s="43">
        <f>IF($BJ$7="","",INDEX($BA$3:$BA$22,$BJ$7))</f>
        <v/>
      </c>
      <c r="B14" s="44">
        <f>IF($BJ$7="","",INDEX($BB$3:$BB$22,$BJ$7))</f>
        <v/>
      </c>
      <c r="C14" s="45">
        <f>IF($BJ$7="","",INDEX($BC$3:$BC$22,$BJ$7))</f>
        <v/>
      </c>
      <c r="D14" s="45">
        <f>IF($BJ$7="","",INDEX($BD$3:$BD$22,$BJ$7))</f>
        <v/>
      </c>
      <c r="E14" s="46">
        <f>IF(A14="","",IF(C14&gt;0,D14/C14,1))</f>
        <v/>
      </c>
      <c r="F14" s="46">
        <f>IF($BJ$7="","",INDEX($BG$3:$BG$22,$BJ$7))</f>
        <v/>
      </c>
      <c r="H14" s="44">
        <f>IF($CD$12="","",10)</f>
        <v/>
      </c>
      <c r="I14" s="43">
        <f>IF($CD$12="","",IF($CD$12="","",INDEX('Tính'!$F$39:$F$83,$CD$12))&amp;" · "&amp;IF($CD$12="","",INDEX('Tính'!$O$39:$O$83,$CD$12)))</f>
        <v/>
      </c>
      <c r="J14" s="49">
        <f>IF($CD$12="","",INDEX('Tính'!$J$39:$J$83,$CD$12))</f>
        <v/>
      </c>
      <c r="K14" s="45">
        <f>IF($CD$12="","",INDEX('Tính'!$K$39:$K$83,$CD$12))</f>
        <v/>
      </c>
      <c r="L14" s="46">
        <f>IF($CD$12="","",INDEX('Tính'!$N$39:$N$83,$CD$12))</f>
        <v/>
      </c>
      <c r="M14" s="46">
        <f>IF($CD$12="","",INDEX('Tính'!$M$39:$M$83,$CD$12))</f>
        <v/>
      </c>
      <c r="N14" s="44">
        <f>IF($CD$12="","",IF($CD$12="","",INDEX('Tính'!$P$39:$P$83,$CD$12))&amp;"/"&amp;COUNTIF($BA$3:$BA$22,"?*"))</f>
        <v/>
      </c>
      <c r="BA14">
        <f>'Tính'!B14</f>
        <v/>
      </c>
      <c r="BB14">
        <f>'Tính'!D14</f>
        <v/>
      </c>
      <c r="BC14">
        <f>IF($AZ$1=0,'Tính'!$Z$14,CHOOSE($AZ$1,'Tính'!$G$14,'Tính'!$L$14,'Tính'!$Q$14,'Tính'!$V$14))</f>
        <v/>
      </c>
      <c r="BD14">
        <f>IF($AZ$1=0,'Tính'!$Y$14,CHOOSE($AZ$1,'Tính'!$E$14,'Tính'!$J$14,'Tính'!$O$14,'Tính'!$T$14))</f>
        <v/>
      </c>
      <c r="BE14">
        <f>IF($AZ$1=0,'Tính'!$AB$14,CHOOSE($AZ$1,'Tính'!$I$14,'Tính'!$N$14,'Tính'!$S$14,'Tính'!$X$14))</f>
        <v/>
      </c>
      <c r="BF14">
        <f>IF($AZ$1=0,'Tính'!$AA$14,CHOOSE($AZ$1,'Tính'!$H$14,'Tính'!$M$14,'Tính'!$R$14,'Tính'!$W$14))</f>
        <v/>
      </c>
      <c r="BG14">
        <f>IF(BC14&gt;0,BD14/NgayQua*SoNgay/BC14,IF(BD14&gt;0,1,0))</f>
        <v/>
      </c>
      <c r="BH14">
        <f>IF(CoRTNhom=1,IF(BC14&gt;0,(BD14+BF14)/(NgayQua+1)*SoNgay/BC14,IF(BD14+BF14&gt;0,1,0)),BG14)</f>
        <v/>
      </c>
      <c r="BI14">
        <f>IF(BA14="",-1,IF(BB14="Chính",1000,0)+BG14+(20-12)/100000)</f>
        <v/>
      </c>
      <c r="BJ14">
        <f>IF(LARGE($BI$3:$BI$22,12)&lt;0,"",MATCH(LARGE($BI$3:$BI$22,12),$BI$3:$BI$22,0))</f>
        <v/>
      </c>
      <c r="CA14" t="n">
        <v>12</v>
      </c>
      <c r="CB14">
        <f>IF('Tính'!B50="",0,IF(OR($AZ$1=0,'Tính'!D50=$AZ$1),1,0))</f>
        <v/>
      </c>
      <c r="CC14">
        <f>IF(CB14=1,'Tính'!M50+1+(45-12)/1000000,-1)</f>
        <v/>
      </c>
      <c r="CD14">
        <f>IF(LARGE($CC$3:$CC$47,12)&lt;0,"",MATCH(LARGE($CC$3:$CC$47,12),$CC$3:$CC$47,0))</f>
        <v/>
      </c>
    </row>
    <row r="15">
      <c r="A15" s="43">
        <f>IF($BJ$8="","",INDEX($BA$3:$BA$22,$BJ$8))</f>
        <v/>
      </c>
      <c r="B15" s="44">
        <f>IF($BJ$8="","",INDEX($BB$3:$BB$22,$BJ$8))</f>
        <v/>
      </c>
      <c r="C15" s="45">
        <f>IF($BJ$8="","",INDEX($BC$3:$BC$22,$BJ$8))</f>
        <v/>
      </c>
      <c r="D15" s="45">
        <f>IF($BJ$8="","",INDEX($BD$3:$BD$22,$BJ$8))</f>
        <v/>
      </c>
      <c r="E15" s="46">
        <f>IF(A15="","",IF(C15&gt;0,D15/C15,1))</f>
        <v/>
      </c>
      <c r="F15" s="46">
        <f>IF($BJ$8="","",INDEX($BG$3:$BG$22,$BJ$8))</f>
        <v/>
      </c>
      <c r="H15" s="44">
        <f>IF($CD$13="","",11)</f>
        <v/>
      </c>
      <c r="I15" s="43">
        <f>IF($CD$13="","",IF($CD$13="","",INDEX('Tính'!$F$39:$F$83,$CD$13))&amp;" · "&amp;IF($CD$13="","",INDEX('Tính'!$O$39:$O$83,$CD$13)))</f>
        <v/>
      </c>
      <c r="J15" s="49">
        <f>IF($CD$13="","",INDEX('Tính'!$J$39:$J$83,$CD$13))</f>
        <v/>
      </c>
      <c r="K15" s="45">
        <f>IF($CD$13="","",INDEX('Tính'!$K$39:$K$83,$CD$13))</f>
        <v/>
      </c>
      <c r="L15" s="46">
        <f>IF($CD$13="","",INDEX('Tính'!$N$39:$N$83,$CD$13))</f>
        <v/>
      </c>
      <c r="M15" s="46">
        <f>IF($CD$13="","",INDEX('Tính'!$M$39:$M$83,$CD$13))</f>
        <v/>
      </c>
      <c r="N15" s="44">
        <f>IF($CD$13="","",IF($CD$13="","",INDEX('Tính'!$P$39:$P$83,$CD$13))&amp;"/"&amp;COUNTIF($BA$3:$BA$22,"?*"))</f>
        <v/>
      </c>
      <c r="BA15">
        <f>'Tính'!B15</f>
        <v/>
      </c>
      <c r="BB15">
        <f>'Tính'!D15</f>
        <v/>
      </c>
      <c r="BC15">
        <f>IF($AZ$1=0,'Tính'!$Z$15,CHOOSE($AZ$1,'Tính'!$G$15,'Tính'!$L$15,'Tính'!$Q$15,'Tính'!$V$15))</f>
        <v/>
      </c>
      <c r="BD15">
        <f>IF($AZ$1=0,'Tính'!$Y$15,CHOOSE($AZ$1,'Tính'!$E$15,'Tính'!$J$15,'Tính'!$O$15,'Tính'!$T$15))</f>
        <v/>
      </c>
      <c r="BE15">
        <f>IF($AZ$1=0,'Tính'!$AB$15,CHOOSE($AZ$1,'Tính'!$I$15,'Tính'!$N$15,'Tính'!$S$15,'Tính'!$X$15))</f>
        <v/>
      </c>
      <c r="BF15">
        <f>IF($AZ$1=0,'Tính'!$AA$15,CHOOSE($AZ$1,'Tính'!$H$15,'Tính'!$M$15,'Tính'!$R$15,'Tính'!$W$15))</f>
        <v/>
      </c>
      <c r="BG15">
        <f>IF(BC15&gt;0,BD15/NgayQua*SoNgay/BC15,IF(BD15&gt;0,1,0))</f>
        <v/>
      </c>
      <c r="BH15">
        <f>IF(CoRTNhom=1,IF(BC15&gt;0,(BD15+BF15)/(NgayQua+1)*SoNgay/BC15,IF(BD15+BF15&gt;0,1,0)),BG15)</f>
        <v/>
      </c>
      <c r="BI15">
        <f>IF(BA15="",-1,IF(BB15="Chính",1000,0)+BG15+(20-13)/100000)</f>
        <v/>
      </c>
      <c r="BJ15">
        <f>IF(LARGE($BI$3:$BI$22,13)&lt;0,"",MATCH(LARGE($BI$3:$BI$22,13),$BI$3:$BI$22,0))</f>
        <v/>
      </c>
      <c r="CA15" t="n">
        <v>13</v>
      </c>
      <c r="CB15">
        <f>IF('Tính'!B51="",0,IF(OR($AZ$1=0,'Tính'!D51=$AZ$1),1,0))</f>
        <v/>
      </c>
      <c r="CC15">
        <f>IF(CB15=1,'Tính'!M51+1+(45-13)/1000000,-1)</f>
        <v/>
      </c>
      <c r="CD15">
        <f>IF(LARGE($CC$3:$CC$47,13)&lt;0,"",MATCH(LARGE($CC$3:$CC$47,13),$CC$3:$CC$47,0))</f>
        <v/>
      </c>
    </row>
    <row r="16">
      <c r="A16" s="43">
        <f>IF($BJ$9="","",INDEX($BA$3:$BA$22,$BJ$9))</f>
        <v/>
      </c>
      <c r="B16" s="44">
        <f>IF($BJ$9="","",INDEX($BB$3:$BB$22,$BJ$9))</f>
        <v/>
      </c>
      <c r="C16" s="45">
        <f>IF($BJ$9="","",INDEX($BC$3:$BC$22,$BJ$9))</f>
        <v/>
      </c>
      <c r="D16" s="45">
        <f>IF($BJ$9="","",INDEX($BD$3:$BD$22,$BJ$9))</f>
        <v/>
      </c>
      <c r="E16" s="46">
        <f>IF(A16="","",IF(C16&gt;0,D16/C16,1))</f>
        <v/>
      </c>
      <c r="F16" s="46">
        <f>IF($BJ$9="","",INDEX($BG$3:$BG$22,$BJ$9))</f>
        <v/>
      </c>
      <c r="H16" s="44">
        <f>IF($CD$14="","",12)</f>
        <v/>
      </c>
      <c r="I16" s="43">
        <f>IF($CD$14="","",IF($CD$14="","",INDEX('Tính'!$F$39:$F$83,$CD$14))&amp;" · "&amp;IF($CD$14="","",INDEX('Tính'!$O$39:$O$83,$CD$14)))</f>
        <v/>
      </c>
      <c r="J16" s="49">
        <f>IF($CD$14="","",INDEX('Tính'!$J$39:$J$83,$CD$14))</f>
        <v/>
      </c>
      <c r="K16" s="45">
        <f>IF($CD$14="","",INDEX('Tính'!$K$39:$K$83,$CD$14))</f>
        <v/>
      </c>
      <c r="L16" s="46">
        <f>IF($CD$14="","",INDEX('Tính'!$N$39:$N$83,$CD$14))</f>
        <v/>
      </c>
      <c r="M16" s="46">
        <f>IF($CD$14="","",INDEX('Tính'!$M$39:$M$83,$CD$14))</f>
        <v/>
      </c>
      <c r="N16" s="44">
        <f>IF($CD$14="","",IF($CD$14="","",INDEX('Tính'!$P$39:$P$83,$CD$14))&amp;"/"&amp;COUNTIF($BA$3:$BA$22,"?*"))</f>
        <v/>
      </c>
      <c r="BA16">
        <f>'Tính'!B16</f>
        <v/>
      </c>
      <c r="BB16">
        <f>'Tính'!D16</f>
        <v/>
      </c>
      <c r="BC16">
        <f>IF($AZ$1=0,'Tính'!$Z$16,CHOOSE($AZ$1,'Tính'!$G$16,'Tính'!$L$16,'Tính'!$Q$16,'Tính'!$V$16))</f>
        <v/>
      </c>
      <c r="BD16">
        <f>IF($AZ$1=0,'Tính'!$Y$16,CHOOSE($AZ$1,'Tính'!$E$16,'Tính'!$J$16,'Tính'!$O$16,'Tính'!$T$16))</f>
        <v/>
      </c>
      <c r="BE16">
        <f>IF($AZ$1=0,'Tính'!$AB$16,CHOOSE($AZ$1,'Tính'!$I$16,'Tính'!$N$16,'Tính'!$S$16,'Tính'!$X$16))</f>
        <v/>
      </c>
      <c r="BF16">
        <f>IF($AZ$1=0,'Tính'!$AA$16,CHOOSE($AZ$1,'Tính'!$H$16,'Tính'!$M$16,'Tính'!$R$16,'Tính'!$W$16))</f>
        <v/>
      </c>
      <c r="BG16">
        <f>IF(BC16&gt;0,BD16/NgayQua*SoNgay/BC16,IF(BD16&gt;0,1,0))</f>
        <v/>
      </c>
      <c r="BH16">
        <f>IF(CoRTNhom=1,IF(BC16&gt;0,(BD16+BF16)/(NgayQua+1)*SoNgay/BC16,IF(BD16+BF16&gt;0,1,0)),BG16)</f>
        <v/>
      </c>
      <c r="BI16">
        <f>IF(BA16="",-1,IF(BB16="Chính",1000,0)+BG16+(20-14)/100000)</f>
        <v/>
      </c>
      <c r="BJ16">
        <f>IF(LARGE($BI$3:$BI$22,14)&lt;0,"",MATCH(LARGE($BI$3:$BI$22,14),$BI$3:$BI$22,0))</f>
        <v/>
      </c>
      <c r="CA16" t="n">
        <v>14</v>
      </c>
      <c r="CB16">
        <f>IF('Tính'!B52="",0,IF(OR($AZ$1=0,'Tính'!D52=$AZ$1),1,0))</f>
        <v/>
      </c>
      <c r="CC16">
        <f>IF(CB16=1,'Tính'!M52+1+(45-14)/1000000,-1)</f>
        <v/>
      </c>
      <c r="CD16">
        <f>IF(LARGE($CC$3:$CC$47,14)&lt;0,"",MATCH(LARGE($CC$3:$CC$47,14),$CC$3:$CC$47,0))</f>
        <v/>
      </c>
    </row>
    <row r="17">
      <c r="A17" s="43">
        <f>IF($BJ$10="","",INDEX($BA$3:$BA$22,$BJ$10))</f>
        <v/>
      </c>
      <c r="B17" s="44">
        <f>IF($BJ$10="","",INDEX($BB$3:$BB$22,$BJ$10))</f>
        <v/>
      </c>
      <c r="C17" s="45">
        <f>IF($BJ$10="","",INDEX($BC$3:$BC$22,$BJ$10))</f>
        <v/>
      </c>
      <c r="D17" s="45">
        <f>IF($BJ$10="","",INDEX($BD$3:$BD$22,$BJ$10))</f>
        <v/>
      </c>
      <c r="E17" s="46">
        <f>IF(A17="","",IF(C17&gt;0,D17/C17,1))</f>
        <v/>
      </c>
      <c r="F17" s="46">
        <f>IF($BJ$10="","",INDEX($BG$3:$BG$22,$BJ$10))</f>
        <v/>
      </c>
      <c r="H17" s="44">
        <f>IF($CD$15="","",13)</f>
        <v/>
      </c>
      <c r="I17" s="43">
        <f>IF($CD$15="","",IF($CD$15="","",INDEX('Tính'!$F$39:$F$83,$CD$15))&amp;" · "&amp;IF($CD$15="","",INDEX('Tính'!$O$39:$O$83,$CD$15)))</f>
        <v/>
      </c>
      <c r="J17" s="49">
        <f>IF($CD$15="","",INDEX('Tính'!$J$39:$J$83,$CD$15))</f>
        <v/>
      </c>
      <c r="K17" s="45">
        <f>IF($CD$15="","",INDEX('Tính'!$K$39:$K$83,$CD$15))</f>
        <v/>
      </c>
      <c r="L17" s="46">
        <f>IF($CD$15="","",INDEX('Tính'!$N$39:$N$83,$CD$15))</f>
        <v/>
      </c>
      <c r="M17" s="46">
        <f>IF($CD$15="","",INDEX('Tính'!$M$39:$M$83,$CD$15))</f>
        <v/>
      </c>
      <c r="N17" s="44">
        <f>IF($CD$15="","",IF($CD$15="","",INDEX('Tính'!$P$39:$P$83,$CD$15))&amp;"/"&amp;COUNTIF($BA$3:$BA$22,"?*"))</f>
        <v/>
      </c>
      <c r="BA17">
        <f>'Tính'!B17</f>
        <v/>
      </c>
      <c r="BB17">
        <f>'Tính'!D17</f>
        <v/>
      </c>
      <c r="BC17">
        <f>IF($AZ$1=0,'Tính'!$Z$17,CHOOSE($AZ$1,'Tính'!$G$17,'Tính'!$L$17,'Tính'!$Q$17,'Tính'!$V$17))</f>
        <v/>
      </c>
      <c r="BD17">
        <f>IF($AZ$1=0,'Tính'!$Y$17,CHOOSE($AZ$1,'Tính'!$E$17,'Tính'!$J$17,'Tính'!$O$17,'Tính'!$T$17))</f>
        <v/>
      </c>
      <c r="BE17">
        <f>IF($AZ$1=0,'Tính'!$AB$17,CHOOSE($AZ$1,'Tính'!$I$17,'Tính'!$N$17,'Tính'!$S$17,'Tính'!$X$17))</f>
        <v/>
      </c>
      <c r="BF17">
        <f>IF($AZ$1=0,'Tính'!$AA$17,CHOOSE($AZ$1,'Tính'!$H$17,'Tính'!$M$17,'Tính'!$R$17,'Tính'!$W$17))</f>
        <v/>
      </c>
      <c r="BG17">
        <f>IF(BC17&gt;0,BD17/NgayQua*SoNgay/BC17,IF(BD17&gt;0,1,0))</f>
        <v/>
      </c>
      <c r="BH17">
        <f>IF(CoRTNhom=1,IF(BC17&gt;0,(BD17+BF17)/(NgayQua+1)*SoNgay/BC17,IF(BD17+BF17&gt;0,1,0)),BG17)</f>
        <v/>
      </c>
      <c r="BI17">
        <f>IF(BA17="",-1,IF(BB17="Chính",1000,0)+BG17+(20-15)/100000)</f>
        <v/>
      </c>
      <c r="BJ17">
        <f>IF(LARGE($BI$3:$BI$22,15)&lt;0,"",MATCH(LARGE($BI$3:$BI$22,15),$BI$3:$BI$22,0))</f>
        <v/>
      </c>
      <c r="CA17" t="n">
        <v>15</v>
      </c>
      <c r="CB17">
        <f>IF('Tính'!B53="",0,IF(OR($AZ$1=0,'Tính'!D53=$AZ$1),1,0))</f>
        <v/>
      </c>
      <c r="CC17">
        <f>IF(CB17=1,'Tính'!M53+1+(45-15)/1000000,-1)</f>
        <v/>
      </c>
      <c r="CD17">
        <f>IF(LARGE($CC$3:$CC$47,15)&lt;0,"",MATCH(LARGE($CC$3:$CC$47,15),$CC$3:$CC$47,0))</f>
        <v/>
      </c>
    </row>
    <row r="18">
      <c r="A18" s="43">
        <f>IF($BJ$11="","",INDEX($BA$3:$BA$22,$BJ$11))</f>
        <v/>
      </c>
      <c r="B18" s="44">
        <f>IF($BJ$11="","",INDEX($BB$3:$BB$22,$BJ$11))</f>
        <v/>
      </c>
      <c r="C18" s="45">
        <f>IF($BJ$11="","",INDEX($BC$3:$BC$22,$BJ$11))</f>
        <v/>
      </c>
      <c r="D18" s="45">
        <f>IF($BJ$11="","",INDEX($BD$3:$BD$22,$BJ$11))</f>
        <v/>
      </c>
      <c r="E18" s="46">
        <f>IF(A18="","",IF(C18&gt;0,D18/C18,1))</f>
        <v/>
      </c>
      <c r="F18" s="46">
        <f>IF($BJ$11="","",INDEX($BG$3:$BG$22,$BJ$11))</f>
        <v/>
      </c>
      <c r="H18" s="44">
        <f>IF($CD$16="","",14)</f>
        <v/>
      </c>
      <c r="I18" s="43">
        <f>IF($CD$16="","",IF($CD$16="","",INDEX('Tính'!$F$39:$F$83,$CD$16))&amp;" · "&amp;IF($CD$16="","",INDEX('Tính'!$O$39:$O$83,$CD$16)))</f>
        <v/>
      </c>
      <c r="J18" s="49">
        <f>IF($CD$16="","",INDEX('Tính'!$J$39:$J$83,$CD$16))</f>
        <v/>
      </c>
      <c r="K18" s="45">
        <f>IF($CD$16="","",INDEX('Tính'!$K$39:$K$83,$CD$16))</f>
        <v/>
      </c>
      <c r="L18" s="46">
        <f>IF($CD$16="","",INDEX('Tính'!$N$39:$N$83,$CD$16))</f>
        <v/>
      </c>
      <c r="M18" s="46">
        <f>IF($CD$16="","",INDEX('Tính'!$M$39:$M$83,$CD$16))</f>
        <v/>
      </c>
      <c r="N18" s="44">
        <f>IF($CD$16="","",IF($CD$16="","",INDEX('Tính'!$P$39:$P$83,$CD$16))&amp;"/"&amp;COUNTIF($BA$3:$BA$22,"?*"))</f>
        <v/>
      </c>
      <c r="BA18">
        <f>'Tính'!B18</f>
        <v/>
      </c>
      <c r="BB18">
        <f>'Tính'!D18</f>
        <v/>
      </c>
      <c r="BC18">
        <f>IF($AZ$1=0,'Tính'!$Z$18,CHOOSE($AZ$1,'Tính'!$G$18,'Tính'!$L$18,'Tính'!$Q$18,'Tính'!$V$18))</f>
        <v/>
      </c>
      <c r="BD18">
        <f>IF($AZ$1=0,'Tính'!$Y$18,CHOOSE($AZ$1,'Tính'!$E$18,'Tính'!$J$18,'Tính'!$O$18,'Tính'!$T$18))</f>
        <v/>
      </c>
      <c r="BE18">
        <f>IF($AZ$1=0,'Tính'!$AB$18,CHOOSE($AZ$1,'Tính'!$I$18,'Tính'!$N$18,'Tính'!$S$18,'Tính'!$X$18))</f>
        <v/>
      </c>
      <c r="BF18">
        <f>IF($AZ$1=0,'Tính'!$AA$18,CHOOSE($AZ$1,'Tính'!$H$18,'Tính'!$M$18,'Tính'!$R$18,'Tính'!$W$18))</f>
        <v/>
      </c>
      <c r="BG18">
        <f>IF(BC18&gt;0,BD18/NgayQua*SoNgay/BC18,IF(BD18&gt;0,1,0))</f>
        <v/>
      </c>
      <c r="BH18">
        <f>IF(CoRTNhom=1,IF(BC18&gt;0,(BD18+BF18)/(NgayQua+1)*SoNgay/BC18,IF(BD18+BF18&gt;0,1,0)),BG18)</f>
        <v/>
      </c>
      <c r="BI18">
        <f>IF(BA18="",-1,IF(BB18="Chính",1000,0)+BG18+(20-16)/100000)</f>
        <v/>
      </c>
      <c r="BJ18">
        <f>IF(LARGE($BI$3:$BI$22,16)&lt;0,"",MATCH(LARGE($BI$3:$BI$22,16),$BI$3:$BI$22,0))</f>
        <v/>
      </c>
      <c r="CA18" t="n">
        <v>16</v>
      </c>
      <c r="CB18">
        <f>IF('Tính'!B54="",0,IF(OR($AZ$1=0,'Tính'!D54=$AZ$1),1,0))</f>
        <v/>
      </c>
      <c r="CC18">
        <f>IF(CB18=1,'Tính'!M54+1+(45-16)/1000000,-1)</f>
        <v/>
      </c>
      <c r="CD18">
        <f>IF(LARGE($CC$3:$CC$47,16)&lt;0,"",MATCH(LARGE($CC$3:$CC$47,16),$CC$3:$CC$47,0))</f>
        <v/>
      </c>
    </row>
    <row r="19">
      <c r="A19" s="43">
        <f>IF($BJ$12="","",INDEX($BA$3:$BA$22,$BJ$12))</f>
        <v/>
      </c>
      <c r="B19" s="44">
        <f>IF($BJ$12="","",INDEX($BB$3:$BB$22,$BJ$12))</f>
        <v/>
      </c>
      <c r="C19" s="45">
        <f>IF($BJ$12="","",INDEX($BC$3:$BC$22,$BJ$12))</f>
        <v/>
      </c>
      <c r="D19" s="45">
        <f>IF($BJ$12="","",INDEX($BD$3:$BD$22,$BJ$12))</f>
        <v/>
      </c>
      <c r="E19" s="46">
        <f>IF(A19="","",IF(C19&gt;0,D19/C19,1))</f>
        <v/>
      </c>
      <c r="F19" s="46">
        <f>IF($BJ$12="","",INDEX($BG$3:$BG$22,$BJ$12))</f>
        <v/>
      </c>
      <c r="H19" s="44">
        <f>IF($CD$17="","",15)</f>
        <v/>
      </c>
      <c r="I19" s="43">
        <f>IF($CD$17="","",IF($CD$17="","",INDEX('Tính'!$F$39:$F$83,$CD$17))&amp;" · "&amp;IF($CD$17="","",INDEX('Tính'!$O$39:$O$83,$CD$17)))</f>
        <v/>
      </c>
      <c r="J19" s="49">
        <f>IF($CD$17="","",INDEX('Tính'!$J$39:$J$83,$CD$17))</f>
        <v/>
      </c>
      <c r="K19" s="45">
        <f>IF($CD$17="","",INDEX('Tính'!$K$39:$K$83,$CD$17))</f>
        <v/>
      </c>
      <c r="L19" s="46">
        <f>IF($CD$17="","",INDEX('Tính'!$N$39:$N$83,$CD$17))</f>
        <v/>
      </c>
      <c r="M19" s="46">
        <f>IF($CD$17="","",INDEX('Tính'!$M$39:$M$83,$CD$17))</f>
        <v/>
      </c>
      <c r="N19" s="44">
        <f>IF($CD$17="","",IF($CD$17="","",INDEX('Tính'!$P$39:$P$83,$CD$17))&amp;"/"&amp;COUNTIF($BA$3:$BA$22,"?*"))</f>
        <v/>
      </c>
      <c r="BA19">
        <f>'Tính'!B19</f>
        <v/>
      </c>
      <c r="BB19">
        <f>'Tính'!D19</f>
        <v/>
      </c>
      <c r="BC19">
        <f>IF($AZ$1=0,'Tính'!$Z$19,CHOOSE($AZ$1,'Tính'!$G$19,'Tính'!$L$19,'Tính'!$Q$19,'Tính'!$V$19))</f>
        <v/>
      </c>
      <c r="BD19">
        <f>IF($AZ$1=0,'Tính'!$Y$19,CHOOSE($AZ$1,'Tính'!$E$19,'Tính'!$J$19,'Tính'!$O$19,'Tính'!$T$19))</f>
        <v/>
      </c>
      <c r="BE19">
        <f>IF($AZ$1=0,'Tính'!$AB$19,CHOOSE($AZ$1,'Tính'!$I$19,'Tính'!$N$19,'Tính'!$S$19,'Tính'!$X$19))</f>
        <v/>
      </c>
      <c r="BF19">
        <f>IF($AZ$1=0,'Tính'!$AA$19,CHOOSE($AZ$1,'Tính'!$H$19,'Tính'!$M$19,'Tính'!$R$19,'Tính'!$W$19))</f>
        <v/>
      </c>
      <c r="BG19">
        <f>IF(BC19&gt;0,BD19/NgayQua*SoNgay/BC19,IF(BD19&gt;0,1,0))</f>
        <v/>
      </c>
      <c r="BH19">
        <f>IF(CoRTNhom=1,IF(BC19&gt;0,(BD19+BF19)/(NgayQua+1)*SoNgay/BC19,IF(BD19+BF19&gt;0,1,0)),BG19)</f>
        <v/>
      </c>
      <c r="BI19">
        <f>IF(BA19="",-1,IF(BB19="Chính",1000,0)+BG19+(20-17)/100000)</f>
        <v/>
      </c>
      <c r="BJ19">
        <f>IF(LARGE($BI$3:$BI$22,17)&lt;0,"",MATCH(LARGE($BI$3:$BI$22,17),$BI$3:$BI$22,0))</f>
        <v/>
      </c>
      <c r="CA19" t="n">
        <v>17</v>
      </c>
      <c r="CB19">
        <f>IF('Tính'!B55="",0,IF(OR($AZ$1=0,'Tính'!D55=$AZ$1),1,0))</f>
        <v/>
      </c>
      <c r="CC19">
        <f>IF(CB19=1,'Tính'!M55+1+(45-17)/1000000,-1)</f>
        <v/>
      </c>
      <c r="CD19">
        <f>IF(LARGE($CC$3:$CC$47,17)&lt;0,"",MATCH(LARGE($CC$3:$CC$47,17),$CC$3:$CC$47,0))</f>
        <v/>
      </c>
    </row>
    <row r="20">
      <c r="A20" s="43">
        <f>IF($BJ$13="","",INDEX($BA$3:$BA$22,$BJ$13))</f>
        <v/>
      </c>
      <c r="B20" s="44">
        <f>IF($BJ$13="","",INDEX($BB$3:$BB$22,$BJ$13))</f>
        <v/>
      </c>
      <c r="C20" s="45">
        <f>IF($BJ$13="","",INDEX($BC$3:$BC$22,$BJ$13))</f>
        <v/>
      </c>
      <c r="D20" s="45">
        <f>IF($BJ$13="","",INDEX($BD$3:$BD$22,$BJ$13))</f>
        <v/>
      </c>
      <c r="E20" s="46">
        <f>IF(A20="","",IF(C20&gt;0,D20/C20,1))</f>
        <v/>
      </c>
      <c r="F20" s="46">
        <f>IF($BJ$13="","",INDEX($BG$3:$BG$22,$BJ$13))</f>
        <v/>
      </c>
      <c r="H20" s="44">
        <f>IF($CD$18="","",16)</f>
        <v/>
      </c>
      <c r="I20" s="43">
        <f>IF($CD$18="","",IF($CD$18="","",INDEX('Tính'!$F$39:$F$83,$CD$18))&amp;" · "&amp;IF($CD$18="","",INDEX('Tính'!$O$39:$O$83,$CD$18)))</f>
        <v/>
      </c>
      <c r="J20" s="49">
        <f>IF($CD$18="","",INDEX('Tính'!$J$39:$J$83,$CD$18))</f>
        <v/>
      </c>
      <c r="K20" s="45">
        <f>IF($CD$18="","",INDEX('Tính'!$K$39:$K$83,$CD$18))</f>
        <v/>
      </c>
      <c r="L20" s="46">
        <f>IF($CD$18="","",INDEX('Tính'!$N$39:$N$83,$CD$18))</f>
        <v/>
      </c>
      <c r="M20" s="46">
        <f>IF($CD$18="","",INDEX('Tính'!$M$39:$M$83,$CD$18))</f>
        <v/>
      </c>
      <c r="N20" s="44">
        <f>IF($CD$18="","",IF($CD$18="","",INDEX('Tính'!$P$39:$P$83,$CD$18))&amp;"/"&amp;COUNTIF($BA$3:$BA$22,"?*"))</f>
        <v/>
      </c>
      <c r="BA20">
        <f>'Tính'!B20</f>
        <v/>
      </c>
      <c r="BB20">
        <f>'Tính'!D20</f>
        <v/>
      </c>
      <c r="BC20">
        <f>IF($AZ$1=0,'Tính'!$Z$20,CHOOSE($AZ$1,'Tính'!$G$20,'Tính'!$L$20,'Tính'!$Q$20,'Tính'!$V$20))</f>
        <v/>
      </c>
      <c r="BD20">
        <f>IF($AZ$1=0,'Tính'!$Y$20,CHOOSE($AZ$1,'Tính'!$E$20,'Tính'!$J$20,'Tính'!$O$20,'Tính'!$T$20))</f>
        <v/>
      </c>
      <c r="BE20">
        <f>IF($AZ$1=0,'Tính'!$AB$20,CHOOSE($AZ$1,'Tính'!$I$20,'Tính'!$N$20,'Tính'!$S$20,'Tính'!$X$20))</f>
        <v/>
      </c>
      <c r="BF20">
        <f>IF($AZ$1=0,'Tính'!$AA$20,CHOOSE($AZ$1,'Tính'!$H$20,'Tính'!$M$20,'Tính'!$R$20,'Tính'!$W$20))</f>
        <v/>
      </c>
      <c r="BG20">
        <f>IF(BC20&gt;0,BD20/NgayQua*SoNgay/BC20,IF(BD20&gt;0,1,0))</f>
        <v/>
      </c>
      <c r="BH20">
        <f>IF(CoRTNhom=1,IF(BC20&gt;0,(BD20+BF20)/(NgayQua+1)*SoNgay/BC20,IF(BD20+BF20&gt;0,1,0)),BG20)</f>
        <v/>
      </c>
      <c r="BI20">
        <f>IF(BA20="",-1,IF(BB20="Chính",1000,0)+BG20+(20-18)/100000)</f>
        <v/>
      </c>
      <c r="BJ20">
        <f>IF(LARGE($BI$3:$BI$22,18)&lt;0,"",MATCH(LARGE($BI$3:$BI$22,18),$BI$3:$BI$22,0))</f>
        <v/>
      </c>
      <c r="CA20" t="n">
        <v>18</v>
      </c>
      <c r="CB20">
        <f>IF('Tính'!B56="",0,IF(OR($AZ$1=0,'Tính'!D56=$AZ$1),1,0))</f>
        <v/>
      </c>
      <c r="CC20">
        <f>IF(CB20=1,'Tính'!M56+1+(45-18)/1000000,-1)</f>
        <v/>
      </c>
      <c r="CD20">
        <f>IF(LARGE($CC$3:$CC$47,18)&lt;0,"",MATCH(LARGE($CC$3:$CC$47,18),$CC$3:$CC$47,0))</f>
        <v/>
      </c>
    </row>
    <row r="21">
      <c r="A21" s="43">
        <f>IF($BJ$14="","",INDEX($BA$3:$BA$22,$BJ$14))</f>
        <v/>
      </c>
      <c r="B21" s="44">
        <f>IF($BJ$14="","",INDEX($BB$3:$BB$22,$BJ$14))</f>
        <v/>
      </c>
      <c r="C21" s="45">
        <f>IF($BJ$14="","",INDEX($BC$3:$BC$22,$BJ$14))</f>
        <v/>
      </c>
      <c r="D21" s="45">
        <f>IF($BJ$14="","",INDEX($BD$3:$BD$22,$BJ$14))</f>
        <v/>
      </c>
      <c r="E21" s="46">
        <f>IF(A21="","",IF(C21&gt;0,D21/C21,1))</f>
        <v/>
      </c>
      <c r="F21" s="46">
        <f>IF($BJ$14="","",INDEX($BG$3:$BG$22,$BJ$14))</f>
        <v/>
      </c>
      <c r="H21" s="44">
        <f>IF($CD$19="","",17)</f>
        <v/>
      </c>
      <c r="I21" s="43">
        <f>IF($CD$19="","",IF($CD$19="","",INDEX('Tính'!$F$39:$F$83,$CD$19))&amp;" · "&amp;IF($CD$19="","",INDEX('Tính'!$O$39:$O$83,$CD$19)))</f>
        <v/>
      </c>
      <c r="J21" s="49">
        <f>IF($CD$19="","",INDEX('Tính'!$J$39:$J$83,$CD$19))</f>
        <v/>
      </c>
      <c r="K21" s="45">
        <f>IF($CD$19="","",INDEX('Tính'!$K$39:$K$83,$CD$19))</f>
        <v/>
      </c>
      <c r="L21" s="46">
        <f>IF($CD$19="","",INDEX('Tính'!$N$39:$N$83,$CD$19))</f>
        <v/>
      </c>
      <c r="M21" s="46">
        <f>IF($CD$19="","",INDEX('Tính'!$M$39:$M$83,$CD$19))</f>
        <v/>
      </c>
      <c r="N21" s="44">
        <f>IF($CD$19="","",IF($CD$19="","",INDEX('Tính'!$P$39:$P$83,$CD$19))&amp;"/"&amp;COUNTIF($BA$3:$BA$22,"?*"))</f>
        <v/>
      </c>
      <c r="BA21">
        <f>'Tính'!B21</f>
        <v/>
      </c>
      <c r="BB21">
        <f>'Tính'!D21</f>
        <v/>
      </c>
      <c r="BC21">
        <f>IF($AZ$1=0,'Tính'!$Z$21,CHOOSE($AZ$1,'Tính'!$G$21,'Tính'!$L$21,'Tính'!$Q$21,'Tính'!$V$21))</f>
        <v/>
      </c>
      <c r="BD21">
        <f>IF($AZ$1=0,'Tính'!$Y$21,CHOOSE($AZ$1,'Tính'!$E$21,'Tính'!$J$21,'Tính'!$O$21,'Tính'!$T$21))</f>
        <v/>
      </c>
      <c r="BE21">
        <f>IF($AZ$1=0,'Tính'!$AB$21,CHOOSE($AZ$1,'Tính'!$I$21,'Tính'!$N$21,'Tính'!$S$21,'Tính'!$X$21))</f>
        <v/>
      </c>
      <c r="BF21">
        <f>IF($AZ$1=0,'Tính'!$AA$21,CHOOSE($AZ$1,'Tính'!$H$21,'Tính'!$M$21,'Tính'!$R$21,'Tính'!$W$21))</f>
        <v/>
      </c>
      <c r="BG21">
        <f>IF(BC21&gt;0,BD21/NgayQua*SoNgay/BC21,IF(BD21&gt;0,1,0))</f>
        <v/>
      </c>
      <c r="BH21">
        <f>IF(CoRTNhom=1,IF(BC21&gt;0,(BD21+BF21)/(NgayQua+1)*SoNgay/BC21,IF(BD21+BF21&gt;0,1,0)),BG21)</f>
        <v/>
      </c>
      <c r="BI21">
        <f>IF(BA21="",-1,IF(BB21="Chính",1000,0)+BG21+(20-19)/100000)</f>
        <v/>
      </c>
      <c r="BJ21">
        <f>IF(LARGE($BI$3:$BI$22,19)&lt;0,"",MATCH(LARGE($BI$3:$BI$22,19),$BI$3:$BI$22,0))</f>
        <v/>
      </c>
      <c r="CA21" t="n">
        <v>19</v>
      </c>
      <c r="CB21">
        <f>IF('Tính'!B57="",0,IF(OR($AZ$1=0,'Tính'!D57=$AZ$1),1,0))</f>
        <v/>
      </c>
      <c r="CC21">
        <f>IF(CB21=1,'Tính'!M57+1+(45-19)/1000000,-1)</f>
        <v/>
      </c>
      <c r="CD21">
        <f>IF(LARGE($CC$3:$CC$47,19)&lt;0,"",MATCH(LARGE($CC$3:$CC$47,19),$CC$3:$CC$47,0))</f>
        <v/>
      </c>
    </row>
    <row r="22">
      <c r="A22" s="43">
        <f>IF($BJ$15="","",INDEX($BA$3:$BA$22,$BJ$15))</f>
        <v/>
      </c>
      <c r="B22" s="44">
        <f>IF($BJ$15="","",INDEX($BB$3:$BB$22,$BJ$15))</f>
        <v/>
      </c>
      <c r="C22" s="45">
        <f>IF($BJ$15="","",INDEX($BC$3:$BC$22,$BJ$15))</f>
        <v/>
      </c>
      <c r="D22" s="45">
        <f>IF($BJ$15="","",INDEX($BD$3:$BD$22,$BJ$15))</f>
        <v/>
      </c>
      <c r="E22" s="46">
        <f>IF(A22="","",IF(C22&gt;0,D22/C22,1))</f>
        <v/>
      </c>
      <c r="F22" s="46">
        <f>IF($BJ$15="","",INDEX($BG$3:$BG$22,$BJ$15))</f>
        <v/>
      </c>
      <c r="H22" s="44">
        <f>IF($CD$20="","",18)</f>
        <v/>
      </c>
      <c r="I22" s="43">
        <f>IF($CD$20="","",IF($CD$20="","",INDEX('Tính'!$F$39:$F$83,$CD$20))&amp;" · "&amp;IF($CD$20="","",INDEX('Tính'!$O$39:$O$83,$CD$20)))</f>
        <v/>
      </c>
      <c r="J22" s="49">
        <f>IF($CD$20="","",INDEX('Tính'!$J$39:$J$83,$CD$20))</f>
        <v/>
      </c>
      <c r="K22" s="45">
        <f>IF($CD$20="","",INDEX('Tính'!$K$39:$K$83,$CD$20))</f>
        <v/>
      </c>
      <c r="L22" s="46">
        <f>IF($CD$20="","",INDEX('Tính'!$N$39:$N$83,$CD$20))</f>
        <v/>
      </c>
      <c r="M22" s="46">
        <f>IF($CD$20="","",INDEX('Tính'!$M$39:$M$83,$CD$20))</f>
        <v/>
      </c>
      <c r="N22" s="44">
        <f>IF($CD$20="","",IF($CD$20="","",INDEX('Tính'!$P$39:$P$83,$CD$20))&amp;"/"&amp;COUNTIF($BA$3:$BA$22,"?*"))</f>
        <v/>
      </c>
      <c r="BA22">
        <f>'Tính'!B22</f>
        <v/>
      </c>
      <c r="BB22">
        <f>'Tính'!D22</f>
        <v/>
      </c>
      <c r="BC22">
        <f>IF($AZ$1=0,'Tính'!$Z$22,CHOOSE($AZ$1,'Tính'!$G$22,'Tính'!$L$22,'Tính'!$Q$22,'Tính'!$V$22))</f>
        <v/>
      </c>
      <c r="BD22">
        <f>IF($AZ$1=0,'Tính'!$Y$22,CHOOSE($AZ$1,'Tính'!$E$22,'Tính'!$J$22,'Tính'!$O$22,'Tính'!$T$22))</f>
        <v/>
      </c>
      <c r="BE22">
        <f>IF($AZ$1=0,'Tính'!$AB$22,CHOOSE($AZ$1,'Tính'!$I$22,'Tính'!$N$22,'Tính'!$S$22,'Tính'!$X$22))</f>
        <v/>
      </c>
      <c r="BF22">
        <f>IF($AZ$1=0,'Tính'!$AA$22,CHOOSE($AZ$1,'Tính'!$H$22,'Tính'!$M$22,'Tính'!$R$22,'Tính'!$W$22))</f>
        <v/>
      </c>
      <c r="BG22">
        <f>IF(BC22&gt;0,BD22/NgayQua*SoNgay/BC22,IF(BD22&gt;0,1,0))</f>
        <v/>
      </c>
      <c r="BH22">
        <f>IF(CoRTNhom=1,IF(BC22&gt;0,(BD22+BF22)/(NgayQua+1)*SoNgay/BC22,IF(BD22+BF22&gt;0,1,0)),BG22)</f>
        <v/>
      </c>
      <c r="BI22">
        <f>IF(BA22="",-1,IF(BB22="Chính",1000,0)+BG22+(20-20)/100000)</f>
        <v/>
      </c>
      <c r="BJ22">
        <f>IF(LARGE($BI$3:$BI$22,20)&lt;0,"",MATCH(LARGE($BI$3:$BI$22,20),$BI$3:$BI$22,0))</f>
        <v/>
      </c>
      <c r="CA22" t="n">
        <v>20</v>
      </c>
      <c r="CB22">
        <f>IF('Tính'!B58="",0,IF(OR($AZ$1=0,'Tính'!D58=$AZ$1),1,0))</f>
        <v/>
      </c>
      <c r="CC22">
        <f>IF(CB22=1,'Tính'!M58+1+(45-20)/1000000,-1)</f>
        <v/>
      </c>
      <c r="CD22">
        <f>IF(LARGE($CC$3:$CC$47,20)&lt;0,"",MATCH(LARGE($CC$3:$CC$47,20),$CC$3:$CC$47,0))</f>
        <v/>
      </c>
    </row>
    <row r="23">
      <c r="A23" s="43">
        <f>IF($BJ$16="","",INDEX($BA$3:$BA$22,$BJ$16))</f>
        <v/>
      </c>
      <c r="B23" s="44">
        <f>IF($BJ$16="","",INDEX($BB$3:$BB$22,$BJ$16))</f>
        <v/>
      </c>
      <c r="C23" s="45">
        <f>IF($BJ$16="","",INDEX($BC$3:$BC$22,$BJ$16))</f>
        <v/>
      </c>
      <c r="D23" s="45">
        <f>IF($BJ$16="","",INDEX($BD$3:$BD$22,$BJ$16))</f>
        <v/>
      </c>
      <c r="E23" s="46">
        <f>IF(A23="","",IF(C23&gt;0,D23/C23,1))</f>
        <v/>
      </c>
      <c r="F23" s="46">
        <f>IF($BJ$16="","",INDEX($BG$3:$BG$22,$BJ$16))</f>
        <v/>
      </c>
      <c r="H23" s="44">
        <f>IF($CD$21="","",19)</f>
        <v/>
      </c>
      <c r="I23" s="43">
        <f>IF($CD$21="","",IF($CD$21="","",INDEX('Tính'!$F$39:$F$83,$CD$21))&amp;" · "&amp;IF($CD$21="","",INDEX('Tính'!$O$39:$O$83,$CD$21)))</f>
        <v/>
      </c>
      <c r="J23" s="49">
        <f>IF($CD$21="","",INDEX('Tính'!$J$39:$J$83,$CD$21))</f>
        <v/>
      </c>
      <c r="K23" s="45">
        <f>IF($CD$21="","",INDEX('Tính'!$K$39:$K$83,$CD$21))</f>
        <v/>
      </c>
      <c r="L23" s="46">
        <f>IF($CD$21="","",INDEX('Tính'!$N$39:$N$83,$CD$21))</f>
        <v/>
      </c>
      <c r="M23" s="46">
        <f>IF($CD$21="","",INDEX('Tính'!$M$39:$M$83,$CD$21))</f>
        <v/>
      </c>
      <c r="N23" s="44">
        <f>IF($CD$21="","",IF($CD$21="","",INDEX('Tính'!$P$39:$P$83,$CD$21))&amp;"/"&amp;COUNTIF($BA$3:$BA$22,"?*"))</f>
        <v/>
      </c>
      <c r="CA23" t="n">
        <v>21</v>
      </c>
      <c r="CB23">
        <f>IF('Tính'!B59="",0,IF(OR($AZ$1=0,'Tính'!D59=$AZ$1),1,0))</f>
        <v/>
      </c>
      <c r="CC23">
        <f>IF(CB23=1,'Tính'!M59+1+(45-21)/1000000,-1)</f>
        <v/>
      </c>
      <c r="CD23">
        <f>IF(LARGE($CC$3:$CC$47,21)&lt;0,"",MATCH(LARGE($CC$3:$CC$47,21),$CC$3:$CC$47,0))</f>
        <v/>
      </c>
    </row>
    <row r="24">
      <c r="A24" s="43">
        <f>IF($BJ$17="","",INDEX($BA$3:$BA$22,$BJ$17))</f>
        <v/>
      </c>
      <c r="B24" s="44">
        <f>IF($BJ$17="","",INDEX($BB$3:$BB$22,$BJ$17))</f>
        <v/>
      </c>
      <c r="C24" s="45">
        <f>IF($BJ$17="","",INDEX($BC$3:$BC$22,$BJ$17))</f>
        <v/>
      </c>
      <c r="D24" s="45">
        <f>IF($BJ$17="","",INDEX($BD$3:$BD$22,$BJ$17))</f>
        <v/>
      </c>
      <c r="E24" s="46">
        <f>IF(A24="","",IF(C24&gt;0,D24/C24,1))</f>
        <v/>
      </c>
      <c r="F24" s="46">
        <f>IF($BJ$17="","",INDEX($BG$3:$BG$22,$BJ$17))</f>
        <v/>
      </c>
      <c r="H24" s="44">
        <f>IF($CD$22="","",20)</f>
        <v/>
      </c>
      <c r="I24" s="43">
        <f>IF($CD$22="","",IF($CD$22="","",INDEX('Tính'!$F$39:$F$83,$CD$22))&amp;" · "&amp;IF($CD$22="","",INDEX('Tính'!$O$39:$O$83,$CD$22)))</f>
        <v/>
      </c>
      <c r="J24" s="49">
        <f>IF($CD$22="","",INDEX('Tính'!$J$39:$J$83,$CD$22))</f>
        <v/>
      </c>
      <c r="K24" s="45">
        <f>IF($CD$22="","",INDEX('Tính'!$K$39:$K$83,$CD$22))</f>
        <v/>
      </c>
      <c r="L24" s="46">
        <f>IF($CD$22="","",INDEX('Tính'!$N$39:$N$83,$CD$22))</f>
        <v/>
      </c>
      <c r="M24" s="46">
        <f>IF($CD$22="","",INDEX('Tính'!$M$39:$M$83,$CD$22))</f>
        <v/>
      </c>
      <c r="N24" s="44">
        <f>IF($CD$22="","",IF($CD$22="","",INDEX('Tính'!$P$39:$P$83,$CD$22))&amp;"/"&amp;COUNTIF($BA$3:$BA$22,"?*"))</f>
        <v/>
      </c>
      <c r="CA24" t="n">
        <v>22</v>
      </c>
      <c r="CB24">
        <f>IF('Tính'!B60="",0,IF(OR($AZ$1=0,'Tính'!D60=$AZ$1),1,0))</f>
        <v/>
      </c>
      <c r="CC24">
        <f>IF(CB24=1,'Tính'!M60+1+(45-22)/1000000,-1)</f>
        <v/>
      </c>
      <c r="CD24">
        <f>IF(LARGE($CC$3:$CC$47,22)&lt;0,"",MATCH(LARGE($CC$3:$CC$47,22),$CC$3:$CC$47,0))</f>
        <v/>
      </c>
    </row>
    <row r="25">
      <c r="A25" s="43">
        <f>IF($BJ$18="","",INDEX($BA$3:$BA$22,$BJ$18))</f>
        <v/>
      </c>
      <c r="B25" s="44">
        <f>IF($BJ$18="","",INDEX($BB$3:$BB$22,$BJ$18))</f>
        <v/>
      </c>
      <c r="C25" s="45">
        <f>IF($BJ$18="","",INDEX($BC$3:$BC$22,$BJ$18))</f>
        <v/>
      </c>
      <c r="D25" s="45">
        <f>IF($BJ$18="","",INDEX($BD$3:$BD$22,$BJ$18))</f>
        <v/>
      </c>
      <c r="E25" s="46">
        <f>IF(A25="","",IF(C25&gt;0,D25/C25,1))</f>
        <v/>
      </c>
      <c r="F25" s="46">
        <f>IF($BJ$18="","",INDEX($BG$3:$BG$22,$BJ$18))</f>
        <v/>
      </c>
      <c r="CA25" t="n">
        <v>23</v>
      </c>
      <c r="CB25">
        <f>IF('Tính'!B61="",0,IF(OR($AZ$1=0,'Tính'!D61=$AZ$1),1,0))</f>
        <v/>
      </c>
      <c r="CC25">
        <f>IF(CB25=1,'Tính'!M61+1+(45-23)/1000000,-1)</f>
        <v/>
      </c>
      <c r="CD25">
        <f>IF(LARGE($CC$3:$CC$47,23)&lt;0,"",MATCH(LARGE($CC$3:$CC$47,23),$CC$3:$CC$47,0))</f>
        <v/>
      </c>
    </row>
    <row r="26">
      <c r="A26" s="43">
        <f>IF($BJ$19="","",INDEX($BA$3:$BA$22,$BJ$19))</f>
        <v/>
      </c>
      <c r="B26" s="44">
        <f>IF($BJ$19="","",INDEX($BB$3:$BB$22,$BJ$19))</f>
        <v/>
      </c>
      <c r="C26" s="45">
        <f>IF($BJ$19="","",INDEX($BC$3:$BC$22,$BJ$19))</f>
        <v/>
      </c>
      <c r="D26" s="45">
        <f>IF($BJ$19="","",INDEX($BD$3:$BD$22,$BJ$19))</f>
        <v/>
      </c>
      <c r="E26" s="46">
        <f>IF(A26="","",IF(C26&gt;0,D26/C26,1))</f>
        <v/>
      </c>
      <c r="F26" s="46">
        <f>IF($BJ$19="","",INDEX($BG$3:$BG$22,$BJ$19))</f>
        <v/>
      </c>
      <c r="I26" s="56" t="inlineStr">
        <is>
          <t>Nhóm hàng</t>
        </is>
      </c>
      <c r="J26" s="47" t="inlineStr">
        <is>
          <t>Cả shop</t>
        </is>
      </c>
      <c r="K26" s="57">
        <f>IF($CD$3="","",IF($CD$3="","",INDEX('Tính'!$F$39:$F$83,$CD$3)))</f>
        <v/>
      </c>
      <c r="L26" s="57">
        <f>IF($CD$4="","",IF($CD$4="","",INDEX('Tính'!$F$39:$F$83,$CD$4)))</f>
        <v/>
      </c>
      <c r="M26" s="57">
        <f>IF($CD$5="","",IF($CD$5="","",INDEX('Tính'!$F$39:$F$83,$CD$5)))</f>
        <v/>
      </c>
      <c r="N26" s="57">
        <f>IF($CD$6="","",IF($CD$6="","",INDEX('Tính'!$F$39:$F$83,$CD$6)))</f>
        <v/>
      </c>
      <c r="O26" s="57">
        <f>IF($CD$7="","",IF($CD$7="","",INDEX('Tính'!$F$39:$F$83,$CD$7)))</f>
        <v/>
      </c>
      <c r="P26" s="57">
        <f>IF($CD$8="","",IF($CD$8="","",INDEX('Tính'!$F$39:$F$83,$CD$8)))</f>
        <v/>
      </c>
      <c r="Q26" s="57">
        <f>IF($CD$9="","",IF($CD$9="","",INDEX('Tính'!$F$39:$F$83,$CD$9)))</f>
        <v/>
      </c>
      <c r="R26" s="57">
        <f>IF($CD$10="","",IF($CD$10="","",INDEX('Tính'!$F$39:$F$83,$CD$10)))</f>
        <v/>
      </c>
      <c r="S26" s="57">
        <f>IF($CD$11="","",IF($CD$11="","",INDEX('Tính'!$F$39:$F$83,$CD$11)))</f>
        <v/>
      </c>
      <c r="T26" s="57">
        <f>IF($CD$12="","",IF($CD$12="","",INDEX('Tính'!$F$39:$F$83,$CD$12)))</f>
        <v/>
      </c>
      <c r="U26" s="57">
        <f>IF($CD$13="","",IF($CD$13="","",INDEX('Tính'!$F$39:$F$83,$CD$13)))</f>
        <v/>
      </c>
      <c r="V26" s="57">
        <f>IF($CD$14="","",IF($CD$14="","",INDEX('Tính'!$F$39:$F$83,$CD$14)))</f>
        <v/>
      </c>
      <c r="W26" s="57">
        <f>IF($CD$15="","",IF($CD$15="","",INDEX('Tính'!$F$39:$F$83,$CD$15)))</f>
        <v/>
      </c>
      <c r="X26" s="57">
        <f>IF($CD$16="","",IF($CD$16="","",INDEX('Tính'!$F$39:$F$83,$CD$16)))</f>
        <v/>
      </c>
      <c r="Y26" s="57">
        <f>IF($CD$17="","",IF($CD$17="","",INDEX('Tính'!$F$39:$F$83,$CD$17)))</f>
        <v/>
      </c>
      <c r="Z26" s="57">
        <f>IF($CD$18="","",IF($CD$18="","",INDEX('Tính'!$F$39:$F$83,$CD$18)))</f>
        <v/>
      </c>
      <c r="AA26" s="57">
        <f>IF($CD$19="","",IF($CD$19="","",INDEX('Tính'!$F$39:$F$83,$CD$19)))</f>
        <v/>
      </c>
      <c r="AB26" s="57">
        <f>IF($CD$20="","",IF($CD$20="","",INDEX('Tính'!$F$39:$F$83,$CD$20)))</f>
        <v/>
      </c>
      <c r="AC26" s="57">
        <f>IF($CD$21="","",IF($CD$21="","",INDEX('Tính'!$F$39:$F$83,$CD$21)))</f>
        <v/>
      </c>
      <c r="AD26" s="57">
        <f>IF($CD$22="","",IF($CD$22="","",INDEX('Tính'!$F$39:$F$83,$CD$22)))</f>
        <v/>
      </c>
      <c r="CA26" t="n">
        <v>24</v>
      </c>
      <c r="CB26">
        <f>IF('Tính'!B62="",0,IF(OR($AZ$1=0,'Tính'!D62=$AZ$1),1,0))</f>
        <v/>
      </c>
      <c r="CC26">
        <f>IF(CB26=1,'Tính'!M62+1+(45-24)/1000000,-1)</f>
        <v/>
      </c>
      <c r="CD26">
        <f>IF(LARGE($CC$3:$CC$47,24)&lt;0,"",MATCH(LARGE($CC$3:$CC$47,24),$CC$3:$CC$47,0))</f>
        <v/>
      </c>
    </row>
    <row r="27">
      <c r="A27" s="43">
        <f>IF($BJ$20="","",INDEX($BA$3:$BA$22,$BJ$20))</f>
        <v/>
      </c>
      <c r="B27" s="44">
        <f>IF($BJ$20="","",INDEX($BB$3:$BB$22,$BJ$20))</f>
        <v/>
      </c>
      <c r="C27" s="45">
        <f>IF($BJ$20="","",INDEX($BC$3:$BC$22,$BJ$20))</f>
        <v/>
      </c>
      <c r="D27" s="45">
        <f>IF($BJ$20="","",INDEX($BD$3:$BD$22,$BJ$20))</f>
        <v/>
      </c>
      <c r="E27" s="46">
        <f>IF(A27="","",IF(C27&gt;0,D27/C27,1))</f>
        <v/>
      </c>
      <c r="F27" s="46">
        <f>IF($BJ$20="","",INDEX($BG$3:$BG$22,$BJ$20))</f>
        <v/>
      </c>
      <c r="I27" s="58">
        <f>A10</f>
        <v/>
      </c>
      <c r="J27" s="59">
        <f>IF($I27="","",F10)</f>
        <v/>
      </c>
      <c r="K27" s="59">
        <f>IF(OR($I27="",$K$26=""),"",INDEX('Tính'!$C$182:$V$226,$CD$3,$BJ$3))</f>
        <v/>
      </c>
      <c r="L27" s="59">
        <f>IF(OR($I27="",$L$26=""),"",INDEX('Tính'!$C$182:$V$226,$CD$4,$BJ$3))</f>
        <v/>
      </c>
      <c r="M27" s="59">
        <f>IF(OR($I27="",$M$26=""),"",INDEX('Tính'!$C$182:$V$226,$CD$5,$BJ$3))</f>
        <v/>
      </c>
      <c r="N27" s="59">
        <f>IF(OR($I27="",$N$26=""),"",INDEX('Tính'!$C$182:$V$226,$CD$6,$BJ$3))</f>
        <v/>
      </c>
      <c r="O27" s="59">
        <f>IF(OR($I27="",$O$26=""),"",INDEX('Tính'!$C$182:$V$226,$CD$7,$BJ$3))</f>
        <v/>
      </c>
      <c r="P27" s="59">
        <f>IF(OR($I27="",$P$26=""),"",INDEX('Tính'!$C$182:$V$226,$CD$8,$BJ$3))</f>
        <v/>
      </c>
      <c r="Q27" s="59">
        <f>IF(OR($I27="",$Q$26=""),"",INDEX('Tính'!$C$182:$V$226,$CD$9,$BJ$3))</f>
        <v/>
      </c>
      <c r="R27" s="59">
        <f>IF(OR($I27="",$R$26=""),"",INDEX('Tính'!$C$182:$V$226,$CD$10,$BJ$3))</f>
        <v/>
      </c>
      <c r="S27" s="59">
        <f>IF(OR($I27="",$S$26=""),"",INDEX('Tính'!$C$182:$V$226,$CD$11,$BJ$3))</f>
        <v/>
      </c>
      <c r="T27" s="59">
        <f>IF(OR($I27="",$T$26=""),"",INDEX('Tính'!$C$182:$V$226,$CD$12,$BJ$3))</f>
        <v/>
      </c>
      <c r="U27" s="59">
        <f>IF(OR($I27="",$U$26=""),"",INDEX('Tính'!$C$182:$V$226,$CD$13,$BJ$3))</f>
        <v/>
      </c>
      <c r="V27" s="59">
        <f>IF(OR($I27="",$V$26=""),"",INDEX('Tính'!$C$182:$V$226,$CD$14,$BJ$3))</f>
        <v/>
      </c>
      <c r="W27" s="59">
        <f>IF(OR($I27="",$W$26=""),"",INDEX('Tính'!$C$182:$V$226,$CD$15,$BJ$3))</f>
        <v/>
      </c>
      <c r="X27" s="59">
        <f>IF(OR($I27="",$X$26=""),"",INDEX('Tính'!$C$182:$V$226,$CD$16,$BJ$3))</f>
        <v/>
      </c>
      <c r="Y27" s="59">
        <f>IF(OR($I27="",$Y$26=""),"",INDEX('Tính'!$C$182:$V$226,$CD$17,$BJ$3))</f>
        <v/>
      </c>
      <c r="Z27" s="59">
        <f>IF(OR($I27="",$Z$26=""),"",INDEX('Tính'!$C$182:$V$226,$CD$18,$BJ$3))</f>
        <v/>
      </c>
      <c r="AA27" s="59">
        <f>IF(OR($I27="",$AA$26=""),"",INDEX('Tính'!$C$182:$V$226,$CD$19,$BJ$3))</f>
        <v/>
      </c>
      <c r="AB27" s="59">
        <f>IF(OR($I27="",$AB$26=""),"",INDEX('Tính'!$C$182:$V$226,$CD$20,$BJ$3))</f>
        <v/>
      </c>
      <c r="AC27" s="59">
        <f>IF(OR($I27="",$AC$26=""),"",INDEX('Tính'!$C$182:$V$226,$CD$21,$BJ$3))</f>
        <v/>
      </c>
      <c r="AD27" s="59">
        <f>IF(OR($I27="",$AD$26=""),"",INDEX('Tính'!$C$182:$V$226,$CD$22,$BJ$3))</f>
        <v/>
      </c>
      <c r="CA27" t="n">
        <v>25</v>
      </c>
      <c r="CB27">
        <f>IF('Tính'!B63="",0,IF(OR($AZ$1=0,'Tính'!D63=$AZ$1),1,0))</f>
        <v/>
      </c>
      <c r="CC27">
        <f>IF(CB27=1,'Tính'!M63+1+(45-25)/1000000,-1)</f>
        <v/>
      </c>
      <c r="CD27">
        <f>IF(LARGE($CC$3:$CC$47,25)&lt;0,"",MATCH(LARGE($CC$3:$CC$47,25),$CC$3:$CC$47,0))</f>
        <v/>
      </c>
    </row>
    <row r="28">
      <c r="A28" s="43">
        <f>IF($BJ$21="","",INDEX($BA$3:$BA$22,$BJ$21))</f>
        <v/>
      </c>
      <c r="B28" s="44">
        <f>IF($BJ$21="","",INDEX($BB$3:$BB$22,$BJ$21))</f>
        <v/>
      </c>
      <c r="C28" s="45">
        <f>IF($BJ$21="","",INDEX($BC$3:$BC$22,$BJ$21))</f>
        <v/>
      </c>
      <c r="D28" s="45">
        <f>IF($BJ$21="","",INDEX($BD$3:$BD$22,$BJ$21))</f>
        <v/>
      </c>
      <c r="E28" s="46">
        <f>IF(A28="","",IF(C28&gt;0,D28/C28,1))</f>
        <v/>
      </c>
      <c r="F28" s="46">
        <f>IF($BJ$21="","",INDEX($BG$3:$BG$22,$BJ$21))</f>
        <v/>
      </c>
      <c r="I28" s="58">
        <f>A11</f>
        <v/>
      </c>
      <c r="J28" s="59">
        <f>IF($I28="","",F11)</f>
        <v/>
      </c>
      <c r="K28" s="59">
        <f>IF(OR($I28="",$K$26=""),"",INDEX('Tính'!$C$182:$V$226,$CD$3,$BJ$4))</f>
        <v/>
      </c>
      <c r="L28" s="59">
        <f>IF(OR($I28="",$L$26=""),"",INDEX('Tính'!$C$182:$V$226,$CD$4,$BJ$4))</f>
        <v/>
      </c>
      <c r="M28" s="59">
        <f>IF(OR($I28="",$M$26=""),"",INDEX('Tính'!$C$182:$V$226,$CD$5,$BJ$4))</f>
        <v/>
      </c>
      <c r="N28" s="59">
        <f>IF(OR($I28="",$N$26=""),"",INDEX('Tính'!$C$182:$V$226,$CD$6,$BJ$4))</f>
        <v/>
      </c>
      <c r="O28" s="59">
        <f>IF(OR($I28="",$O$26=""),"",INDEX('Tính'!$C$182:$V$226,$CD$7,$BJ$4))</f>
        <v/>
      </c>
      <c r="P28" s="59">
        <f>IF(OR($I28="",$P$26=""),"",INDEX('Tính'!$C$182:$V$226,$CD$8,$BJ$4))</f>
        <v/>
      </c>
      <c r="Q28" s="59">
        <f>IF(OR($I28="",$Q$26=""),"",INDEX('Tính'!$C$182:$V$226,$CD$9,$BJ$4))</f>
        <v/>
      </c>
      <c r="R28" s="59">
        <f>IF(OR($I28="",$R$26=""),"",INDEX('Tính'!$C$182:$V$226,$CD$10,$BJ$4))</f>
        <v/>
      </c>
      <c r="S28" s="59">
        <f>IF(OR($I28="",$S$26=""),"",INDEX('Tính'!$C$182:$V$226,$CD$11,$BJ$4))</f>
        <v/>
      </c>
      <c r="T28" s="59">
        <f>IF(OR($I28="",$T$26=""),"",INDEX('Tính'!$C$182:$V$226,$CD$12,$BJ$4))</f>
        <v/>
      </c>
      <c r="U28" s="59">
        <f>IF(OR($I28="",$U$26=""),"",INDEX('Tính'!$C$182:$V$226,$CD$13,$BJ$4))</f>
        <v/>
      </c>
      <c r="V28" s="59">
        <f>IF(OR($I28="",$V$26=""),"",INDEX('Tính'!$C$182:$V$226,$CD$14,$BJ$4))</f>
        <v/>
      </c>
      <c r="W28" s="59">
        <f>IF(OR($I28="",$W$26=""),"",INDEX('Tính'!$C$182:$V$226,$CD$15,$BJ$4))</f>
        <v/>
      </c>
      <c r="X28" s="59">
        <f>IF(OR($I28="",$X$26=""),"",INDEX('Tính'!$C$182:$V$226,$CD$16,$BJ$4))</f>
        <v/>
      </c>
      <c r="Y28" s="59">
        <f>IF(OR($I28="",$Y$26=""),"",INDEX('Tính'!$C$182:$V$226,$CD$17,$BJ$4))</f>
        <v/>
      </c>
      <c r="Z28" s="59">
        <f>IF(OR($I28="",$Z$26=""),"",INDEX('Tính'!$C$182:$V$226,$CD$18,$BJ$4))</f>
        <v/>
      </c>
      <c r="AA28" s="59">
        <f>IF(OR($I28="",$AA$26=""),"",INDEX('Tính'!$C$182:$V$226,$CD$19,$BJ$4))</f>
        <v/>
      </c>
      <c r="AB28" s="59">
        <f>IF(OR($I28="",$AB$26=""),"",INDEX('Tính'!$C$182:$V$226,$CD$20,$BJ$4))</f>
        <v/>
      </c>
      <c r="AC28" s="59">
        <f>IF(OR($I28="",$AC$26=""),"",INDEX('Tính'!$C$182:$V$226,$CD$21,$BJ$4))</f>
        <v/>
      </c>
      <c r="AD28" s="59">
        <f>IF(OR($I28="",$AD$26=""),"",INDEX('Tính'!$C$182:$V$226,$CD$22,$BJ$4))</f>
        <v/>
      </c>
      <c r="CA28" t="n">
        <v>26</v>
      </c>
      <c r="CB28">
        <f>IF('Tính'!B64="",0,IF(OR($AZ$1=0,'Tính'!D64=$AZ$1),1,0))</f>
        <v/>
      </c>
      <c r="CC28">
        <f>IF(CB28=1,'Tính'!M64+1+(45-26)/1000000,-1)</f>
        <v/>
      </c>
      <c r="CD28">
        <f>IF(LARGE($CC$3:$CC$47,26)&lt;0,"",MATCH(LARGE($CC$3:$CC$47,26),$CC$3:$CC$47,0))</f>
        <v/>
      </c>
    </row>
    <row r="29">
      <c r="A29" s="43">
        <f>IF($BJ$22="","",INDEX($BA$3:$BA$22,$BJ$22))</f>
        <v/>
      </c>
      <c r="B29" s="44">
        <f>IF($BJ$22="","",INDEX($BB$3:$BB$22,$BJ$22))</f>
        <v/>
      </c>
      <c r="C29" s="45">
        <f>IF($BJ$22="","",INDEX($BC$3:$BC$22,$BJ$22))</f>
        <v/>
      </c>
      <c r="D29" s="45">
        <f>IF($BJ$22="","",INDEX($BD$3:$BD$22,$BJ$22))</f>
        <v/>
      </c>
      <c r="E29" s="46">
        <f>IF(A29="","",IF(C29&gt;0,D29/C29,1))</f>
        <v/>
      </c>
      <c r="F29" s="46">
        <f>IF($BJ$22="","",INDEX($BG$3:$BG$22,$BJ$22))</f>
        <v/>
      </c>
      <c r="I29" s="58">
        <f>A12</f>
        <v/>
      </c>
      <c r="J29" s="59">
        <f>IF($I29="","",F12)</f>
        <v/>
      </c>
      <c r="K29" s="59">
        <f>IF(OR($I29="",$K$26=""),"",INDEX('Tính'!$C$182:$V$226,$CD$3,$BJ$5))</f>
        <v/>
      </c>
      <c r="L29" s="59">
        <f>IF(OR($I29="",$L$26=""),"",INDEX('Tính'!$C$182:$V$226,$CD$4,$BJ$5))</f>
        <v/>
      </c>
      <c r="M29" s="59">
        <f>IF(OR($I29="",$M$26=""),"",INDEX('Tính'!$C$182:$V$226,$CD$5,$BJ$5))</f>
        <v/>
      </c>
      <c r="N29" s="59">
        <f>IF(OR($I29="",$N$26=""),"",INDEX('Tính'!$C$182:$V$226,$CD$6,$BJ$5))</f>
        <v/>
      </c>
      <c r="O29" s="59">
        <f>IF(OR($I29="",$O$26=""),"",INDEX('Tính'!$C$182:$V$226,$CD$7,$BJ$5))</f>
        <v/>
      </c>
      <c r="P29" s="59">
        <f>IF(OR($I29="",$P$26=""),"",INDEX('Tính'!$C$182:$V$226,$CD$8,$BJ$5))</f>
        <v/>
      </c>
      <c r="Q29" s="59">
        <f>IF(OR($I29="",$Q$26=""),"",INDEX('Tính'!$C$182:$V$226,$CD$9,$BJ$5))</f>
        <v/>
      </c>
      <c r="R29" s="59">
        <f>IF(OR($I29="",$R$26=""),"",INDEX('Tính'!$C$182:$V$226,$CD$10,$BJ$5))</f>
        <v/>
      </c>
      <c r="S29" s="59">
        <f>IF(OR($I29="",$S$26=""),"",INDEX('Tính'!$C$182:$V$226,$CD$11,$BJ$5))</f>
        <v/>
      </c>
      <c r="T29" s="59">
        <f>IF(OR($I29="",$T$26=""),"",INDEX('Tính'!$C$182:$V$226,$CD$12,$BJ$5))</f>
        <v/>
      </c>
      <c r="U29" s="59">
        <f>IF(OR($I29="",$U$26=""),"",INDEX('Tính'!$C$182:$V$226,$CD$13,$BJ$5))</f>
        <v/>
      </c>
      <c r="V29" s="59">
        <f>IF(OR($I29="",$V$26=""),"",INDEX('Tính'!$C$182:$V$226,$CD$14,$BJ$5))</f>
        <v/>
      </c>
      <c r="W29" s="59">
        <f>IF(OR($I29="",$W$26=""),"",INDEX('Tính'!$C$182:$V$226,$CD$15,$BJ$5))</f>
        <v/>
      </c>
      <c r="X29" s="59">
        <f>IF(OR($I29="",$X$26=""),"",INDEX('Tính'!$C$182:$V$226,$CD$16,$BJ$5))</f>
        <v/>
      </c>
      <c r="Y29" s="59">
        <f>IF(OR($I29="",$Y$26=""),"",INDEX('Tính'!$C$182:$V$226,$CD$17,$BJ$5))</f>
        <v/>
      </c>
      <c r="Z29" s="59">
        <f>IF(OR($I29="",$Z$26=""),"",INDEX('Tính'!$C$182:$V$226,$CD$18,$BJ$5))</f>
        <v/>
      </c>
      <c r="AA29" s="59">
        <f>IF(OR($I29="",$AA$26=""),"",INDEX('Tính'!$C$182:$V$226,$CD$19,$BJ$5))</f>
        <v/>
      </c>
      <c r="AB29" s="59">
        <f>IF(OR($I29="",$AB$26=""),"",INDEX('Tính'!$C$182:$V$226,$CD$20,$BJ$5))</f>
        <v/>
      </c>
      <c r="AC29" s="59">
        <f>IF(OR($I29="",$AC$26=""),"",INDEX('Tính'!$C$182:$V$226,$CD$21,$BJ$5))</f>
        <v/>
      </c>
      <c r="AD29" s="59">
        <f>IF(OR($I29="",$AD$26=""),"",INDEX('Tính'!$C$182:$V$226,$CD$22,$BJ$5))</f>
        <v/>
      </c>
      <c r="CA29" t="n">
        <v>27</v>
      </c>
      <c r="CB29">
        <f>IF('Tính'!B65="",0,IF(OR($AZ$1=0,'Tính'!D65=$AZ$1),1,0))</f>
        <v/>
      </c>
      <c r="CC29">
        <f>IF(CB29=1,'Tính'!M65+1+(45-27)/1000000,-1)</f>
        <v/>
      </c>
      <c r="CD29">
        <f>IF(LARGE($CC$3:$CC$47,27)&lt;0,"",MATCH(LARGE($CC$3:$CC$47,27),$CC$3:$CC$47,0))</f>
        <v/>
      </c>
    </row>
    <row r="30">
      <c r="I30" s="58">
        <f>A13</f>
        <v/>
      </c>
      <c r="J30" s="59">
        <f>IF($I30="","",F13)</f>
        <v/>
      </c>
      <c r="K30" s="59">
        <f>IF(OR($I30="",$K$26=""),"",INDEX('Tính'!$C$182:$V$226,$CD$3,$BJ$6))</f>
        <v/>
      </c>
      <c r="L30" s="59">
        <f>IF(OR($I30="",$L$26=""),"",INDEX('Tính'!$C$182:$V$226,$CD$4,$BJ$6))</f>
        <v/>
      </c>
      <c r="M30" s="59">
        <f>IF(OR($I30="",$M$26=""),"",INDEX('Tính'!$C$182:$V$226,$CD$5,$BJ$6))</f>
        <v/>
      </c>
      <c r="N30" s="59">
        <f>IF(OR($I30="",$N$26=""),"",INDEX('Tính'!$C$182:$V$226,$CD$6,$BJ$6))</f>
        <v/>
      </c>
      <c r="O30" s="59">
        <f>IF(OR($I30="",$O$26=""),"",INDEX('Tính'!$C$182:$V$226,$CD$7,$BJ$6))</f>
        <v/>
      </c>
      <c r="P30" s="59">
        <f>IF(OR($I30="",$P$26=""),"",INDEX('Tính'!$C$182:$V$226,$CD$8,$BJ$6))</f>
        <v/>
      </c>
      <c r="Q30" s="59">
        <f>IF(OR($I30="",$Q$26=""),"",INDEX('Tính'!$C$182:$V$226,$CD$9,$BJ$6))</f>
        <v/>
      </c>
      <c r="R30" s="59">
        <f>IF(OR($I30="",$R$26=""),"",INDEX('Tính'!$C$182:$V$226,$CD$10,$BJ$6))</f>
        <v/>
      </c>
      <c r="S30" s="59">
        <f>IF(OR($I30="",$S$26=""),"",INDEX('Tính'!$C$182:$V$226,$CD$11,$BJ$6))</f>
        <v/>
      </c>
      <c r="T30" s="59">
        <f>IF(OR($I30="",$T$26=""),"",INDEX('Tính'!$C$182:$V$226,$CD$12,$BJ$6))</f>
        <v/>
      </c>
      <c r="U30" s="59">
        <f>IF(OR($I30="",$U$26=""),"",INDEX('Tính'!$C$182:$V$226,$CD$13,$BJ$6))</f>
        <v/>
      </c>
      <c r="V30" s="59">
        <f>IF(OR($I30="",$V$26=""),"",INDEX('Tính'!$C$182:$V$226,$CD$14,$BJ$6))</f>
        <v/>
      </c>
      <c r="W30" s="59">
        <f>IF(OR($I30="",$W$26=""),"",INDEX('Tính'!$C$182:$V$226,$CD$15,$BJ$6))</f>
        <v/>
      </c>
      <c r="X30" s="59">
        <f>IF(OR($I30="",$X$26=""),"",INDEX('Tính'!$C$182:$V$226,$CD$16,$BJ$6))</f>
        <v/>
      </c>
      <c r="Y30" s="59">
        <f>IF(OR($I30="",$Y$26=""),"",INDEX('Tính'!$C$182:$V$226,$CD$17,$BJ$6))</f>
        <v/>
      </c>
      <c r="Z30" s="59">
        <f>IF(OR($I30="",$Z$26=""),"",INDEX('Tính'!$C$182:$V$226,$CD$18,$BJ$6))</f>
        <v/>
      </c>
      <c r="AA30" s="59">
        <f>IF(OR($I30="",$AA$26=""),"",INDEX('Tính'!$C$182:$V$226,$CD$19,$BJ$6))</f>
        <v/>
      </c>
      <c r="AB30" s="59">
        <f>IF(OR($I30="",$AB$26=""),"",INDEX('Tính'!$C$182:$V$226,$CD$20,$BJ$6))</f>
        <v/>
      </c>
      <c r="AC30" s="59">
        <f>IF(OR($I30="",$AC$26=""),"",INDEX('Tính'!$C$182:$V$226,$CD$21,$BJ$6))</f>
        <v/>
      </c>
      <c r="AD30" s="59">
        <f>IF(OR($I30="",$AD$26=""),"",INDEX('Tính'!$C$182:$V$226,$CD$22,$BJ$6))</f>
        <v/>
      </c>
      <c r="CA30" t="n">
        <v>28</v>
      </c>
      <c r="CB30">
        <f>IF('Tính'!B66="",0,IF(OR($AZ$1=0,'Tính'!D66=$AZ$1),1,0))</f>
        <v/>
      </c>
      <c r="CC30">
        <f>IF(CB30=1,'Tính'!M66+1+(45-28)/1000000,-1)</f>
        <v/>
      </c>
      <c r="CD30">
        <f>IF(LARGE($CC$3:$CC$47,28)&lt;0,"",MATCH(LARGE($CC$3:$CC$47,28),$CC$3:$CC$47,0))</f>
        <v/>
      </c>
    </row>
    <row r="31">
      <c r="I31" s="58">
        <f>A14</f>
        <v/>
      </c>
      <c r="J31" s="59">
        <f>IF($I31="","",F14)</f>
        <v/>
      </c>
      <c r="K31" s="59">
        <f>IF(OR($I31="",$K$26=""),"",INDEX('Tính'!$C$182:$V$226,$CD$3,$BJ$7))</f>
        <v/>
      </c>
      <c r="L31" s="59">
        <f>IF(OR($I31="",$L$26=""),"",INDEX('Tính'!$C$182:$V$226,$CD$4,$BJ$7))</f>
        <v/>
      </c>
      <c r="M31" s="59">
        <f>IF(OR($I31="",$M$26=""),"",INDEX('Tính'!$C$182:$V$226,$CD$5,$BJ$7))</f>
        <v/>
      </c>
      <c r="N31" s="59">
        <f>IF(OR($I31="",$N$26=""),"",INDEX('Tính'!$C$182:$V$226,$CD$6,$BJ$7))</f>
        <v/>
      </c>
      <c r="O31" s="59">
        <f>IF(OR($I31="",$O$26=""),"",INDEX('Tính'!$C$182:$V$226,$CD$7,$BJ$7))</f>
        <v/>
      </c>
      <c r="P31" s="59">
        <f>IF(OR($I31="",$P$26=""),"",INDEX('Tính'!$C$182:$V$226,$CD$8,$BJ$7))</f>
        <v/>
      </c>
      <c r="Q31" s="59">
        <f>IF(OR($I31="",$Q$26=""),"",INDEX('Tính'!$C$182:$V$226,$CD$9,$BJ$7))</f>
        <v/>
      </c>
      <c r="R31" s="59">
        <f>IF(OR($I31="",$R$26=""),"",INDEX('Tính'!$C$182:$V$226,$CD$10,$BJ$7))</f>
        <v/>
      </c>
      <c r="S31" s="59">
        <f>IF(OR($I31="",$S$26=""),"",INDEX('Tính'!$C$182:$V$226,$CD$11,$BJ$7))</f>
        <v/>
      </c>
      <c r="T31" s="59">
        <f>IF(OR($I31="",$T$26=""),"",INDEX('Tính'!$C$182:$V$226,$CD$12,$BJ$7))</f>
        <v/>
      </c>
      <c r="U31" s="59">
        <f>IF(OR($I31="",$U$26=""),"",INDEX('Tính'!$C$182:$V$226,$CD$13,$BJ$7))</f>
        <v/>
      </c>
      <c r="V31" s="59">
        <f>IF(OR($I31="",$V$26=""),"",INDEX('Tính'!$C$182:$V$226,$CD$14,$BJ$7))</f>
        <v/>
      </c>
      <c r="W31" s="59">
        <f>IF(OR($I31="",$W$26=""),"",INDEX('Tính'!$C$182:$V$226,$CD$15,$BJ$7))</f>
        <v/>
      </c>
      <c r="X31" s="59">
        <f>IF(OR($I31="",$X$26=""),"",INDEX('Tính'!$C$182:$V$226,$CD$16,$BJ$7))</f>
        <v/>
      </c>
      <c r="Y31" s="59">
        <f>IF(OR($I31="",$Y$26=""),"",INDEX('Tính'!$C$182:$V$226,$CD$17,$BJ$7))</f>
        <v/>
      </c>
      <c r="Z31" s="59">
        <f>IF(OR($I31="",$Z$26=""),"",INDEX('Tính'!$C$182:$V$226,$CD$18,$BJ$7))</f>
        <v/>
      </c>
      <c r="AA31" s="59">
        <f>IF(OR($I31="",$AA$26=""),"",INDEX('Tính'!$C$182:$V$226,$CD$19,$BJ$7))</f>
        <v/>
      </c>
      <c r="AB31" s="59">
        <f>IF(OR($I31="",$AB$26=""),"",INDEX('Tính'!$C$182:$V$226,$CD$20,$BJ$7))</f>
        <v/>
      </c>
      <c r="AC31" s="59">
        <f>IF(OR($I31="",$AC$26=""),"",INDEX('Tính'!$C$182:$V$226,$CD$21,$BJ$7))</f>
        <v/>
      </c>
      <c r="AD31" s="59">
        <f>IF(OR($I31="",$AD$26=""),"",INDEX('Tính'!$C$182:$V$226,$CD$22,$BJ$7))</f>
        <v/>
      </c>
      <c r="CA31" t="n">
        <v>29</v>
      </c>
      <c r="CB31">
        <f>IF('Tính'!B67="",0,IF(OR($AZ$1=0,'Tính'!D67=$AZ$1),1,0))</f>
        <v/>
      </c>
      <c r="CC31">
        <f>IF(CB31=1,'Tính'!M67+1+(45-29)/1000000,-1)</f>
        <v/>
      </c>
      <c r="CD31">
        <f>IF(LARGE($CC$3:$CC$47,29)&lt;0,"",MATCH(LARGE($CC$3:$CC$47,29),$CC$3:$CC$47,0))</f>
        <v/>
      </c>
    </row>
    <row r="32">
      <c r="I32" s="58">
        <f>A15</f>
        <v/>
      </c>
      <c r="J32" s="59">
        <f>IF($I32="","",F15)</f>
        <v/>
      </c>
      <c r="K32" s="59">
        <f>IF(OR($I32="",$K$26=""),"",INDEX('Tính'!$C$182:$V$226,$CD$3,$BJ$8))</f>
        <v/>
      </c>
      <c r="L32" s="59">
        <f>IF(OR($I32="",$L$26=""),"",INDEX('Tính'!$C$182:$V$226,$CD$4,$BJ$8))</f>
        <v/>
      </c>
      <c r="M32" s="59">
        <f>IF(OR($I32="",$M$26=""),"",INDEX('Tính'!$C$182:$V$226,$CD$5,$BJ$8))</f>
        <v/>
      </c>
      <c r="N32" s="59">
        <f>IF(OR($I32="",$N$26=""),"",INDEX('Tính'!$C$182:$V$226,$CD$6,$BJ$8))</f>
        <v/>
      </c>
      <c r="O32" s="59">
        <f>IF(OR($I32="",$O$26=""),"",INDEX('Tính'!$C$182:$V$226,$CD$7,$BJ$8))</f>
        <v/>
      </c>
      <c r="P32" s="59">
        <f>IF(OR($I32="",$P$26=""),"",INDEX('Tính'!$C$182:$V$226,$CD$8,$BJ$8))</f>
        <v/>
      </c>
      <c r="Q32" s="59">
        <f>IF(OR($I32="",$Q$26=""),"",INDEX('Tính'!$C$182:$V$226,$CD$9,$BJ$8))</f>
        <v/>
      </c>
      <c r="R32" s="59">
        <f>IF(OR($I32="",$R$26=""),"",INDEX('Tính'!$C$182:$V$226,$CD$10,$BJ$8))</f>
        <v/>
      </c>
      <c r="S32" s="59">
        <f>IF(OR($I32="",$S$26=""),"",INDEX('Tính'!$C$182:$V$226,$CD$11,$BJ$8))</f>
        <v/>
      </c>
      <c r="T32" s="59">
        <f>IF(OR($I32="",$T$26=""),"",INDEX('Tính'!$C$182:$V$226,$CD$12,$BJ$8))</f>
        <v/>
      </c>
      <c r="U32" s="59">
        <f>IF(OR($I32="",$U$26=""),"",INDEX('Tính'!$C$182:$V$226,$CD$13,$BJ$8))</f>
        <v/>
      </c>
      <c r="V32" s="59">
        <f>IF(OR($I32="",$V$26=""),"",INDEX('Tính'!$C$182:$V$226,$CD$14,$BJ$8))</f>
        <v/>
      </c>
      <c r="W32" s="59">
        <f>IF(OR($I32="",$W$26=""),"",INDEX('Tính'!$C$182:$V$226,$CD$15,$BJ$8))</f>
        <v/>
      </c>
      <c r="X32" s="59">
        <f>IF(OR($I32="",$X$26=""),"",INDEX('Tính'!$C$182:$V$226,$CD$16,$BJ$8))</f>
        <v/>
      </c>
      <c r="Y32" s="59">
        <f>IF(OR($I32="",$Y$26=""),"",INDEX('Tính'!$C$182:$V$226,$CD$17,$BJ$8))</f>
        <v/>
      </c>
      <c r="Z32" s="59">
        <f>IF(OR($I32="",$Z$26=""),"",INDEX('Tính'!$C$182:$V$226,$CD$18,$BJ$8))</f>
        <v/>
      </c>
      <c r="AA32" s="59">
        <f>IF(OR($I32="",$AA$26=""),"",INDEX('Tính'!$C$182:$V$226,$CD$19,$BJ$8))</f>
        <v/>
      </c>
      <c r="AB32" s="59">
        <f>IF(OR($I32="",$AB$26=""),"",INDEX('Tính'!$C$182:$V$226,$CD$20,$BJ$8))</f>
        <v/>
      </c>
      <c r="AC32" s="59">
        <f>IF(OR($I32="",$AC$26=""),"",INDEX('Tính'!$C$182:$V$226,$CD$21,$BJ$8))</f>
        <v/>
      </c>
      <c r="AD32" s="59">
        <f>IF(OR($I32="",$AD$26=""),"",INDEX('Tính'!$C$182:$V$226,$CD$22,$BJ$8))</f>
        <v/>
      </c>
      <c r="CA32" t="n">
        <v>30</v>
      </c>
      <c r="CB32">
        <f>IF('Tính'!B68="",0,IF(OR($AZ$1=0,'Tính'!D68=$AZ$1),1,0))</f>
        <v/>
      </c>
      <c r="CC32">
        <f>IF(CB32=1,'Tính'!M68+1+(45-30)/1000000,-1)</f>
        <v/>
      </c>
      <c r="CD32">
        <f>IF(LARGE($CC$3:$CC$47,30)&lt;0,"",MATCH(LARGE($CC$3:$CC$47,30),$CC$3:$CC$47,0))</f>
        <v/>
      </c>
    </row>
    <row r="33">
      <c r="I33" s="58">
        <f>A16</f>
        <v/>
      </c>
      <c r="J33" s="59">
        <f>IF($I33="","",F16)</f>
        <v/>
      </c>
      <c r="K33" s="59">
        <f>IF(OR($I33="",$K$26=""),"",INDEX('Tính'!$C$182:$V$226,$CD$3,$BJ$9))</f>
        <v/>
      </c>
      <c r="L33" s="59">
        <f>IF(OR($I33="",$L$26=""),"",INDEX('Tính'!$C$182:$V$226,$CD$4,$BJ$9))</f>
        <v/>
      </c>
      <c r="M33" s="59">
        <f>IF(OR($I33="",$M$26=""),"",INDEX('Tính'!$C$182:$V$226,$CD$5,$BJ$9))</f>
        <v/>
      </c>
      <c r="N33" s="59">
        <f>IF(OR($I33="",$N$26=""),"",INDEX('Tính'!$C$182:$V$226,$CD$6,$BJ$9))</f>
        <v/>
      </c>
      <c r="O33" s="59">
        <f>IF(OR($I33="",$O$26=""),"",INDEX('Tính'!$C$182:$V$226,$CD$7,$BJ$9))</f>
        <v/>
      </c>
      <c r="P33" s="59">
        <f>IF(OR($I33="",$P$26=""),"",INDEX('Tính'!$C$182:$V$226,$CD$8,$BJ$9))</f>
        <v/>
      </c>
      <c r="Q33" s="59">
        <f>IF(OR($I33="",$Q$26=""),"",INDEX('Tính'!$C$182:$V$226,$CD$9,$BJ$9))</f>
        <v/>
      </c>
      <c r="R33" s="59">
        <f>IF(OR($I33="",$R$26=""),"",INDEX('Tính'!$C$182:$V$226,$CD$10,$BJ$9))</f>
        <v/>
      </c>
      <c r="S33" s="59">
        <f>IF(OR($I33="",$S$26=""),"",INDEX('Tính'!$C$182:$V$226,$CD$11,$BJ$9))</f>
        <v/>
      </c>
      <c r="T33" s="59">
        <f>IF(OR($I33="",$T$26=""),"",INDEX('Tính'!$C$182:$V$226,$CD$12,$BJ$9))</f>
        <v/>
      </c>
      <c r="U33" s="59">
        <f>IF(OR($I33="",$U$26=""),"",INDEX('Tính'!$C$182:$V$226,$CD$13,$BJ$9))</f>
        <v/>
      </c>
      <c r="V33" s="59">
        <f>IF(OR($I33="",$V$26=""),"",INDEX('Tính'!$C$182:$V$226,$CD$14,$BJ$9))</f>
        <v/>
      </c>
      <c r="W33" s="59">
        <f>IF(OR($I33="",$W$26=""),"",INDEX('Tính'!$C$182:$V$226,$CD$15,$BJ$9))</f>
        <v/>
      </c>
      <c r="X33" s="59">
        <f>IF(OR($I33="",$X$26=""),"",INDEX('Tính'!$C$182:$V$226,$CD$16,$BJ$9))</f>
        <v/>
      </c>
      <c r="Y33" s="59">
        <f>IF(OR($I33="",$Y$26=""),"",INDEX('Tính'!$C$182:$V$226,$CD$17,$BJ$9))</f>
        <v/>
      </c>
      <c r="Z33" s="59">
        <f>IF(OR($I33="",$Z$26=""),"",INDEX('Tính'!$C$182:$V$226,$CD$18,$BJ$9))</f>
        <v/>
      </c>
      <c r="AA33" s="59">
        <f>IF(OR($I33="",$AA$26=""),"",INDEX('Tính'!$C$182:$V$226,$CD$19,$BJ$9))</f>
        <v/>
      </c>
      <c r="AB33" s="59">
        <f>IF(OR($I33="",$AB$26=""),"",INDEX('Tính'!$C$182:$V$226,$CD$20,$BJ$9))</f>
        <v/>
      </c>
      <c r="AC33" s="59">
        <f>IF(OR($I33="",$AC$26=""),"",INDEX('Tính'!$C$182:$V$226,$CD$21,$BJ$9))</f>
        <v/>
      </c>
      <c r="AD33" s="59">
        <f>IF(OR($I33="",$AD$26=""),"",INDEX('Tính'!$C$182:$V$226,$CD$22,$BJ$9))</f>
        <v/>
      </c>
      <c r="CA33" t="n">
        <v>31</v>
      </c>
      <c r="CB33">
        <f>IF('Tính'!B69="",0,IF(OR($AZ$1=0,'Tính'!D69=$AZ$1),1,0))</f>
        <v/>
      </c>
      <c r="CC33">
        <f>IF(CB33=1,'Tính'!M69+1+(45-31)/1000000,-1)</f>
        <v/>
      </c>
      <c r="CD33">
        <f>IF(LARGE($CC$3:$CC$47,31)&lt;0,"",MATCH(LARGE($CC$3:$CC$47,31),$CC$3:$CC$47,0))</f>
        <v/>
      </c>
    </row>
    <row r="34">
      <c r="I34" s="58">
        <f>A17</f>
        <v/>
      </c>
      <c r="J34" s="59">
        <f>IF($I34="","",F17)</f>
        <v/>
      </c>
      <c r="K34" s="59">
        <f>IF(OR($I34="",$K$26=""),"",INDEX('Tính'!$C$182:$V$226,$CD$3,$BJ$10))</f>
        <v/>
      </c>
      <c r="L34" s="59">
        <f>IF(OR($I34="",$L$26=""),"",INDEX('Tính'!$C$182:$V$226,$CD$4,$BJ$10))</f>
        <v/>
      </c>
      <c r="M34" s="59">
        <f>IF(OR($I34="",$M$26=""),"",INDEX('Tính'!$C$182:$V$226,$CD$5,$BJ$10))</f>
        <v/>
      </c>
      <c r="N34" s="59">
        <f>IF(OR($I34="",$N$26=""),"",INDEX('Tính'!$C$182:$V$226,$CD$6,$BJ$10))</f>
        <v/>
      </c>
      <c r="O34" s="59">
        <f>IF(OR($I34="",$O$26=""),"",INDEX('Tính'!$C$182:$V$226,$CD$7,$BJ$10))</f>
        <v/>
      </c>
      <c r="P34" s="59">
        <f>IF(OR($I34="",$P$26=""),"",INDEX('Tính'!$C$182:$V$226,$CD$8,$BJ$10))</f>
        <v/>
      </c>
      <c r="Q34" s="59">
        <f>IF(OR($I34="",$Q$26=""),"",INDEX('Tính'!$C$182:$V$226,$CD$9,$BJ$10))</f>
        <v/>
      </c>
      <c r="R34" s="59">
        <f>IF(OR($I34="",$R$26=""),"",INDEX('Tính'!$C$182:$V$226,$CD$10,$BJ$10))</f>
        <v/>
      </c>
      <c r="S34" s="59">
        <f>IF(OR($I34="",$S$26=""),"",INDEX('Tính'!$C$182:$V$226,$CD$11,$BJ$10))</f>
        <v/>
      </c>
      <c r="T34" s="59">
        <f>IF(OR($I34="",$T$26=""),"",INDEX('Tính'!$C$182:$V$226,$CD$12,$BJ$10))</f>
        <v/>
      </c>
      <c r="U34" s="59">
        <f>IF(OR($I34="",$U$26=""),"",INDEX('Tính'!$C$182:$V$226,$CD$13,$BJ$10))</f>
        <v/>
      </c>
      <c r="V34" s="59">
        <f>IF(OR($I34="",$V$26=""),"",INDEX('Tính'!$C$182:$V$226,$CD$14,$BJ$10))</f>
        <v/>
      </c>
      <c r="W34" s="59">
        <f>IF(OR($I34="",$W$26=""),"",INDEX('Tính'!$C$182:$V$226,$CD$15,$BJ$10))</f>
        <v/>
      </c>
      <c r="X34" s="59">
        <f>IF(OR($I34="",$X$26=""),"",INDEX('Tính'!$C$182:$V$226,$CD$16,$BJ$10))</f>
        <v/>
      </c>
      <c r="Y34" s="59">
        <f>IF(OR($I34="",$Y$26=""),"",INDEX('Tính'!$C$182:$V$226,$CD$17,$BJ$10))</f>
        <v/>
      </c>
      <c r="Z34" s="59">
        <f>IF(OR($I34="",$Z$26=""),"",INDEX('Tính'!$C$182:$V$226,$CD$18,$BJ$10))</f>
        <v/>
      </c>
      <c r="AA34" s="59">
        <f>IF(OR($I34="",$AA$26=""),"",INDEX('Tính'!$C$182:$V$226,$CD$19,$BJ$10))</f>
        <v/>
      </c>
      <c r="AB34" s="59">
        <f>IF(OR($I34="",$AB$26=""),"",INDEX('Tính'!$C$182:$V$226,$CD$20,$BJ$10))</f>
        <v/>
      </c>
      <c r="AC34" s="59">
        <f>IF(OR($I34="",$AC$26=""),"",INDEX('Tính'!$C$182:$V$226,$CD$21,$BJ$10))</f>
        <v/>
      </c>
      <c r="AD34" s="59">
        <f>IF(OR($I34="",$AD$26=""),"",INDEX('Tính'!$C$182:$V$226,$CD$22,$BJ$10))</f>
        <v/>
      </c>
      <c r="CA34" t="n">
        <v>32</v>
      </c>
      <c r="CB34">
        <f>IF('Tính'!B70="",0,IF(OR($AZ$1=0,'Tính'!D70=$AZ$1),1,0))</f>
        <v/>
      </c>
      <c r="CC34">
        <f>IF(CB34=1,'Tính'!M70+1+(45-32)/1000000,-1)</f>
        <v/>
      </c>
      <c r="CD34">
        <f>IF(LARGE($CC$3:$CC$47,32)&lt;0,"",MATCH(LARGE($CC$3:$CC$47,32),$CC$3:$CC$47,0))</f>
        <v/>
      </c>
    </row>
    <row r="35">
      <c r="I35" s="58">
        <f>A18</f>
        <v/>
      </c>
      <c r="J35" s="59">
        <f>IF($I35="","",F18)</f>
        <v/>
      </c>
      <c r="K35" s="59">
        <f>IF(OR($I35="",$K$26=""),"",INDEX('Tính'!$C$182:$V$226,$CD$3,$BJ$11))</f>
        <v/>
      </c>
      <c r="L35" s="59">
        <f>IF(OR($I35="",$L$26=""),"",INDEX('Tính'!$C$182:$V$226,$CD$4,$BJ$11))</f>
        <v/>
      </c>
      <c r="M35" s="59">
        <f>IF(OR($I35="",$M$26=""),"",INDEX('Tính'!$C$182:$V$226,$CD$5,$BJ$11))</f>
        <v/>
      </c>
      <c r="N35" s="59">
        <f>IF(OR($I35="",$N$26=""),"",INDEX('Tính'!$C$182:$V$226,$CD$6,$BJ$11))</f>
        <v/>
      </c>
      <c r="O35" s="59">
        <f>IF(OR($I35="",$O$26=""),"",INDEX('Tính'!$C$182:$V$226,$CD$7,$BJ$11))</f>
        <v/>
      </c>
      <c r="P35" s="59">
        <f>IF(OR($I35="",$P$26=""),"",INDEX('Tính'!$C$182:$V$226,$CD$8,$BJ$11))</f>
        <v/>
      </c>
      <c r="Q35" s="59">
        <f>IF(OR($I35="",$Q$26=""),"",INDEX('Tính'!$C$182:$V$226,$CD$9,$BJ$11))</f>
        <v/>
      </c>
      <c r="R35" s="59">
        <f>IF(OR($I35="",$R$26=""),"",INDEX('Tính'!$C$182:$V$226,$CD$10,$BJ$11))</f>
        <v/>
      </c>
      <c r="S35" s="59">
        <f>IF(OR($I35="",$S$26=""),"",INDEX('Tính'!$C$182:$V$226,$CD$11,$BJ$11))</f>
        <v/>
      </c>
      <c r="T35" s="59">
        <f>IF(OR($I35="",$T$26=""),"",INDEX('Tính'!$C$182:$V$226,$CD$12,$BJ$11))</f>
        <v/>
      </c>
      <c r="U35" s="59">
        <f>IF(OR($I35="",$U$26=""),"",INDEX('Tính'!$C$182:$V$226,$CD$13,$BJ$11))</f>
        <v/>
      </c>
      <c r="V35" s="59">
        <f>IF(OR($I35="",$V$26=""),"",INDEX('Tính'!$C$182:$V$226,$CD$14,$BJ$11))</f>
        <v/>
      </c>
      <c r="W35" s="59">
        <f>IF(OR($I35="",$W$26=""),"",INDEX('Tính'!$C$182:$V$226,$CD$15,$BJ$11))</f>
        <v/>
      </c>
      <c r="X35" s="59">
        <f>IF(OR($I35="",$X$26=""),"",INDEX('Tính'!$C$182:$V$226,$CD$16,$BJ$11))</f>
        <v/>
      </c>
      <c r="Y35" s="59">
        <f>IF(OR($I35="",$Y$26=""),"",INDEX('Tính'!$C$182:$V$226,$CD$17,$BJ$11))</f>
        <v/>
      </c>
      <c r="Z35" s="59">
        <f>IF(OR($I35="",$Z$26=""),"",INDEX('Tính'!$C$182:$V$226,$CD$18,$BJ$11))</f>
        <v/>
      </c>
      <c r="AA35" s="59">
        <f>IF(OR($I35="",$AA$26=""),"",INDEX('Tính'!$C$182:$V$226,$CD$19,$BJ$11))</f>
        <v/>
      </c>
      <c r="AB35" s="59">
        <f>IF(OR($I35="",$AB$26=""),"",INDEX('Tính'!$C$182:$V$226,$CD$20,$BJ$11))</f>
        <v/>
      </c>
      <c r="AC35" s="59">
        <f>IF(OR($I35="",$AC$26=""),"",INDEX('Tính'!$C$182:$V$226,$CD$21,$BJ$11))</f>
        <v/>
      </c>
      <c r="AD35" s="59">
        <f>IF(OR($I35="",$AD$26=""),"",INDEX('Tính'!$C$182:$V$226,$CD$22,$BJ$11))</f>
        <v/>
      </c>
      <c r="CA35" t="n">
        <v>33</v>
      </c>
      <c r="CB35">
        <f>IF('Tính'!B71="",0,IF(OR($AZ$1=0,'Tính'!D71=$AZ$1),1,0))</f>
        <v/>
      </c>
      <c r="CC35">
        <f>IF(CB35=1,'Tính'!M71+1+(45-33)/1000000,-1)</f>
        <v/>
      </c>
      <c r="CD35">
        <f>IF(LARGE($CC$3:$CC$47,33)&lt;0,"",MATCH(LARGE($CC$3:$CC$47,33),$CC$3:$CC$47,0))</f>
        <v/>
      </c>
    </row>
    <row r="36">
      <c r="I36" s="58">
        <f>A19</f>
        <v/>
      </c>
      <c r="J36" s="59">
        <f>IF($I36="","",F19)</f>
        <v/>
      </c>
      <c r="K36" s="59">
        <f>IF(OR($I36="",$K$26=""),"",INDEX('Tính'!$C$182:$V$226,$CD$3,$BJ$12))</f>
        <v/>
      </c>
      <c r="L36" s="59">
        <f>IF(OR($I36="",$L$26=""),"",INDEX('Tính'!$C$182:$V$226,$CD$4,$BJ$12))</f>
        <v/>
      </c>
      <c r="M36" s="59">
        <f>IF(OR($I36="",$M$26=""),"",INDEX('Tính'!$C$182:$V$226,$CD$5,$BJ$12))</f>
        <v/>
      </c>
      <c r="N36" s="59">
        <f>IF(OR($I36="",$N$26=""),"",INDEX('Tính'!$C$182:$V$226,$CD$6,$BJ$12))</f>
        <v/>
      </c>
      <c r="O36" s="59">
        <f>IF(OR($I36="",$O$26=""),"",INDEX('Tính'!$C$182:$V$226,$CD$7,$BJ$12))</f>
        <v/>
      </c>
      <c r="P36" s="59">
        <f>IF(OR($I36="",$P$26=""),"",INDEX('Tính'!$C$182:$V$226,$CD$8,$BJ$12))</f>
        <v/>
      </c>
      <c r="Q36" s="59">
        <f>IF(OR($I36="",$Q$26=""),"",INDEX('Tính'!$C$182:$V$226,$CD$9,$BJ$12))</f>
        <v/>
      </c>
      <c r="R36" s="59">
        <f>IF(OR($I36="",$R$26=""),"",INDEX('Tính'!$C$182:$V$226,$CD$10,$BJ$12))</f>
        <v/>
      </c>
      <c r="S36" s="59">
        <f>IF(OR($I36="",$S$26=""),"",INDEX('Tính'!$C$182:$V$226,$CD$11,$BJ$12))</f>
        <v/>
      </c>
      <c r="T36" s="59">
        <f>IF(OR($I36="",$T$26=""),"",INDEX('Tính'!$C$182:$V$226,$CD$12,$BJ$12))</f>
        <v/>
      </c>
      <c r="U36" s="59">
        <f>IF(OR($I36="",$U$26=""),"",INDEX('Tính'!$C$182:$V$226,$CD$13,$BJ$12))</f>
        <v/>
      </c>
      <c r="V36" s="59">
        <f>IF(OR($I36="",$V$26=""),"",INDEX('Tính'!$C$182:$V$226,$CD$14,$BJ$12))</f>
        <v/>
      </c>
      <c r="W36" s="59">
        <f>IF(OR($I36="",$W$26=""),"",INDEX('Tính'!$C$182:$V$226,$CD$15,$BJ$12))</f>
        <v/>
      </c>
      <c r="X36" s="59">
        <f>IF(OR($I36="",$X$26=""),"",INDEX('Tính'!$C$182:$V$226,$CD$16,$BJ$12))</f>
        <v/>
      </c>
      <c r="Y36" s="59">
        <f>IF(OR($I36="",$Y$26=""),"",INDEX('Tính'!$C$182:$V$226,$CD$17,$BJ$12))</f>
        <v/>
      </c>
      <c r="Z36" s="59">
        <f>IF(OR($I36="",$Z$26=""),"",INDEX('Tính'!$C$182:$V$226,$CD$18,$BJ$12))</f>
        <v/>
      </c>
      <c r="AA36" s="59">
        <f>IF(OR($I36="",$AA$26=""),"",INDEX('Tính'!$C$182:$V$226,$CD$19,$BJ$12))</f>
        <v/>
      </c>
      <c r="AB36" s="59">
        <f>IF(OR($I36="",$AB$26=""),"",INDEX('Tính'!$C$182:$V$226,$CD$20,$BJ$12))</f>
        <v/>
      </c>
      <c r="AC36" s="59">
        <f>IF(OR($I36="",$AC$26=""),"",INDEX('Tính'!$C$182:$V$226,$CD$21,$BJ$12))</f>
        <v/>
      </c>
      <c r="AD36" s="59">
        <f>IF(OR($I36="",$AD$26=""),"",INDEX('Tính'!$C$182:$V$226,$CD$22,$BJ$12))</f>
        <v/>
      </c>
      <c r="CA36" t="n">
        <v>34</v>
      </c>
      <c r="CB36">
        <f>IF('Tính'!B72="",0,IF(OR($AZ$1=0,'Tính'!D72=$AZ$1),1,0))</f>
        <v/>
      </c>
      <c r="CC36">
        <f>IF(CB36=1,'Tính'!M72+1+(45-34)/1000000,-1)</f>
        <v/>
      </c>
      <c r="CD36">
        <f>IF(LARGE($CC$3:$CC$47,34)&lt;0,"",MATCH(LARGE($CC$3:$CC$47,34),$CC$3:$CC$47,0))</f>
        <v/>
      </c>
    </row>
    <row r="37">
      <c r="I37" s="58">
        <f>A20</f>
        <v/>
      </c>
      <c r="J37" s="59">
        <f>IF($I37="","",F20)</f>
        <v/>
      </c>
      <c r="K37" s="59">
        <f>IF(OR($I37="",$K$26=""),"",INDEX('Tính'!$C$182:$V$226,$CD$3,$BJ$13))</f>
        <v/>
      </c>
      <c r="L37" s="59">
        <f>IF(OR($I37="",$L$26=""),"",INDEX('Tính'!$C$182:$V$226,$CD$4,$BJ$13))</f>
        <v/>
      </c>
      <c r="M37" s="59">
        <f>IF(OR($I37="",$M$26=""),"",INDEX('Tính'!$C$182:$V$226,$CD$5,$BJ$13))</f>
        <v/>
      </c>
      <c r="N37" s="59">
        <f>IF(OR($I37="",$N$26=""),"",INDEX('Tính'!$C$182:$V$226,$CD$6,$BJ$13))</f>
        <v/>
      </c>
      <c r="O37" s="59">
        <f>IF(OR($I37="",$O$26=""),"",INDEX('Tính'!$C$182:$V$226,$CD$7,$BJ$13))</f>
        <v/>
      </c>
      <c r="P37" s="59">
        <f>IF(OR($I37="",$P$26=""),"",INDEX('Tính'!$C$182:$V$226,$CD$8,$BJ$13))</f>
        <v/>
      </c>
      <c r="Q37" s="59">
        <f>IF(OR($I37="",$Q$26=""),"",INDEX('Tính'!$C$182:$V$226,$CD$9,$BJ$13))</f>
        <v/>
      </c>
      <c r="R37" s="59">
        <f>IF(OR($I37="",$R$26=""),"",INDEX('Tính'!$C$182:$V$226,$CD$10,$BJ$13))</f>
        <v/>
      </c>
      <c r="S37" s="59">
        <f>IF(OR($I37="",$S$26=""),"",INDEX('Tính'!$C$182:$V$226,$CD$11,$BJ$13))</f>
        <v/>
      </c>
      <c r="T37" s="59">
        <f>IF(OR($I37="",$T$26=""),"",INDEX('Tính'!$C$182:$V$226,$CD$12,$BJ$13))</f>
        <v/>
      </c>
      <c r="U37" s="59">
        <f>IF(OR($I37="",$U$26=""),"",INDEX('Tính'!$C$182:$V$226,$CD$13,$BJ$13))</f>
        <v/>
      </c>
      <c r="V37" s="59">
        <f>IF(OR($I37="",$V$26=""),"",INDEX('Tính'!$C$182:$V$226,$CD$14,$BJ$13))</f>
        <v/>
      </c>
      <c r="W37" s="59">
        <f>IF(OR($I37="",$W$26=""),"",INDEX('Tính'!$C$182:$V$226,$CD$15,$BJ$13))</f>
        <v/>
      </c>
      <c r="X37" s="59">
        <f>IF(OR($I37="",$X$26=""),"",INDEX('Tính'!$C$182:$V$226,$CD$16,$BJ$13))</f>
        <v/>
      </c>
      <c r="Y37" s="59">
        <f>IF(OR($I37="",$Y$26=""),"",INDEX('Tính'!$C$182:$V$226,$CD$17,$BJ$13))</f>
        <v/>
      </c>
      <c r="Z37" s="59">
        <f>IF(OR($I37="",$Z$26=""),"",INDEX('Tính'!$C$182:$V$226,$CD$18,$BJ$13))</f>
        <v/>
      </c>
      <c r="AA37" s="59">
        <f>IF(OR($I37="",$AA$26=""),"",INDEX('Tính'!$C$182:$V$226,$CD$19,$BJ$13))</f>
        <v/>
      </c>
      <c r="AB37" s="59">
        <f>IF(OR($I37="",$AB$26=""),"",INDEX('Tính'!$C$182:$V$226,$CD$20,$BJ$13))</f>
        <v/>
      </c>
      <c r="AC37" s="59">
        <f>IF(OR($I37="",$AC$26=""),"",INDEX('Tính'!$C$182:$V$226,$CD$21,$BJ$13))</f>
        <v/>
      </c>
      <c r="AD37" s="59">
        <f>IF(OR($I37="",$AD$26=""),"",INDEX('Tính'!$C$182:$V$226,$CD$22,$BJ$13))</f>
        <v/>
      </c>
      <c r="CA37" t="n">
        <v>35</v>
      </c>
      <c r="CB37">
        <f>IF('Tính'!B73="",0,IF(OR($AZ$1=0,'Tính'!D73=$AZ$1),1,0))</f>
        <v/>
      </c>
      <c r="CC37">
        <f>IF(CB37=1,'Tính'!M73+1+(45-35)/1000000,-1)</f>
        <v/>
      </c>
      <c r="CD37">
        <f>IF(LARGE($CC$3:$CC$47,35)&lt;0,"",MATCH(LARGE($CC$3:$CC$47,35),$CC$3:$CC$47,0))</f>
        <v/>
      </c>
    </row>
    <row r="38">
      <c r="I38" s="58">
        <f>A21</f>
        <v/>
      </c>
      <c r="J38" s="59">
        <f>IF($I38="","",F21)</f>
        <v/>
      </c>
      <c r="K38" s="59">
        <f>IF(OR($I38="",$K$26=""),"",INDEX('Tính'!$C$182:$V$226,$CD$3,$BJ$14))</f>
        <v/>
      </c>
      <c r="L38" s="59">
        <f>IF(OR($I38="",$L$26=""),"",INDEX('Tính'!$C$182:$V$226,$CD$4,$BJ$14))</f>
        <v/>
      </c>
      <c r="M38" s="59">
        <f>IF(OR($I38="",$M$26=""),"",INDEX('Tính'!$C$182:$V$226,$CD$5,$BJ$14))</f>
        <v/>
      </c>
      <c r="N38" s="59">
        <f>IF(OR($I38="",$N$26=""),"",INDEX('Tính'!$C$182:$V$226,$CD$6,$BJ$14))</f>
        <v/>
      </c>
      <c r="O38" s="59">
        <f>IF(OR($I38="",$O$26=""),"",INDEX('Tính'!$C$182:$V$226,$CD$7,$BJ$14))</f>
        <v/>
      </c>
      <c r="P38" s="59">
        <f>IF(OR($I38="",$P$26=""),"",INDEX('Tính'!$C$182:$V$226,$CD$8,$BJ$14))</f>
        <v/>
      </c>
      <c r="Q38" s="59">
        <f>IF(OR($I38="",$Q$26=""),"",INDEX('Tính'!$C$182:$V$226,$CD$9,$BJ$14))</f>
        <v/>
      </c>
      <c r="R38" s="59">
        <f>IF(OR($I38="",$R$26=""),"",INDEX('Tính'!$C$182:$V$226,$CD$10,$BJ$14))</f>
        <v/>
      </c>
      <c r="S38" s="59">
        <f>IF(OR($I38="",$S$26=""),"",INDEX('Tính'!$C$182:$V$226,$CD$11,$BJ$14))</f>
        <v/>
      </c>
      <c r="T38" s="59">
        <f>IF(OR($I38="",$T$26=""),"",INDEX('Tính'!$C$182:$V$226,$CD$12,$BJ$14))</f>
        <v/>
      </c>
      <c r="U38" s="59">
        <f>IF(OR($I38="",$U$26=""),"",INDEX('Tính'!$C$182:$V$226,$CD$13,$BJ$14))</f>
        <v/>
      </c>
      <c r="V38" s="59">
        <f>IF(OR($I38="",$V$26=""),"",INDEX('Tính'!$C$182:$V$226,$CD$14,$BJ$14))</f>
        <v/>
      </c>
      <c r="W38" s="59">
        <f>IF(OR($I38="",$W$26=""),"",INDEX('Tính'!$C$182:$V$226,$CD$15,$BJ$14))</f>
        <v/>
      </c>
      <c r="X38" s="59">
        <f>IF(OR($I38="",$X$26=""),"",INDEX('Tính'!$C$182:$V$226,$CD$16,$BJ$14))</f>
        <v/>
      </c>
      <c r="Y38" s="59">
        <f>IF(OR($I38="",$Y$26=""),"",INDEX('Tính'!$C$182:$V$226,$CD$17,$BJ$14))</f>
        <v/>
      </c>
      <c r="Z38" s="59">
        <f>IF(OR($I38="",$Z$26=""),"",INDEX('Tính'!$C$182:$V$226,$CD$18,$BJ$14))</f>
        <v/>
      </c>
      <c r="AA38" s="59">
        <f>IF(OR($I38="",$AA$26=""),"",INDEX('Tính'!$C$182:$V$226,$CD$19,$BJ$14))</f>
        <v/>
      </c>
      <c r="AB38" s="59">
        <f>IF(OR($I38="",$AB$26=""),"",INDEX('Tính'!$C$182:$V$226,$CD$20,$BJ$14))</f>
        <v/>
      </c>
      <c r="AC38" s="59">
        <f>IF(OR($I38="",$AC$26=""),"",INDEX('Tính'!$C$182:$V$226,$CD$21,$BJ$14))</f>
        <v/>
      </c>
      <c r="AD38" s="59">
        <f>IF(OR($I38="",$AD$26=""),"",INDEX('Tính'!$C$182:$V$226,$CD$22,$BJ$14))</f>
        <v/>
      </c>
      <c r="CA38" t="n">
        <v>36</v>
      </c>
      <c r="CB38">
        <f>IF('Tính'!B74="",0,IF(OR($AZ$1=0,'Tính'!D74=$AZ$1),1,0))</f>
        <v/>
      </c>
      <c r="CC38">
        <f>IF(CB38=1,'Tính'!M74+1+(45-36)/1000000,-1)</f>
        <v/>
      </c>
      <c r="CD38">
        <f>IF(LARGE($CC$3:$CC$47,36)&lt;0,"",MATCH(LARGE($CC$3:$CC$47,36),$CC$3:$CC$47,0))</f>
        <v/>
      </c>
    </row>
    <row r="39">
      <c r="I39" s="58">
        <f>A22</f>
        <v/>
      </c>
      <c r="J39" s="59">
        <f>IF($I39="","",F22)</f>
        <v/>
      </c>
      <c r="K39" s="59">
        <f>IF(OR($I39="",$K$26=""),"",INDEX('Tính'!$C$182:$V$226,$CD$3,$BJ$15))</f>
        <v/>
      </c>
      <c r="L39" s="59">
        <f>IF(OR($I39="",$L$26=""),"",INDEX('Tính'!$C$182:$V$226,$CD$4,$BJ$15))</f>
        <v/>
      </c>
      <c r="M39" s="59">
        <f>IF(OR($I39="",$M$26=""),"",INDEX('Tính'!$C$182:$V$226,$CD$5,$BJ$15))</f>
        <v/>
      </c>
      <c r="N39" s="59">
        <f>IF(OR($I39="",$N$26=""),"",INDEX('Tính'!$C$182:$V$226,$CD$6,$BJ$15))</f>
        <v/>
      </c>
      <c r="O39" s="59">
        <f>IF(OR($I39="",$O$26=""),"",INDEX('Tính'!$C$182:$V$226,$CD$7,$BJ$15))</f>
        <v/>
      </c>
      <c r="P39" s="59">
        <f>IF(OR($I39="",$P$26=""),"",INDEX('Tính'!$C$182:$V$226,$CD$8,$BJ$15))</f>
        <v/>
      </c>
      <c r="Q39" s="59">
        <f>IF(OR($I39="",$Q$26=""),"",INDEX('Tính'!$C$182:$V$226,$CD$9,$BJ$15))</f>
        <v/>
      </c>
      <c r="R39" s="59">
        <f>IF(OR($I39="",$R$26=""),"",INDEX('Tính'!$C$182:$V$226,$CD$10,$BJ$15))</f>
        <v/>
      </c>
      <c r="S39" s="59">
        <f>IF(OR($I39="",$S$26=""),"",INDEX('Tính'!$C$182:$V$226,$CD$11,$BJ$15))</f>
        <v/>
      </c>
      <c r="T39" s="59">
        <f>IF(OR($I39="",$T$26=""),"",INDEX('Tính'!$C$182:$V$226,$CD$12,$BJ$15))</f>
        <v/>
      </c>
      <c r="U39" s="59">
        <f>IF(OR($I39="",$U$26=""),"",INDEX('Tính'!$C$182:$V$226,$CD$13,$BJ$15))</f>
        <v/>
      </c>
      <c r="V39" s="59">
        <f>IF(OR($I39="",$V$26=""),"",INDEX('Tính'!$C$182:$V$226,$CD$14,$BJ$15))</f>
        <v/>
      </c>
      <c r="W39" s="59">
        <f>IF(OR($I39="",$W$26=""),"",INDEX('Tính'!$C$182:$V$226,$CD$15,$BJ$15))</f>
        <v/>
      </c>
      <c r="X39" s="59">
        <f>IF(OR($I39="",$X$26=""),"",INDEX('Tính'!$C$182:$V$226,$CD$16,$BJ$15))</f>
        <v/>
      </c>
      <c r="Y39" s="59">
        <f>IF(OR($I39="",$Y$26=""),"",INDEX('Tính'!$C$182:$V$226,$CD$17,$BJ$15))</f>
        <v/>
      </c>
      <c r="Z39" s="59">
        <f>IF(OR($I39="",$Z$26=""),"",INDEX('Tính'!$C$182:$V$226,$CD$18,$BJ$15))</f>
        <v/>
      </c>
      <c r="AA39" s="59">
        <f>IF(OR($I39="",$AA$26=""),"",INDEX('Tính'!$C$182:$V$226,$CD$19,$BJ$15))</f>
        <v/>
      </c>
      <c r="AB39" s="59">
        <f>IF(OR($I39="",$AB$26=""),"",INDEX('Tính'!$C$182:$V$226,$CD$20,$BJ$15))</f>
        <v/>
      </c>
      <c r="AC39" s="59">
        <f>IF(OR($I39="",$AC$26=""),"",INDEX('Tính'!$C$182:$V$226,$CD$21,$BJ$15))</f>
        <v/>
      </c>
      <c r="AD39" s="59">
        <f>IF(OR($I39="",$AD$26=""),"",INDEX('Tính'!$C$182:$V$226,$CD$22,$BJ$15))</f>
        <v/>
      </c>
      <c r="CA39" t="n">
        <v>37</v>
      </c>
      <c r="CB39">
        <f>IF('Tính'!B75="",0,IF(OR($AZ$1=0,'Tính'!D75=$AZ$1),1,0))</f>
        <v/>
      </c>
      <c r="CC39">
        <f>IF(CB39=1,'Tính'!M75+1+(45-37)/1000000,-1)</f>
        <v/>
      </c>
      <c r="CD39">
        <f>IF(LARGE($CC$3:$CC$47,37)&lt;0,"",MATCH(LARGE($CC$3:$CC$47,37),$CC$3:$CC$47,0))</f>
        <v/>
      </c>
    </row>
    <row r="40">
      <c r="I40" s="58">
        <f>A23</f>
        <v/>
      </c>
      <c r="J40" s="59">
        <f>IF($I40="","",F23)</f>
        <v/>
      </c>
      <c r="K40" s="59">
        <f>IF(OR($I40="",$K$26=""),"",INDEX('Tính'!$C$182:$V$226,$CD$3,$BJ$16))</f>
        <v/>
      </c>
      <c r="L40" s="59">
        <f>IF(OR($I40="",$L$26=""),"",INDEX('Tính'!$C$182:$V$226,$CD$4,$BJ$16))</f>
        <v/>
      </c>
      <c r="M40" s="59">
        <f>IF(OR($I40="",$M$26=""),"",INDEX('Tính'!$C$182:$V$226,$CD$5,$BJ$16))</f>
        <v/>
      </c>
      <c r="N40" s="59">
        <f>IF(OR($I40="",$N$26=""),"",INDEX('Tính'!$C$182:$V$226,$CD$6,$BJ$16))</f>
        <v/>
      </c>
      <c r="O40" s="59">
        <f>IF(OR($I40="",$O$26=""),"",INDEX('Tính'!$C$182:$V$226,$CD$7,$BJ$16))</f>
        <v/>
      </c>
      <c r="P40" s="59">
        <f>IF(OR($I40="",$P$26=""),"",INDEX('Tính'!$C$182:$V$226,$CD$8,$BJ$16))</f>
        <v/>
      </c>
      <c r="Q40" s="59">
        <f>IF(OR($I40="",$Q$26=""),"",INDEX('Tính'!$C$182:$V$226,$CD$9,$BJ$16))</f>
        <v/>
      </c>
      <c r="R40" s="59">
        <f>IF(OR($I40="",$R$26=""),"",INDEX('Tính'!$C$182:$V$226,$CD$10,$BJ$16))</f>
        <v/>
      </c>
      <c r="S40" s="59">
        <f>IF(OR($I40="",$S$26=""),"",INDEX('Tính'!$C$182:$V$226,$CD$11,$BJ$16))</f>
        <v/>
      </c>
      <c r="T40" s="59">
        <f>IF(OR($I40="",$T$26=""),"",INDEX('Tính'!$C$182:$V$226,$CD$12,$BJ$16))</f>
        <v/>
      </c>
      <c r="U40" s="59">
        <f>IF(OR($I40="",$U$26=""),"",INDEX('Tính'!$C$182:$V$226,$CD$13,$BJ$16))</f>
        <v/>
      </c>
      <c r="V40" s="59">
        <f>IF(OR($I40="",$V$26=""),"",INDEX('Tính'!$C$182:$V$226,$CD$14,$BJ$16))</f>
        <v/>
      </c>
      <c r="W40" s="59">
        <f>IF(OR($I40="",$W$26=""),"",INDEX('Tính'!$C$182:$V$226,$CD$15,$BJ$16))</f>
        <v/>
      </c>
      <c r="X40" s="59">
        <f>IF(OR($I40="",$X$26=""),"",INDEX('Tính'!$C$182:$V$226,$CD$16,$BJ$16))</f>
        <v/>
      </c>
      <c r="Y40" s="59">
        <f>IF(OR($I40="",$Y$26=""),"",INDEX('Tính'!$C$182:$V$226,$CD$17,$BJ$16))</f>
        <v/>
      </c>
      <c r="Z40" s="59">
        <f>IF(OR($I40="",$Z$26=""),"",INDEX('Tính'!$C$182:$V$226,$CD$18,$BJ$16))</f>
        <v/>
      </c>
      <c r="AA40" s="59">
        <f>IF(OR($I40="",$AA$26=""),"",INDEX('Tính'!$C$182:$V$226,$CD$19,$BJ$16))</f>
        <v/>
      </c>
      <c r="AB40" s="59">
        <f>IF(OR($I40="",$AB$26=""),"",INDEX('Tính'!$C$182:$V$226,$CD$20,$BJ$16))</f>
        <v/>
      </c>
      <c r="AC40" s="59">
        <f>IF(OR($I40="",$AC$26=""),"",INDEX('Tính'!$C$182:$V$226,$CD$21,$BJ$16))</f>
        <v/>
      </c>
      <c r="AD40" s="59">
        <f>IF(OR($I40="",$AD$26=""),"",INDEX('Tính'!$C$182:$V$226,$CD$22,$BJ$16))</f>
        <v/>
      </c>
      <c r="CA40" t="n">
        <v>38</v>
      </c>
      <c r="CB40">
        <f>IF('Tính'!B76="",0,IF(OR($AZ$1=0,'Tính'!D76=$AZ$1),1,0))</f>
        <v/>
      </c>
      <c r="CC40">
        <f>IF(CB40=1,'Tính'!M76+1+(45-38)/1000000,-1)</f>
        <v/>
      </c>
      <c r="CD40">
        <f>IF(LARGE($CC$3:$CC$47,38)&lt;0,"",MATCH(LARGE($CC$3:$CC$47,38),$CC$3:$CC$47,0))</f>
        <v/>
      </c>
    </row>
    <row r="41">
      <c r="I41" s="58">
        <f>A24</f>
        <v/>
      </c>
      <c r="J41" s="59">
        <f>IF($I41="","",F24)</f>
        <v/>
      </c>
      <c r="K41" s="59">
        <f>IF(OR($I41="",$K$26=""),"",INDEX('Tính'!$C$182:$V$226,$CD$3,$BJ$17))</f>
        <v/>
      </c>
      <c r="L41" s="59">
        <f>IF(OR($I41="",$L$26=""),"",INDEX('Tính'!$C$182:$V$226,$CD$4,$BJ$17))</f>
        <v/>
      </c>
      <c r="M41" s="59">
        <f>IF(OR($I41="",$M$26=""),"",INDEX('Tính'!$C$182:$V$226,$CD$5,$BJ$17))</f>
        <v/>
      </c>
      <c r="N41" s="59">
        <f>IF(OR($I41="",$N$26=""),"",INDEX('Tính'!$C$182:$V$226,$CD$6,$BJ$17))</f>
        <v/>
      </c>
      <c r="O41" s="59">
        <f>IF(OR($I41="",$O$26=""),"",INDEX('Tính'!$C$182:$V$226,$CD$7,$BJ$17))</f>
        <v/>
      </c>
      <c r="P41" s="59">
        <f>IF(OR($I41="",$P$26=""),"",INDEX('Tính'!$C$182:$V$226,$CD$8,$BJ$17))</f>
        <v/>
      </c>
      <c r="Q41" s="59">
        <f>IF(OR($I41="",$Q$26=""),"",INDEX('Tính'!$C$182:$V$226,$CD$9,$BJ$17))</f>
        <v/>
      </c>
      <c r="R41" s="59">
        <f>IF(OR($I41="",$R$26=""),"",INDEX('Tính'!$C$182:$V$226,$CD$10,$BJ$17))</f>
        <v/>
      </c>
      <c r="S41" s="59">
        <f>IF(OR($I41="",$S$26=""),"",INDEX('Tính'!$C$182:$V$226,$CD$11,$BJ$17))</f>
        <v/>
      </c>
      <c r="T41" s="59">
        <f>IF(OR($I41="",$T$26=""),"",INDEX('Tính'!$C$182:$V$226,$CD$12,$BJ$17))</f>
        <v/>
      </c>
      <c r="U41" s="59">
        <f>IF(OR($I41="",$U$26=""),"",INDEX('Tính'!$C$182:$V$226,$CD$13,$BJ$17))</f>
        <v/>
      </c>
      <c r="V41" s="59">
        <f>IF(OR($I41="",$V$26=""),"",INDEX('Tính'!$C$182:$V$226,$CD$14,$BJ$17))</f>
        <v/>
      </c>
      <c r="W41" s="59">
        <f>IF(OR($I41="",$W$26=""),"",INDEX('Tính'!$C$182:$V$226,$CD$15,$BJ$17))</f>
        <v/>
      </c>
      <c r="X41" s="59">
        <f>IF(OR($I41="",$X$26=""),"",INDEX('Tính'!$C$182:$V$226,$CD$16,$BJ$17))</f>
        <v/>
      </c>
      <c r="Y41" s="59">
        <f>IF(OR($I41="",$Y$26=""),"",INDEX('Tính'!$C$182:$V$226,$CD$17,$BJ$17))</f>
        <v/>
      </c>
      <c r="Z41" s="59">
        <f>IF(OR($I41="",$Z$26=""),"",INDEX('Tính'!$C$182:$V$226,$CD$18,$BJ$17))</f>
        <v/>
      </c>
      <c r="AA41" s="59">
        <f>IF(OR($I41="",$AA$26=""),"",INDEX('Tính'!$C$182:$V$226,$CD$19,$BJ$17))</f>
        <v/>
      </c>
      <c r="AB41" s="59">
        <f>IF(OR($I41="",$AB$26=""),"",INDEX('Tính'!$C$182:$V$226,$CD$20,$BJ$17))</f>
        <v/>
      </c>
      <c r="AC41" s="59">
        <f>IF(OR($I41="",$AC$26=""),"",INDEX('Tính'!$C$182:$V$226,$CD$21,$BJ$17))</f>
        <v/>
      </c>
      <c r="AD41" s="59">
        <f>IF(OR($I41="",$AD$26=""),"",INDEX('Tính'!$C$182:$V$226,$CD$22,$BJ$17))</f>
        <v/>
      </c>
      <c r="CA41" t="n">
        <v>39</v>
      </c>
      <c r="CB41">
        <f>IF('Tính'!B77="",0,IF(OR($AZ$1=0,'Tính'!D77=$AZ$1),1,0))</f>
        <v/>
      </c>
      <c r="CC41">
        <f>IF(CB41=1,'Tính'!M77+1+(45-39)/1000000,-1)</f>
        <v/>
      </c>
      <c r="CD41">
        <f>IF(LARGE($CC$3:$CC$47,39)&lt;0,"",MATCH(LARGE($CC$3:$CC$47,39),$CC$3:$CC$47,0))</f>
        <v/>
      </c>
    </row>
    <row r="42">
      <c r="I42" s="58">
        <f>A25</f>
        <v/>
      </c>
      <c r="J42" s="59">
        <f>IF($I42="","",F25)</f>
        <v/>
      </c>
      <c r="K42" s="59">
        <f>IF(OR($I42="",$K$26=""),"",INDEX('Tính'!$C$182:$V$226,$CD$3,$BJ$18))</f>
        <v/>
      </c>
      <c r="L42" s="59">
        <f>IF(OR($I42="",$L$26=""),"",INDEX('Tính'!$C$182:$V$226,$CD$4,$BJ$18))</f>
        <v/>
      </c>
      <c r="M42" s="59">
        <f>IF(OR($I42="",$M$26=""),"",INDEX('Tính'!$C$182:$V$226,$CD$5,$BJ$18))</f>
        <v/>
      </c>
      <c r="N42" s="59">
        <f>IF(OR($I42="",$N$26=""),"",INDEX('Tính'!$C$182:$V$226,$CD$6,$BJ$18))</f>
        <v/>
      </c>
      <c r="O42" s="59">
        <f>IF(OR($I42="",$O$26=""),"",INDEX('Tính'!$C$182:$V$226,$CD$7,$BJ$18))</f>
        <v/>
      </c>
      <c r="P42" s="59">
        <f>IF(OR($I42="",$P$26=""),"",INDEX('Tính'!$C$182:$V$226,$CD$8,$BJ$18))</f>
        <v/>
      </c>
      <c r="Q42" s="59">
        <f>IF(OR($I42="",$Q$26=""),"",INDEX('Tính'!$C$182:$V$226,$CD$9,$BJ$18))</f>
        <v/>
      </c>
      <c r="R42" s="59">
        <f>IF(OR($I42="",$R$26=""),"",INDEX('Tính'!$C$182:$V$226,$CD$10,$BJ$18))</f>
        <v/>
      </c>
      <c r="S42" s="59">
        <f>IF(OR($I42="",$S$26=""),"",INDEX('Tính'!$C$182:$V$226,$CD$11,$BJ$18))</f>
        <v/>
      </c>
      <c r="T42" s="59">
        <f>IF(OR($I42="",$T$26=""),"",INDEX('Tính'!$C$182:$V$226,$CD$12,$BJ$18))</f>
        <v/>
      </c>
      <c r="U42" s="59">
        <f>IF(OR($I42="",$U$26=""),"",INDEX('Tính'!$C$182:$V$226,$CD$13,$BJ$18))</f>
        <v/>
      </c>
      <c r="V42" s="59">
        <f>IF(OR($I42="",$V$26=""),"",INDEX('Tính'!$C$182:$V$226,$CD$14,$BJ$18))</f>
        <v/>
      </c>
      <c r="W42" s="59">
        <f>IF(OR($I42="",$W$26=""),"",INDEX('Tính'!$C$182:$V$226,$CD$15,$BJ$18))</f>
        <v/>
      </c>
      <c r="X42" s="59">
        <f>IF(OR($I42="",$X$26=""),"",INDEX('Tính'!$C$182:$V$226,$CD$16,$BJ$18))</f>
        <v/>
      </c>
      <c r="Y42" s="59">
        <f>IF(OR($I42="",$Y$26=""),"",INDEX('Tính'!$C$182:$V$226,$CD$17,$BJ$18))</f>
        <v/>
      </c>
      <c r="Z42" s="59">
        <f>IF(OR($I42="",$Z$26=""),"",INDEX('Tính'!$C$182:$V$226,$CD$18,$BJ$18))</f>
        <v/>
      </c>
      <c r="AA42" s="59">
        <f>IF(OR($I42="",$AA$26=""),"",INDEX('Tính'!$C$182:$V$226,$CD$19,$BJ$18))</f>
        <v/>
      </c>
      <c r="AB42" s="59">
        <f>IF(OR($I42="",$AB$26=""),"",INDEX('Tính'!$C$182:$V$226,$CD$20,$BJ$18))</f>
        <v/>
      </c>
      <c r="AC42" s="59">
        <f>IF(OR($I42="",$AC$26=""),"",INDEX('Tính'!$C$182:$V$226,$CD$21,$BJ$18))</f>
        <v/>
      </c>
      <c r="AD42" s="59">
        <f>IF(OR($I42="",$AD$26=""),"",INDEX('Tính'!$C$182:$V$226,$CD$22,$BJ$18))</f>
        <v/>
      </c>
      <c r="CA42" t="n">
        <v>40</v>
      </c>
      <c r="CB42">
        <f>IF('Tính'!B78="",0,IF(OR($AZ$1=0,'Tính'!D78=$AZ$1),1,0))</f>
        <v/>
      </c>
      <c r="CC42">
        <f>IF(CB42=1,'Tính'!M78+1+(45-40)/1000000,-1)</f>
        <v/>
      </c>
      <c r="CD42">
        <f>IF(LARGE($CC$3:$CC$47,40)&lt;0,"",MATCH(LARGE($CC$3:$CC$47,40),$CC$3:$CC$47,0))</f>
        <v/>
      </c>
    </row>
    <row r="43">
      <c r="I43" s="58">
        <f>A26</f>
        <v/>
      </c>
      <c r="J43" s="59">
        <f>IF($I43="","",F26)</f>
        <v/>
      </c>
      <c r="K43" s="59">
        <f>IF(OR($I43="",$K$26=""),"",INDEX('Tính'!$C$182:$V$226,$CD$3,$BJ$19))</f>
        <v/>
      </c>
      <c r="L43" s="59">
        <f>IF(OR($I43="",$L$26=""),"",INDEX('Tính'!$C$182:$V$226,$CD$4,$BJ$19))</f>
        <v/>
      </c>
      <c r="M43" s="59">
        <f>IF(OR($I43="",$M$26=""),"",INDEX('Tính'!$C$182:$V$226,$CD$5,$BJ$19))</f>
        <v/>
      </c>
      <c r="N43" s="59">
        <f>IF(OR($I43="",$N$26=""),"",INDEX('Tính'!$C$182:$V$226,$CD$6,$BJ$19))</f>
        <v/>
      </c>
      <c r="O43" s="59">
        <f>IF(OR($I43="",$O$26=""),"",INDEX('Tính'!$C$182:$V$226,$CD$7,$BJ$19))</f>
        <v/>
      </c>
      <c r="P43" s="59">
        <f>IF(OR($I43="",$P$26=""),"",INDEX('Tính'!$C$182:$V$226,$CD$8,$BJ$19))</f>
        <v/>
      </c>
      <c r="Q43" s="59">
        <f>IF(OR($I43="",$Q$26=""),"",INDEX('Tính'!$C$182:$V$226,$CD$9,$BJ$19))</f>
        <v/>
      </c>
      <c r="R43" s="59">
        <f>IF(OR($I43="",$R$26=""),"",INDEX('Tính'!$C$182:$V$226,$CD$10,$BJ$19))</f>
        <v/>
      </c>
      <c r="S43" s="59">
        <f>IF(OR($I43="",$S$26=""),"",INDEX('Tính'!$C$182:$V$226,$CD$11,$BJ$19))</f>
        <v/>
      </c>
      <c r="T43" s="59">
        <f>IF(OR($I43="",$T$26=""),"",INDEX('Tính'!$C$182:$V$226,$CD$12,$BJ$19))</f>
        <v/>
      </c>
      <c r="U43" s="59">
        <f>IF(OR($I43="",$U$26=""),"",INDEX('Tính'!$C$182:$V$226,$CD$13,$BJ$19))</f>
        <v/>
      </c>
      <c r="V43" s="59">
        <f>IF(OR($I43="",$V$26=""),"",INDEX('Tính'!$C$182:$V$226,$CD$14,$BJ$19))</f>
        <v/>
      </c>
      <c r="W43" s="59">
        <f>IF(OR($I43="",$W$26=""),"",INDEX('Tính'!$C$182:$V$226,$CD$15,$BJ$19))</f>
        <v/>
      </c>
      <c r="X43" s="59">
        <f>IF(OR($I43="",$X$26=""),"",INDEX('Tính'!$C$182:$V$226,$CD$16,$BJ$19))</f>
        <v/>
      </c>
      <c r="Y43" s="59">
        <f>IF(OR($I43="",$Y$26=""),"",INDEX('Tính'!$C$182:$V$226,$CD$17,$BJ$19))</f>
        <v/>
      </c>
      <c r="Z43" s="59">
        <f>IF(OR($I43="",$Z$26=""),"",INDEX('Tính'!$C$182:$V$226,$CD$18,$BJ$19))</f>
        <v/>
      </c>
      <c r="AA43" s="59">
        <f>IF(OR($I43="",$AA$26=""),"",INDEX('Tính'!$C$182:$V$226,$CD$19,$BJ$19))</f>
        <v/>
      </c>
      <c r="AB43" s="59">
        <f>IF(OR($I43="",$AB$26=""),"",INDEX('Tính'!$C$182:$V$226,$CD$20,$BJ$19))</f>
        <v/>
      </c>
      <c r="AC43" s="59">
        <f>IF(OR($I43="",$AC$26=""),"",INDEX('Tính'!$C$182:$V$226,$CD$21,$BJ$19))</f>
        <v/>
      </c>
      <c r="AD43" s="59">
        <f>IF(OR($I43="",$AD$26=""),"",INDEX('Tính'!$C$182:$V$226,$CD$22,$BJ$19))</f>
        <v/>
      </c>
      <c r="CA43" t="n">
        <v>41</v>
      </c>
      <c r="CB43">
        <f>IF('Tính'!B79="",0,IF(OR($AZ$1=0,'Tính'!D79=$AZ$1),1,0))</f>
        <v/>
      </c>
      <c r="CC43">
        <f>IF(CB43=1,'Tính'!M79+1+(45-41)/1000000,-1)</f>
        <v/>
      </c>
      <c r="CD43">
        <f>IF(LARGE($CC$3:$CC$47,41)&lt;0,"",MATCH(LARGE($CC$3:$CC$47,41),$CC$3:$CC$47,0))</f>
        <v/>
      </c>
    </row>
    <row r="44">
      <c r="I44" s="58">
        <f>A27</f>
        <v/>
      </c>
      <c r="J44" s="59">
        <f>IF($I44="","",F27)</f>
        <v/>
      </c>
      <c r="K44" s="59">
        <f>IF(OR($I44="",$K$26=""),"",INDEX('Tính'!$C$182:$V$226,$CD$3,$BJ$20))</f>
        <v/>
      </c>
      <c r="L44" s="59">
        <f>IF(OR($I44="",$L$26=""),"",INDEX('Tính'!$C$182:$V$226,$CD$4,$BJ$20))</f>
        <v/>
      </c>
      <c r="M44" s="59">
        <f>IF(OR($I44="",$M$26=""),"",INDEX('Tính'!$C$182:$V$226,$CD$5,$BJ$20))</f>
        <v/>
      </c>
      <c r="N44" s="59">
        <f>IF(OR($I44="",$N$26=""),"",INDEX('Tính'!$C$182:$V$226,$CD$6,$BJ$20))</f>
        <v/>
      </c>
      <c r="O44" s="59">
        <f>IF(OR($I44="",$O$26=""),"",INDEX('Tính'!$C$182:$V$226,$CD$7,$BJ$20))</f>
        <v/>
      </c>
      <c r="P44" s="59">
        <f>IF(OR($I44="",$P$26=""),"",INDEX('Tính'!$C$182:$V$226,$CD$8,$BJ$20))</f>
        <v/>
      </c>
      <c r="Q44" s="59">
        <f>IF(OR($I44="",$Q$26=""),"",INDEX('Tính'!$C$182:$V$226,$CD$9,$BJ$20))</f>
        <v/>
      </c>
      <c r="R44" s="59">
        <f>IF(OR($I44="",$R$26=""),"",INDEX('Tính'!$C$182:$V$226,$CD$10,$BJ$20))</f>
        <v/>
      </c>
      <c r="S44" s="59">
        <f>IF(OR($I44="",$S$26=""),"",INDEX('Tính'!$C$182:$V$226,$CD$11,$BJ$20))</f>
        <v/>
      </c>
      <c r="T44" s="59">
        <f>IF(OR($I44="",$T$26=""),"",INDEX('Tính'!$C$182:$V$226,$CD$12,$BJ$20))</f>
        <v/>
      </c>
      <c r="U44" s="59">
        <f>IF(OR($I44="",$U$26=""),"",INDEX('Tính'!$C$182:$V$226,$CD$13,$BJ$20))</f>
        <v/>
      </c>
      <c r="V44" s="59">
        <f>IF(OR($I44="",$V$26=""),"",INDEX('Tính'!$C$182:$V$226,$CD$14,$BJ$20))</f>
        <v/>
      </c>
      <c r="W44" s="59">
        <f>IF(OR($I44="",$W$26=""),"",INDEX('Tính'!$C$182:$V$226,$CD$15,$BJ$20))</f>
        <v/>
      </c>
      <c r="X44" s="59">
        <f>IF(OR($I44="",$X$26=""),"",INDEX('Tính'!$C$182:$V$226,$CD$16,$BJ$20))</f>
        <v/>
      </c>
      <c r="Y44" s="59">
        <f>IF(OR($I44="",$Y$26=""),"",INDEX('Tính'!$C$182:$V$226,$CD$17,$BJ$20))</f>
        <v/>
      </c>
      <c r="Z44" s="59">
        <f>IF(OR($I44="",$Z$26=""),"",INDEX('Tính'!$C$182:$V$226,$CD$18,$BJ$20))</f>
        <v/>
      </c>
      <c r="AA44" s="59">
        <f>IF(OR($I44="",$AA$26=""),"",INDEX('Tính'!$C$182:$V$226,$CD$19,$BJ$20))</f>
        <v/>
      </c>
      <c r="AB44" s="59">
        <f>IF(OR($I44="",$AB$26=""),"",INDEX('Tính'!$C$182:$V$226,$CD$20,$BJ$20))</f>
        <v/>
      </c>
      <c r="AC44" s="59">
        <f>IF(OR($I44="",$AC$26=""),"",INDEX('Tính'!$C$182:$V$226,$CD$21,$BJ$20))</f>
        <v/>
      </c>
      <c r="AD44" s="59">
        <f>IF(OR($I44="",$AD$26=""),"",INDEX('Tính'!$C$182:$V$226,$CD$22,$BJ$20))</f>
        <v/>
      </c>
      <c r="CA44" t="n">
        <v>42</v>
      </c>
      <c r="CB44">
        <f>IF('Tính'!B80="",0,IF(OR($AZ$1=0,'Tính'!D80=$AZ$1),1,0))</f>
        <v/>
      </c>
      <c r="CC44">
        <f>IF(CB44=1,'Tính'!M80+1+(45-42)/1000000,-1)</f>
        <v/>
      </c>
      <c r="CD44">
        <f>IF(LARGE($CC$3:$CC$47,42)&lt;0,"",MATCH(LARGE($CC$3:$CC$47,42),$CC$3:$CC$47,0))</f>
        <v/>
      </c>
    </row>
    <row r="45">
      <c r="I45" s="58">
        <f>A28</f>
        <v/>
      </c>
      <c r="J45" s="59">
        <f>IF($I45="","",F28)</f>
        <v/>
      </c>
      <c r="K45" s="59">
        <f>IF(OR($I45="",$K$26=""),"",INDEX('Tính'!$C$182:$V$226,$CD$3,$BJ$21))</f>
        <v/>
      </c>
      <c r="L45" s="59">
        <f>IF(OR($I45="",$L$26=""),"",INDEX('Tính'!$C$182:$V$226,$CD$4,$BJ$21))</f>
        <v/>
      </c>
      <c r="M45" s="59">
        <f>IF(OR($I45="",$M$26=""),"",INDEX('Tính'!$C$182:$V$226,$CD$5,$BJ$21))</f>
        <v/>
      </c>
      <c r="N45" s="59">
        <f>IF(OR($I45="",$N$26=""),"",INDEX('Tính'!$C$182:$V$226,$CD$6,$BJ$21))</f>
        <v/>
      </c>
      <c r="O45" s="59">
        <f>IF(OR($I45="",$O$26=""),"",INDEX('Tính'!$C$182:$V$226,$CD$7,$BJ$21))</f>
        <v/>
      </c>
      <c r="P45" s="59">
        <f>IF(OR($I45="",$P$26=""),"",INDEX('Tính'!$C$182:$V$226,$CD$8,$BJ$21))</f>
        <v/>
      </c>
      <c r="Q45" s="59">
        <f>IF(OR($I45="",$Q$26=""),"",INDEX('Tính'!$C$182:$V$226,$CD$9,$BJ$21))</f>
        <v/>
      </c>
      <c r="R45" s="59">
        <f>IF(OR($I45="",$R$26=""),"",INDEX('Tính'!$C$182:$V$226,$CD$10,$BJ$21))</f>
        <v/>
      </c>
      <c r="S45" s="59">
        <f>IF(OR($I45="",$S$26=""),"",INDEX('Tính'!$C$182:$V$226,$CD$11,$BJ$21))</f>
        <v/>
      </c>
      <c r="T45" s="59">
        <f>IF(OR($I45="",$T$26=""),"",INDEX('Tính'!$C$182:$V$226,$CD$12,$BJ$21))</f>
        <v/>
      </c>
      <c r="U45" s="59">
        <f>IF(OR($I45="",$U$26=""),"",INDEX('Tính'!$C$182:$V$226,$CD$13,$BJ$21))</f>
        <v/>
      </c>
      <c r="V45" s="59">
        <f>IF(OR($I45="",$V$26=""),"",INDEX('Tính'!$C$182:$V$226,$CD$14,$BJ$21))</f>
        <v/>
      </c>
      <c r="W45" s="59">
        <f>IF(OR($I45="",$W$26=""),"",INDEX('Tính'!$C$182:$V$226,$CD$15,$BJ$21))</f>
        <v/>
      </c>
      <c r="X45" s="59">
        <f>IF(OR($I45="",$X$26=""),"",INDEX('Tính'!$C$182:$V$226,$CD$16,$BJ$21))</f>
        <v/>
      </c>
      <c r="Y45" s="59">
        <f>IF(OR($I45="",$Y$26=""),"",INDEX('Tính'!$C$182:$V$226,$CD$17,$BJ$21))</f>
        <v/>
      </c>
      <c r="Z45" s="59">
        <f>IF(OR($I45="",$Z$26=""),"",INDEX('Tính'!$C$182:$V$226,$CD$18,$BJ$21))</f>
        <v/>
      </c>
      <c r="AA45" s="59">
        <f>IF(OR($I45="",$AA$26=""),"",INDEX('Tính'!$C$182:$V$226,$CD$19,$BJ$21))</f>
        <v/>
      </c>
      <c r="AB45" s="59">
        <f>IF(OR($I45="",$AB$26=""),"",INDEX('Tính'!$C$182:$V$226,$CD$20,$BJ$21))</f>
        <v/>
      </c>
      <c r="AC45" s="59">
        <f>IF(OR($I45="",$AC$26=""),"",INDEX('Tính'!$C$182:$V$226,$CD$21,$BJ$21))</f>
        <v/>
      </c>
      <c r="AD45" s="59">
        <f>IF(OR($I45="",$AD$26=""),"",INDEX('Tính'!$C$182:$V$226,$CD$22,$BJ$21))</f>
        <v/>
      </c>
      <c r="CA45" t="n">
        <v>43</v>
      </c>
      <c r="CB45">
        <f>IF('Tính'!B81="",0,IF(OR($AZ$1=0,'Tính'!D81=$AZ$1),1,0))</f>
        <v/>
      </c>
      <c r="CC45">
        <f>IF(CB45=1,'Tính'!M81+1+(45-43)/1000000,-1)</f>
        <v/>
      </c>
      <c r="CD45">
        <f>IF(LARGE($CC$3:$CC$47,43)&lt;0,"",MATCH(LARGE($CC$3:$CC$47,43),$CC$3:$CC$47,0))</f>
        <v/>
      </c>
    </row>
    <row r="46">
      <c r="I46" s="58">
        <f>A29</f>
        <v/>
      </c>
      <c r="J46" s="59">
        <f>IF($I46="","",F29)</f>
        <v/>
      </c>
      <c r="K46" s="59">
        <f>IF(OR($I46="",$K$26=""),"",INDEX('Tính'!$C$182:$V$226,$CD$3,$BJ$22))</f>
        <v/>
      </c>
      <c r="L46" s="59">
        <f>IF(OR($I46="",$L$26=""),"",INDEX('Tính'!$C$182:$V$226,$CD$4,$BJ$22))</f>
        <v/>
      </c>
      <c r="M46" s="59">
        <f>IF(OR($I46="",$M$26=""),"",INDEX('Tính'!$C$182:$V$226,$CD$5,$BJ$22))</f>
        <v/>
      </c>
      <c r="N46" s="59">
        <f>IF(OR($I46="",$N$26=""),"",INDEX('Tính'!$C$182:$V$226,$CD$6,$BJ$22))</f>
        <v/>
      </c>
      <c r="O46" s="59">
        <f>IF(OR($I46="",$O$26=""),"",INDEX('Tính'!$C$182:$V$226,$CD$7,$BJ$22))</f>
        <v/>
      </c>
      <c r="P46" s="59">
        <f>IF(OR($I46="",$P$26=""),"",INDEX('Tính'!$C$182:$V$226,$CD$8,$BJ$22))</f>
        <v/>
      </c>
      <c r="Q46" s="59">
        <f>IF(OR($I46="",$Q$26=""),"",INDEX('Tính'!$C$182:$V$226,$CD$9,$BJ$22))</f>
        <v/>
      </c>
      <c r="R46" s="59">
        <f>IF(OR($I46="",$R$26=""),"",INDEX('Tính'!$C$182:$V$226,$CD$10,$BJ$22))</f>
        <v/>
      </c>
      <c r="S46" s="59">
        <f>IF(OR($I46="",$S$26=""),"",INDEX('Tính'!$C$182:$V$226,$CD$11,$BJ$22))</f>
        <v/>
      </c>
      <c r="T46" s="59">
        <f>IF(OR($I46="",$T$26=""),"",INDEX('Tính'!$C$182:$V$226,$CD$12,$BJ$22))</f>
        <v/>
      </c>
      <c r="U46" s="59">
        <f>IF(OR($I46="",$U$26=""),"",INDEX('Tính'!$C$182:$V$226,$CD$13,$BJ$22))</f>
        <v/>
      </c>
      <c r="V46" s="59">
        <f>IF(OR($I46="",$V$26=""),"",INDEX('Tính'!$C$182:$V$226,$CD$14,$BJ$22))</f>
        <v/>
      </c>
      <c r="W46" s="59">
        <f>IF(OR($I46="",$W$26=""),"",INDEX('Tính'!$C$182:$V$226,$CD$15,$BJ$22))</f>
        <v/>
      </c>
      <c r="X46" s="59">
        <f>IF(OR($I46="",$X$26=""),"",INDEX('Tính'!$C$182:$V$226,$CD$16,$BJ$22))</f>
        <v/>
      </c>
      <c r="Y46" s="59">
        <f>IF(OR($I46="",$Y$26=""),"",INDEX('Tính'!$C$182:$V$226,$CD$17,$BJ$22))</f>
        <v/>
      </c>
      <c r="Z46" s="59">
        <f>IF(OR($I46="",$Z$26=""),"",INDEX('Tính'!$C$182:$V$226,$CD$18,$BJ$22))</f>
        <v/>
      </c>
      <c r="AA46" s="59">
        <f>IF(OR($I46="",$AA$26=""),"",INDEX('Tính'!$C$182:$V$226,$CD$19,$BJ$22))</f>
        <v/>
      </c>
      <c r="AB46" s="59">
        <f>IF(OR($I46="",$AB$26=""),"",INDEX('Tính'!$C$182:$V$226,$CD$20,$BJ$22))</f>
        <v/>
      </c>
      <c r="AC46" s="59">
        <f>IF(OR($I46="",$AC$26=""),"",INDEX('Tính'!$C$182:$V$226,$CD$21,$BJ$22))</f>
        <v/>
      </c>
      <c r="AD46" s="59">
        <f>IF(OR($I46="",$AD$26=""),"",INDEX('Tính'!$C$182:$V$226,$CD$22,$BJ$22))</f>
        <v/>
      </c>
      <c r="CA46" t="n">
        <v>44</v>
      </c>
      <c r="CB46">
        <f>IF('Tính'!B82="",0,IF(OR($AZ$1=0,'Tính'!D82=$AZ$1),1,0))</f>
        <v/>
      </c>
      <c r="CC46">
        <f>IF(CB46=1,'Tính'!M82+1+(45-44)/1000000,-1)</f>
        <v/>
      </c>
      <c r="CD46">
        <f>IF(LARGE($CC$3:$CC$47,44)&lt;0,"",MATCH(LARGE($CC$3:$CC$47,44),$CC$3:$CC$47,0))</f>
        <v/>
      </c>
    </row>
    <row r="47">
      <c r="I47" s="60" t="inlineStr">
        <is>
          <t>Số nhóm đạt</t>
        </is>
      </c>
      <c r="J47" s="61">
        <f>IF(J26="","",COUNTIF(J27:J46,"&gt;=0.995")&amp;"/"&amp;COUNTIF($BA$3:$BA$22,"?*"))</f>
        <v/>
      </c>
      <c r="K47" s="61">
        <f>IF(K26="","",COUNTIF(K27:K46,"&gt;=0.995")&amp;"/"&amp;COUNTIF($BA$3:$BA$22,"?*"))</f>
        <v/>
      </c>
      <c r="L47" s="61">
        <f>IF(L26="","",COUNTIF(L27:L46,"&gt;=0.995")&amp;"/"&amp;COUNTIF($BA$3:$BA$22,"?*"))</f>
        <v/>
      </c>
      <c r="M47" s="61">
        <f>IF(M26="","",COUNTIF(M27:M46,"&gt;=0.995")&amp;"/"&amp;COUNTIF($BA$3:$BA$22,"?*"))</f>
        <v/>
      </c>
      <c r="N47" s="61">
        <f>IF(N26="","",COUNTIF(N27:N46,"&gt;=0.995")&amp;"/"&amp;COUNTIF($BA$3:$BA$22,"?*"))</f>
        <v/>
      </c>
      <c r="O47" s="61">
        <f>IF(O26="","",COUNTIF(O27:O46,"&gt;=0.995")&amp;"/"&amp;COUNTIF($BA$3:$BA$22,"?*"))</f>
        <v/>
      </c>
      <c r="P47" s="61">
        <f>IF(P26="","",COUNTIF(P27:P46,"&gt;=0.995")&amp;"/"&amp;COUNTIF($BA$3:$BA$22,"?*"))</f>
        <v/>
      </c>
      <c r="Q47" s="61">
        <f>IF(Q26="","",COUNTIF(Q27:Q46,"&gt;=0.995")&amp;"/"&amp;COUNTIF($BA$3:$BA$22,"?*"))</f>
        <v/>
      </c>
      <c r="R47" s="61">
        <f>IF(R26="","",COUNTIF(R27:R46,"&gt;=0.995")&amp;"/"&amp;COUNTIF($BA$3:$BA$22,"?*"))</f>
        <v/>
      </c>
      <c r="S47" s="61">
        <f>IF(S26="","",COUNTIF(S27:S46,"&gt;=0.995")&amp;"/"&amp;COUNTIF($BA$3:$BA$22,"?*"))</f>
        <v/>
      </c>
      <c r="T47" s="61">
        <f>IF(T26="","",COUNTIF(T27:T46,"&gt;=0.995")&amp;"/"&amp;COUNTIF($BA$3:$BA$22,"?*"))</f>
        <v/>
      </c>
      <c r="U47" s="61">
        <f>IF(U26="","",COUNTIF(U27:U46,"&gt;=0.995")&amp;"/"&amp;COUNTIF($BA$3:$BA$22,"?*"))</f>
        <v/>
      </c>
      <c r="V47" s="61">
        <f>IF(V26="","",COUNTIF(V27:V46,"&gt;=0.995")&amp;"/"&amp;COUNTIF($BA$3:$BA$22,"?*"))</f>
        <v/>
      </c>
      <c r="W47" s="61">
        <f>IF(W26="","",COUNTIF(W27:W46,"&gt;=0.995")&amp;"/"&amp;COUNTIF($BA$3:$BA$22,"?*"))</f>
        <v/>
      </c>
      <c r="X47" s="61">
        <f>IF(X26="","",COUNTIF(X27:X46,"&gt;=0.995")&amp;"/"&amp;COUNTIF($BA$3:$BA$22,"?*"))</f>
        <v/>
      </c>
      <c r="Y47" s="61">
        <f>IF(Y26="","",COUNTIF(Y27:Y46,"&gt;=0.995")&amp;"/"&amp;COUNTIF($BA$3:$BA$22,"?*"))</f>
        <v/>
      </c>
      <c r="Z47" s="61">
        <f>IF(Z26="","",COUNTIF(Z27:Z46,"&gt;=0.995")&amp;"/"&amp;COUNTIF($BA$3:$BA$22,"?*"))</f>
        <v/>
      </c>
      <c r="AA47" s="61">
        <f>IF(AA26="","",COUNTIF(AA27:AA46,"&gt;=0.995")&amp;"/"&amp;COUNTIF($BA$3:$BA$22,"?*"))</f>
        <v/>
      </c>
      <c r="AB47" s="61">
        <f>IF(AB26="","",COUNTIF(AB27:AB46,"&gt;=0.995")&amp;"/"&amp;COUNTIF($BA$3:$BA$22,"?*"))</f>
        <v/>
      </c>
      <c r="AC47" s="61">
        <f>IF(AC26="","",COUNTIF(AC27:AC46,"&gt;=0.995")&amp;"/"&amp;COUNTIF($BA$3:$BA$22,"?*"))</f>
        <v/>
      </c>
      <c r="AD47" s="61">
        <f>IF(AD26="","",COUNTIF(AD27:AD46,"&gt;=0.995")&amp;"/"&amp;COUNTIF($BA$3:$BA$22,"?*"))</f>
        <v/>
      </c>
      <c r="CA47" t="n">
        <v>45</v>
      </c>
      <c r="CB47">
        <f>IF('Tính'!B83="",0,IF(OR($AZ$1=0,'Tính'!D83=$AZ$1),1,0))</f>
        <v/>
      </c>
      <c r="CC47">
        <f>IF(CB47=1,'Tính'!M83+1+(45-45)/1000000,-1)</f>
        <v/>
      </c>
      <c r="CD47">
        <f>IF(LARGE($CC$3:$CC$47,45)&lt;0,"",MATCH(LARGE($CC$3:$CC$47,45),$CC$3:$CC$47,0))</f>
        <v/>
      </c>
    </row>
    <row r="49">
      <c r="A49" s="10" t="inlineStr">
        <is>
          <t>Tiền: triệu · Dự kiến = lũy kế ÷ ngày đã qua × số ngày ÷ target · nhóm đạt khi Dự kiến ≥ 100% · target NV chia theo % phân bổ ở Khai báo</t>
        </is>
      </c>
    </row>
  </sheetData>
  <mergeCells count="9">
    <mergeCell ref="B4:F4"/>
    <mergeCell ref="C8:D8"/>
    <mergeCell ref="E7:F7"/>
    <mergeCell ref="A4:A5"/>
    <mergeCell ref="F2:L2"/>
    <mergeCell ref="A8:B8"/>
    <mergeCell ref="E8:F8"/>
    <mergeCell ref="B2:D2"/>
    <mergeCell ref="A1:N1"/>
  </mergeCells>
  <conditionalFormatting sqref="F6">
    <cfRule type="expression" priority="1" dxfId="0" stopIfTrue="1">
      <formula>AND(ISNUMBER(F6),ROUND(F6,2)=0)</formula>
    </cfRule>
    <cfRule type="expression" priority="2" dxfId="1" stopIfTrue="1">
      <formula>AND(ISNUMBER(F6),F6&gt;=1)</formula>
    </cfRule>
    <cfRule type="expression" priority="3" dxfId="2" stopIfTrue="1">
      <formula>AND(ISNUMBER(F6),F6&gt;=1*0.8)</formula>
    </cfRule>
    <cfRule type="expression" priority="4" dxfId="3" stopIfTrue="1">
      <formula>ISNUMBER(F6)</formula>
    </cfRule>
  </conditionalFormatting>
  <conditionalFormatting sqref="E7">
    <cfRule type="expression" priority="5" dxfId="1" stopIfTrue="1">
      <formula>$D7&gt;=$C7</formula>
    </cfRule>
    <cfRule type="expression" priority="6" dxfId="3">
      <formula>$D7&lt;$C7</formula>
    </cfRule>
  </conditionalFormatting>
  <conditionalFormatting sqref="F10:F29">
    <cfRule type="expression" priority="7" dxfId="0" stopIfTrue="1">
      <formula>AND(ISNUMBER(F10),ROUND(F10,2)=0)</formula>
    </cfRule>
    <cfRule type="expression" priority="8" dxfId="1" stopIfTrue="1">
      <formula>AND(ISNUMBER(F10),F10&gt;=1)</formula>
    </cfRule>
    <cfRule type="expression" priority="9" dxfId="2" stopIfTrue="1">
      <formula>AND(ISNUMBER(F10),F10&gt;=1*0.8)</formula>
    </cfRule>
    <cfRule type="expression" priority="10" dxfId="3" stopIfTrue="1">
      <formula>ISNUMBER(F10)</formula>
    </cfRule>
  </conditionalFormatting>
  <conditionalFormatting sqref="A10:A29">
    <cfRule type="expression" priority="11" dxfId="0" stopIfTrue="1">
      <formula>AND(ISNUMBER($F10),ROUND($F10,2)=0)</formula>
    </cfRule>
    <cfRule type="expression" priority="12" dxfId="1" stopIfTrue="1">
      <formula>AND(ISNUMBER($F10),$F10&gt;=1)</formula>
    </cfRule>
    <cfRule type="expression" priority="13" dxfId="2" stopIfTrue="1">
      <formula>AND(ISNUMBER($F10),$F10&gt;=1*0.8)</formula>
    </cfRule>
    <cfRule type="expression" priority="14" dxfId="3" stopIfTrue="1">
      <formula>ISNUMBER($F10)</formula>
    </cfRule>
  </conditionalFormatting>
  <conditionalFormatting sqref="E10:E29">
    <cfRule type="expression" priority="15" dxfId="0" stopIfTrue="1">
      <formula>AND(ISNUMBER(E10),ROUND(E10,2)=0)</formula>
    </cfRule>
    <cfRule type="expression" priority="16" dxfId="1" stopIfTrue="1">
      <formula>AND(ISNUMBER(E10),E10&gt;=NgayQua/SoNgay)</formula>
    </cfRule>
    <cfRule type="expression" priority="17" dxfId="2" stopIfTrue="1">
      <formula>AND(ISNUMBER(E10),E10&gt;=NgayQua/SoNgay*0.8)</formula>
    </cfRule>
    <cfRule type="expression" priority="18" dxfId="3" stopIfTrue="1">
      <formula>ISNUMBER(E10)</formula>
    </cfRule>
  </conditionalFormatting>
  <conditionalFormatting sqref="B10:B29">
    <cfRule type="expression" priority="19" dxfId="4">
      <formula>$B10="Vượt trội"</formula>
    </cfRule>
  </conditionalFormatting>
  <conditionalFormatting sqref="M5:M24">
    <cfRule type="expression" priority="20" dxfId="0" stopIfTrue="1">
      <formula>AND(ISNUMBER(M5),ROUND(M5,2)=0)</formula>
    </cfRule>
    <cfRule type="expression" priority="21" dxfId="1" stopIfTrue="1">
      <formula>AND(ISNUMBER(M5),M5&gt;=1)</formula>
    </cfRule>
    <cfRule type="expression" priority="22" dxfId="2" stopIfTrue="1">
      <formula>AND(ISNUMBER(M5),M5&gt;=1*0.8)</formula>
    </cfRule>
    <cfRule type="expression" priority="23" dxfId="3" stopIfTrue="1">
      <formula>ISNUMBER(M5)</formula>
    </cfRule>
  </conditionalFormatting>
  <conditionalFormatting sqref="L5:L24">
    <cfRule type="expression" priority="24" dxfId="0" stopIfTrue="1">
      <formula>AND(ISNUMBER(L5),ROUND(L5,2)=0)</formula>
    </cfRule>
    <cfRule type="expression" priority="25" dxfId="1" stopIfTrue="1">
      <formula>AND(ISNUMBER(L5),L5&gt;=NgayQua/SoNgay)</formula>
    </cfRule>
    <cfRule type="expression" priority="26" dxfId="2" stopIfTrue="1">
      <formula>AND(ISNUMBER(L5),L5&gt;=NgayQua/SoNgay*0.8)</formula>
    </cfRule>
    <cfRule type="expression" priority="27" dxfId="3" stopIfTrue="1">
      <formula>ISNUMBER(L5)</formula>
    </cfRule>
  </conditionalFormatting>
  <conditionalFormatting sqref="K26:AD26">
    <cfRule type="expression" priority="28" dxfId="6">
      <formula>K26&lt;&gt;""</formula>
    </cfRule>
  </conditionalFormatting>
  <conditionalFormatting sqref="J47:AD47">
    <cfRule type="expression" priority="29" dxfId="7">
      <formula>J47&lt;&gt;""</formula>
    </cfRule>
  </conditionalFormatting>
  <conditionalFormatting sqref="J27:AD46">
    <cfRule type="expression" priority="30" dxfId="0" stopIfTrue="1">
      <formula>AND(ISNUMBER(J27),ROUND(J27,2)=0)</formula>
    </cfRule>
    <cfRule type="expression" priority="31" dxfId="1" stopIfTrue="1">
      <formula>AND(ISNUMBER(J27),J27&gt;=1)</formula>
    </cfRule>
    <cfRule type="expression" priority="32" dxfId="2" stopIfTrue="1">
      <formula>AND(ISNUMBER(J27),J27&gt;=1*0.8)</formula>
    </cfRule>
    <cfRule type="expression" priority="33" dxfId="3" stopIfTrue="1">
      <formula>ISNUMBER(J27)</formula>
    </cfRule>
  </conditionalFormatting>
  <conditionalFormatting sqref="A10:F29">
    <cfRule type="expression" priority="34" dxfId="5">
      <formula>$A10&lt;&gt;""</formula>
    </cfRule>
  </conditionalFormatting>
  <conditionalFormatting sqref="H5:N24">
    <cfRule type="expression" priority="35" dxfId="5">
      <formula>$H5&lt;&gt;""</formula>
    </cfRule>
  </conditionalFormatting>
  <conditionalFormatting sqref="I27:AD46">
    <cfRule type="expression" priority="36" dxfId="5">
      <formula>AND($I27&lt;&gt;"",I$26&lt;&gt;"")</formula>
    </cfRule>
  </conditionalFormatting>
  <dataValidations count="1">
    <dataValidation sqref="B2" showDropDown="0" showInputMessage="0" showErrorMessage="0" allowBlank="0" type="list">
      <formula1>'Tính'!$Z$31:$Z$35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D1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  <col width="8" customWidth="1" min="4" max="4"/>
    <col width="2.5" customWidth="1" min="5" max="5"/>
    <col width="17" customWidth="1" min="6" max="6"/>
    <col width="9" customWidth="1" min="7" max="7"/>
    <col width="9" customWidth="1" min="8" max="8"/>
    <col width="8" customWidth="1" min="9" max="9"/>
    <col width="2.5" customWidth="1" min="10" max="10"/>
    <col width="17" customWidth="1" min="11" max="11"/>
    <col width="9" customWidth="1" min="12" max="12"/>
    <col width="9" customWidth="1" min="13" max="13"/>
    <col width="8" customWidth="1" min="14" max="14"/>
    <col width="2.5" customWidth="1" min="15" max="15"/>
    <col width="17" customWidth="1" min="16" max="16"/>
    <col width="9" customWidth="1" min="17" max="17"/>
    <col width="9" customWidth="1" min="18" max="18"/>
    <col width="8" customWidth="1" min="19" max="19"/>
    <col width="2.5" customWidth="1" min="20" max="20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79" max="79"/>
    <col hidden="1" width="13" customWidth="1" min="80" max="80"/>
    <col hidden="1" width="13" customWidth="1" min="81" max="81"/>
    <col hidden="1" width="13" customWidth="1" min="82" max="82"/>
  </cols>
  <sheetData>
    <row r="1">
      <c r="A1" s="19">
        <f>"CHI TIẾT NHÂN VIÊN — "&amp;'Khai báo'!B3&amp;" · số đến hết "&amp;TEXT(NgayQua,"00")&amp;"/"&amp;'Khai báo'!B4</f>
        <v/>
      </c>
      <c r="AZ1">
        <f>IFERROR(MATCH($B$2,'Tính'!$B$31:$B$34,0),0)</f>
        <v/>
      </c>
    </row>
    <row r="2">
      <c r="A2" s="20" t="inlineStr">
        <is>
          <t>Xem:</t>
        </is>
      </c>
      <c r="B2" s="21" t="inlineStr">
        <is>
          <t>Tổng cụm</t>
        </is>
      </c>
      <c r="C2" s="5" t="n"/>
      <c r="D2" s="6" t="n"/>
      <c r="F2" s="10" t="inlineStr">
        <is>
          <t>◀ bấm ô vàng để chọn Tổng cụm hoặc từng siêu thị</t>
        </is>
      </c>
      <c r="BA2" t="inlineStr">
        <is>
          <t>Nhóm (view)</t>
        </is>
      </c>
      <c r="BJ2" t="inlineStr">
        <is>
          <t>Thứ tự</t>
        </is>
      </c>
    </row>
    <row r="3">
      <c r="BA3">
        <f>'Tính'!B3</f>
        <v/>
      </c>
      <c r="BB3">
        <f>'Tính'!D3</f>
        <v/>
      </c>
      <c r="BC3">
        <f>IF($AZ$1=0,'Tính'!$Z$3,CHOOSE($AZ$1,'Tính'!$G$3,'Tính'!$L$3,'Tính'!$Q$3,'Tính'!$V$3))</f>
        <v/>
      </c>
      <c r="BD3">
        <f>IF($AZ$1=0,'Tính'!$Y$3,CHOOSE($AZ$1,'Tính'!$E$3,'Tính'!$J$3,'Tính'!$O$3,'Tính'!$T$3))</f>
        <v/>
      </c>
      <c r="BE3">
        <f>IF($AZ$1=0,'Tính'!$AB$3,CHOOSE($AZ$1,'Tính'!$I$3,'Tính'!$N$3,'Tính'!$S$3,'Tính'!$X$3))</f>
        <v/>
      </c>
      <c r="BF3">
        <f>IF($AZ$1=0,'Tính'!$AA$3,CHOOSE($AZ$1,'Tính'!$H$3,'Tính'!$M$3,'Tính'!$R$3,'Tính'!$W$3))</f>
        <v/>
      </c>
      <c r="BG3">
        <f>IF(BC3&gt;0,BD3/NgayQua*SoNgay/BC3,IF(BD3&gt;0,1,0))</f>
        <v/>
      </c>
      <c r="BH3">
        <f>IF(CoRTNhom=1,IF(BC3&gt;0,(BD3+BF3)/(NgayQua+1)*SoNgay/BC3,IF(BD3+BF3&gt;0,1,0)),BG3)</f>
        <v/>
      </c>
      <c r="BI3">
        <f>IF(BA3="",-1,IF(BB3="Chính",1000,0)+BG3+(20-1)/100000)</f>
        <v/>
      </c>
      <c r="BJ3">
        <f>IF(LARGE($BI$3:$BI$22,1)&lt;0,"",MATCH(LARGE($BI$3:$BI$22,1),$BI$3:$BI$22,0))</f>
        <v/>
      </c>
      <c r="CA3" t="n">
        <v>1</v>
      </c>
      <c r="CB3">
        <f>IF('Tính'!B39="",0,IF(OR($AZ$1=0,'Tính'!D39=$AZ$1),1,0))</f>
        <v/>
      </c>
      <c r="CC3">
        <f>IF(CB3=1,'Tính'!M39+1+(45-1)/1000000,-1)</f>
        <v/>
      </c>
      <c r="CD3">
        <f>IF(LARGE($CC$3:$CC$47,1)&lt;0,"",MATCH(LARGE($CC$3:$CC$47,1),$CC$3:$CC$47,0))</f>
        <v/>
      </c>
    </row>
    <row r="4">
      <c r="A4" s="62">
        <f>IF($CD$3="","",1&amp;". "&amp;IF($CD$3="","",INDEX('Tính'!$F$39:$F$83,$CD$3))&amp;" · "&amp;IF($CD$3="","",INDEX('Tính'!$O$39:$O$83,$CD$3)))</f>
        <v/>
      </c>
      <c r="F4" s="62">
        <f>IF($CD$4="","",2&amp;". "&amp;IF($CD$4="","",INDEX('Tính'!$F$39:$F$83,$CD$4))&amp;" · "&amp;IF($CD$4="","",INDEX('Tính'!$O$39:$O$83,$CD$4)))</f>
        <v/>
      </c>
      <c r="K4" s="62">
        <f>IF($CD$5="","",3&amp;". "&amp;IF($CD$5="","",INDEX('Tính'!$F$39:$F$83,$CD$5))&amp;" · "&amp;IF($CD$5="","",INDEX('Tính'!$O$39:$O$83,$CD$5)))</f>
        <v/>
      </c>
      <c r="P4" s="62">
        <f>IF($CD$6="","",4&amp;". "&amp;IF($CD$6="","",INDEX('Tính'!$F$39:$F$83,$CD$6))&amp;" · "&amp;IF($CD$6="","",INDEX('Tính'!$O$39:$O$83,$CD$6)))</f>
        <v/>
      </c>
      <c r="BA4">
        <f>'Tính'!B4</f>
        <v/>
      </c>
      <c r="BB4">
        <f>'Tính'!D4</f>
        <v/>
      </c>
      <c r="BC4">
        <f>IF($AZ$1=0,'Tính'!$Z$4,CHOOSE($AZ$1,'Tính'!$G$4,'Tính'!$L$4,'Tính'!$Q$4,'Tính'!$V$4))</f>
        <v/>
      </c>
      <c r="BD4">
        <f>IF($AZ$1=0,'Tính'!$Y$4,CHOOSE($AZ$1,'Tính'!$E$4,'Tính'!$J$4,'Tính'!$O$4,'Tính'!$T$4))</f>
        <v/>
      </c>
      <c r="BE4">
        <f>IF($AZ$1=0,'Tính'!$AB$4,CHOOSE($AZ$1,'Tính'!$I$4,'Tính'!$N$4,'Tính'!$S$4,'Tính'!$X$4))</f>
        <v/>
      </c>
      <c r="BF4">
        <f>IF($AZ$1=0,'Tính'!$AA$4,CHOOSE($AZ$1,'Tính'!$H$4,'Tính'!$M$4,'Tính'!$R$4,'Tính'!$W$4))</f>
        <v/>
      </c>
      <c r="BG4">
        <f>IF(BC4&gt;0,BD4/NgayQua*SoNgay/BC4,IF(BD4&gt;0,1,0))</f>
        <v/>
      </c>
      <c r="BH4">
        <f>IF(CoRTNhom=1,IF(BC4&gt;0,(BD4+BF4)/(NgayQua+1)*SoNgay/BC4,IF(BD4+BF4&gt;0,1,0)),BG4)</f>
        <v/>
      </c>
      <c r="BI4">
        <f>IF(BA4="",-1,IF(BB4="Chính",1000,0)+BG4+(20-2)/100000)</f>
        <v/>
      </c>
      <c r="BJ4">
        <f>IF(LARGE($BI$3:$BI$22,2)&lt;0,"",MATCH(LARGE($BI$3:$BI$22,2),$BI$3:$BI$22,0))</f>
        <v/>
      </c>
      <c r="CA4" t="n">
        <v>2</v>
      </c>
      <c r="CB4">
        <f>IF('Tính'!B40="",0,IF(OR($AZ$1=0,'Tính'!D40=$AZ$1),1,0))</f>
        <v/>
      </c>
      <c r="CC4">
        <f>IF(CB4=1,'Tính'!M40+1+(45-2)/1000000,-1)</f>
        <v/>
      </c>
      <c r="CD4">
        <f>IF(LARGE($CC$3:$CC$47,2)&lt;0,"",MATCH(LARGE($CC$3:$CC$47,2),$CC$3:$CC$47,0))</f>
        <v/>
      </c>
    </row>
    <row r="5">
      <c r="A5" s="63">
        <f>IF($CD$3="","","DỰ KIẾN")</f>
        <v/>
      </c>
      <c r="B5" s="63">
        <f>IF($CD$3="","","% HT")</f>
        <v/>
      </c>
      <c r="C5" s="63">
        <f>IF($CD$3="","","NH ĐẠT")</f>
        <v/>
      </c>
      <c r="D5" s="63">
        <f>IF($CD$3="","","HẠNG")</f>
        <v/>
      </c>
      <c r="F5" s="63">
        <f>IF($CD$4="","","DỰ KIẾN")</f>
        <v/>
      </c>
      <c r="G5" s="63">
        <f>IF($CD$4="","","% HT")</f>
        <v/>
      </c>
      <c r="H5" s="63">
        <f>IF($CD$4="","","NH ĐẠT")</f>
        <v/>
      </c>
      <c r="I5" s="63">
        <f>IF($CD$4="","","HẠNG")</f>
        <v/>
      </c>
      <c r="K5" s="63">
        <f>IF($CD$5="","","DỰ KIẾN")</f>
        <v/>
      </c>
      <c r="L5" s="63">
        <f>IF($CD$5="","","% HT")</f>
        <v/>
      </c>
      <c r="M5" s="63">
        <f>IF($CD$5="","","NH ĐẠT")</f>
        <v/>
      </c>
      <c r="N5" s="63">
        <f>IF($CD$5="","","HẠNG")</f>
        <v/>
      </c>
      <c r="P5" s="63">
        <f>IF($CD$6="","","DỰ KIẾN")</f>
        <v/>
      </c>
      <c r="Q5" s="63">
        <f>IF($CD$6="","","% HT")</f>
        <v/>
      </c>
      <c r="R5" s="63">
        <f>IF($CD$6="","","NH ĐẠT")</f>
        <v/>
      </c>
      <c r="S5" s="63">
        <f>IF($CD$6="","","HẠNG")</f>
        <v/>
      </c>
      <c r="BA5">
        <f>'Tính'!B5</f>
        <v/>
      </c>
      <c r="BB5">
        <f>'Tính'!D5</f>
        <v/>
      </c>
      <c r="BC5">
        <f>IF($AZ$1=0,'Tính'!$Z$5,CHOOSE($AZ$1,'Tính'!$G$5,'Tính'!$L$5,'Tính'!$Q$5,'Tính'!$V$5))</f>
        <v/>
      </c>
      <c r="BD5">
        <f>IF($AZ$1=0,'Tính'!$Y$5,CHOOSE($AZ$1,'Tính'!$E$5,'Tính'!$J$5,'Tính'!$O$5,'Tính'!$T$5))</f>
        <v/>
      </c>
      <c r="BE5">
        <f>IF($AZ$1=0,'Tính'!$AB$5,CHOOSE($AZ$1,'Tính'!$I$5,'Tính'!$N$5,'Tính'!$S$5,'Tính'!$X$5))</f>
        <v/>
      </c>
      <c r="BF5">
        <f>IF($AZ$1=0,'Tính'!$AA$5,CHOOSE($AZ$1,'Tính'!$H$5,'Tính'!$M$5,'Tính'!$R$5,'Tính'!$W$5))</f>
        <v/>
      </c>
      <c r="BG5">
        <f>IF(BC5&gt;0,BD5/NgayQua*SoNgay/BC5,IF(BD5&gt;0,1,0))</f>
        <v/>
      </c>
      <c r="BH5">
        <f>IF(CoRTNhom=1,IF(BC5&gt;0,(BD5+BF5)/(NgayQua+1)*SoNgay/BC5,IF(BD5+BF5&gt;0,1,0)),BG5)</f>
        <v/>
      </c>
      <c r="BI5">
        <f>IF(BA5="",-1,IF(BB5="Chính",1000,0)+BG5+(20-3)/100000)</f>
        <v/>
      </c>
      <c r="BJ5">
        <f>IF(LARGE($BI$3:$BI$22,3)&lt;0,"",MATCH(LARGE($BI$3:$BI$22,3),$BI$3:$BI$22,0))</f>
        <v/>
      </c>
      <c r="CA5" t="n">
        <v>3</v>
      </c>
      <c r="CB5">
        <f>IF('Tính'!B41="",0,IF(OR($AZ$1=0,'Tính'!D41=$AZ$1),1,0))</f>
        <v/>
      </c>
      <c r="CC5">
        <f>IF(CB5=1,'Tính'!M41+1+(45-3)/1000000,-1)</f>
        <v/>
      </c>
      <c r="CD5">
        <f>IF(LARGE($CC$3:$CC$47,3)&lt;0,"",MATCH(LARGE($CC$3:$CC$47,3),$CC$3:$CC$47,0))</f>
        <v/>
      </c>
    </row>
    <row r="6">
      <c r="A6" s="64">
        <f>IF($CD$3="","",IF($CD$3="","",INDEX('Tính'!$M$39:$M$83,$CD$3)))</f>
        <v/>
      </c>
      <c r="B6" s="64">
        <f>IF($CD$3="","",IF($CD$3="","",INDEX('Tính'!$N$39:$N$83,$CD$3)))</f>
        <v/>
      </c>
      <c r="C6" s="65">
        <f>IF($CD$3="","",IF($CD$3="","",INDEX('Tính'!$P$39:$P$83,$CD$3))&amp;"/"&amp;COUNTIF($BA$3:$BA$22,"?*"))</f>
        <v/>
      </c>
      <c r="D6" s="65">
        <f>IF($CD$3="","",1)</f>
        <v/>
      </c>
      <c r="F6" s="64">
        <f>IF($CD$4="","",IF($CD$4="","",INDEX('Tính'!$M$39:$M$83,$CD$4)))</f>
        <v/>
      </c>
      <c r="G6" s="64">
        <f>IF($CD$4="","",IF($CD$4="","",INDEX('Tính'!$N$39:$N$83,$CD$4)))</f>
        <v/>
      </c>
      <c r="H6" s="65">
        <f>IF($CD$4="","",IF($CD$4="","",INDEX('Tính'!$P$39:$P$83,$CD$4))&amp;"/"&amp;COUNTIF($BA$3:$BA$22,"?*"))</f>
        <v/>
      </c>
      <c r="I6" s="65">
        <f>IF($CD$4="","",2)</f>
        <v/>
      </c>
      <c r="K6" s="64">
        <f>IF($CD$5="","",IF($CD$5="","",INDEX('Tính'!$M$39:$M$83,$CD$5)))</f>
        <v/>
      </c>
      <c r="L6" s="64">
        <f>IF($CD$5="","",IF($CD$5="","",INDEX('Tính'!$N$39:$N$83,$CD$5)))</f>
        <v/>
      </c>
      <c r="M6" s="65">
        <f>IF($CD$5="","",IF($CD$5="","",INDEX('Tính'!$P$39:$P$83,$CD$5))&amp;"/"&amp;COUNTIF($BA$3:$BA$22,"?*"))</f>
        <v/>
      </c>
      <c r="N6" s="65">
        <f>IF($CD$5="","",3)</f>
        <v/>
      </c>
      <c r="P6" s="64">
        <f>IF($CD$6="","",IF($CD$6="","",INDEX('Tính'!$M$39:$M$83,$CD$6)))</f>
        <v/>
      </c>
      <c r="Q6" s="64">
        <f>IF($CD$6="","",IF($CD$6="","",INDEX('Tính'!$N$39:$N$83,$CD$6)))</f>
        <v/>
      </c>
      <c r="R6" s="65">
        <f>IF($CD$6="","",IF($CD$6="","",INDEX('Tính'!$P$39:$P$83,$CD$6))&amp;"/"&amp;COUNTIF($BA$3:$BA$22,"?*"))</f>
        <v/>
      </c>
      <c r="S6" s="65">
        <f>IF($CD$6="","",4)</f>
        <v/>
      </c>
      <c r="BA6">
        <f>'Tính'!B6</f>
        <v/>
      </c>
      <c r="BB6">
        <f>'Tính'!D6</f>
        <v/>
      </c>
      <c r="BC6">
        <f>IF($AZ$1=0,'Tính'!$Z$6,CHOOSE($AZ$1,'Tính'!$G$6,'Tính'!$L$6,'Tính'!$Q$6,'Tính'!$V$6))</f>
        <v/>
      </c>
      <c r="BD6">
        <f>IF($AZ$1=0,'Tính'!$Y$6,CHOOSE($AZ$1,'Tính'!$E$6,'Tính'!$J$6,'Tính'!$O$6,'Tính'!$T$6))</f>
        <v/>
      </c>
      <c r="BE6">
        <f>IF($AZ$1=0,'Tính'!$AB$6,CHOOSE($AZ$1,'Tính'!$I$6,'Tính'!$N$6,'Tính'!$S$6,'Tính'!$X$6))</f>
        <v/>
      </c>
      <c r="BF6">
        <f>IF($AZ$1=0,'Tính'!$AA$6,CHOOSE($AZ$1,'Tính'!$H$6,'Tính'!$M$6,'Tính'!$R$6,'Tính'!$W$6))</f>
        <v/>
      </c>
      <c r="BG6">
        <f>IF(BC6&gt;0,BD6/NgayQua*SoNgay/BC6,IF(BD6&gt;0,1,0))</f>
        <v/>
      </c>
      <c r="BH6">
        <f>IF(CoRTNhom=1,IF(BC6&gt;0,(BD6+BF6)/(NgayQua+1)*SoNgay/BC6,IF(BD6+BF6&gt;0,1,0)),BG6)</f>
        <v/>
      </c>
      <c r="BI6">
        <f>IF(BA6="",-1,IF(BB6="Chính",1000,0)+BG6+(20-4)/100000)</f>
        <v/>
      </c>
      <c r="BJ6">
        <f>IF(LARGE($BI$3:$BI$22,4)&lt;0,"",MATCH(LARGE($BI$3:$BI$22,4),$BI$3:$BI$22,0))</f>
        <v/>
      </c>
      <c r="CA6" t="n">
        <v>4</v>
      </c>
      <c r="CB6">
        <f>IF('Tính'!B42="",0,IF(OR($AZ$1=0,'Tính'!D42=$AZ$1),1,0))</f>
        <v/>
      </c>
      <c r="CC6">
        <f>IF(CB6=1,'Tính'!M42+1+(45-4)/1000000,-1)</f>
        <v/>
      </c>
      <c r="CD6">
        <f>IF(LARGE($CC$3:$CC$47,4)&lt;0,"",MATCH(LARGE($CC$3:$CC$47,4),$CC$3:$CC$47,0))</f>
        <v/>
      </c>
    </row>
    <row r="7">
      <c r="A7" s="63">
        <f>IF($CD$3="","","DT QĐ")</f>
        <v/>
      </c>
      <c r="B7" s="63">
        <f>IF($CD$3="","","MỤC TIÊU")</f>
        <v/>
      </c>
      <c r="C7" s="63">
        <f>IF($CD$3="","","HÔM NAY")</f>
        <v/>
      </c>
      <c r="D7" s="63" t="n"/>
      <c r="F7" s="63">
        <f>IF($CD$4="","","DT QĐ")</f>
        <v/>
      </c>
      <c r="G7" s="63">
        <f>IF($CD$4="","","MỤC TIÊU")</f>
        <v/>
      </c>
      <c r="H7" s="63">
        <f>IF($CD$4="","","HÔM NAY")</f>
        <v/>
      </c>
      <c r="I7" s="63" t="n"/>
      <c r="K7" s="63">
        <f>IF($CD$5="","","DT QĐ")</f>
        <v/>
      </c>
      <c r="L7" s="63">
        <f>IF($CD$5="","","MỤC TIÊU")</f>
        <v/>
      </c>
      <c r="M7" s="63">
        <f>IF($CD$5="","","HÔM NAY")</f>
        <v/>
      </c>
      <c r="N7" s="63" t="n"/>
      <c r="P7" s="63">
        <f>IF($CD$6="","","DT QĐ")</f>
        <v/>
      </c>
      <c r="Q7" s="63">
        <f>IF($CD$6="","","MỤC TIÊU")</f>
        <v/>
      </c>
      <c r="R7" s="63">
        <f>IF($CD$6="","","HÔM NAY")</f>
        <v/>
      </c>
      <c r="S7" s="63" t="n"/>
      <c r="BA7">
        <f>'Tính'!B7</f>
        <v/>
      </c>
      <c r="BB7">
        <f>'Tính'!D7</f>
        <v/>
      </c>
      <c r="BC7">
        <f>IF($AZ$1=0,'Tính'!$Z$7,CHOOSE($AZ$1,'Tính'!$G$7,'Tính'!$L$7,'Tính'!$Q$7,'Tính'!$V$7))</f>
        <v/>
      </c>
      <c r="BD7">
        <f>IF($AZ$1=0,'Tính'!$Y$7,CHOOSE($AZ$1,'Tính'!$E$7,'Tính'!$J$7,'Tính'!$O$7,'Tính'!$T$7))</f>
        <v/>
      </c>
      <c r="BE7">
        <f>IF($AZ$1=0,'Tính'!$AB$7,CHOOSE($AZ$1,'Tính'!$I$7,'Tính'!$N$7,'Tính'!$S$7,'Tính'!$X$7))</f>
        <v/>
      </c>
      <c r="BF7">
        <f>IF($AZ$1=0,'Tính'!$AA$7,CHOOSE($AZ$1,'Tính'!$H$7,'Tính'!$M$7,'Tính'!$R$7,'Tính'!$W$7))</f>
        <v/>
      </c>
      <c r="BG7">
        <f>IF(BC7&gt;0,BD7/NgayQua*SoNgay/BC7,IF(BD7&gt;0,1,0))</f>
        <v/>
      </c>
      <c r="BH7">
        <f>IF(CoRTNhom=1,IF(BC7&gt;0,(BD7+BF7)/(NgayQua+1)*SoNgay/BC7,IF(BD7+BF7&gt;0,1,0)),BG7)</f>
        <v/>
      </c>
      <c r="BI7">
        <f>IF(BA7="",-1,IF(BB7="Chính",1000,0)+BG7+(20-5)/100000)</f>
        <v/>
      </c>
      <c r="BJ7">
        <f>IF(LARGE($BI$3:$BI$22,5)&lt;0,"",MATCH(LARGE($BI$3:$BI$22,5),$BI$3:$BI$22,0))</f>
        <v/>
      </c>
      <c r="CA7" t="n">
        <v>5</v>
      </c>
      <c r="CB7">
        <f>IF('Tính'!B43="",0,IF(OR($AZ$1=0,'Tính'!D43=$AZ$1),1,0))</f>
        <v/>
      </c>
      <c r="CC7">
        <f>IF(CB7=1,'Tính'!M43+1+(45-5)/1000000,-1)</f>
        <v/>
      </c>
      <c r="CD7">
        <f>IF(LARGE($CC$3:$CC$47,5)&lt;0,"",MATCH(LARGE($CC$3:$CC$47,5),$CC$3:$CC$47,0))</f>
        <v/>
      </c>
    </row>
    <row r="8">
      <c r="A8" s="66">
        <f>IF($CD$3="","",IF($CD$3="","",INDEX('Tính'!$K$39:$K$83,$CD$3)))</f>
        <v/>
      </c>
      <c r="B8" s="67">
        <f>IF($CD$3="","",IF($CD$3="","",INDEX('Tính'!$J$39:$J$83,$CD$3)))</f>
        <v/>
      </c>
      <c r="C8" s="66">
        <f>IF($CD$3="","",IF($CD$3="","",INDEX('Tính'!$L$39:$L$83,$CD$3)))</f>
        <v/>
      </c>
      <c r="D8" s="61">
        <f>IF($CD$3="","","")</f>
        <v/>
      </c>
      <c r="F8" s="66">
        <f>IF($CD$4="","",IF($CD$4="","",INDEX('Tính'!$K$39:$K$83,$CD$4)))</f>
        <v/>
      </c>
      <c r="G8" s="67">
        <f>IF($CD$4="","",IF($CD$4="","",INDEX('Tính'!$J$39:$J$83,$CD$4)))</f>
        <v/>
      </c>
      <c r="H8" s="66">
        <f>IF($CD$4="","",IF($CD$4="","",INDEX('Tính'!$L$39:$L$83,$CD$4)))</f>
        <v/>
      </c>
      <c r="I8" s="61">
        <f>IF($CD$4="","","")</f>
        <v/>
      </c>
      <c r="K8" s="66">
        <f>IF($CD$5="","",IF($CD$5="","",INDEX('Tính'!$K$39:$K$83,$CD$5)))</f>
        <v/>
      </c>
      <c r="L8" s="67">
        <f>IF($CD$5="","",IF($CD$5="","",INDEX('Tính'!$J$39:$J$83,$CD$5)))</f>
        <v/>
      </c>
      <c r="M8" s="66">
        <f>IF($CD$5="","",IF($CD$5="","",INDEX('Tính'!$L$39:$L$83,$CD$5)))</f>
        <v/>
      </c>
      <c r="N8" s="61">
        <f>IF($CD$5="","","")</f>
        <v/>
      </c>
      <c r="P8" s="66">
        <f>IF($CD$6="","",IF($CD$6="","",INDEX('Tính'!$K$39:$K$83,$CD$6)))</f>
        <v/>
      </c>
      <c r="Q8" s="67">
        <f>IF($CD$6="","",IF($CD$6="","",INDEX('Tính'!$J$39:$J$83,$CD$6)))</f>
        <v/>
      </c>
      <c r="R8" s="66">
        <f>IF($CD$6="","",IF($CD$6="","",INDEX('Tính'!$L$39:$L$83,$CD$6)))</f>
        <v/>
      </c>
      <c r="S8" s="61">
        <f>IF($CD$6="","","")</f>
        <v/>
      </c>
      <c r="BA8">
        <f>'Tính'!B8</f>
        <v/>
      </c>
      <c r="BB8">
        <f>'Tính'!D8</f>
        <v/>
      </c>
      <c r="BC8">
        <f>IF($AZ$1=0,'Tính'!$Z$8,CHOOSE($AZ$1,'Tính'!$G$8,'Tính'!$L$8,'Tính'!$Q$8,'Tính'!$V$8))</f>
        <v/>
      </c>
      <c r="BD8">
        <f>IF($AZ$1=0,'Tính'!$Y$8,CHOOSE($AZ$1,'Tính'!$E$8,'Tính'!$J$8,'Tính'!$O$8,'Tính'!$T$8))</f>
        <v/>
      </c>
      <c r="BE8">
        <f>IF($AZ$1=0,'Tính'!$AB$8,CHOOSE($AZ$1,'Tính'!$I$8,'Tính'!$N$8,'Tính'!$S$8,'Tính'!$X$8))</f>
        <v/>
      </c>
      <c r="BF8">
        <f>IF($AZ$1=0,'Tính'!$AA$8,CHOOSE($AZ$1,'Tính'!$H$8,'Tính'!$M$8,'Tính'!$R$8,'Tính'!$W$8))</f>
        <v/>
      </c>
      <c r="BG8">
        <f>IF(BC8&gt;0,BD8/NgayQua*SoNgay/BC8,IF(BD8&gt;0,1,0))</f>
        <v/>
      </c>
      <c r="BH8">
        <f>IF(CoRTNhom=1,IF(BC8&gt;0,(BD8+BF8)/(NgayQua+1)*SoNgay/BC8,IF(BD8+BF8&gt;0,1,0)),BG8)</f>
        <v/>
      </c>
      <c r="BI8">
        <f>IF(BA8="",-1,IF(BB8="Chính",1000,0)+BG8+(20-6)/100000)</f>
        <v/>
      </c>
      <c r="BJ8">
        <f>IF(LARGE($BI$3:$BI$22,6)&lt;0,"",MATCH(LARGE($BI$3:$BI$22,6),$BI$3:$BI$22,0))</f>
        <v/>
      </c>
      <c r="CA8" t="n">
        <v>6</v>
      </c>
      <c r="CB8">
        <f>IF('Tính'!B44="",0,IF(OR($AZ$1=0,'Tính'!D44=$AZ$1),1,0))</f>
        <v/>
      </c>
      <c r="CC8">
        <f>IF(CB8=1,'Tính'!M44+1+(45-6)/1000000,-1)</f>
        <v/>
      </c>
      <c r="CD8">
        <f>IF(LARGE($CC$3:$CC$47,6)&lt;0,"",MATCH(LARGE($CC$3:$CC$47,6),$CC$3:$CC$47,0))</f>
        <v/>
      </c>
    </row>
    <row r="9">
      <c r="A9" s="57">
        <f>IF($CD$3="","","Nhóm hàng")</f>
        <v/>
      </c>
      <c r="B9" s="57">
        <f>IF($CD$3="","","TH")</f>
        <v/>
      </c>
      <c r="C9" s="57">
        <f>IF($CD$3="","","Target")</f>
        <v/>
      </c>
      <c r="D9" s="57">
        <f>IF($CD$3="","","DK")</f>
        <v/>
      </c>
      <c r="F9" s="57">
        <f>IF($CD$4="","","Nhóm hàng")</f>
        <v/>
      </c>
      <c r="G9" s="57">
        <f>IF($CD$4="","","TH")</f>
        <v/>
      </c>
      <c r="H9" s="57">
        <f>IF($CD$4="","","Target")</f>
        <v/>
      </c>
      <c r="I9" s="57">
        <f>IF($CD$4="","","DK")</f>
        <v/>
      </c>
      <c r="K9" s="57">
        <f>IF($CD$5="","","Nhóm hàng")</f>
        <v/>
      </c>
      <c r="L9" s="57">
        <f>IF($CD$5="","","TH")</f>
        <v/>
      </c>
      <c r="M9" s="57">
        <f>IF($CD$5="","","Target")</f>
        <v/>
      </c>
      <c r="N9" s="57">
        <f>IF($CD$5="","","DK")</f>
        <v/>
      </c>
      <c r="P9" s="57">
        <f>IF($CD$6="","","Nhóm hàng")</f>
        <v/>
      </c>
      <c r="Q9" s="57">
        <f>IF($CD$6="","","TH")</f>
        <v/>
      </c>
      <c r="R9" s="57">
        <f>IF($CD$6="","","Target")</f>
        <v/>
      </c>
      <c r="S9" s="57">
        <f>IF($CD$6="","","DK")</f>
        <v/>
      </c>
      <c r="BA9">
        <f>'Tính'!B9</f>
        <v/>
      </c>
      <c r="BB9">
        <f>'Tính'!D9</f>
        <v/>
      </c>
      <c r="BC9">
        <f>IF($AZ$1=0,'Tính'!$Z$9,CHOOSE($AZ$1,'Tính'!$G$9,'Tính'!$L$9,'Tính'!$Q$9,'Tính'!$V$9))</f>
        <v/>
      </c>
      <c r="BD9">
        <f>IF($AZ$1=0,'Tính'!$Y$9,CHOOSE($AZ$1,'Tính'!$E$9,'Tính'!$J$9,'Tính'!$O$9,'Tính'!$T$9))</f>
        <v/>
      </c>
      <c r="BE9">
        <f>IF($AZ$1=0,'Tính'!$AB$9,CHOOSE($AZ$1,'Tính'!$I$9,'Tính'!$N$9,'Tính'!$S$9,'Tính'!$X$9))</f>
        <v/>
      </c>
      <c r="BF9">
        <f>IF($AZ$1=0,'Tính'!$AA$9,CHOOSE($AZ$1,'Tính'!$H$9,'Tính'!$M$9,'Tính'!$R$9,'Tính'!$W$9))</f>
        <v/>
      </c>
      <c r="BG9">
        <f>IF(BC9&gt;0,BD9/NgayQua*SoNgay/BC9,IF(BD9&gt;0,1,0))</f>
        <v/>
      </c>
      <c r="BH9">
        <f>IF(CoRTNhom=1,IF(BC9&gt;0,(BD9+BF9)/(NgayQua+1)*SoNgay/BC9,IF(BD9+BF9&gt;0,1,0)),BG9)</f>
        <v/>
      </c>
      <c r="BI9">
        <f>IF(BA9="",-1,IF(BB9="Chính",1000,0)+BG9+(20-7)/100000)</f>
        <v/>
      </c>
      <c r="BJ9">
        <f>IF(LARGE($BI$3:$BI$22,7)&lt;0,"",MATCH(LARGE($BI$3:$BI$22,7),$BI$3:$BI$22,0))</f>
        <v/>
      </c>
      <c r="CA9" t="n">
        <v>7</v>
      </c>
      <c r="CB9">
        <f>IF('Tính'!B45="",0,IF(OR($AZ$1=0,'Tính'!D45=$AZ$1),1,0))</f>
        <v/>
      </c>
      <c r="CC9">
        <f>IF(CB9=1,'Tính'!M45+1+(45-7)/1000000,-1)</f>
        <v/>
      </c>
      <c r="CD9">
        <f>IF(LARGE($CC$3:$CC$47,7)&lt;0,"",MATCH(LARGE($CC$3:$CC$47,7),$CC$3:$CC$47,0))</f>
        <v/>
      </c>
    </row>
    <row r="10">
      <c r="A10" s="68">
        <f>IF(OR($CD$3="",$BJ$3=""),"",INDEX($BA$3:$BA$22,$BJ$3))</f>
        <v/>
      </c>
      <c r="B10" s="69">
        <f>IF(A10="","",INDEX('Tính'!$C$86:$V$130,$CD$3,$BJ$3))</f>
        <v/>
      </c>
      <c r="C10" s="69">
        <f>IF(A10="","",INDEX('Tính'!$C$134:$V$178,$CD$3,$BJ$3))</f>
        <v/>
      </c>
      <c r="D10" s="70">
        <f>IF(A10="","",INDEX('Tính'!$C$182:$V$226,$CD$3,$BJ$3))</f>
        <v/>
      </c>
      <c r="F10" s="68">
        <f>IF(OR($CD$4="",$BJ$3=""),"",INDEX($BA$3:$BA$22,$BJ$3))</f>
        <v/>
      </c>
      <c r="G10" s="69">
        <f>IF(F10="","",INDEX('Tính'!$C$86:$V$130,$CD$4,$BJ$3))</f>
        <v/>
      </c>
      <c r="H10" s="69">
        <f>IF(F10="","",INDEX('Tính'!$C$134:$V$178,$CD$4,$BJ$3))</f>
        <v/>
      </c>
      <c r="I10" s="70">
        <f>IF(F10="","",INDEX('Tính'!$C$182:$V$226,$CD$4,$BJ$3))</f>
        <v/>
      </c>
      <c r="K10" s="68">
        <f>IF(OR($CD$5="",$BJ$3=""),"",INDEX($BA$3:$BA$22,$BJ$3))</f>
        <v/>
      </c>
      <c r="L10" s="69">
        <f>IF(K10="","",INDEX('Tính'!$C$86:$V$130,$CD$5,$BJ$3))</f>
        <v/>
      </c>
      <c r="M10" s="69">
        <f>IF(K10="","",INDEX('Tính'!$C$134:$V$178,$CD$5,$BJ$3))</f>
        <v/>
      </c>
      <c r="N10" s="70">
        <f>IF(K10="","",INDEX('Tính'!$C$182:$V$226,$CD$5,$BJ$3))</f>
        <v/>
      </c>
      <c r="P10" s="68">
        <f>IF(OR($CD$6="",$BJ$3=""),"",INDEX($BA$3:$BA$22,$BJ$3))</f>
        <v/>
      </c>
      <c r="Q10" s="69">
        <f>IF(P10="","",INDEX('Tính'!$C$86:$V$130,$CD$6,$BJ$3))</f>
        <v/>
      </c>
      <c r="R10" s="69">
        <f>IF(P10="","",INDEX('Tính'!$C$134:$V$178,$CD$6,$BJ$3))</f>
        <v/>
      </c>
      <c r="S10" s="70">
        <f>IF(P10="","",INDEX('Tính'!$C$182:$V$226,$CD$6,$BJ$3))</f>
        <v/>
      </c>
      <c r="BA10">
        <f>'Tính'!B10</f>
        <v/>
      </c>
      <c r="BB10">
        <f>'Tính'!D10</f>
        <v/>
      </c>
      <c r="BC10">
        <f>IF($AZ$1=0,'Tính'!$Z$10,CHOOSE($AZ$1,'Tính'!$G$10,'Tính'!$L$10,'Tính'!$Q$10,'Tính'!$V$10))</f>
        <v/>
      </c>
      <c r="BD10">
        <f>IF($AZ$1=0,'Tính'!$Y$10,CHOOSE($AZ$1,'Tính'!$E$10,'Tính'!$J$10,'Tính'!$O$10,'Tính'!$T$10))</f>
        <v/>
      </c>
      <c r="BE10">
        <f>IF($AZ$1=0,'Tính'!$AB$10,CHOOSE($AZ$1,'Tính'!$I$10,'Tính'!$N$10,'Tính'!$S$10,'Tính'!$X$10))</f>
        <v/>
      </c>
      <c r="BF10">
        <f>IF($AZ$1=0,'Tính'!$AA$10,CHOOSE($AZ$1,'Tính'!$H$10,'Tính'!$M$10,'Tính'!$R$10,'Tính'!$W$10))</f>
        <v/>
      </c>
      <c r="BG10">
        <f>IF(BC10&gt;0,BD10/NgayQua*SoNgay/BC10,IF(BD10&gt;0,1,0))</f>
        <v/>
      </c>
      <c r="BH10">
        <f>IF(CoRTNhom=1,IF(BC10&gt;0,(BD10+BF10)/(NgayQua+1)*SoNgay/BC10,IF(BD10+BF10&gt;0,1,0)),BG10)</f>
        <v/>
      </c>
      <c r="BI10">
        <f>IF(BA10="",-1,IF(BB10="Chính",1000,0)+BG10+(20-8)/100000)</f>
        <v/>
      </c>
      <c r="BJ10">
        <f>IF(LARGE($BI$3:$BI$22,8)&lt;0,"",MATCH(LARGE($BI$3:$BI$22,8),$BI$3:$BI$22,0))</f>
        <v/>
      </c>
      <c r="CA10" t="n">
        <v>8</v>
      </c>
      <c r="CB10">
        <f>IF('Tính'!B46="",0,IF(OR($AZ$1=0,'Tính'!D46=$AZ$1),1,0))</f>
        <v/>
      </c>
      <c r="CC10">
        <f>IF(CB10=1,'Tính'!M46+1+(45-8)/1000000,-1)</f>
        <v/>
      </c>
      <c r="CD10">
        <f>IF(LARGE($CC$3:$CC$47,8)&lt;0,"",MATCH(LARGE($CC$3:$CC$47,8),$CC$3:$CC$47,0))</f>
        <v/>
      </c>
    </row>
    <row r="11">
      <c r="A11" s="68">
        <f>IF(OR($CD$3="",$BJ$4=""),"",INDEX($BA$3:$BA$22,$BJ$4))</f>
        <v/>
      </c>
      <c r="B11" s="69">
        <f>IF(A11="","",INDEX('Tính'!$C$86:$V$130,$CD$3,$BJ$4))</f>
        <v/>
      </c>
      <c r="C11" s="69">
        <f>IF(A11="","",INDEX('Tính'!$C$134:$V$178,$CD$3,$BJ$4))</f>
        <v/>
      </c>
      <c r="D11" s="70">
        <f>IF(A11="","",INDEX('Tính'!$C$182:$V$226,$CD$3,$BJ$4))</f>
        <v/>
      </c>
      <c r="F11" s="68">
        <f>IF(OR($CD$4="",$BJ$4=""),"",INDEX($BA$3:$BA$22,$BJ$4))</f>
        <v/>
      </c>
      <c r="G11" s="69">
        <f>IF(F11="","",INDEX('Tính'!$C$86:$V$130,$CD$4,$BJ$4))</f>
        <v/>
      </c>
      <c r="H11" s="69">
        <f>IF(F11="","",INDEX('Tính'!$C$134:$V$178,$CD$4,$BJ$4))</f>
        <v/>
      </c>
      <c r="I11" s="70">
        <f>IF(F11="","",INDEX('Tính'!$C$182:$V$226,$CD$4,$BJ$4))</f>
        <v/>
      </c>
      <c r="K11" s="68">
        <f>IF(OR($CD$5="",$BJ$4=""),"",INDEX($BA$3:$BA$22,$BJ$4))</f>
        <v/>
      </c>
      <c r="L11" s="69">
        <f>IF(K11="","",INDEX('Tính'!$C$86:$V$130,$CD$5,$BJ$4))</f>
        <v/>
      </c>
      <c r="M11" s="69">
        <f>IF(K11="","",INDEX('Tính'!$C$134:$V$178,$CD$5,$BJ$4))</f>
        <v/>
      </c>
      <c r="N11" s="70">
        <f>IF(K11="","",INDEX('Tính'!$C$182:$V$226,$CD$5,$BJ$4))</f>
        <v/>
      </c>
      <c r="P11" s="68">
        <f>IF(OR($CD$6="",$BJ$4=""),"",INDEX($BA$3:$BA$22,$BJ$4))</f>
        <v/>
      </c>
      <c r="Q11" s="69">
        <f>IF(P11="","",INDEX('Tính'!$C$86:$V$130,$CD$6,$BJ$4))</f>
        <v/>
      </c>
      <c r="R11" s="69">
        <f>IF(P11="","",INDEX('Tính'!$C$134:$V$178,$CD$6,$BJ$4))</f>
        <v/>
      </c>
      <c r="S11" s="70">
        <f>IF(P11="","",INDEX('Tính'!$C$182:$V$226,$CD$6,$BJ$4))</f>
        <v/>
      </c>
      <c r="BA11">
        <f>'Tính'!B11</f>
        <v/>
      </c>
      <c r="BB11">
        <f>'Tính'!D11</f>
        <v/>
      </c>
      <c r="BC11">
        <f>IF($AZ$1=0,'Tính'!$Z$11,CHOOSE($AZ$1,'Tính'!$G$11,'Tính'!$L$11,'Tính'!$Q$11,'Tính'!$V$11))</f>
        <v/>
      </c>
      <c r="BD11">
        <f>IF($AZ$1=0,'Tính'!$Y$11,CHOOSE($AZ$1,'Tính'!$E$11,'Tính'!$J$11,'Tính'!$O$11,'Tính'!$T$11))</f>
        <v/>
      </c>
      <c r="BE11">
        <f>IF($AZ$1=0,'Tính'!$AB$11,CHOOSE($AZ$1,'Tính'!$I$11,'Tính'!$N$11,'Tính'!$S$11,'Tính'!$X$11))</f>
        <v/>
      </c>
      <c r="BF11">
        <f>IF($AZ$1=0,'Tính'!$AA$11,CHOOSE($AZ$1,'Tính'!$H$11,'Tính'!$M$11,'Tính'!$R$11,'Tính'!$W$11))</f>
        <v/>
      </c>
      <c r="BG11">
        <f>IF(BC11&gt;0,BD11/NgayQua*SoNgay/BC11,IF(BD11&gt;0,1,0))</f>
        <v/>
      </c>
      <c r="BH11">
        <f>IF(CoRTNhom=1,IF(BC11&gt;0,(BD11+BF11)/(NgayQua+1)*SoNgay/BC11,IF(BD11+BF11&gt;0,1,0)),BG11)</f>
        <v/>
      </c>
      <c r="BI11">
        <f>IF(BA11="",-1,IF(BB11="Chính",1000,0)+BG11+(20-9)/100000)</f>
        <v/>
      </c>
      <c r="BJ11">
        <f>IF(LARGE($BI$3:$BI$22,9)&lt;0,"",MATCH(LARGE($BI$3:$BI$22,9),$BI$3:$BI$22,0))</f>
        <v/>
      </c>
      <c r="CA11" t="n">
        <v>9</v>
      </c>
      <c r="CB11">
        <f>IF('Tính'!B47="",0,IF(OR($AZ$1=0,'Tính'!D47=$AZ$1),1,0))</f>
        <v/>
      </c>
      <c r="CC11">
        <f>IF(CB11=1,'Tính'!M47+1+(45-9)/1000000,-1)</f>
        <v/>
      </c>
      <c r="CD11">
        <f>IF(LARGE($CC$3:$CC$47,9)&lt;0,"",MATCH(LARGE($CC$3:$CC$47,9),$CC$3:$CC$47,0))</f>
        <v/>
      </c>
    </row>
    <row r="12">
      <c r="A12" s="68">
        <f>IF(OR($CD$3="",$BJ$5=""),"",INDEX($BA$3:$BA$22,$BJ$5))</f>
        <v/>
      </c>
      <c r="B12" s="69">
        <f>IF(A12="","",INDEX('Tính'!$C$86:$V$130,$CD$3,$BJ$5))</f>
        <v/>
      </c>
      <c r="C12" s="69">
        <f>IF(A12="","",INDEX('Tính'!$C$134:$V$178,$CD$3,$BJ$5))</f>
        <v/>
      </c>
      <c r="D12" s="70">
        <f>IF(A12="","",INDEX('Tính'!$C$182:$V$226,$CD$3,$BJ$5))</f>
        <v/>
      </c>
      <c r="F12" s="68">
        <f>IF(OR($CD$4="",$BJ$5=""),"",INDEX($BA$3:$BA$22,$BJ$5))</f>
        <v/>
      </c>
      <c r="G12" s="69">
        <f>IF(F12="","",INDEX('Tính'!$C$86:$V$130,$CD$4,$BJ$5))</f>
        <v/>
      </c>
      <c r="H12" s="69">
        <f>IF(F12="","",INDEX('Tính'!$C$134:$V$178,$CD$4,$BJ$5))</f>
        <v/>
      </c>
      <c r="I12" s="70">
        <f>IF(F12="","",INDEX('Tính'!$C$182:$V$226,$CD$4,$BJ$5))</f>
        <v/>
      </c>
      <c r="K12" s="68">
        <f>IF(OR($CD$5="",$BJ$5=""),"",INDEX($BA$3:$BA$22,$BJ$5))</f>
        <v/>
      </c>
      <c r="L12" s="69">
        <f>IF(K12="","",INDEX('Tính'!$C$86:$V$130,$CD$5,$BJ$5))</f>
        <v/>
      </c>
      <c r="M12" s="69">
        <f>IF(K12="","",INDEX('Tính'!$C$134:$V$178,$CD$5,$BJ$5))</f>
        <v/>
      </c>
      <c r="N12" s="70">
        <f>IF(K12="","",INDEX('Tính'!$C$182:$V$226,$CD$5,$BJ$5))</f>
        <v/>
      </c>
      <c r="P12" s="68">
        <f>IF(OR($CD$6="",$BJ$5=""),"",INDEX($BA$3:$BA$22,$BJ$5))</f>
        <v/>
      </c>
      <c r="Q12" s="69">
        <f>IF(P12="","",INDEX('Tính'!$C$86:$V$130,$CD$6,$BJ$5))</f>
        <v/>
      </c>
      <c r="R12" s="69">
        <f>IF(P12="","",INDEX('Tính'!$C$134:$V$178,$CD$6,$BJ$5))</f>
        <v/>
      </c>
      <c r="S12" s="70">
        <f>IF(P12="","",INDEX('Tính'!$C$182:$V$226,$CD$6,$BJ$5))</f>
        <v/>
      </c>
      <c r="BA12">
        <f>'Tính'!B12</f>
        <v/>
      </c>
      <c r="BB12">
        <f>'Tính'!D12</f>
        <v/>
      </c>
      <c r="BC12">
        <f>IF($AZ$1=0,'Tính'!$Z$12,CHOOSE($AZ$1,'Tính'!$G$12,'Tính'!$L$12,'Tính'!$Q$12,'Tính'!$V$12))</f>
        <v/>
      </c>
      <c r="BD12">
        <f>IF($AZ$1=0,'Tính'!$Y$12,CHOOSE($AZ$1,'Tính'!$E$12,'Tính'!$J$12,'Tính'!$O$12,'Tính'!$T$12))</f>
        <v/>
      </c>
      <c r="BE12">
        <f>IF($AZ$1=0,'Tính'!$AB$12,CHOOSE($AZ$1,'Tính'!$I$12,'Tính'!$N$12,'Tính'!$S$12,'Tính'!$X$12))</f>
        <v/>
      </c>
      <c r="BF12">
        <f>IF($AZ$1=0,'Tính'!$AA$12,CHOOSE($AZ$1,'Tính'!$H$12,'Tính'!$M$12,'Tính'!$R$12,'Tính'!$W$12))</f>
        <v/>
      </c>
      <c r="BG12">
        <f>IF(BC12&gt;0,BD12/NgayQua*SoNgay/BC12,IF(BD12&gt;0,1,0))</f>
        <v/>
      </c>
      <c r="BH12">
        <f>IF(CoRTNhom=1,IF(BC12&gt;0,(BD12+BF12)/(NgayQua+1)*SoNgay/BC12,IF(BD12+BF12&gt;0,1,0)),BG12)</f>
        <v/>
      </c>
      <c r="BI12">
        <f>IF(BA12="",-1,IF(BB12="Chính",1000,0)+BG12+(20-10)/100000)</f>
        <v/>
      </c>
      <c r="BJ12">
        <f>IF(LARGE($BI$3:$BI$22,10)&lt;0,"",MATCH(LARGE($BI$3:$BI$22,10),$BI$3:$BI$22,0))</f>
        <v/>
      </c>
      <c r="CA12" t="n">
        <v>10</v>
      </c>
      <c r="CB12">
        <f>IF('Tính'!B48="",0,IF(OR($AZ$1=0,'Tính'!D48=$AZ$1),1,0))</f>
        <v/>
      </c>
      <c r="CC12">
        <f>IF(CB12=1,'Tính'!M48+1+(45-10)/1000000,-1)</f>
        <v/>
      </c>
      <c r="CD12">
        <f>IF(LARGE($CC$3:$CC$47,10)&lt;0,"",MATCH(LARGE($CC$3:$CC$47,10),$CC$3:$CC$47,0))</f>
        <v/>
      </c>
    </row>
    <row r="13">
      <c r="A13" s="68">
        <f>IF(OR($CD$3="",$BJ$6=""),"",INDEX($BA$3:$BA$22,$BJ$6))</f>
        <v/>
      </c>
      <c r="B13" s="69">
        <f>IF(A13="","",INDEX('Tính'!$C$86:$V$130,$CD$3,$BJ$6))</f>
        <v/>
      </c>
      <c r="C13" s="69">
        <f>IF(A13="","",INDEX('Tính'!$C$134:$V$178,$CD$3,$BJ$6))</f>
        <v/>
      </c>
      <c r="D13" s="70">
        <f>IF(A13="","",INDEX('Tính'!$C$182:$V$226,$CD$3,$BJ$6))</f>
        <v/>
      </c>
      <c r="F13" s="68">
        <f>IF(OR($CD$4="",$BJ$6=""),"",INDEX($BA$3:$BA$22,$BJ$6))</f>
        <v/>
      </c>
      <c r="G13" s="69">
        <f>IF(F13="","",INDEX('Tính'!$C$86:$V$130,$CD$4,$BJ$6))</f>
        <v/>
      </c>
      <c r="H13" s="69">
        <f>IF(F13="","",INDEX('Tính'!$C$134:$V$178,$CD$4,$BJ$6))</f>
        <v/>
      </c>
      <c r="I13" s="70">
        <f>IF(F13="","",INDEX('Tính'!$C$182:$V$226,$CD$4,$BJ$6))</f>
        <v/>
      </c>
      <c r="K13" s="68">
        <f>IF(OR($CD$5="",$BJ$6=""),"",INDEX($BA$3:$BA$22,$BJ$6))</f>
        <v/>
      </c>
      <c r="L13" s="69">
        <f>IF(K13="","",INDEX('Tính'!$C$86:$V$130,$CD$5,$BJ$6))</f>
        <v/>
      </c>
      <c r="M13" s="69">
        <f>IF(K13="","",INDEX('Tính'!$C$134:$V$178,$CD$5,$BJ$6))</f>
        <v/>
      </c>
      <c r="N13" s="70">
        <f>IF(K13="","",INDEX('Tính'!$C$182:$V$226,$CD$5,$BJ$6))</f>
        <v/>
      </c>
      <c r="P13" s="68">
        <f>IF(OR($CD$6="",$BJ$6=""),"",INDEX($BA$3:$BA$22,$BJ$6))</f>
        <v/>
      </c>
      <c r="Q13" s="69">
        <f>IF(P13="","",INDEX('Tính'!$C$86:$V$130,$CD$6,$BJ$6))</f>
        <v/>
      </c>
      <c r="R13" s="69">
        <f>IF(P13="","",INDEX('Tính'!$C$134:$V$178,$CD$6,$BJ$6))</f>
        <v/>
      </c>
      <c r="S13" s="70">
        <f>IF(P13="","",INDEX('Tính'!$C$182:$V$226,$CD$6,$BJ$6))</f>
        <v/>
      </c>
      <c r="BA13">
        <f>'Tính'!B13</f>
        <v/>
      </c>
      <c r="BB13">
        <f>'Tính'!D13</f>
        <v/>
      </c>
      <c r="BC13">
        <f>IF($AZ$1=0,'Tính'!$Z$13,CHOOSE($AZ$1,'Tính'!$G$13,'Tính'!$L$13,'Tính'!$Q$13,'Tính'!$V$13))</f>
        <v/>
      </c>
      <c r="BD13">
        <f>IF($AZ$1=0,'Tính'!$Y$13,CHOOSE($AZ$1,'Tính'!$E$13,'Tính'!$J$13,'Tính'!$O$13,'Tính'!$T$13))</f>
        <v/>
      </c>
      <c r="BE13">
        <f>IF($AZ$1=0,'Tính'!$AB$13,CHOOSE($AZ$1,'Tính'!$I$13,'Tính'!$N$13,'Tính'!$S$13,'Tính'!$X$13))</f>
        <v/>
      </c>
      <c r="BF13">
        <f>IF($AZ$1=0,'Tính'!$AA$13,CHOOSE($AZ$1,'Tính'!$H$13,'Tính'!$M$13,'Tính'!$R$13,'Tính'!$W$13))</f>
        <v/>
      </c>
      <c r="BG13">
        <f>IF(BC13&gt;0,BD13/NgayQua*SoNgay/BC13,IF(BD13&gt;0,1,0))</f>
        <v/>
      </c>
      <c r="BH13">
        <f>IF(CoRTNhom=1,IF(BC13&gt;0,(BD13+BF13)/(NgayQua+1)*SoNgay/BC13,IF(BD13+BF13&gt;0,1,0)),BG13)</f>
        <v/>
      </c>
      <c r="BI13">
        <f>IF(BA13="",-1,IF(BB13="Chính",1000,0)+BG13+(20-11)/100000)</f>
        <v/>
      </c>
      <c r="BJ13">
        <f>IF(LARGE($BI$3:$BI$22,11)&lt;0,"",MATCH(LARGE($BI$3:$BI$22,11),$BI$3:$BI$22,0))</f>
        <v/>
      </c>
      <c r="CA13" t="n">
        <v>11</v>
      </c>
      <c r="CB13">
        <f>IF('Tính'!B49="",0,IF(OR($AZ$1=0,'Tính'!D49=$AZ$1),1,0))</f>
        <v/>
      </c>
      <c r="CC13">
        <f>IF(CB13=1,'Tính'!M49+1+(45-11)/1000000,-1)</f>
        <v/>
      </c>
      <c r="CD13">
        <f>IF(LARGE($CC$3:$CC$47,11)&lt;0,"",MATCH(LARGE($CC$3:$CC$47,11),$CC$3:$CC$47,0))</f>
        <v/>
      </c>
    </row>
    <row r="14">
      <c r="A14" s="68">
        <f>IF(OR($CD$3="",$BJ$7=""),"",INDEX($BA$3:$BA$22,$BJ$7))</f>
        <v/>
      </c>
      <c r="B14" s="69">
        <f>IF(A14="","",INDEX('Tính'!$C$86:$V$130,$CD$3,$BJ$7))</f>
        <v/>
      </c>
      <c r="C14" s="69">
        <f>IF(A14="","",INDEX('Tính'!$C$134:$V$178,$CD$3,$BJ$7))</f>
        <v/>
      </c>
      <c r="D14" s="70">
        <f>IF(A14="","",INDEX('Tính'!$C$182:$V$226,$CD$3,$BJ$7))</f>
        <v/>
      </c>
      <c r="F14" s="68">
        <f>IF(OR($CD$4="",$BJ$7=""),"",INDEX($BA$3:$BA$22,$BJ$7))</f>
        <v/>
      </c>
      <c r="G14" s="69">
        <f>IF(F14="","",INDEX('Tính'!$C$86:$V$130,$CD$4,$BJ$7))</f>
        <v/>
      </c>
      <c r="H14" s="69">
        <f>IF(F14="","",INDEX('Tính'!$C$134:$V$178,$CD$4,$BJ$7))</f>
        <v/>
      </c>
      <c r="I14" s="70">
        <f>IF(F14="","",INDEX('Tính'!$C$182:$V$226,$CD$4,$BJ$7))</f>
        <v/>
      </c>
      <c r="K14" s="68">
        <f>IF(OR($CD$5="",$BJ$7=""),"",INDEX($BA$3:$BA$22,$BJ$7))</f>
        <v/>
      </c>
      <c r="L14" s="69">
        <f>IF(K14="","",INDEX('Tính'!$C$86:$V$130,$CD$5,$BJ$7))</f>
        <v/>
      </c>
      <c r="M14" s="69">
        <f>IF(K14="","",INDEX('Tính'!$C$134:$V$178,$CD$5,$BJ$7))</f>
        <v/>
      </c>
      <c r="N14" s="70">
        <f>IF(K14="","",INDEX('Tính'!$C$182:$V$226,$CD$5,$BJ$7))</f>
        <v/>
      </c>
      <c r="P14" s="68">
        <f>IF(OR($CD$6="",$BJ$7=""),"",INDEX($BA$3:$BA$22,$BJ$7))</f>
        <v/>
      </c>
      <c r="Q14" s="69">
        <f>IF(P14="","",INDEX('Tính'!$C$86:$V$130,$CD$6,$BJ$7))</f>
        <v/>
      </c>
      <c r="R14" s="69">
        <f>IF(P14="","",INDEX('Tính'!$C$134:$V$178,$CD$6,$BJ$7))</f>
        <v/>
      </c>
      <c r="S14" s="70">
        <f>IF(P14="","",INDEX('Tính'!$C$182:$V$226,$CD$6,$BJ$7))</f>
        <v/>
      </c>
      <c r="BA14">
        <f>'Tính'!B14</f>
        <v/>
      </c>
      <c r="BB14">
        <f>'Tính'!D14</f>
        <v/>
      </c>
      <c r="BC14">
        <f>IF($AZ$1=0,'Tính'!$Z$14,CHOOSE($AZ$1,'Tính'!$G$14,'Tính'!$L$14,'Tính'!$Q$14,'Tính'!$V$14))</f>
        <v/>
      </c>
      <c r="BD14">
        <f>IF($AZ$1=0,'Tính'!$Y$14,CHOOSE($AZ$1,'Tính'!$E$14,'Tính'!$J$14,'Tính'!$O$14,'Tính'!$T$14))</f>
        <v/>
      </c>
      <c r="BE14">
        <f>IF($AZ$1=0,'Tính'!$AB$14,CHOOSE($AZ$1,'Tính'!$I$14,'Tính'!$N$14,'Tính'!$S$14,'Tính'!$X$14))</f>
        <v/>
      </c>
      <c r="BF14">
        <f>IF($AZ$1=0,'Tính'!$AA$14,CHOOSE($AZ$1,'Tính'!$H$14,'Tính'!$M$14,'Tính'!$R$14,'Tính'!$W$14))</f>
        <v/>
      </c>
      <c r="BG14">
        <f>IF(BC14&gt;0,BD14/NgayQua*SoNgay/BC14,IF(BD14&gt;0,1,0))</f>
        <v/>
      </c>
      <c r="BH14">
        <f>IF(CoRTNhom=1,IF(BC14&gt;0,(BD14+BF14)/(NgayQua+1)*SoNgay/BC14,IF(BD14+BF14&gt;0,1,0)),BG14)</f>
        <v/>
      </c>
      <c r="BI14">
        <f>IF(BA14="",-1,IF(BB14="Chính",1000,0)+BG14+(20-12)/100000)</f>
        <v/>
      </c>
      <c r="BJ14">
        <f>IF(LARGE($BI$3:$BI$22,12)&lt;0,"",MATCH(LARGE($BI$3:$BI$22,12),$BI$3:$BI$22,0))</f>
        <v/>
      </c>
      <c r="CA14" t="n">
        <v>12</v>
      </c>
      <c r="CB14">
        <f>IF('Tính'!B50="",0,IF(OR($AZ$1=0,'Tính'!D50=$AZ$1),1,0))</f>
        <v/>
      </c>
      <c r="CC14">
        <f>IF(CB14=1,'Tính'!M50+1+(45-12)/1000000,-1)</f>
        <v/>
      </c>
      <c r="CD14">
        <f>IF(LARGE($CC$3:$CC$47,12)&lt;0,"",MATCH(LARGE($CC$3:$CC$47,12),$CC$3:$CC$47,0))</f>
        <v/>
      </c>
    </row>
    <row r="15">
      <c r="A15" s="68">
        <f>IF(OR($CD$3="",$BJ$8=""),"",INDEX($BA$3:$BA$22,$BJ$8))</f>
        <v/>
      </c>
      <c r="B15" s="69">
        <f>IF(A15="","",INDEX('Tính'!$C$86:$V$130,$CD$3,$BJ$8))</f>
        <v/>
      </c>
      <c r="C15" s="69">
        <f>IF(A15="","",INDEX('Tính'!$C$134:$V$178,$CD$3,$BJ$8))</f>
        <v/>
      </c>
      <c r="D15" s="70">
        <f>IF(A15="","",INDEX('Tính'!$C$182:$V$226,$CD$3,$BJ$8))</f>
        <v/>
      </c>
      <c r="F15" s="68">
        <f>IF(OR($CD$4="",$BJ$8=""),"",INDEX($BA$3:$BA$22,$BJ$8))</f>
        <v/>
      </c>
      <c r="G15" s="69">
        <f>IF(F15="","",INDEX('Tính'!$C$86:$V$130,$CD$4,$BJ$8))</f>
        <v/>
      </c>
      <c r="H15" s="69">
        <f>IF(F15="","",INDEX('Tính'!$C$134:$V$178,$CD$4,$BJ$8))</f>
        <v/>
      </c>
      <c r="I15" s="70">
        <f>IF(F15="","",INDEX('Tính'!$C$182:$V$226,$CD$4,$BJ$8))</f>
        <v/>
      </c>
      <c r="K15" s="68">
        <f>IF(OR($CD$5="",$BJ$8=""),"",INDEX($BA$3:$BA$22,$BJ$8))</f>
        <v/>
      </c>
      <c r="L15" s="69">
        <f>IF(K15="","",INDEX('Tính'!$C$86:$V$130,$CD$5,$BJ$8))</f>
        <v/>
      </c>
      <c r="M15" s="69">
        <f>IF(K15="","",INDEX('Tính'!$C$134:$V$178,$CD$5,$BJ$8))</f>
        <v/>
      </c>
      <c r="N15" s="70">
        <f>IF(K15="","",INDEX('Tính'!$C$182:$V$226,$CD$5,$BJ$8))</f>
        <v/>
      </c>
      <c r="P15" s="68">
        <f>IF(OR($CD$6="",$BJ$8=""),"",INDEX($BA$3:$BA$22,$BJ$8))</f>
        <v/>
      </c>
      <c r="Q15" s="69">
        <f>IF(P15="","",INDEX('Tính'!$C$86:$V$130,$CD$6,$BJ$8))</f>
        <v/>
      </c>
      <c r="R15" s="69">
        <f>IF(P15="","",INDEX('Tính'!$C$134:$V$178,$CD$6,$BJ$8))</f>
        <v/>
      </c>
      <c r="S15" s="70">
        <f>IF(P15="","",INDEX('Tính'!$C$182:$V$226,$CD$6,$BJ$8))</f>
        <v/>
      </c>
      <c r="BA15">
        <f>'Tính'!B15</f>
        <v/>
      </c>
      <c r="BB15">
        <f>'Tính'!D15</f>
        <v/>
      </c>
      <c r="BC15">
        <f>IF($AZ$1=0,'Tính'!$Z$15,CHOOSE($AZ$1,'Tính'!$G$15,'Tính'!$L$15,'Tính'!$Q$15,'Tính'!$V$15))</f>
        <v/>
      </c>
      <c r="BD15">
        <f>IF($AZ$1=0,'Tính'!$Y$15,CHOOSE($AZ$1,'Tính'!$E$15,'Tính'!$J$15,'Tính'!$O$15,'Tính'!$T$15))</f>
        <v/>
      </c>
      <c r="BE15">
        <f>IF($AZ$1=0,'Tính'!$AB$15,CHOOSE($AZ$1,'Tính'!$I$15,'Tính'!$N$15,'Tính'!$S$15,'Tính'!$X$15))</f>
        <v/>
      </c>
      <c r="BF15">
        <f>IF($AZ$1=0,'Tính'!$AA$15,CHOOSE($AZ$1,'Tính'!$H$15,'Tính'!$M$15,'Tính'!$R$15,'Tính'!$W$15))</f>
        <v/>
      </c>
      <c r="BG15">
        <f>IF(BC15&gt;0,BD15/NgayQua*SoNgay/BC15,IF(BD15&gt;0,1,0))</f>
        <v/>
      </c>
      <c r="BH15">
        <f>IF(CoRTNhom=1,IF(BC15&gt;0,(BD15+BF15)/(NgayQua+1)*SoNgay/BC15,IF(BD15+BF15&gt;0,1,0)),BG15)</f>
        <v/>
      </c>
      <c r="BI15">
        <f>IF(BA15="",-1,IF(BB15="Chính",1000,0)+BG15+(20-13)/100000)</f>
        <v/>
      </c>
      <c r="BJ15">
        <f>IF(LARGE($BI$3:$BI$22,13)&lt;0,"",MATCH(LARGE($BI$3:$BI$22,13),$BI$3:$BI$22,0))</f>
        <v/>
      </c>
      <c r="CA15" t="n">
        <v>13</v>
      </c>
      <c r="CB15">
        <f>IF('Tính'!B51="",0,IF(OR($AZ$1=0,'Tính'!D51=$AZ$1),1,0))</f>
        <v/>
      </c>
      <c r="CC15">
        <f>IF(CB15=1,'Tính'!M51+1+(45-13)/1000000,-1)</f>
        <v/>
      </c>
      <c r="CD15">
        <f>IF(LARGE($CC$3:$CC$47,13)&lt;0,"",MATCH(LARGE($CC$3:$CC$47,13),$CC$3:$CC$47,0))</f>
        <v/>
      </c>
    </row>
    <row r="16">
      <c r="A16" s="68">
        <f>IF(OR($CD$3="",$BJ$9=""),"",INDEX($BA$3:$BA$22,$BJ$9))</f>
        <v/>
      </c>
      <c r="B16" s="69">
        <f>IF(A16="","",INDEX('Tính'!$C$86:$V$130,$CD$3,$BJ$9))</f>
        <v/>
      </c>
      <c r="C16" s="69">
        <f>IF(A16="","",INDEX('Tính'!$C$134:$V$178,$CD$3,$BJ$9))</f>
        <v/>
      </c>
      <c r="D16" s="70">
        <f>IF(A16="","",INDEX('Tính'!$C$182:$V$226,$CD$3,$BJ$9))</f>
        <v/>
      </c>
      <c r="F16" s="68">
        <f>IF(OR($CD$4="",$BJ$9=""),"",INDEX($BA$3:$BA$22,$BJ$9))</f>
        <v/>
      </c>
      <c r="G16" s="69">
        <f>IF(F16="","",INDEX('Tính'!$C$86:$V$130,$CD$4,$BJ$9))</f>
        <v/>
      </c>
      <c r="H16" s="69">
        <f>IF(F16="","",INDEX('Tính'!$C$134:$V$178,$CD$4,$BJ$9))</f>
        <v/>
      </c>
      <c r="I16" s="70">
        <f>IF(F16="","",INDEX('Tính'!$C$182:$V$226,$CD$4,$BJ$9))</f>
        <v/>
      </c>
      <c r="K16" s="68">
        <f>IF(OR($CD$5="",$BJ$9=""),"",INDEX($BA$3:$BA$22,$BJ$9))</f>
        <v/>
      </c>
      <c r="L16" s="69">
        <f>IF(K16="","",INDEX('Tính'!$C$86:$V$130,$CD$5,$BJ$9))</f>
        <v/>
      </c>
      <c r="M16" s="69">
        <f>IF(K16="","",INDEX('Tính'!$C$134:$V$178,$CD$5,$BJ$9))</f>
        <v/>
      </c>
      <c r="N16" s="70">
        <f>IF(K16="","",INDEX('Tính'!$C$182:$V$226,$CD$5,$BJ$9))</f>
        <v/>
      </c>
      <c r="P16" s="68">
        <f>IF(OR($CD$6="",$BJ$9=""),"",INDEX($BA$3:$BA$22,$BJ$9))</f>
        <v/>
      </c>
      <c r="Q16" s="69">
        <f>IF(P16="","",INDEX('Tính'!$C$86:$V$130,$CD$6,$BJ$9))</f>
        <v/>
      </c>
      <c r="R16" s="69">
        <f>IF(P16="","",INDEX('Tính'!$C$134:$V$178,$CD$6,$BJ$9))</f>
        <v/>
      </c>
      <c r="S16" s="70">
        <f>IF(P16="","",INDEX('Tính'!$C$182:$V$226,$CD$6,$BJ$9))</f>
        <v/>
      </c>
      <c r="BA16">
        <f>'Tính'!B16</f>
        <v/>
      </c>
      <c r="BB16">
        <f>'Tính'!D16</f>
        <v/>
      </c>
      <c r="BC16">
        <f>IF($AZ$1=0,'Tính'!$Z$16,CHOOSE($AZ$1,'Tính'!$G$16,'Tính'!$L$16,'Tính'!$Q$16,'Tính'!$V$16))</f>
        <v/>
      </c>
      <c r="BD16">
        <f>IF($AZ$1=0,'Tính'!$Y$16,CHOOSE($AZ$1,'Tính'!$E$16,'Tính'!$J$16,'Tính'!$O$16,'Tính'!$T$16))</f>
        <v/>
      </c>
      <c r="BE16">
        <f>IF($AZ$1=0,'Tính'!$AB$16,CHOOSE($AZ$1,'Tính'!$I$16,'Tính'!$N$16,'Tính'!$S$16,'Tính'!$X$16))</f>
        <v/>
      </c>
      <c r="BF16">
        <f>IF($AZ$1=0,'Tính'!$AA$16,CHOOSE($AZ$1,'Tính'!$H$16,'Tính'!$M$16,'Tính'!$R$16,'Tính'!$W$16))</f>
        <v/>
      </c>
      <c r="BG16">
        <f>IF(BC16&gt;0,BD16/NgayQua*SoNgay/BC16,IF(BD16&gt;0,1,0))</f>
        <v/>
      </c>
      <c r="BH16">
        <f>IF(CoRTNhom=1,IF(BC16&gt;0,(BD16+BF16)/(NgayQua+1)*SoNgay/BC16,IF(BD16+BF16&gt;0,1,0)),BG16)</f>
        <v/>
      </c>
      <c r="BI16">
        <f>IF(BA16="",-1,IF(BB16="Chính",1000,0)+BG16+(20-14)/100000)</f>
        <v/>
      </c>
      <c r="BJ16">
        <f>IF(LARGE($BI$3:$BI$22,14)&lt;0,"",MATCH(LARGE($BI$3:$BI$22,14),$BI$3:$BI$22,0))</f>
        <v/>
      </c>
      <c r="CA16" t="n">
        <v>14</v>
      </c>
      <c r="CB16">
        <f>IF('Tính'!B52="",0,IF(OR($AZ$1=0,'Tính'!D52=$AZ$1),1,0))</f>
        <v/>
      </c>
      <c r="CC16">
        <f>IF(CB16=1,'Tính'!M52+1+(45-14)/1000000,-1)</f>
        <v/>
      </c>
      <c r="CD16">
        <f>IF(LARGE($CC$3:$CC$47,14)&lt;0,"",MATCH(LARGE($CC$3:$CC$47,14),$CC$3:$CC$47,0))</f>
        <v/>
      </c>
    </row>
    <row r="17">
      <c r="A17" s="68">
        <f>IF(OR($CD$3="",$BJ$10=""),"",INDEX($BA$3:$BA$22,$BJ$10))</f>
        <v/>
      </c>
      <c r="B17" s="69">
        <f>IF(A17="","",INDEX('Tính'!$C$86:$V$130,$CD$3,$BJ$10))</f>
        <v/>
      </c>
      <c r="C17" s="69">
        <f>IF(A17="","",INDEX('Tính'!$C$134:$V$178,$CD$3,$BJ$10))</f>
        <v/>
      </c>
      <c r="D17" s="70">
        <f>IF(A17="","",INDEX('Tính'!$C$182:$V$226,$CD$3,$BJ$10))</f>
        <v/>
      </c>
      <c r="F17" s="68">
        <f>IF(OR($CD$4="",$BJ$10=""),"",INDEX($BA$3:$BA$22,$BJ$10))</f>
        <v/>
      </c>
      <c r="G17" s="69">
        <f>IF(F17="","",INDEX('Tính'!$C$86:$V$130,$CD$4,$BJ$10))</f>
        <v/>
      </c>
      <c r="H17" s="69">
        <f>IF(F17="","",INDEX('Tính'!$C$134:$V$178,$CD$4,$BJ$10))</f>
        <v/>
      </c>
      <c r="I17" s="70">
        <f>IF(F17="","",INDEX('Tính'!$C$182:$V$226,$CD$4,$BJ$10))</f>
        <v/>
      </c>
      <c r="K17" s="68">
        <f>IF(OR($CD$5="",$BJ$10=""),"",INDEX($BA$3:$BA$22,$BJ$10))</f>
        <v/>
      </c>
      <c r="L17" s="69">
        <f>IF(K17="","",INDEX('Tính'!$C$86:$V$130,$CD$5,$BJ$10))</f>
        <v/>
      </c>
      <c r="M17" s="69">
        <f>IF(K17="","",INDEX('Tính'!$C$134:$V$178,$CD$5,$BJ$10))</f>
        <v/>
      </c>
      <c r="N17" s="70">
        <f>IF(K17="","",INDEX('Tính'!$C$182:$V$226,$CD$5,$BJ$10))</f>
        <v/>
      </c>
      <c r="P17" s="68">
        <f>IF(OR($CD$6="",$BJ$10=""),"",INDEX($BA$3:$BA$22,$BJ$10))</f>
        <v/>
      </c>
      <c r="Q17" s="69">
        <f>IF(P17="","",INDEX('Tính'!$C$86:$V$130,$CD$6,$BJ$10))</f>
        <v/>
      </c>
      <c r="R17" s="69">
        <f>IF(P17="","",INDEX('Tính'!$C$134:$V$178,$CD$6,$BJ$10))</f>
        <v/>
      </c>
      <c r="S17" s="70">
        <f>IF(P17="","",INDEX('Tính'!$C$182:$V$226,$CD$6,$BJ$10))</f>
        <v/>
      </c>
      <c r="BA17">
        <f>'Tính'!B17</f>
        <v/>
      </c>
      <c r="BB17">
        <f>'Tính'!D17</f>
        <v/>
      </c>
      <c r="BC17">
        <f>IF($AZ$1=0,'Tính'!$Z$17,CHOOSE($AZ$1,'Tính'!$G$17,'Tính'!$L$17,'Tính'!$Q$17,'Tính'!$V$17))</f>
        <v/>
      </c>
      <c r="BD17">
        <f>IF($AZ$1=0,'Tính'!$Y$17,CHOOSE($AZ$1,'Tính'!$E$17,'Tính'!$J$17,'Tính'!$O$17,'Tính'!$T$17))</f>
        <v/>
      </c>
      <c r="BE17">
        <f>IF($AZ$1=0,'Tính'!$AB$17,CHOOSE($AZ$1,'Tính'!$I$17,'Tính'!$N$17,'Tính'!$S$17,'Tính'!$X$17))</f>
        <v/>
      </c>
      <c r="BF17">
        <f>IF($AZ$1=0,'Tính'!$AA$17,CHOOSE($AZ$1,'Tính'!$H$17,'Tính'!$M$17,'Tính'!$R$17,'Tính'!$W$17))</f>
        <v/>
      </c>
      <c r="BG17">
        <f>IF(BC17&gt;0,BD17/NgayQua*SoNgay/BC17,IF(BD17&gt;0,1,0))</f>
        <v/>
      </c>
      <c r="BH17">
        <f>IF(CoRTNhom=1,IF(BC17&gt;0,(BD17+BF17)/(NgayQua+1)*SoNgay/BC17,IF(BD17+BF17&gt;0,1,0)),BG17)</f>
        <v/>
      </c>
      <c r="BI17">
        <f>IF(BA17="",-1,IF(BB17="Chính",1000,0)+BG17+(20-15)/100000)</f>
        <v/>
      </c>
      <c r="BJ17">
        <f>IF(LARGE($BI$3:$BI$22,15)&lt;0,"",MATCH(LARGE($BI$3:$BI$22,15),$BI$3:$BI$22,0))</f>
        <v/>
      </c>
      <c r="CA17" t="n">
        <v>15</v>
      </c>
      <c r="CB17">
        <f>IF('Tính'!B53="",0,IF(OR($AZ$1=0,'Tính'!D53=$AZ$1),1,0))</f>
        <v/>
      </c>
      <c r="CC17">
        <f>IF(CB17=1,'Tính'!M53+1+(45-15)/1000000,-1)</f>
        <v/>
      </c>
      <c r="CD17">
        <f>IF(LARGE($CC$3:$CC$47,15)&lt;0,"",MATCH(LARGE($CC$3:$CC$47,15),$CC$3:$CC$47,0))</f>
        <v/>
      </c>
    </row>
    <row r="18">
      <c r="A18" s="68">
        <f>IF(OR($CD$3="",$BJ$11=""),"",INDEX($BA$3:$BA$22,$BJ$11))</f>
        <v/>
      </c>
      <c r="B18" s="69">
        <f>IF(A18="","",INDEX('Tính'!$C$86:$V$130,$CD$3,$BJ$11))</f>
        <v/>
      </c>
      <c r="C18" s="69">
        <f>IF(A18="","",INDEX('Tính'!$C$134:$V$178,$CD$3,$BJ$11))</f>
        <v/>
      </c>
      <c r="D18" s="70">
        <f>IF(A18="","",INDEX('Tính'!$C$182:$V$226,$CD$3,$BJ$11))</f>
        <v/>
      </c>
      <c r="F18" s="68">
        <f>IF(OR($CD$4="",$BJ$11=""),"",INDEX($BA$3:$BA$22,$BJ$11))</f>
        <v/>
      </c>
      <c r="G18" s="69">
        <f>IF(F18="","",INDEX('Tính'!$C$86:$V$130,$CD$4,$BJ$11))</f>
        <v/>
      </c>
      <c r="H18" s="69">
        <f>IF(F18="","",INDEX('Tính'!$C$134:$V$178,$CD$4,$BJ$11))</f>
        <v/>
      </c>
      <c r="I18" s="70">
        <f>IF(F18="","",INDEX('Tính'!$C$182:$V$226,$CD$4,$BJ$11))</f>
        <v/>
      </c>
      <c r="K18" s="68">
        <f>IF(OR($CD$5="",$BJ$11=""),"",INDEX($BA$3:$BA$22,$BJ$11))</f>
        <v/>
      </c>
      <c r="L18" s="69">
        <f>IF(K18="","",INDEX('Tính'!$C$86:$V$130,$CD$5,$BJ$11))</f>
        <v/>
      </c>
      <c r="M18" s="69">
        <f>IF(K18="","",INDEX('Tính'!$C$134:$V$178,$CD$5,$BJ$11))</f>
        <v/>
      </c>
      <c r="N18" s="70">
        <f>IF(K18="","",INDEX('Tính'!$C$182:$V$226,$CD$5,$BJ$11))</f>
        <v/>
      </c>
      <c r="P18" s="68">
        <f>IF(OR($CD$6="",$BJ$11=""),"",INDEX($BA$3:$BA$22,$BJ$11))</f>
        <v/>
      </c>
      <c r="Q18" s="69">
        <f>IF(P18="","",INDEX('Tính'!$C$86:$V$130,$CD$6,$BJ$11))</f>
        <v/>
      </c>
      <c r="R18" s="69">
        <f>IF(P18="","",INDEX('Tính'!$C$134:$V$178,$CD$6,$BJ$11))</f>
        <v/>
      </c>
      <c r="S18" s="70">
        <f>IF(P18="","",INDEX('Tính'!$C$182:$V$226,$CD$6,$BJ$11))</f>
        <v/>
      </c>
      <c r="BA18">
        <f>'Tính'!B18</f>
        <v/>
      </c>
      <c r="BB18">
        <f>'Tính'!D18</f>
        <v/>
      </c>
      <c r="BC18">
        <f>IF($AZ$1=0,'Tính'!$Z$18,CHOOSE($AZ$1,'Tính'!$G$18,'Tính'!$L$18,'Tính'!$Q$18,'Tính'!$V$18))</f>
        <v/>
      </c>
      <c r="BD18">
        <f>IF($AZ$1=0,'Tính'!$Y$18,CHOOSE($AZ$1,'Tính'!$E$18,'Tính'!$J$18,'Tính'!$O$18,'Tính'!$T$18))</f>
        <v/>
      </c>
      <c r="BE18">
        <f>IF($AZ$1=0,'Tính'!$AB$18,CHOOSE($AZ$1,'Tính'!$I$18,'Tính'!$N$18,'Tính'!$S$18,'Tính'!$X$18))</f>
        <v/>
      </c>
      <c r="BF18">
        <f>IF($AZ$1=0,'Tính'!$AA$18,CHOOSE($AZ$1,'Tính'!$H$18,'Tính'!$M$18,'Tính'!$R$18,'Tính'!$W$18))</f>
        <v/>
      </c>
      <c r="BG18">
        <f>IF(BC18&gt;0,BD18/NgayQua*SoNgay/BC18,IF(BD18&gt;0,1,0))</f>
        <v/>
      </c>
      <c r="BH18">
        <f>IF(CoRTNhom=1,IF(BC18&gt;0,(BD18+BF18)/(NgayQua+1)*SoNgay/BC18,IF(BD18+BF18&gt;0,1,0)),BG18)</f>
        <v/>
      </c>
      <c r="BI18">
        <f>IF(BA18="",-1,IF(BB18="Chính",1000,0)+BG18+(20-16)/100000)</f>
        <v/>
      </c>
      <c r="BJ18">
        <f>IF(LARGE($BI$3:$BI$22,16)&lt;0,"",MATCH(LARGE($BI$3:$BI$22,16),$BI$3:$BI$22,0))</f>
        <v/>
      </c>
      <c r="CA18" t="n">
        <v>16</v>
      </c>
      <c r="CB18">
        <f>IF('Tính'!B54="",0,IF(OR($AZ$1=0,'Tính'!D54=$AZ$1),1,0))</f>
        <v/>
      </c>
      <c r="CC18">
        <f>IF(CB18=1,'Tính'!M54+1+(45-16)/1000000,-1)</f>
        <v/>
      </c>
      <c r="CD18">
        <f>IF(LARGE($CC$3:$CC$47,16)&lt;0,"",MATCH(LARGE($CC$3:$CC$47,16),$CC$3:$CC$47,0))</f>
        <v/>
      </c>
    </row>
    <row r="19">
      <c r="A19" s="68">
        <f>IF(OR($CD$3="",$BJ$12=""),"",INDEX($BA$3:$BA$22,$BJ$12))</f>
        <v/>
      </c>
      <c r="B19" s="69">
        <f>IF(A19="","",INDEX('Tính'!$C$86:$V$130,$CD$3,$BJ$12))</f>
        <v/>
      </c>
      <c r="C19" s="69">
        <f>IF(A19="","",INDEX('Tính'!$C$134:$V$178,$CD$3,$BJ$12))</f>
        <v/>
      </c>
      <c r="D19" s="70">
        <f>IF(A19="","",INDEX('Tính'!$C$182:$V$226,$CD$3,$BJ$12))</f>
        <v/>
      </c>
      <c r="F19" s="68">
        <f>IF(OR($CD$4="",$BJ$12=""),"",INDEX($BA$3:$BA$22,$BJ$12))</f>
        <v/>
      </c>
      <c r="G19" s="69">
        <f>IF(F19="","",INDEX('Tính'!$C$86:$V$130,$CD$4,$BJ$12))</f>
        <v/>
      </c>
      <c r="H19" s="69">
        <f>IF(F19="","",INDEX('Tính'!$C$134:$V$178,$CD$4,$BJ$12))</f>
        <v/>
      </c>
      <c r="I19" s="70">
        <f>IF(F19="","",INDEX('Tính'!$C$182:$V$226,$CD$4,$BJ$12))</f>
        <v/>
      </c>
      <c r="K19" s="68">
        <f>IF(OR($CD$5="",$BJ$12=""),"",INDEX($BA$3:$BA$22,$BJ$12))</f>
        <v/>
      </c>
      <c r="L19" s="69">
        <f>IF(K19="","",INDEX('Tính'!$C$86:$V$130,$CD$5,$BJ$12))</f>
        <v/>
      </c>
      <c r="M19" s="69">
        <f>IF(K19="","",INDEX('Tính'!$C$134:$V$178,$CD$5,$BJ$12))</f>
        <v/>
      </c>
      <c r="N19" s="70">
        <f>IF(K19="","",INDEX('Tính'!$C$182:$V$226,$CD$5,$BJ$12))</f>
        <v/>
      </c>
      <c r="P19" s="68">
        <f>IF(OR($CD$6="",$BJ$12=""),"",INDEX($BA$3:$BA$22,$BJ$12))</f>
        <v/>
      </c>
      <c r="Q19" s="69">
        <f>IF(P19="","",INDEX('Tính'!$C$86:$V$130,$CD$6,$BJ$12))</f>
        <v/>
      </c>
      <c r="R19" s="69">
        <f>IF(P19="","",INDEX('Tính'!$C$134:$V$178,$CD$6,$BJ$12))</f>
        <v/>
      </c>
      <c r="S19" s="70">
        <f>IF(P19="","",INDEX('Tính'!$C$182:$V$226,$CD$6,$BJ$12))</f>
        <v/>
      </c>
      <c r="BA19">
        <f>'Tính'!B19</f>
        <v/>
      </c>
      <c r="BB19">
        <f>'Tính'!D19</f>
        <v/>
      </c>
      <c r="BC19">
        <f>IF($AZ$1=0,'Tính'!$Z$19,CHOOSE($AZ$1,'Tính'!$G$19,'Tính'!$L$19,'Tính'!$Q$19,'Tính'!$V$19))</f>
        <v/>
      </c>
      <c r="BD19">
        <f>IF($AZ$1=0,'Tính'!$Y$19,CHOOSE($AZ$1,'Tính'!$E$19,'Tính'!$J$19,'Tính'!$O$19,'Tính'!$T$19))</f>
        <v/>
      </c>
      <c r="BE19">
        <f>IF($AZ$1=0,'Tính'!$AB$19,CHOOSE($AZ$1,'Tính'!$I$19,'Tính'!$N$19,'Tính'!$S$19,'Tính'!$X$19))</f>
        <v/>
      </c>
      <c r="BF19">
        <f>IF($AZ$1=0,'Tính'!$AA$19,CHOOSE($AZ$1,'Tính'!$H$19,'Tính'!$M$19,'Tính'!$R$19,'Tính'!$W$19))</f>
        <v/>
      </c>
      <c r="BG19">
        <f>IF(BC19&gt;0,BD19/NgayQua*SoNgay/BC19,IF(BD19&gt;0,1,0))</f>
        <v/>
      </c>
      <c r="BH19">
        <f>IF(CoRTNhom=1,IF(BC19&gt;0,(BD19+BF19)/(NgayQua+1)*SoNgay/BC19,IF(BD19+BF19&gt;0,1,0)),BG19)</f>
        <v/>
      </c>
      <c r="BI19">
        <f>IF(BA19="",-1,IF(BB19="Chính",1000,0)+BG19+(20-17)/100000)</f>
        <v/>
      </c>
      <c r="BJ19">
        <f>IF(LARGE($BI$3:$BI$22,17)&lt;0,"",MATCH(LARGE($BI$3:$BI$22,17),$BI$3:$BI$22,0))</f>
        <v/>
      </c>
      <c r="CA19" t="n">
        <v>17</v>
      </c>
      <c r="CB19">
        <f>IF('Tính'!B55="",0,IF(OR($AZ$1=0,'Tính'!D55=$AZ$1),1,0))</f>
        <v/>
      </c>
      <c r="CC19">
        <f>IF(CB19=1,'Tính'!M55+1+(45-17)/1000000,-1)</f>
        <v/>
      </c>
      <c r="CD19">
        <f>IF(LARGE($CC$3:$CC$47,17)&lt;0,"",MATCH(LARGE($CC$3:$CC$47,17),$CC$3:$CC$47,0))</f>
        <v/>
      </c>
    </row>
    <row r="20">
      <c r="A20" s="68">
        <f>IF(OR($CD$3="",$BJ$13=""),"",INDEX($BA$3:$BA$22,$BJ$13))</f>
        <v/>
      </c>
      <c r="B20" s="69">
        <f>IF(A20="","",INDEX('Tính'!$C$86:$V$130,$CD$3,$BJ$13))</f>
        <v/>
      </c>
      <c r="C20" s="69">
        <f>IF(A20="","",INDEX('Tính'!$C$134:$V$178,$CD$3,$BJ$13))</f>
        <v/>
      </c>
      <c r="D20" s="70">
        <f>IF(A20="","",INDEX('Tính'!$C$182:$V$226,$CD$3,$BJ$13))</f>
        <v/>
      </c>
      <c r="F20" s="68">
        <f>IF(OR($CD$4="",$BJ$13=""),"",INDEX($BA$3:$BA$22,$BJ$13))</f>
        <v/>
      </c>
      <c r="G20" s="69">
        <f>IF(F20="","",INDEX('Tính'!$C$86:$V$130,$CD$4,$BJ$13))</f>
        <v/>
      </c>
      <c r="H20" s="69">
        <f>IF(F20="","",INDEX('Tính'!$C$134:$V$178,$CD$4,$BJ$13))</f>
        <v/>
      </c>
      <c r="I20" s="70">
        <f>IF(F20="","",INDEX('Tính'!$C$182:$V$226,$CD$4,$BJ$13))</f>
        <v/>
      </c>
      <c r="K20" s="68">
        <f>IF(OR($CD$5="",$BJ$13=""),"",INDEX($BA$3:$BA$22,$BJ$13))</f>
        <v/>
      </c>
      <c r="L20" s="69">
        <f>IF(K20="","",INDEX('Tính'!$C$86:$V$130,$CD$5,$BJ$13))</f>
        <v/>
      </c>
      <c r="M20" s="69">
        <f>IF(K20="","",INDEX('Tính'!$C$134:$V$178,$CD$5,$BJ$13))</f>
        <v/>
      </c>
      <c r="N20" s="70">
        <f>IF(K20="","",INDEX('Tính'!$C$182:$V$226,$CD$5,$BJ$13))</f>
        <v/>
      </c>
      <c r="P20" s="68">
        <f>IF(OR($CD$6="",$BJ$13=""),"",INDEX($BA$3:$BA$22,$BJ$13))</f>
        <v/>
      </c>
      <c r="Q20" s="69">
        <f>IF(P20="","",INDEX('Tính'!$C$86:$V$130,$CD$6,$BJ$13))</f>
        <v/>
      </c>
      <c r="R20" s="69">
        <f>IF(P20="","",INDEX('Tính'!$C$134:$V$178,$CD$6,$BJ$13))</f>
        <v/>
      </c>
      <c r="S20" s="70">
        <f>IF(P20="","",INDEX('Tính'!$C$182:$V$226,$CD$6,$BJ$13))</f>
        <v/>
      </c>
      <c r="BA20">
        <f>'Tính'!B20</f>
        <v/>
      </c>
      <c r="BB20">
        <f>'Tính'!D20</f>
        <v/>
      </c>
      <c r="BC20">
        <f>IF($AZ$1=0,'Tính'!$Z$20,CHOOSE($AZ$1,'Tính'!$G$20,'Tính'!$L$20,'Tính'!$Q$20,'Tính'!$V$20))</f>
        <v/>
      </c>
      <c r="BD20">
        <f>IF($AZ$1=0,'Tính'!$Y$20,CHOOSE($AZ$1,'Tính'!$E$20,'Tính'!$J$20,'Tính'!$O$20,'Tính'!$T$20))</f>
        <v/>
      </c>
      <c r="BE20">
        <f>IF($AZ$1=0,'Tính'!$AB$20,CHOOSE($AZ$1,'Tính'!$I$20,'Tính'!$N$20,'Tính'!$S$20,'Tính'!$X$20))</f>
        <v/>
      </c>
      <c r="BF20">
        <f>IF($AZ$1=0,'Tính'!$AA$20,CHOOSE($AZ$1,'Tính'!$H$20,'Tính'!$M$20,'Tính'!$R$20,'Tính'!$W$20))</f>
        <v/>
      </c>
      <c r="BG20">
        <f>IF(BC20&gt;0,BD20/NgayQua*SoNgay/BC20,IF(BD20&gt;0,1,0))</f>
        <v/>
      </c>
      <c r="BH20">
        <f>IF(CoRTNhom=1,IF(BC20&gt;0,(BD20+BF20)/(NgayQua+1)*SoNgay/BC20,IF(BD20+BF20&gt;0,1,0)),BG20)</f>
        <v/>
      </c>
      <c r="BI20">
        <f>IF(BA20="",-1,IF(BB20="Chính",1000,0)+BG20+(20-18)/100000)</f>
        <v/>
      </c>
      <c r="BJ20">
        <f>IF(LARGE($BI$3:$BI$22,18)&lt;0,"",MATCH(LARGE($BI$3:$BI$22,18),$BI$3:$BI$22,0))</f>
        <v/>
      </c>
      <c r="CA20" t="n">
        <v>18</v>
      </c>
      <c r="CB20">
        <f>IF('Tính'!B56="",0,IF(OR($AZ$1=0,'Tính'!D56=$AZ$1),1,0))</f>
        <v/>
      </c>
      <c r="CC20">
        <f>IF(CB20=1,'Tính'!M56+1+(45-18)/1000000,-1)</f>
        <v/>
      </c>
      <c r="CD20">
        <f>IF(LARGE($CC$3:$CC$47,18)&lt;0,"",MATCH(LARGE($CC$3:$CC$47,18),$CC$3:$CC$47,0))</f>
        <v/>
      </c>
    </row>
    <row r="21">
      <c r="A21" s="68">
        <f>IF(OR($CD$3="",$BJ$14=""),"",INDEX($BA$3:$BA$22,$BJ$14))</f>
        <v/>
      </c>
      <c r="B21" s="69">
        <f>IF(A21="","",INDEX('Tính'!$C$86:$V$130,$CD$3,$BJ$14))</f>
        <v/>
      </c>
      <c r="C21" s="69">
        <f>IF(A21="","",INDEX('Tính'!$C$134:$V$178,$CD$3,$BJ$14))</f>
        <v/>
      </c>
      <c r="D21" s="70">
        <f>IF(A21="","",INDEX('Tính'!$C$182:$V$226,$CD$3,$BJ$14))</f>
        <v/>
      </c>
      <c r="F21" s="68">
        <f>IF(OR($CD$4="",$BJ$14=""),"",INDEX($BA$3:$BA$22,$BJ$14))</f>
        <v/>
      </c>
      <c r="G21" s="69">
        <f>IF(F21="","",INDEX('Tính'!$C$86:$V$130,$CD$4,$BJ$14))</f>
        <v/>
      </c>
      <c r="H21" s="69">
        <f>IF(F21="","",INDEX('Tính'!$C$134:$V$178,$CD$4,$BJ$14))</f>
        <v/>
      </c>
      <c r="I21" s="70">
        <f>IF(F21="","",INDEX('Tính'!$C$182:$V$226,$CD$4,$BJ$14))</f>
        <v/>
      </c>
      <c r="K21" s="68">
        <f>IF(OR($CD$5="",$BJ$14=""),"",INDEX($BA$3:$BA$22,$BJ$14))</f>
        <v/>
      </c>
      <c r="L21" s="69">
        <f>IF(K21="","",INDEX('Tính'!$C$86:$V$130,$CD$5,$BJ$14))</f>
        <v/>
      </c>
      <c r="M21" s="69">
        <f>IF(K21="","",INDEX('Tính'!$C$134:$V$178,$CD$5,$BJ$14))</f>
        <v/>
      </c>
      <c r="N21" s="70">
        <f>IF(K21="","",INDEX('Tính'!$C$182:$V$226,$CD$5,$BJ$14))</f>
        <v/>
      </c>
      <c r="P21" s="68">
        <f>IF(OR($CD$6="",$BJ$14=""),"",INDEX($BA$3:$BA$22,$BJ$14))</f>
        <v/>
      </c>
      <c r="Q21" s="69">
        <f>IF(P21="","",INDEX('Tính'!$C$86:$V$130,$CD$6,$BJ$14))</f>
        <v/>
      </c>
      <c r="R21" s="69">
        <f>IF(P21="","",INDEX('Tính'!$C$134:$V$178,$CD$6,$BJ$14))</f>
        <v/>
      </c>
      <c r="S21" s="70">
        <f>IF(P21="","",INDEX('Tính'!$C$182:$V$226,$CD$6,$BJ$14))</f>
        <v/>
      </c>
      <c r="BA21">
        <f>'Tính'!B21</f>
        <v/>
      </c>
      <c r="BB21">
        <f>'Tính'!D21</f>
        <v/>
      </c>
      <c r="BC21">
        <f>IF($AZ$1=0,'Tính'!$Z$21,CHOOSE($AZ$1,'Tính'!$G$21,'Tính'!$L$21,'Tính'!$Q$21,'Tính'!$V$21))</f>
        <v/>
      </c>
      <c r="BD21">
        <f>IF($AZ$1=0,'Tính'!$Y$21,CHOOSE($AZ$1,'Tính'!$E$21,'Tính'!$J$21,'Tính'!$O$21,'Tính'!$T$21))</f>
        <v/>
      </c>
      <c r="BE21">
        <f>IF($AZ$1=0,'Tính'!$AB$21,CHOOSE($AZ$1,'Tính'!$I$21,'Tính'!$N$21,'Tính'!$S$21,'Tính'!$X$21))</f>
        <v/>
      </c>
      <c r="BF21">
        <f>IF($AZ$1=0,'Tính'!$AA$21,CHOOSE($AZ$1,'Tính'!$H$21,'Tính'!$M$21,'Tính'!$R$21,'Tính'!$W$21))</f>
        <v/>
      </c>
      <c r="BG21">
        <f>IF(BC21&gt;0,BD21/NgayQua*SoNgay/BC21,IF(BD21&gt;0,1,0))</f>
        <v/>
      </c>
      <c r="BH21">
        <f>IF(CoRTNhom=1,IF(BC21&gt;0,(BD21+BF21)/(NgayQua+1)*SoNgay/BC21,IF(BD21+BF21&gt;0,1,0)),BG21)</f>
        <v/>
      </c>
      <c r="BI21">
        <f>IF(BA21="",-1,IF(BB21="Chính",1000,0)+BG21+(20-19)/100000)</f>
        <v/>
      </c>
      <c r="BJ21">
        <f>IF(LARGE($BI$3:$BI$22,19)&lt;0,"",MATCH(LARGE($BI$3:$BI$22,19),$BI$3:$BI$22,0))</f>
        <v/>
      </c>
      <c r="CA21" t="n">
        <v>19</v>
      </c>
      <c r="CB21">
        <f>IF('Tính'!B57="",0,IF(OR($AZ$1=0,'Tính'!D57=$AZ$1),1,0))</f>
        <v/>
      </c>
      <c r="CC21">
        <f>IF(CB21=1,'Tính'!M57+1+(45-19)/1000000,-1)</f>
        <v/>
      </c>
      <c r="CD21">
        <f>IF(LARGE($CC$3:$CC$47,19)&lt;0,"",MATCH(LARGE($CC$3:$CC$47,19),$CC$3:$CC$47,0))</f>
        <v/>
      </c>
    </row>
    <row r="22">
      <c r="A22" s="68">
        <f>IF(OR($CD$3="",$BJ$15=""),"",INDEX($BA$3:$BA$22,$BJ$15))</f>
        <v/>
      </c>
      <c r="B22" s="69">
        <f>IF(A22="","",INDEX('Tính'!$C$86:$V$130,$CD$3,$BJ$15))</f>
        <v/>
      </c>
      <c r="C22" s="69">
        <f>IF(A22="","",INDEX('Tính'!$C$134:$V$178,$CD$3,$BJ$15))</f>
        <v/>
      </c>
      <c r="D22" s="70">
        <f>IF(A22="","",INDEX('Tính'!$C$182:$V$226,$CD$3,$BJ$15))</f>
        <v/>
      </c>
      <c r="F22" s="68">
        <f>IF(OR($CD$4="",$BJ$15=""),"",INDEX($BA$3:$BA$22,$BJ$15))</f>
        <v/>
      </c>
      <c r="G22" s="69">
        <f>IF(F22="","",INDEX('Tính'!$C$86:$V$130,$CD$4,$BJ$15))</f>
        <v/>
      </c>
      <c r="H22" s="69">
        <f>IF(F22="","",INDEX('Tính'!$C$134:$V$178,$CD$4,$BJ$15))</f>
        <v/>
      </c>
      <c r="I22" s="70">
        <f>IF(F22="","",INDEX('Tính'!$C$182:$V$226,$CD$4,$BJ$15))</f>
        <v/>
      </c>
      <c r="K22" s="68">
        <f>IF(OR($CD$5="",$BJ$15=""),"",INDEX($BA$3:$BA$22,$BJ$15))</f>
        <v/>
      </c>
      <c r="L22" s="69">
        <f>IF(K22="","",INDEX('Tính'!$C$86:$V$130,$CD$5,$BJ$15))</f>
        <v/>
      </c>
      <c r="M22" s="69">
        <f>IF(K22="","",INDEX('Tính'!$C$134:$V$178,$CD$5,$BJ$15))</f>
        <v/>
      </c>
      <c r="N22" s="70">
        <f>IF(K22="","",INDEX('Tính'!$C$182:$V$226,$CD$5,$BJ$15))</f>
        <v/>
      </c>
      <c r="P22" s="68">
        <f>IF(OR($CD$6="",$BJ$15=""),"",INDEX($BA$3:$BA$22,$BJ$15))</f>
        <v/>
      </c>
      <c r="Q22" s="69">
        <f>IF(P22="","",INDEX('Tính'!$C$86:$V$130,$CD$6,$BJ$15))</f>
        <v/>
      </c>
      <c r="R22" s="69">
        <f>IF(P22="","",INDEX('Tính'!$C$134:$V$178,$CD$6,$BJ$15))</f>
        <v/>
      </c>
      <c r="S22" s="70">
        <f>IF(P22="","",INDEX('Tính'!$C$182:$V$226,$CD$6,$BJ$15))</f>
        <v/>
      </c>
      <c r="BA22">
        <f>'Tính'!B22</f>
        <v/>
      </c>
      <c r="BB22">
        <f>'Tính'!D22</f>
        <v/>
      </c>
      <c r="BC22">
        <f>IF($AZ$1=0,'Tính'!$Z$22,CHOOSE($AZ$1,'Tính'!$G$22,'Tính'!$L$22,'Tính'!$Q$22,'Tính'!$V$22))</f>
        <v/>
      </c>
      <c r="BD22">
        <f>IF($AZ$1=0,'Tính'!$Y$22,CHOOSE($AZ$1,'Tính'!$E$22,'Tính'!$J$22,'Tính'!$O$22,'Tính'!$T$22))</f>
        <v/>
      </c>
      <c r="BE22">
        <f>IF($AZ$1=0,'Tính'!$AB$22,CHOOSE($AZ$1,'Tính'!$I$22,'Tính'!$N$22,'Tính'!$S$22,'Tính'!$X$22))</f>
        <v/>
      </c>
      <c r="BF22">
        <f>IF($AZ$1=0,'Tính'!$AA$22,CHOOSE($AZ$1,'Tính'!$H$22,'Tính'!$M$22,'Tính'!$R$22,'Tính'!$W$22))</f>
        <v/>
      </c>
      <c r="BG22">
        <f>IF(BC22&gt;0,BD22/NgayQua*SoNgay/BC22,IF(BD22&gt;0,1,0))</f>
        <v/>
      </c>
      <c r="BH22">
        <f>IF(CoRTNhom=1,IF(BC22&gt;0,(BD22+BF22)/(NgayQua+1)*SoNgay/BC22,IF(BD22+BF22&gt;0,1,0)),BG22)</f>
        <v/>
      </c>
      <c r="BI22">
        <f>IF(BA22="",-1,IF(BB22="Chính",1000,0)+BG22+(20-20)/100000)</f>
        <v/>
      </c>
      <c r="BJ22">
        <f>IF(LARGE($BI$3:$BI$22,20)&lt;0,"",MATCH(LARGE($BI$3:$BI$22,20),$BI$3:$BI$22,0))</f>
        <v/>
      </c>
      <c r="CA22" t="n">
        <v>20</v>
      </c>
      <c r="CB22">
        <f>IF('Tính'!B58="",0,IF(OR($AZ$1=0,'Tính'!D58=$AZ$1),1,0))</f>
        <v/>
      </c>
      <c r="CC22">
        <f>IF(CB22=1,'Tính'!M58+1+(45-20)/1000000,-1)</f>
        <v/>
      </c>
      <c r="CD22">
        <f>IF(LARGE($CC$3:$CC$47,20)&lt;0,"",MATCH(LARGE($CC$3:$CC$47,20),$CC$3:$CC$47,0))</f>
        <v/>
      </c>
    </row>
    <row r="23">
      <c r="A23" s="68">
        <f>IF(OR($CD$3="",$BJ$16=""),"",INDEX($BA$3:$BA$22,$BJ$16))</f>
        <v/>
      </c>
      <c r="B23" s="69">
        <f>IF(A23="","",INDEX('Tính'!$C$86:$V$130,$CD$3,$BJ$16))</f>
        <v/>
      </c>
      <c r="C23" s="69">
        <f>IF(A23="","",INDEX('Tính'!$C$134:$V$178,$CD$3,$BJ$16))</f>
        <v/>
      </c>
      <c r="D23" s="70">
        <f>IF(A23="","",INDEX('Tính'!$C$182:$V$226,$CD$3,$BJ$16))</f>
        <v/>
      </c>
      <c r="F23" s="68">
        <f>IF(OR($CD$4="",$BJ$16=""),"",INDEX($BA$3:$BA$22,$BJ$16))</f>
        <v/>
      </c>
      <c r="G23" s="69">
        <f>IF(F23="","",INDEX('Tính'!$C$86:$V$130,$CD$4,$BJ$16))</f>
        <v/>
      </c>
      <c r="H23" s="69">
        <f>IF(F23="","",INDEX('Tính'!$C$134:$V$178,$CD$4,$BJ$16))</f>
        <v/>
      </c>
      <c r="I23" s="70">
        <f>IF(F23="","",INDEX('Tính'!$C$182:$V$226,$CD$4,$BJ$16))</f>
        <v/>
      </c>
      <c r="K23" s="68">
        <f>IF(OR($CD$5="",$BJ$16=""),"",INDEX($BA$3:$BA$22,$BJ$16))</f>
        <v/>
      </c>
      <c r="L23" s="69">
        <f>IF(K23="","",INDEX('Tính'!$C$86:$V$130,$CD$5,$BJ$16))</f>
        <v/>
      </c>
      <c r="M23" s="69">
        <f>IF(K23="","",INDEX('Tính'!$C$134:$V$178,$CD$5,$BJ$16))</f>
        <v/>
      </c>
      <c r="N23" s="70">
        <f>IF(K23="","",INDEX('Tính'!$C$182:$V$226,$CD$5,$BJ$16))</f>
        <v/>
      </c>
      <c r="P23" s="68">
        <f>IF(OR($CD$6="",$BJ$16=""),"",INDEX($BA$3:$BA$22,$BJ$16))</f>
        <v/>
      </c>
      <c r="Q23" s="69">
        <f>IF(P23="","",INDEX('Tính'!$C$86:$V$130,$CD$6,$BJ$16))</f>
        <v/>
      </c>
      <c r="R23" s="69">
        <f>IF(P23="","",INDEX('Tính'!$C$134:$V$178,$CD$6,$BJ$16))</f>
        <v/>
      </c>
      <c r="S23" s="70">
        <f>IF(P23="","",INDEX('Tính'!$C$182:$V$226,$CD$6,$BJ$16))</f>
        <v/>
      </c>
      <c r="CA23" t="n">
        <v>21</v>
      </c>
      <c r="CB23">
        <f>IF('Tính'!B59="",0,IF(OR($AZ$1=0,'Tính'!D59=$AZ$1),1,0))</f>
        <v/>
      </c>
      <c r="CC23">
        <f>IF(CB23=1,'Tính'!M59+1+(45-21)/1000000,-1)</f>
        <v/>
      </c>
      <c r="CD23">
        <f>IF(LARGE($CC$3:$CC$47,21)&lt;0,"",MATCH(LARGE($CC$3:$CC$47,21),$CC$3:$CC$47,0))</f>
        <v/>
      </c>
    </row>
    <row r="24">
      <c r="A24" s="68">
        <f>IF(OR($CD$3="",$BJ$17=""),"",INDEX($BA$3:$BA$22,$BJ$17))</f>
        <v/>
      </c>
      <c r="B24" s="69">
        <f>IF(A24="","",INDEX('Tính'!$C$86:$V$130,$CD$3,$BJ$17))</f>
        <v/>
      </c>
      <c r="C24" s="69">
        <f>IF(A24="","",INDEX('Tính'!$C$134:$V$178,$CD$3,$BJ$17))</f>
        <v/>
      </c>
      <c r="D24" s="70">
        <f>IF(A24="","",INDEX('Tính'!$C$182:$V$226,$CD$3,$BJ$17))</f>
        <v/>
      </c>
      <c r="F24" s="68">
        <f>IF(OR($CD$4="",$BJ$17=""),"",INDEX($BA$3:$BA$22,$BJ$17))</f>
        <v/>
      </c>
      <c r="G24" s="69">
        <f>IF(F24="","",INDEX('Tính'!$C$86:$V$130,$CD$4,$BJ$17))</f>
        <v/>
      </c>
      <c r="H24" s="69">
        <f>IF(F24="","",INDEX('Tính'!$C$134:$V$178,$CD$4,$BJ$17))</f>
        <v/>
      </c>
      <c r="I24" s="70">
        <f>IF(F24="","",INDEX('Tính'!$C$182:$V$226,$CD$4,$BJ$17))</f>
        <v/>
      </c>
      <c r="K24" s="68">
        <f>IF(OR($CD$5="",$BJ$17=""),"",INDEX($BA$3:$BA$22,$BJ$17))</f>
        <v/>
      </c>
      <c r="L24" s="69">
        <f>IF(K24="","",INDEX('Tính'!$C$86:$V$130,$CD$5,$BJ$17))</f>
        <v/>
      </c>
      <c r="M24" s="69">
        <f>IF(K24="","",INDEX('Tính'!$C$134:$V$178,$CD$5,$BJ$17))</f>
        <v/>
      </c>
      <c r="N24" s="70">
        <f>IF(K24="","",INDEX('Tính'!$C$182:$V$226,$CD$5,$BJ$17))</f>
        <v/>
      </c>
      <c r="P24" s="68">
        <f>IF(OR($CD$6="",$BJ$17=""),"",INDEX($BA$3:$BA$22,$BJ$17))</f>
        <v/>
      </c>
      <c r="Q24" s="69">
        <f>IF(P24="","",INDEX('Tính'!$C$86:$V$130,$CD$6,$BJ$17))</f>
        <v/>
      </c>
      <c r="R24" s="69">
        <f>IF(P24="","",INDEX('Tính'!$C$134:$V$178,$CD$6,$BJ$17))</f>
        <v/>
      </c>
      <c r="S24" s="70">
        <f>IF(P24="","",INDEX('Tính'!$C$182:$V$226,$CD$6,$BJ$17))</f>
        <v/>
      </c>
      <c r="CA24" t="n">
        <v>22</v>
      </c>
      <c r="CB24">
        <f>IF('Tính'!B60="",0,IF(OR($AZ$1=0,'Tính'!D60=$AZ$1),1,0))</f>
        <v/>
      </c>
      <c r="CC24">
        <f>IF(CB24=1,'Tính'!M60+1+(45-22)/1000000,-1)</f>
        <v/>
      </c>
      <c r="CD24">
        <f>IF(LARGE($CC$3:$CC$47,22)&lt;0,"",MATCH(LARGE($CC$3:$CC$47,22),$CC$3:$CC$47,0))</f>
        <v/>
      </c>
    </row>
    <row r="25">
      <c r="A25" s="68">
        <f>IF(OR($CD$3="",$BJ$18=""),"",INDEX($BA$3:$BA$22,$BJ$18))</f>
        <v/>
      </c>
      <c r="B25" s="69">
        <f>IF(A25="","",INDEX('Tính'!$C$86:$V$130,$CD$3,$BJ$18))</f>
        <v/>
      </c>
      <c r="C25" s="69">
        <f>IF(A25="","",INDEX('Tính'!$C$134:$V$178,$CD$3,$BJ$18))</f>
        <v/>
      </c>
      <c r="D25" s="70">
        <f>IF(A25="","",INDEX('Tính'!$C$182:$V$226,$CD$3,$BJ$18))</f>
        <v/>
      </c>
      <c r="F25" s="68">
        <f>IF(OR($CD$4="",$BJ$18=""),"",INDEX($BA$3:$BA$22,$BJ$18))</f>
        <v/>
      </c>
      <c r="G25" s="69">
        <f>IF(F25="","",INDEX('Tính'!$C$86:$V$130,$CD$4,$BJ$18))</f>
        <v/>
      </c>
      <c r="H25" s="69">
        <f>IF(F25="","",INDEX('Tính'!$C$134:$V$178,$CD$4,$BJ$18))</f>
        <v/>
      </c>
      <c r="I25" s="70">
        <f>IF(F25="","",INDEX('Tính'!$C$182:$V$226,$CD$4,$BJ$18))</f>
        <v/>
      </c>
      <c r="K25" s="68">
        <f>IF(OR($CD$5="",$BJ$18=""),"",INDEX($BA$3:$BA$22,$BJ$18))</f>
        <v/>
      </c>
      <c r="L25" s="69">
        <f>IF(K25="","",INDEX('Tính'!$C$86:$V$130,$CD$5,$BJ$18))</f>
        <v/>
      </c>
      <c r="M25" s="69">
        <f>IF(K25="","",INDEX('Tính'!$C$134:$V$178,$CD$5,$BJ$18))</f>
        <v/>
      </c>
      <c r="N25" s="70">
        <f>IF(K25="","",INDEX('Tính'!$C$182:$V$226,$CD$5,$BJ$18))</f>
        <v/>
      </c>
      <c r="P25" s="68">
        <f>IF(OR($CD$6="",$BJ$18=""),"",INDEX($BA$3:$BA$22,$BJ$18))</f>
        <v/>
      </c>
      <c r="Q25" s="69">
        <f>IF(P25="","",INDEX('Tính'!$C$86:$V$130,$CD$6,$BJ$18))</f>
        <v/>
      </c>
      <c r="R25" s="69">
        <f>IF(P25="","",INDEX('Tính'!$C$134:$V$178,$CD$6,$BJ$18))</f>
        <v/>
      </c>
      <c r="S25" s="70">
        <f>IF(P25="","",INDEX('Tính'!$C$182:$V$226,$CD$6,$BJ$18))</f>
        <v/>
      </c>
      <c r="CA25" t="n">
        <v>23</v>
      </c>
      <c r="CB25">
        <f>IF('Tính'!B61="",0,IF(OR($AZ$1=0,'Tính'!D61=$AZ$1),1,0))</f>
        <v/>
      </c>
      <c r="CC25">
        <f>IF(CB25=1,'Tính'!M61+1+(45-23)/1000000,-1)</f>
        <v/>
      </c>
      <c r="CD25">
        <f>IF(LARGE($CC$3:$CC$47,23)&lt;0,"",MATCH(LARGE($CC$3:$CC$47,23),$CC$3:$CC$47,0))</f>
        <v/>
      </c>
    </row>
    <row r="26">
      <c r="A26" s="68">
        <f>IF(OR($CD$3="",$BJ$19=""),"",INDEX($BA$3:$BA$22,$BJ$19))</f>
        <v/>
      </c>
      <c r="B26" s="69">
        <f>IF(A26="","",INDEX('Tính'!$C$86:$V$130,$CD$3,$BJ$19))</f>
        <v/>
      </c>
      <c r="C26" s="69">
        <f>IF(A26="","",INDEX('Tính'!$C$134:$V$178,$CD$3,$BJ$19))</f>
        <v/>
      </c>
      <c r="D26" s="70">
        <f>IF(A26="","",INDEX('Tính'!$C$182:$V$226,$CD$3,$BJ$19))</f>
        <v/>
      </c>
      <c r="F26" s="68">
        <f>IF(OR($CD$4="",$BJ$19=""),"",INDEX($BA$3:$BA$22,$BJ$19))</f>
        <v/>
      </c>
      <c r="G26" s="69">
        <f>IF(F26="","",INDEX('Tính'!$C$86:$V$130,$CD$4,$BJ$19))</f>
        <v/>
      </c>
      <c r="H26" s="69">
        <f>IF(F26="","",INDEX('Tính'!$C$134:$V$178,$CD$4,$BJ$19))</f>
        <v/>
      </c>
      <c r="I26" s="70">
        <f>IF(F26="","",INDEX('Tính'!$C$182:$V$226,$CD$4,$BJ$19))</f>
        <v/>
      </c>
      <c r="K26" s="68">
        <f>IF(OR($CD$5="",$BJ$19=""),"",INDEX($BA$3:$BA$22,$BJ$19))</f>
        <v/>
      </c>
      <c r="L26" s="69">
        <f>IF(K26="","",INDEX('Tính'!$C$86:$V$130,$CD$5,$BJ$19))</f>
        <v/>
      </c>
      <c r="M26" s="69">
        <f>IF(K26="","",INDEX('Tính'!$C$134:$V$178,$CD$5,$BJ$19))</f>
        <v/>
      </c>
      <c r="N26" s="70">
        <f>IF(K26="","",INDEX('Tính'!$C$182:$V$226,$CD$5,$BJ$19))</f>
        <v/>
      </c>
      <c r="P26" s="68">
        <f>IF(OR($CD$6="",$BJ$19=""),"",INDEX($BA$3:$BA$22,$BJ$19))</f>
        <v/>
      </c>
      <c r="Q26" s="69">
        <f>IF(P26="","",INDEX('Tính'!$C$86:$V$130,$CD$6,$BJ$19))</f>
        <v/>
      </c>
      <c r="R26" s="69">
        <f>IF(P26="","",INDEX('Tính'!$C$134:$V$178,$CD$6,$BJ$19))</f>
        <v/>
      </c>
      <c r="S26" s="70">
        <f>IF(P26="","",INDEX('Tính'!$C$182:$V$226,$CD$6,$BJ$19))</f>
        <v/>
      </c>
      <c r="CA26" t="n">
        <v>24</v>
      </c>
      <c r="CB26">
        <f>IF('Tính'!B62="",0,IF(OR($AZ$1=0,'Tính'!D62=$AZ$1),1,0))</f>
        <v/>
      </c>
      <c r="CC26">
        <f>IF(CB26=1,'Tính'!M62+1+(45-24)/1000000,-1)</f>
        <v/>
      </c>
      <c r="CD26">
        <f>IF(LARGE($CC$3:$CC$47,24)&lt;0,"",MATCH(LARGE($CC$3:$CC$47,24),$CC$3:$CC$47,0))</f>
        <v/>
      </c>
    </row>
    <row r="27">
      <c r="A27" s="68">
        <f>IF(OR($CD$3="",$BJ$20=""),"",INDEX($BA$3:$BA$22,$BJ$20))</f>
        <v/>
      </c>
      <c r="B27" s="69">
        <f>IF(A27="","",INDEX('Tính'!$C$86:$V$130,$CD$3,$BJ$20))</f>
        <v/>
      </c>
      <c r="C27" s="69">
        <f>IF(A27="","",INDEX('Tính'!$C$134:$V$178,$CD$3,$BJ$20))</f>
        <v/>
      </c>
      <c r="D27" s="70">
        <f>IF(A27="","",INDEX('Tính'!$C$182:$V$226,$CD$3,$BJ$20))</f>
        <v/>
      </c>
      <c r="F27" s="68">
        <f>IF(OR($CD$4="",$BJ$20=""),"",INDEX($BA$3:$BA$22,$BJ$20))</f>
        <v/>
      </c>
      <c r="G27" s="69">
        <f>IF(F27="","",INDEX('Tính'!$C$86:$V$130,$CD$4,$BJ$20))</f>
        <v/>
      </c>
      <c r="H27" s="69">
        <f>IF(F27="","",INDEX('Tính'!$C$134:$V$178,$CD$4,$BJ$20))</f>
        <v/>
      </c>
      <c r="I27" s="70">
        <f>IF(F27="","",INDEX('Tính'!$C$182:$V$226,$CD$4,$BJ$20))</f>
        <v/>
      </c>
      <c r="K27" s="68">
        <f>IF(OR($CD$5="",$BJ$20=""),"",INDEX($BA$3:$BA$22,$BJ$20))</f>
        <v/>
      </c>
      <c r="L27" s="69">
        <f>IF(K27="","",INDEX('Tính'!$C$86:$V$130,$CD$5,$BJ$20))</f>
        <v/>
      </c>
      <c r="M27" s="69">
        <f>IF(K27="","",INDEX('Tính'!$C$134:$V$178,$CD$5,$BJ$20))</f>
        <v/>
      </c>
      <c r="N27" s="70">
        <f>IF(K27="","",INDEX('Tính'!$C$182:$V$226,$CD$5,$BJ$20))</f>
        <v/>
      </c>
      <c r="P27" s="68">
        <f>IF(OR($CD$6="",$BJ$20=""),"",INDEX($BA$3:$BA$22,$BJ$20))</f>
        <v/>
      </c>
      <c r="Q27" s="69">
        <f>IF(P27="","",INDEX('Tính'!$C$86:$V$130,$CD$6,$BJ$20))</f>
        <v/>
      </c>
      <c r="R27" s="69">
        <f>IF(P27="","",INDEX('Tính'!$C$134:$V$178,$CD$6,$BJ$20))</f>
        <v/>
      </c>
      <c r="S27" s="70">
        <f>IF(P27="","",INDEX('Tính'!$C$182:$V$226,$CD$6,$BJ$20))</f>
        <v/>
      </c>
      <c r="CA27" t="n">
        <v>25</v>
      </c>
      <c r="CB27">
        <f>IF('Tính'!B63="",0,IF(OR($AZ$1=0,'Tính'!D63=$AZ$1),1,0))</f>
        <v/>
      </c>
      <c r="CC27">
        <f>IF(CB27=1,'Tính'!M63+1+(45-25)/1000000,-1)</f>
        <v/>
      </c>
      <c r="CD27">
        <f>IF(LARGE($CC$3:$CC$47,25)&lt;0,"",MATCH(LARGE($CC$3:$CC$47,25),$CC$3:$CC$47,0))</f>
        <v/>
      </c>
    </row>
    <row r="28">
      <c r="A28" s="68">
        <f>IF(OR($CD$3="",$BJ$21=""),"",INDEX($BA$3:$BA$22,$BJ$21))</f>
        <v/>
      </c>
      <c r="B28" s="69">
        <f>IF(A28="","",INDEX('Tính'!$C$86:$V$130,$CD$3,$BJ$21))</f>
        <v/>
      </c>
      <c r="C28" s="69">
        <f>IF(A28="","",INDEX('Tính'!$C$134:$V$178,$CD$3,$BJ$21))</f>
        <v/>
      </c>
      <c r="D28" s="70">
        <f>IF(A28="","",INDEX('Tính'!$C$182:$V$226,$CD$3,$BJ$21))</f>
        <v/>
      </c>
      <c r="F28" s="68">
        <f>IF(OR($CD$4="",$BJ$21=""),"",INDEX($BA$3:$BA$22,$BJ$21))</f>
        <v/>
      </c>
      <c r="G28" s="69">
        <f>IF(F28="","",INDEX('Tính'!$C$86:$V$130,$CD$4,$BJ$21))</f>
        <v/>
      </c>
      <c r="H28" s="69">
        <f>IF(F28="","",INDEX('Tính'!$C$134:$V$178,$CD$4,$BJ$21))</f>
        <v/>
      </c>
      <c r="I28" s="70">
        <f>IF(F28="","",INDEX('Tính'!$C$182:$V$226,$CD$4,$BJ$21))</f>
        <v/>
      </c>
      <c r="K28" s="68">
        <f>IF(OR($CD$5="",$BJ$21=""),"",INDEX($BA$3:$BA$22,$BJ$21))</f>
        <v/>
      </c>
      <c r="L28" s="69">
        <f>IF(K28="","",INDEX('Tính'!$C$86:$V$130,$CD$5,$BJ$21))</f>
        <v/>
      </c>
      <c r="M28" s="69">
        <f>IF(K28="","",INDEX('Tính'!$C$134:$V$178,$CD$5,$BJ$21))</f>
        <v/>
      </c>
      <c r="N28" s="70">
        <f>IF(K28="","",INDEX('Tính'!$C$182:$V$226,$CD$5,$BJ$21))</f>
        <v/>
      </c>
      <c r="P28" s="68">
        <f>IF(OR($CD$6="",$BJ$21=""),"",INDEX($BA$3:$BA$22,$BJ$21))</f>
        <v/>
      </c>
      <c r="Q28" s="69">
        <f>IF(P28="","",INDEX('Tính'!$C$86:$V$130,$CD$6,$BJ$21))</f>
        <v/>
      </c>
      <c r="R28" s="69">
        <f>IF(P28="","",INDEX('Tính'!$C$134:$V$178,$CD$6,$BJ$21))</f>
        <v/>
      </c>
      <c r="S28" s="70">
        <f>IF(P28="","",INDEX('Tính'!$C$182:$V$226,$CD$6,$BJ$21))</f>
        <v/>
      </c>
      <c r="CA28" t="n">
        <v>26</v>
      </c>
      <c r="CB28">
        <f>IF('Tính'!B64="",0,IF(OR($AZ$1=0,'Tính'!D64=$AZ$1),1,0))</f>
        <v/>
      </c>
      <c r="CC28">
        <f>IF(CB28=1,'Tính'!M64+1+(45-26)/1000000,-1)</f>
        <v/>
      </c>
      <c r="CD28">
        <f>IF(LARGE($CC$3:$CC$47,26)&lt;0,"",MATCH(LARGE($CC$3:$CC$47,26),$CC$3:$CC$47,0))</f>
        <v/>
      </c>
    </row>
    <row r="29">
      <c r="A29" s="68">
        <f>IF(OR($CD$3="",$BJ$22=""),"",INDEX($BA$3:$BA$22,$BJ$22))</f>
        <v/>
      </c>
      <c r="B29" s="69">
        <f>IF(A29="","",INDEX('Tính'!$C$86:$V$130,$CD$3,$BJ$22))</f>
        <v/>
      </c>
      <c r="C29" s="69">
        <f>IF(A29="","",INDEX('Tính'!$C$134:$V$178,$CD$3,$BJ$22))</f>
        <v/>
      </c>
      <c r="D29" s="70">
        <f>IF(A29="","",INDEX('Tính'!$C$182:$V$226,$CD$3,$BJ$22))</f>
        <v/>
      </c>
      <c r="F29" s="68">
        <f>IF(OR($CD$4="",$BJ$22=""),"",INDEX($BA$3:$BA$22,$BJ$22))</f>
        <v/>
      </c>
      <c r="G29" s="69">
        <f>IF(F29="","",INDEX('Tính'!$C$86:$V$130,$CD$4,$BJ$22))</f>
        <v/>
      </c>
      <c r="H29" s="69">
        <f>IF(F29="","",INDEX('Tính'!$C$134:$V$178,$CD$4,$BJ$22))</f>
        <v/>
      </c>
      <c r="I29" s="70">
        <f>IF(F29="","",INDEX('Tính'!$C$182:$V$226,$CD$4,$BJ$22))</f>
        <v/>
      </c>
      <c r="K29" s="68">
        <f>IF(OR($CD$5="",$BJ$22=""),"",INDEX($BA$3:$BA$22,$BJ$22))</f>
        <v/>
      </c>
      <c r="L29" s="69">
        <f>IF(K29="","",INDEX('Tính'!$C$86:$V$130,$CD$5,$BJ$22))</f>
        <v/>
      </c>
      <c r="M29" s="69">
        <f>IF(K29="","",INDEX('Tính'!$C$134:$V$178,$CD$5,$BJ$22))</f>
        <v/>
      </c>
      <c r="N29" s="70">
        <f>IF(K29="","",INDEX('Tính'!$C$182:$V$226,$CD$5,$BJ$22))</f>
        <v/>
      </c>
      <c r="P29" s="68">
        <f>IF(OR($CD$6="",$BJ$22=""),"",INDEX($BA$3:$BA$22,$BJ$22))</f>
        <v/>
      </c>
      <c r="Q29" s="69">
        <f>IF(P29="","",INDEX('Tính'!$C$86:$V$130,$CD$6,$BJ$22))</f>
        <v/>
      </c>
      <c r="R29" s="69">
        <f>IF(P29="","",INDEX('Tính'!$C$134:$V$178,$CD$6,$BJ$22))</f>
        <v/>
      </c>
      <c r="S29" s="70">
        <f>IF(P29="","",INDEX('Tính'!$C$182:$V$226,$CD$6,$BJ$22))</f>
        <v/>
      </c>
      <c r="CA29" t="n">
        <v>27</v>
      </c>
      <c r="CB29">
        <f>IF('Tính'!B65="",0,IF(OR($AZ$1=0,'Tính'!D65=$AZ$1),1,0))</f>
        <v/>
      </c>
      <c r="CC29">
        <f>IF(CB29=1,'Tính'!M65+1+(45-27)/1000000,-1)</f>
        <v/>
      </c>
      <c r="CD29">
        <f>IF(LARGE($CC$3:$CC$47,27)&lt;0,"",MATCH(LARGE($CC$3:$CC$47,27),$CC$3:$CC$47,0))</f>
        <v/>
      </c>
    </row>
    <row r="30">
      <c r="CA30" t="n">
        <v>28</v>
      </c>
      <c r="CB30">
        <f>IF('Tính'!B66="",0,IF(OR($AZ$1=0,'Tính'!D66=$AZ$1),1,0))</f>
        <v/>
      </c>
      <c r="CC30">
        <f>IF(CB30=1,'Tính'!M66+1+(45-28)/1000000,-1)</f>
        <v/>
      </c>
      <c r="CD30">
        <f>IF(LARGE($CC$3:$CC$47,28)&lt;0,"",MATCH(LARGE($CC$3:$CC$47,28),$CC$3:$CC$47,0))</f>
        <v/>
      </c>
    </row>
    <row r="31">
      <c r="A31" s="62">
        <f>IF($CD$7="","",5&amp;". "&amp;IF($CD$7="","",INDEX('Tính'!$F$39:$F$83,$CD$7))&amp;" · "&amp;IF($CD$7="","",INDEX('Tính'!$O$39:$O$83,$CD$7)))</f>
        <v/>
      </c>
      <c r="F31" s="62">
        <f>IF($CD$8="","",6&amp;". "&amp;IF($CD$8="","",INDEX('Tính'!$F$39:$F$83,$CD$8))&amp;" · "&amp;IF($CD$8="","",INDEX('Tính'!$O$39:$O$83,$CD$8)))</f>
        <v/>
      </c>
      <c r="K31" s="62">
        <f>IF($CD$9="","",7&amp;". "&amp;IF($CD$9="","",INDEX('Tính'!$F$39:$F$83,$CD$9))&amp;" · "&amp;IF($CD$9="","",INDEX('Tính'!$O$39:$O$83,$CD$9)))</f>
        <v/>
      </c>
      <c r="P31" s="62">
        <f>IF($CD$10="","",8&amp;". "&amp;IF($CD$10="","",INDEX('Tính'!$F$39:$F$83,$CD$10))&amp;" · "&amp;IF($CD$10="","",INDEX('Tính'!$O$39:$O$83,$CD$10)))</f>
        <v/>
      </c>
      <c r="CA31" t="n">
        <v>29</v>
      </c>
      <c r="CB31">
        <f>IF('Tính'!B67="",0,IF(OR($AZ$1=0,'Tính'!D67=$AZ$1),1,0))</f>
        <v/>
      </c>
      <c r="CC31">
        <f>IF(CB31=1,'Tính'!M67+1+(45-29)/1000000,-1)</f>
        <v/>
      </c>
      <c r="CD31">
        <f>IF(LARGE($CC$3:$CC$47,29)&lt;0,"",MATCH(LARGE($CC$3:$CC$47,29),$CC$3:$CC$47,0))</f>
        <v/>
      </c>
    </row>
    <row r="32">
      <c r="A32" s="63">
        <f>IF($CD$7="","","DỰ KIẾN")</f>
        <v/>
      </c>
      <c r="B32" s="63">
        <f>IF($CD$7="","","% HT")</f>
        <v/>
      </c>
      <c r="C32" s="63">
        <f>IF($CD$7="","","NH ĐẠT")</f>
        <v/>
      </c>
      <c r="D32" s="63">
        <f>IF($CD$7="","","HẠNG")</f>
        <v/>
      </c>
      <c r="F32" s="63">
        <f>IF($CD$8="","","DỰ KIẾN")</f>
        <v/>
      </c>
      <c r="G32" s="63">
        <f>IF($CD$8="","","% HT")</f>
        <v/>
      </c>
      <c r="H32" s="63">
        <f>IF($CD$8="","","NH ĐẠT")</f>
        <v/>
      </c>
      <c r="I32" s="63">
        <f>IF($CD$8="","","HẠNG")</f>
        <v/>
      </c>
      <c r="K32" s="63">
        <f>IF($CD$9="","","DỰ KIẾN")</f>
        <v/>
      </c>
      <c r="L32" s="63">
        <f>IF($CD$9="","","% HT")</f>
        <v/>
      </c>
      <c r="M32" s="63">
        <f>IF($CD$9="","","NH ĐẠT")</f>
        <v/>
      </c>
      <c r="N32" s="63">
        <f>IF($CD$9="","","HẠNG")</f>
        <v/>
      </c>
      <c r="P32" s="63">
        <f>IF($CD$10="","","DỰ KIẾN")</f>
        <v/>
      </c>
      <c r="Q32" s="63">
        <f>IF($CD$10="","","% HT")</f>
        <v/>
      </c>
      <c r="R32" s="63">
        <f>IF($CD$10="","","NH ĐẠT")</f>
        <v/>
      </c>
      <c r="S32" s="63">
        <f>IF($CD$10="","","HẠNG")</f>
        <v/>
      </c>
      <c r="CA32" t="n">
        <v>30</v>
      </c>
      <c r="CB32">
        <f>IF('Tính'!B68="",0,IF(OR($AZ$1=0,'Tính'!D68=$AZ$1),1,0))</f>
        <v/>
      </c>
      <c r="CC32">
        <f>IF(CB32=1,'Tính'!M68+1+(45-30)/1000000,-1)</f>
        <v/>
      </c>
      <c r="CD32">
        <f>IF(LARGE($CC$3:$CC$47,30)&lt;0,"",MATCH(LARGE($CC$3:$CC$47,30),$CC$3:$CC$47,0))</f>
        <v/>
      </c>
    </row>
    <row r="33">
      <c r="A33" s="64">
        <f>IF($CD$7="","",IF($CD$7="","",INDEX('Tính'!$M$39:$M$83,$CD$7)))</f>
        <v/>
      </c>
      <c r="B33" s="64">
        <f>IF($CD$7="","",IF($CD$7="","",INDEX('Tính'!$N$39:$N$83,$CD$7)))</f>
        <v/>
      </c>
      <c r="C33" s="65">
        <f>IF($CD$7="","",IF($CD$7="","",INDEX('Tính'!$P$39:$P$83,$CD$7))&amp;"/"&amp;COUNTIF($BA$3:$BA$22,"?*"))</f>
        <v/>
      </c>
      <c r="D33" s="65">
        <f>IF($CD$7="","",5)</f>
        <v/>
      </c>
      <c r="F33" s="64">
        <f>IF($CD$8="","",IF($CD$8="","",INDEX('Tính'!$M$39:$M$83,$CD$8)))</f>
        <v/>
      </c>
      <c r="G33" s="64">
        <f>IF($CD$8="","",IF($CD$8="","",INDEX('Tính'!$N$39:$N$83,$CD$8)))</f>
        <v/>
      </c>
      <c r="H33" s="65">
        <f>IF($CD$8="","",IF($CD$8="","",INDEX('Tính'!$P$39:$P$83,$CD$8))&amp;"/"&amp;COUNTIF($BA$3:$BA$22,"?*"))</f>
        <v/>
      </c>
      <c r="I33" s="65">
        <f>IF($CD$8="","",6)</f>
        <v/>
      </c>
      <c r="K33" s="64">
        <f>IF($CD$9="","",IF($CD$9="","",INDEX('Tính'!$M$39:$M$83,$CD$9)))</f>
        <v/>
      </c>
      <c r="L33" s="64">
        <f>IF($CD$9="","",IF($CD$9="","",INDEX('Tính'!$N$39:$N$83,$CD$9)))</f>
        <v/>
      </c>
      <c r="M33" s="65">
        <f>IF($CD$9="","",IF($CD$9="","",INDEX('Tính'!$P$39:$P$83,$CD$9))&amp;"/"&amp;COUNTIF($BA$3:$BA$22,"?*"))</f>
        <v/>
      </c>
      <c r="N33" s="65">
        <f>IF($CD$9="","",7)</f>
        <v/>
      </c>
      <c r="P33" s="64">
        <f>IF($CD$10="","",IF($CD$10="","",INDEX('Tính'!$M$39:$M$83,$CD$10)))</f>
        <v/>
      </c>
      <c r="Q33" s="64">
        <f>IF($CD$10="","",IF($CD$10="","",INDEX('Tính'!$N$39:$N$83,$CD$10)))</f>
        <v/>
      </c>
      <c r="R33" s="65">
        <f>IF($CD$10="","",IF($CD$10="","",INDEX('Tính'!$P$39:$P$83,$CD$10))&amp;"/"&amp;COUNTIF($BA$3:$BA$22,"?*"))</f>
        <v/>
      </c>
      <c r="S33" s="65">
        <f>IF($CD$10="","",8)</f>
        <v/>
      </c>
      <c r="CA33" t="n">
        <v>31</v>
      </c>
      <c r="CB33">
        <f>IF('Tính'!B69="",0,IF(OR($AZ$1=0,'Tính'!D69=$AZ$1),1,0))</f>
        <v/>
      </c>
      <c r="CC33">
        <f>IF(CB33=1,'Tính'!M69+1+(45-31)/1000000,-1)</f>
        <v/>
      </c>
      <c r="CD33">
        <f>IF(LARGE($CC$3:$CC$47,31)&lt;0,"",MATCH(LARGE($CC$3:$CC$47,31),$CC$3:$CC$47,0))</f>
        <v/>
      </c>
    </row>
    <row r="34">
      <c r="A34" s="63">
        <f>IF($CD$7="","","DT QĐ")</f>
        <v/>
      </c>
      <c r="B34" s="63">
        <f>IF($CD$7="","","MỤC TIÊU")</f>
        <v/>
      </c>
      <c r="C34" s="63">
        <f>IF($CD$7="","","HÔM NAY")</f>
        <v/>
      </c>
      <c r="D34" s="63" t="n"/>
      <c r="F34" s="63">
        <f>IF($CD$8="","","DT QĐ")</f>
        <v/>
      </c>
      <c r="G34" s="63">
        <f>IF($CD$8="","","MỤC TIÊU")</f>
        <v/>
      </c>
      <c r="H34" s="63">
        <f>IF($CD$8="","","HÔM NAY")</f>
        <v/>
      </c>
      <c r="I34" s="63" t="n"/>
      <c r="K34" s="63">
        <f>IF($CD$9="","","DT QĐ")</f>
        <v/>
      </c>
      <c r="L34" s="63">
        <f>IF($CD$9="","","MỤC TIÊU")</f>
        <v/>
      </c>
      <c r="M34" s="63">
        <f>IF($CD$9="","","HÔM NAY")</f>
        <v/>
      </c>
      <c r="N34" s="63" t="n"/>
      <c r="P34" s="63">
        <f>IF($CD$10="","","DT QĐ")</f>
        <v/>
      </c>
      <c r="Q34" s="63">
        <f>IF($CD$10="","","MỤC TIÊU")</f>
        <v/>
      </c>
      <c r="R34" s="63">
        <f>IF($CD$10="","","HÔM NAY")</f>
        <v/>
      </c>
      <c r="S34" s="63" t="n"/>
      <c r="CA34" t="n">
        <v>32</v>
      </c>
      <c r="CB34">
        <f>IF('Tính'!B70="",0,IF(OR($AZ$1=0,'Tính'!D70=$AZ$1),1,0))</f>
        <v/>
      </c>
      <c r="CC34">
        <f>IF(CB34=1,'Tính'!M70+1+(45-32)/1000000,-1)</f>
        <v/>
      </c>
      <c r="CD34">
        <f>IF(LARGE($CC$3:$CC$47,32)&lt;0,"",MATCH(LARGE($CC$3:$CC$47,32),$CC$3:$CC$47,0))</f>
        <v/>
      </c>
    </row>
    <row r="35">
      <c r="A35" s="66">
        <f>IF($CD$7="","",IF($CD$7="","",INDEX('Tính'!$K$39:$K$83,$CD$7)))</f>
        <v/>
      </c>
      <c r="B35" s="67">
        <f>IF($CD$7="","",IF($CD$7="","",INDEX('Tính'!$J$39:$J$83,$CD$7)))</f>
        <v/>
      </c>
      <c r="C35" s="66">
        <f>IF($CD$7="","",IF($CD$7="","",INDEX('Tính'!$L$39:$L$83,$CD$7)))</f>
        <v/>
      </c>
      <c r="D35" s="61">
        <f>IF($CD$7="","","")</f>
        <v/>
      </c>
      <c r="F35" s="66">
        <f>IF($CD$8="","",IF($CD$8="","",INDEX('Tính'!$K$39:$K$83,$CD$8)))</f>
        <v/>
      </c>
      <c r="G35" s="67">
        <f>IF($CD$8="","",IF($CD$8="","",INDEX('Tính'!$J$39:$J$83,$CD$8)))</f>
        <v/>
      </c>
      <c r="H35" s="66">
        <f>IF($CD$8="","",IF($CD$8="","",INDEX('Tính'!$L$39:$L$83,$CD$8)))</f>
        <v/>
      </c>
      <c r="I35" s="61">
        <f>IF($CD$8="","","")</f>
        <v/>
      </c>
      <c r="K35" s="66">
        <f>IF($CD$9="","",IF($CD$9="","",INDEX('Tính'!$K$39:$K$83,$CD$9)))</f>
        <v/>
      </c>
      <c r="L35" s="67">
        <f>IF($CD$9="","",IF($CD$9="","",INDEX('Tính'!$J$39:$J$83,$CD$9)))</f>
        <v/>
      </c>
      <c r="M35" s="66">
        <f>IF($CD$9="","",IF($CD$9="","",INDEX('Tính'!$L$39:$L$83,$CD$9)))</f>
        <v/>
      </c>
      <c r="N35" s="61">
        <f>IF($CD$9="","","")</f>
        <v/>
      </c>
      <c r="P35" s="66">
        <f>IF($CD$10="","",IF($CD$10="","",INDEX('Tính'!$K$39:$K$83,$CD$10)))</f>
        <v/>
      </c>
      <c r="Q35" s="67">
        <f>IF($CD$10="","",IF($CD$10="","",INDEX('Tính'!$J$39:$J$83,$CD$10)))</f>
        <v/>
      </c>
      <c r="R35" s="66">
        <f>IF($CD$10="","",IF($CD$10="","",INDEX('Tính'!$L$39:$L$83,$CD$10)))</f>
        <v/>
      </c>
      <c r="S35" s="61">
        <f>IF($CD$10="","","")</f>
        <v/>
      </c>
      <c r="CA35" t="n">
        <v>33</v>
      </c>
      <c r="CB35">
        <f>IF('Tính'!B71="",0,IF(OR($AZ$1=0,'Tính'!D71=$AZ$1),1,0))</f>
        <v/>
      </c>
      <c r="CC35">
        <f>IF(CB35=1,'Tính'!M71+1+(45-33)/1000000,-1)</f>
        <v/>
      </c>
      <c r="CD35">
        <f>IF(LARGE($CC$3:$CC$47,33)&lt;0,"",MATCH(LARGE($CC$3:$CC$47,33),$CC$3:$CC$47,0))</f>
        <v/>
      </c>
    </row>
    <row r="36">
      <c r="A36" s="57">
        <f>IF($CD$7="","","Nhóm hàng")</f>
        <v/>
      </c>
      <c r="B36" s="57">
        <f>IF($CD$7="","","TH")</f>
        <v/>
      </c>
      <c r="C36" s="57">
        <f>IF($CD$7="","","Target")</f>
        <v/>
      </c>
      <c r="D36" s="57">
        <f>IF($CD$7="","","DK")</f>
        <v/>
      </c>
      <c r="F36" s="57">
        <f>IF($CD$8="","","Nhóm hàng")</f>
        <v/>
      </c>
      <c r="G36" s="57">
        <f>IF($CD$8="","","TH")</f>
        <v/>
      </c>
      <c r="H36" s="57">
        <f>IF($CD$8="","","Target")</f>
        <v/>
      </c>
      <c r="I36" s="57">
        <f>IF($CD$8="","","DK")</f>
        <v/>
      </c>
      <c r="K36" s="57">
        <f>IF($CD$9="","","Nhóm hàng")</f>
        <v/>
      </c>
      <c r="L36" s="57">
        <f>IF($CD$9="","","TH")</f>
        <v/>
      </c>
      <c r="M36" s="57">
        <f>IF($CD$9="","","Target")</f>
        <v/>
      </c>
      <c r="N36" s="57">
        <f>IF($CD$9="","","DK")</f>
        <v/>
      </c>
      <c r="P36" s="57">
        <f>IF($CD$10="","","Nhóm hàng")</f>
        <v/>
      </c>
      <c r="Q36" s="57">
        <f>IF($CD$10="","","TH")</f>
        <v/>
      </c>
      <c r="R36" s="57">
        <f>IF($CD$10="","","Target")</f>
        <v/>
      </c>
      <c r="S36" s="57">
        <f>IF($CD$10="","","DK")</f>
        <v/>
      </c>
      <c r="CA36" t="n">
        <v>34</v>
      </c>
      <c r="CB36">
        <f>IF('Tính'!B72="",0,IF(OR($AZ$1=0,'Tính'!D72=$AZ$1),1,0))</f>
        <v/>
      </c>
      <c r="CC36">
        <f>IF(CB36=1,'Tính'!M72+1+(45-34)/1000000,-1)</f>
        <v/>
      </c>
      <c r="CD36">
        <f>IF(LARGE($CC$3:$CC$47,34)&lt;0,"",MATCH(LARGE($CC$3:$CC$47,34),$CC$3:$CC$47,0))</f>
        <v/>
      </c>
    </row>
    <row r="37">
      <c r="A37" s="68">
        <f>IF(OR($CD$7="",$BJ$3=""),"",INDEX($BA$3:$BA$22,$BJ$3))</f>
        <v/>
      </c>
      <c r="B37" s="69">
        <f>IF(A37="","",INDEX('Tính'!$C$86:$V$130,$CD$7,$BJ$3))</f>
        <v/>
      </c>
      <c r="C37" s="69">
        <f>IF(A37="","",INDEX('Tính'!$C$134:$V$178,$CD$7,$BJ$3))</f>
        <v/>
      </c>
      <c r="D37" s="70">
        <f>IF(A37="","",INDEX('Tính'!$C$182:$V$226,$CD$7,$BJ$3))</f>
        <v/>
      </c>
      <c r="F37" s="68">
        <f>IF(OR($CD$8="",$BJ$3=""),"",INDEX($BA$3:$BA$22,$BJ$3))</f>
        <v/>
      </c>
      <c r="G37" s="69">
        <f>IF(F37="","",INDEX('Tính'!$C$86:$V$130,$CD$8,$BJ$3))</f>
        <v/>
      </c>
      <c r="H37" s="69">
        <f>IF(F37="","",INDEX('Tính'!$C$134:$V$178,$CD$8,$BJ$3))</f>
        <v/>
      </c>
      <c r="I37" s="70">
        <f>IF(F37="","",INDEX('Tính'!$C$182:$V$226,$CD$8,$BJ$3))</f>
        <v/>
      </c>
      <c r="K37" s="68">
        <f>IF(OR($CD$9="",$BJ$3=""),"",INDEX($BA$3:$BA$22,$BJ$3))</f>
        <v/>
      </c>
      <c r="L37" s="69">
        <f>IF(K37="","",INDEX('Tính'!$C$86:$V$130,$CD$9,$BJ$3))</f>
        <v/>
      </c>
      <c r="M37" s="69">
        <f>IF(K37="","",INDEX('Tính'!$C$134:$V$178,$CD$9,$BJ$3))</f>
        <v/>
      </c>
      <c r="N37" s="70">
        <f>IF(K37="","",INDEX('Tính'!$C$182:$V$226,$CD$9,$BJ$3))</f>
        <v/>
      </c>
      <c r="P37" s="68">
        <f>IF(OR($CD$10="",$BJ$3=""),"",INDEX($BA$3:$BA$22,$BJ$3))</f>
        <v/>
      </c>
      <c r="Q37" s="69">
        <f>IF(P37="","",INDEX('Tính'!$C$86:$V$130,$CD$10,$BJ$3))</f>
        <v/>
      </c>
      <c r="R37" s="69">
        <f>IF(P37="","",INDEX('Tính'!$C$134:$V$178,$CD$10,$BJ$3))</f>
        <v/>
      </c>
      <c r="S37" s="70">
        <f>IF(P37="","",INDEX('Tính'!$C$182:$V$226,$CD$10,$BJ$3))</f>
        <v/>
      </c>
      <c r="CA37" t="n">
        <v>35</v>
      </c>
      <c r="CB37">
        <f>IF('Tính'!B73="",0,IF(OR($AZ$1=0,'Tính'!D73=$AZ$1),1,0))</f>
        <v/>
      </c>
      <c r="CC37">
        <f>IF(CB37=1,'Tính'!M73+1+(45-35)/1000000,-1)</f>
        <v/>
      </c>
      <c r="CD37">
        <f>IF(LARGE($CC$3:$CC$47,35)&lt;0,"",MATCH(LARGE($CC$3:$CC$47,35),$CC$3:$CC$47,0))</f>
        <v/>
      </c>
    </row>
    <row r="38">
      <c r="A38" s="68">
        <f>IF(OR($CD$7="",$BJ$4=""),"",INDEX($BA$3:$BA$22,$BJ$4))</f>
        <v/>
      </c>
      <c r="B38" s="69">
        <f>IF(A38="","",INDEX('Tính'!$C$86:$V$130,$CD$7,$BJ$4))</f>
        <v/>
      </c>
      <c r="C38" s="69">
        <f>IF(A38="","",INDEX('Tính'!$C$134:$V$178,$CD$7,$BJ$4))</f>
        <v/>
      </c>
      <c r="D38" s="70">
        <f>IF(A38="","",INDEX('Tính'!$C$182:$V$226,$CD$7,$BJ$4))</f>
        <v/>
      </c>
      <c r="F38" s="68">
        <f>IF(OR($CD$8="",$BJ$4=""),"",INDEX($BA$3:$BA$22,$BJ$4))</f>
        <v/>
      </c>
      <c r="G38" s="69">
        <f>IF(F38="","",INDEX('Tính'!$C$86:$V$130,$CD$8,$BJ$4))</f>
        <v/>
      </c>
      <c r="H38" s="69">
        <f>IF(F38="","",INDEX('Tính'!$C$134:$V$178,$CD$8,$BJ$4))</f>
        <v/>
      </c>
      <c r="I38" s="70">
        <f>IF(F38="","",INDEX('Tính'!$C$182:$V$226,$CD$8,$BJ$4))</f>
        <v/>
      </c>
      <c r="K38" s="68">
        <f>IF(OR($CD$9="",$BJ$4=""),"",INDEX($BA$3:$BA$22,$BJ$4))</f>
        <v/>
      </c>
      <c r="L38" s="69">
        <f>IF(K38="","",INDEX('Tính'!$C$86:$V$130,$CD$9,$BJ$4))</f>
        <v/>
      </c>
      <c r="M38" s="69">
        <f>IF(K38="","",INDEX('Tính'!$C$134:$V$178,$CD$9,$BJ$4))</f>
        <v/>
      </c>
      <c r="N38" s="70">
        <f>IF(K38="","",INDEX('Tính'!$C$182:$V$226,$CD$9,$BJ$4))</f>
        <v/>
      </c>
      <c r="P38" s="68">
        <f>IF(OR($CD$10="",$BJ$4=""),"",INDEX($BA$3:$BA$22,$BJ$4))</f>
        <v/>
      </c>
      <c r="Q38" s="69">
        <f>IF(P38="","",INDEX('Tính'!$C$86:$V$130,$CD$10,$BJ$4))</f>
        <v/>
      </c>
      <c r="R38" s="69">
        <f>IF(P38="","",INDEX('Tính'!$C$134:$V$178,$CD$10,$BJ$4))</f>
        <v/>
      </c>
      <c r="S38" s="70">
        <f>IF(P38="","",INDEX('Tính'!$C$182:$V$226,$CD$10,$BJ$4))</f>
        <v/>
      </c>
      <c r="CA38" t="n">
        <v>36</v>
      </c>
      <c r="CB38">
        <f>IF('Tính'!B74="",0,IF(OR($AZ$1=0,'Tính'!D74=$AZ$1),1,0))</f>
        <v/>
      </c>
      <c r="CC38">
        <f>IF(CB38=1,'Tính'!M74+1+(45-36)/1000000,-1)</f>
        <v/>
      </c>
      <c r="CD38">
        <f>IF(LARGE($CC$3:$CC$47,36)&lt;0,"",MATCH(LARGE($CC$3:$CC$47,36),$CC$3:$CC$47,0))</f>
        <v/>
      </c>
    </row>
    <row r="39">
      <c r="A39" s="68">
        <f>IF(OR($CD$7="",$BJ$5=""),"",INDEX($BA$3:$BA$22,$BJ$5))</f>
        <v/>
      </c>
      <c r="B39" s="69">
        <f>IF(A39="","",INDEX('Tính'!$C$86:$V$130,$CD$7,$BJ$5))</f>
        <v/>
      </c>
      <c r="C39" s="69">
        <f>IF(A39="","",INDEX('Tính'!$C$134:$V$178,$CD$7,$BJ$5))</f>
        <v/>
      </c>
      <c r="D39" s="70">
        <f>IF(A39="","",INDEX('Tính'!$C$182:$V$226,$CD$7,$BJ$5))</f>
        <v/>
      </c>
      <c r="F39" s="68">
        <f>IF(OR($CD$8="",$BJ$5=""),"",INDEX($BA$3:$BA$22,$BJ$5))</f>
        <v/>
      </c>
      <c r="G39" s="69">
        <f>IF(F39="","",INDEX('Tính'!$C$86:$V$130,$CD$8,$BJ$5))</f>
        <v/>
      </c>
      <c r="H39" s="69">
        <f>IF(F39="","",INDEX('Tính'!$C$134:$V$178,$CD$8,$BJ$5))</f>
        <v/>
      </c>
      <c r="I39" s="70">
        <f>IF(F39="","",INDEX('Tính'!$C$182:$V$226,$CD$8,$BJ$5))</f>
        <v/>
      </c>
      <c r="K39" s="68">
        <f>IF(OR($CD$9="",$BJ$5=""),"",INDEX($BA$3:$BA$22,$BJ$5))</f>
        <v/>
      </c>
      <c r="L39" s="69">
        <f>IF(K39="","",INDEX('Tính'!$C$86:$V$130,$CD$9,$BJ$5))</f>
        <v/>
      </c>
      <c r="M39" s="69">
        <f>IF(K39="","",INDEX('Tính'!$C$134:$V$178,$CD$9,$BJ$5))</f>
        <v/>
      </c>
      <c r="N39" s="70">
        <f>IF(K39="","",INDEX('Tính'!$C$182:$V$226,$CD$9,$BJ$5))</f>
        <v/>
      </c>
      <c r="P39" s="68">
        <f>IF(OR($CD$10="",$BJ$5=""),"",INDEX($BA$3:$BA$22,$BJ$5))</f>
        <v/>
      </c>
      <c r="Q39" s="69">
        <f>IF(P39="","",INDEX('Tính'!$C$86:$V$130,$CD$10,$BJ$5))</f>
        <v/>
      </c>
      <c r="R39" s="69">
        <f>IF(P39="","",INDEX('Tính'!$C$134:$V$178,$CD$10,$BJ$5))</f>
        <v/>
      </c>
      <c r="S39" s="70">
        <f>IF(P39="","",INDEX('Tính'!$C$182:$V$226,$CD$10,$BJ$5))</f>
        <v/>
      </c>
      <c r="CA39" t="n">
        <v>37</v>
      </c>
      <c r="CB39">
        <f>IF('Tính'!B75="",0,IF(OR($AZ$1=0,'Tính'!D75=$AZ$1),1,0))</f>
        <v/>
      </c>
      <c r="CC39">
        <f>IF(CB39=1,'Tính'!M75+1+(45-37)/1000000,-1)</f>
        <v/>
      </c>
      <c r="CD39">
        <f>IF(LARGE($CC$3:$CC$47,37)&lt;0,"",MATCH(LARGE($CC$3:$CC$47,37),$CC$3:$CC$47,0))</f>
        <v/>
      </c>
    </row>
    <row r="40">
      <c r="A40" s="68">
        <f>IF(OR($CD$7="",$BJ$6=""),"",INDEX($BA$3:$BA$22,$BJ$6))</f>
        <v/>
      </c>
      <c r="B40" s="69">
        <f>IF(A40="","",INDEX('Tính'!$C$86:$V$130,$CD$7,$BJ$6))</f>
        <v/>
      </c>
      <c r="C40" s="69">
        <f>IF(A40="","",INDEX('Tính'!$C$134:$V$178,$CD$7,$BJ$6))</f>
        <v/>
      </c>
      <c r="D40" s="70">
        <f>IF(A40="","",INDEX('Tính'!$C$182:$V$226,$CD$7,$BJ$6))</f>
        <v/>
      </c>
      <c r="F40" s="68">
        <f>IF(OR($CD$8="",$BJ$6=""),"",INDEX($BA$3:$BA$22,$BJ$6))</f>
        <v/>
      </c>
      <c r="G40" s="69">
        <f>IF(F40="","",INDEX('Tính'!$C$86:$V$130,$CD$8,$BJ$6))</f>
        <v/>
      </c>
      <c r="H40" s="69">
        <f>IF(F40="","",INDEX('Tính'!$C$134:$V$178,$CD$8,$BJ$6))</f>
        <v/>
      </c>
      <c r="I40" s="70">
        <f>IF(F40="","",INDEX('Tính'!$C$182:$V$226,$CD$8,$BJ$6))</f>
        <v/>
      </c>
      <c r="K40" s="68">
        <f>IF(OR($CD$9="",$BJ$6=""),"",INDEX($BA$3:$BA$22,$BJ$6))</f>
        <v/>
      </c>
      <c r="L40" s="69">
        <f>IF(K40="","",INDEX('Tính'!$C$86:$V$130,$CD$9,$BJ$6))</f>
        <v/>
      </c>
      <c r="M40" s="69">
        <f>IF(K40="","",INDEX('Tính'!$C$134:$V$178,$CD$9,$BJ$6))</f>
        <v/>
      </c>
      <c r="N40" s="70">
        <f>IF(K40="","",INDEX('Tính'!$C$182:$V$226,$CD$9,$BJ$6))</f>
        <v/>
      </c>
      <c r="P40" s="68">
        <f>IF(OR($CD$10="",$BJ$6=""),"",INDEX($BA$3:$BA$22,$BJ$6))</f>
        <v/>
      </c>
      <c r="Q40" s="69">
        <f>IF(P40="","",INDEX('Tính'!$C$86:$V$130,$CD$10,$BJ$6))</f>
        <v/>
      </c>
      <c r="R40" s="69">
        <f>IF(P40="","",INDEX('Tính'!$C$134:$V$178,$CD$10,$BJ$6))</f>
        <v/>
      </c>
      <c r="S40" s="70">
        <f>IF(P40="","",INDEX('Tính'!$C$182:$V$226,$CD$10,$BJ$6))</f>
        <v/>
      </c>
      <c r="CA40" t="n">
        <v>38</v>
      </c>
      <c r="CB40">
        <f>IF('Tính'!B76="",0,IF(OR($AZ$1=0,'Tính'!D76=$AZ$1),1,0))</f>
        <v/>
      </c>
      <c r="CC40">
        <f>IF(CB40=1,'Tính'!M76+1+(45-38)/1000000,-1)</f>
        <v/>
      </c>
      <c r="CD40">
        <f>IF(LARGE($CC$3:$CC$47,38)&lt;0,"",MATCH(LARGE($CC$3:$CC$47,38),$CC$3:$CC$47,0))</f>
        <v/>
      </c>
    </row>
    <row r="41">
      <c r="A41" s="68">
        <f>IF(OR($CD$7="",$BJ$7=""),"",INDEX($BA$3:$BA$22,$BJ$7))</f>
        <v/>
      </c>
      <c r="B41" s="69">
        <f>IF(A41="","",INDEX('Tính'!$C$86:$V$130,$CD$7,$BJ$7))</f>
        <v/>
      </c>
      <c r="C41" s="69">
        <f>IF(A41="","",INDEX('Tính'!$C$134:$V$178,$CD$7,$BJ$7))</f>
        <v/>
      </c>
      <c r="D41" s="70">
        <f>IF(A41="","",INDEX('Tính'!$C$182:$V$226,$CD$7,$BJ$7))</f>
        <v/>
      </c>
      <c r="F41" s="68">
        <f>IF(OR($CD$8="",$BJ$7=""),"",INDEX($BA$3:$BA$22,$BJ$7))</f>
        <v/>
      </c>
      <c r="G41" s="69">
        <f>IF(F41="","",INDEX('Tính'!$C$86:$V$130,$CD$8,$BJ$7))</f>
        <v/>
      </c>
      <c r="H41" s="69">
        <f>IF(F41="","",INDEX('Tính'!$C$134:$V$178,$CD$8,$BJ$7))</f>
        <v/>
      </c>
      <c r="I41" s="70">
        <f>IF(F41="","",INDEX('Tính'!$C$182:$V$226,$CD$8,$BJ$7))</f>
        <v/>
      </c>
      <c r="K41" s="68">
        <f>IF(OR($CD$9="",$BJ$7=""),"",INDEX($BA$3:$BA$22,$BJ$7))</f>
        <v/>
      </c>
      <c r="L41" s="69">
        <f>IF(K41="","",INDEX('Tính'!$C$86:$V$130,$CD$9,$BJ$7))</f>
        <v/>
      </c>
      <c r="M41" s="69">
        <f>IF(K41="","",INDEX('Tính'!$C$134:$V$178,$CD$9,$BJ$7))</f>
        <v/>
      </c>
      <c r="N41" s="70">
        <f>IF(K41="","",INDEX('Tính'!$C$182:$V$226,$CD$9,$BJ$7))</f>
        <v/>
      </c>
      <c r="P41" s="68">
        <f>IF(OR($CD$10="",$BJ$7=""),"",INDEX($BA$3:$BA$22,$BJ$7))</f>
        <v/>
      </c>
      <c r="Q41" s="69">
        <f>IF(P41="","",INDEX('Tính'!$C$86:$V$130,$CD$10,$BJ$7))</f>
        <v/>
      </c>
      <c r="R41" s="69">
        <f>IF(P41="","",INDEX('Tính'!$C$134:$V$178,$CD$10,$BJ$7))</f>
        <v/>
      </c>
      <c r="S41" s="70">
        <f>IF(P41="","",INDEX('Tính'!$C$182:$V$226,$CD$10,$BJ$7))</f>
        <v/>
      </c>
      <c r="CA41" t="n">
        <v>39</v>
      </c>
      <c r="CB41">
        <f>IF('Tính'!B77="",0,IF(OR($AZ$1=0,'Tính'!D77=$AZ$1),1,0))</f>
        <v/>
      </c>
      <c r="CC41">
        <f>IF(CB41=1,'Tính'!M77+1+(45-39)/1000000,-1)</f>
        <v/>
      </c>
      <c r="CD41">
        <f>IF(LARGE($CC$3:$CC$47,39)&lt;0,"",MATCH(LARGE($CC$3:$CC$47,39),$CC$3:$CC$47,0))</f>
        <v/>
      </c>
    </row>
    <row r="42">
      <c r="A42" s="68">
        <f>IF(OR($CD$7="",$BJ$8=""),"",INDEX($BA$3:$BA$22,$BJ$8))</f>
        <v/>
      </c>
      <c r="B42" s="69">
        <f>IF(A42="","",INDEX('Tính'!$C$86:$V$130,$CD$7,$BJ$8))</f>
        <v/>
      </c>
      <c r="C42" s="69">
        <f>IF(A42="","",INDEX('Tính'!$C$134:$V$178,$CD$7,$BJ$8))</f>
        <v/>
      </c>
      <c r="D42" s="70">
        <f>IF(A42="","",INDEX('Tính'!$C$182:$V$226,$CD$7,$BJ$8))</f>
        <v/>
      </c>
      <c r="F42" s="68">
        <f>IF(OR($CD$8="",$BJ$8=""),"",INDEX($BA$3:$BA$22,$BJ$8))</f>
        <v/>
      </c>
      <c r="G42" s="69">
        <f>IF(F42="","",INDEX('Tính'!$C$86:$V$130,$CD$8,$BJ$8))</f>
        <v/>
      </c>
      <c r="H42" s="69">
        <f>IF(F42="","",INDEX('Tính'!$C$134:$V$178,$CD$8,$BJ$8))</f>
        <v/>
      </c>
      <c r="I42" s="70">
        <f>IF(F42="","",INDEX('Tính'!$C$182:$V$226,$CD$8,$BJ$8))</f>
        <v/>
      </c>
      <c r="K42" s="68">
        <f>IF(OR($CD$9="",$BJ$8=""),"",INDEX($BA$3:$BA$22,$BJ$8))</f>
        <v/>
      </c>
      <c r="L42" s="69">
        <f>IF(K42="","",INDEX('Tính'!$C$86:$V$130,$CD$9,$BJ$8))</f>
        <v/>
      </c>
      <c r="M42" s="69">
        <f>IF(K42="","",INDEX('Tính'!$C$134:$V$178,$CD$9,$BJ$8))</f>
        <v/>
      </c>
      <c r="N42" s="70">
        <f>IF(K42="","",INDEX('Tính'!$C$182:$V$226,$CD$9,$BJ$8))</f>
        <v/>
      </c>
      <c r="P42" s="68">
        <f>IF(OR($CD$10="",$BJ$8=""),"",INDEX($BA$3:$BA$22,$BJ$8))</f>
        <v/>
      </c>
      <c r="Q42" s="69">
        <f>IF(P42="","",INDEX('Tính'!$C$86:$V$130,$CD$10,$BJ$8))</f>
        <v/>
      </c>
      <c r="R42" s="69">
        <f>IF(P42="","",INDEX('Tính'!$C$134:$V$178,$CD$10,$BJ$8))</f>
        <v/>
      </c>
      <c r="S42" s="70">
        <f>IF(P42="","",INDEX('Tính'!$C$182:$V$226,$CD$10,$BJ$8))</f>
        <v/>
      </c>
      <c r="CA42" t="n">
        <v>40</v>
      </c>
      <c r="CB42">
        <f>IF('Tính'!B78="",0,IF(OR($AZ$1=0,'Tính'!D78=$AZ$1),1,0))</f>
        <v/>
      </c>
      <c r="CC42">
        <f>IF(CB42=1,'Tính'!M78+1+(45-40)/1000000,-1)</f>
        <v/>
      </c>
      <c r="CD42">
        <f>IF(LARGE($CC$3:$CC$47,40)&lt;0,"",MATCH(LARGE($CC$3:$CC$47,40),$CC$3:$CC$47,0))</f>
        <v/>
      </c>
    </row>
    <row r="43">
      <c r="A43" s="68">
        <f>IF(OR($CD$7="",$BJ$9=""),"",INDEX($BA$3:$BA$22,$BJ$9))</f>
        <v/>
      </c>
      <c r="B43" s="69">
        <f>IF(A43="","",INDEX('Tính'!$C$86:$V$130,$CD$7,$BJ$9))</f>
        <v/>
      </c>
      <c r="C43" s="69">
        <f>IF(A43="","",INDEX('Tính'!$C$134:$V$178,$CD$7,$BJ$9))</f>
        <v/>
      </c>
      <c r="D43" s="70">
        <f>IF(A43="","",INDEX('Tính'!$C$182:$V$226,$CD$7,$BJ$9))</f>
        <v/>
      </c>
      <c r="F43" s="68">
        <f>IF(OR($CD$8="",$BJ$9=""),"",INDEX($BA$3:$BA$22,$BJ$9))</f>
        <v/>
      </c>
      <c r="G43" s="69">
        <f>IF(F43="","",INDEX('Tính'!$C$86:$V$130,$CD$8,$BJ$9))</f>
        <v/>
      </c>
      <c r="H43" s="69">
        <f>IF(F43="","",INDEX('Tính'!$C$134:$V$178,$CD$8,$BJ$9))</f>
        <v/>
      </c>
      <c r="I43" s="70">
        <f>IF(F43="","",INDEX('Tính'!$C$182:$V$226,$CD$8,$BJ$9))</f>
        <v/>
      </c>
      <c r="K43" s="68">
        <f>IF(OR($CD$9="",$BJ$9=""),"",INDEX($BA$3:$BA$22,$BJ$9))</f>
        <v/>
      </c>
      <c r="L43" s="69">
        <f>IF(K43="","",INDEX('Tính'!$C$86:$V$130,$CD$9,$BJ$9))</f>
        <v/>
      </c>
      <c r="M43" s="69">
        <f>IF(K43="","",INDEX('Tính'!$C$134:$V$178,$CD$9,$BJ$9))</f>
        <v/>
      </c>
      <c r="N43" s="70">
        <f>IF(K43="","",INDEX('Tính'!$C$182:$V$226,$CD$9,$BJ$9))</f>
        <v/>
      </c>
      <c r="P43" s="68">
        <f>IF(OR($CD$10="",$BJ$9=""),"",INDEX($BA$3:$BA$22,$BJ$9))</f>
        <v/>
      </c>
      <c r="Q43" s="69">
        <f>IF(P43="","",INDEX('Tính'!$C$86:$V$130,$CD$10,$BJ$9))</f>
        <v/>
      </c>
      <c r="R43" s="69">
        <f>IF(P43="","",INDEX('Tính'!$C$134:$V$178,$CD$10,$BJ$9))</f>
        <v/>
      </c>
      <c r="S43" s="70">
        <f>IF(P43="","",INDEX('Tính'!$C$182:$V$226,$CD$10,$BJ$9))</f>
        <v/>
      </c>
      <c r="CA43" t="n">
        <v>41</v>
      </c>
      <c r="CB43">
        <f>IF('Tính'!B79="",0,IF(OR($AZ$1=0,'Tính'!D79=$AZ$1),1,0))</f>
        <v/>
      </c>
      <c r="CC43">
        <f>IF(CB43=1,'Tính'!M79+1+(45-41)/1000000,-1)</f>
        <v/>
      </c>
      <c r="CD43">
        <f>IF(LARGE($CC$3:$CC$47,41)&lt;0,"",MATCH(LARGE($CC$3:$CC$47,41),$CC$3:$CC$47,0))</f>
        <v/>
      </c>
    </row>
    <row r="44">
      <c r="A44" s="68">
        <f>IF(OR($CD$7="",$BJ$10=""),"",INDEX($BA$3:$BA$22,$BJ$10))</f>
        <v/>
      </c>
      <c r="B44" s="69">
        <f>IF(A44="","",INDEX('Tính'!$C$86:$V$130,$CD$7,$BJ$10))</f>
        <v/>
      </c>
      <c r="C44" s="69">
        <f>IF(A44="","",INDEX('Tính'!$C$134:$V$178,$CD$7,$BJ$10))</f>
        <v/>
      </c>
      <c r="D44" s="70">
        <f>IF(A44="","",INDEX('Tính'!$C$182:$V$226,$CD$7,$BJ$10))</f>
        <v/>
      </c>
      <c r="F44" s="68">
        <f>IF(OR($CD$8="",$BJ$10=""),"",INDEX($BA$3:$BA$22,$BJ$10))</f>
        <v/>
      </c>
      <c r="G44" s="69">
        <f>IF(F44="","",INDEX('Tính'!$C$86:$V$130,$CD$8,$BJ$10))</f>
        <v/>
      </c>
      <c r="H44" s="69">
        <f>IF(F44="","",INDEX('Tính'!$C$134:$V$178,$CD$8,$BJ$10))</f>
        <v/>
      </c>
      <c r="I44" s="70">
        <f>IF(F44="","",INDEX('Tính'!$C$182:$V$226,$CD$8,$BJ$10))</f>
        <v/>
      </c>
      <c r="K44" s="68">
        <f>IF(OR($CD$9="",$BJ$10=""),"",INDEX($BA$3:$BA$22,$BJ$10))</f>
        <v/>
      </c>
      <c r="L44" s="69">
        <f>IF(K44="","",INDEX('Tính'!$C$86:$V$130,$CD$9,$BJ$10))</f>
        <v/>
      </c>
      <c r="M44" s="69">
        <f>IF(K44="","",INDEX('Tính'!$C$134:$V$178,$CD$9,$BJ$10))</f>
        <v/>
      </c>
      <c r="N44" s="70">
        <f>IF(K44="","",INDEX('Tính'!$C$182:$V$226,$CD$9,$BJ$10))</f>
        <v/>
      </c>
      <c r="P44" s="68">
        <f>IF(OR($CD$10="",$BJ$10=""),"",INDEX($BA$3:$BA$22,$BJ$10))</f>
        <v/>
      </c>
      <c r="Q44" s="69">
        <f>IF(P44="","",INDEX('Tính'!$C$86:$V$130,$CD$10,$BJ$10))</f>
        <v/>
      </c>
      <c r="R44" s="69">
        <f>IF(P44="","",INDEX('Tính'!$C$134:$V$178,$CD$10,$BJ$10))</f>
        <v/>
      </c>
      <c r="S44" s="70">
        <f>IF(P44="","",INDEX('Tính'!$C$182:$V$226,$CD$10,$BJ$10))</f>
        <v/>
      </c>
      <c r="CA44" t="n">
        <v>42</v>
      </c>
      <c r="CB44">
        <f>IF('Tính'!B80="",0,IF(OR($AZ$1=0,'Tính'!D80=$AZ$1),1,0))</f>
        <v/>
      </c>
      <c r="CC44">
        <f>IF(CB44=1,'Tính'!M80+1+(45-42)/1000000,-1)</f>
        <v/>
      </c>
      <c r="CD44">
        <f>IF(LARGE($CC$3:$CC$47,42)&lt;0,"",MATCH(LARGE($CC$3:$CC$47,42),$CC$3:$CC$47,0))</f>
        <v/>
      </c>
    </row>
    <row r="45">
      <c r="A45" s="68">
        <f>IF(OR($CD$7="",$BJ$11=""),"",INDEX($BA$3:$BA$22,$BJ$11))</f>
        <v/>
      </c>
      <c r="B45" s="69">
        <f>IF(A45="","",INDEX('Tính'!$C$86:$V$130,$CD$7,$BJ$11))</f>
        <v/>
      </c>
      <c r="C45" s="69">
        <f>IF(A45="","",INDEX('Tính'!$C$134:$V$178,$CD$7,$BJ$11))</f>
        <v/>
      </c>
      <c r="D45" s="70">
        <f>IF(A45="","",INDEX('Tính'!$C$182:$V$226,$CD$7,$BJ$11))</f>
        <v/>
      </c>
      <c r="F45" s="68">
        <f>IF(OR($CD$8="",$BJ$11=""),"",INDEX($BA$3:$BA$22,$BJ$11))</f>
        <v/>
      </c>
      <c r="G45" s="69">
        <f>IF(F45="","",INDEX('Tính'!$C$86:$V$130,$CD$8,$BJ$11))</f>
        <v/>
      </c>
      <c r="H45" s="69">
        <f>IF(F45="","",INDEX('Tính'!$C$134:$V$178,$CD$8,$BJ$11))</f>
        <v/>
      </c>
      <c r="I45" s="70">
        <f>IF(F45="","",INDEX('Tính'!$C$182:$V$226,$CD$8,$BJ$11))</f>
        <v/>
      </c>
      <c r="K45" s="68">
        <f>IF(OR($CD$9="",$BJ$11=""),"",INDEX($BA$3:$BA$22,$BJ$11))</f>
        <v/>
      </c>
      <c r="L45" s="69">
        <f>IF(K45="","",INDEX('Tính'!$C$86:$V$130,$CD$9,$BJ$11))</f>
        <v/>
      </c>
      <c r="M45" s="69">
        <f>IF(K45="","",INDEX('Tính'!$C$134:$V$178,$CD$9,$BJ$11))</f>
        <v/>
      </c>
      <c r="N45" s="70">
        <f>IF(K45="","",INDEX('Tính'!$C$182:$V$226,$CD$9,$BJ$11))</f>
        <v/>
      </c>
      <c r="P45" s="68">
        <f>IF(OR($CD$10="",$BJ$11=""),"",INDEX($BA$3:$BA$22,$BJ$11))</f>
        <v/>
      </c>
      <c r="Q45" s="69">
        <f>IF(P45="","",INDEX('Tính'!$C$86:$V$130,$CD$10,$BJ$11))</f>
        <v/>
      </c>
      <c r="R45" s="69">
        <f>IF(P45="","",INDEX('Tính'!$C$134:$V$178,$CD$10,$BJ$11))</f>
        <v/>
      </c>
      <c r="S45" s="70">
        <f>IF(P45="","",INDEX('Tính'!$C$182:$V$226,$CD$10,$BJ$11))</f>
        <v/>
      </c>
      <c r="CA45" t="n">
        <v>43</v>
      </c>
      <c r="CB45">
        <f>IF('Tính'!B81="",0,IF(OR($AZ$1=0,'Tính'!D81=$AZ$1),1,0))</f>
        <v/>
      </c>
      <c r="CC45">
        <f>IF(CB45=1,'Tính'!M81+1+(45-43)/1000000,-1)</f>
        <v/>
      </c>
      <c r="CD45">
        <f>IF(LARGE($CC$3:$CC$47,43)&lt;0,"",MATCH(LARGE($CC$3:$CC$47,43),$CC$3:$CC$47,0))</f>
        <v/>
      </c>
    </row>
    <row r="46">
      <c r="A46" s="68">
        <f>IF(OR($CD$7="",$BJ$12=""),"",INDEX($BA$3:$BA$22,$BJ$12))</f>
        <v/>
      </c>
      <c r="B46" s="69">
        <f>IF(A46="","",INDEX('Tính'!$C$86:$V$130,$CD$7,$BJ$12))</f>
        <v/>
      </c>
      <c r="C46" s="69">
        <f>IF(A46="","",INDEX('Tính'!$C$134:$V$178,$CD$7,$BJ$12))</f>
        <v/>
      </c>
      <c r="D46" s="70">
        <f>IF(A46="","",INDEX('Tính'!$C$182:$V$226,$CD$7,$BJ$12))</f>
        <v/>
      </c>
      <c r="F46" s="68">
        <f>IF(OR($CD$8="",$BJ$12=""),"",INDEX($BA$3:$BA$22,$BJ$12))</f>
        <v/>
      </c>
      <c r="G46" s="69">
        <f>IF(F46="","",INDEX('Tính'!$C$86:$V$130,$CD$8,$BJ$12))</f>
        <v/>
      </c>
      <c r="H46" s="69">
        <f>IF(F46="","",INDEX('Tính'!$C$134:$V$178,$CD$8,$BJ$12))</f>
        <v/>
      </c>
      <c r="I46" s="70">
        <f>IF(F46="","",INDEX('Tính'!$C$182:$V$226,$CD$8,$BJ$12))</f>
        <v/>
      </c>
      <c r="K46" s="68">
        <f>IF(OR($CD$9="",$BJ$12=""),"",INDEX($BA$3:$BA$22,$BJ$12))</f>
        <v/>
      </c>
      <c r="L46" s="69">
        <f>IF(K46="","",INDEX('Tính'!$C$86:$V$130,$CD$9,$BJ$12))</f>
        <v/>
      </c>
      <c r="M46" s="69">
        <f>IF(K46="","",INDEX('Tính'!$C$134:$V$178,$CD$9,$BJ$12))</f>
        <v/>
      </c>
      <c r="N46" s="70">
        <f>IF(K46="","",INDEX('Tính'!$C$182:$V$226,$CD$9,$BJ$12))</f>
        <v/>
      </c>
      <c r="P46" s="68">
        <f>IF(OR($CD$10="",$BJ$12=""),"",INDEX($BA$3:$BA$22,$BJ$12))</f>
        <v/>
      </c>
      <c r="Q46" s="69">
        <f>IF(P46="","",INDEX('Tính'!$C$86:$V$130,$CD$10,$BJ$12))</f>
        <v/>
      </c>
      <c r="R46" s="69">
        <f>IF(P46="","",INDEX('Tính'!$C$134:$V$178,$CD$10,$BJ$12))</f>
        <v/>
      </c>
      <c r="S46" s="70">
        <f>IF(P46="","",INDEX('Tính'!$C$182:$V$226,$CD$10,$BJ$12))</f>
        <v/>
      </c>
      <c r="CA46" t="n">
        <v>44</v>
      </c>
      <c r="CB46">
        <f>IF('Tính'!B82="",0,IF(OR($AZ$1=0,'Tính'!D82=$AZ$1),1,0))</f>
        <v/>
      </c>
      <c r="CC46">
        <f>IF(CB46=1,'Tính'!M82+1+(45-44)/1000000,-1)</f>
        <v/>
      </c>
      <c r="CD46">
        <f>IF(LARGE($CC$3:$CC$47,44)&lt;0,"",MATCH(LARGE($CC$3:$CC$47,44),$CC$3:$CC$47,0))</f>
        <v/>
      </c>
    </row>
    <row r="47">
      <c r="A47" s="68">
        <f>IF(OR($CD$7="",$BJ$13=""),"",INDEX($BA$3:$BA$22,$BJ$13))</f>
        <v/>
      </c>
      <c r="B47" s="69">
        <f>IF(A47="","",INDEX('Tính'!$C$86:$V$130,$CD$7,$BJ$13))</f>
        <v/>
      </c>
      <c r="C47" s="69">
        <f>IF(A47="","",INDEX('Tính'!$C$134:$V$178,$CD$7,$BJ$13))</f>
        <v/>
      </c>
      <c r="D47" s="70">
        <f>IF(A47="","",INDEX('Tính'!$C$182:$V$226,$CD$7,$BJ$13))</f>
        <v/>
      </c>
      <c r="F47" s="68">
        <f>IF(OR($CD$8="",$BJ$13=""),"",INDEX($BA$3:$BA$22,$BJ$13))</f>
        <v/>
      </c>
      <c r="G47" s="69">
        <f>IF(F47="","",INDEX('Tính'!$C$86:$V$130,$CD$8,$BJ$13))</f>
        <v/>
      </c>
      <c r="H47" s="69">
        <f>IF(F47="","",INDEX('Tính'!$C$134:$V$178,$CD$8,$BJ$13))</f>
        <v/>
      </c>
      <c r="I47" s="70">
        <f>IF(F47="","",INDEX('Tính'!$C$182:$V$226,$CD$8,$BJ$13))</f>
        <v/>
      </c>
      <c r="K47" s="68">
        <f>IF(OR($CD$9="",$BJ$13=""),"",INDEX($BA$3:$BA$22,$BJ$13))</f>
        <v/>
      </c>
      <c r="L47" s="69">
        <f>IF(K47="","",INDEX('Tính'!$C$86:$V$130,$CD$9,$BJ$13))</f>
        <v/>
      </c>
      <c r="M47" s="69">
        <f>IF(K47="","",INDEX('Tính'!$C$134:$V$178,$CD$9,$BJ$13))</f>
        <v/>
      </c>
      <c r="N47" s="70">
        <f>IF(K47="","",INDEX('Tính'!$C$182:$V$226,$CD$9,$BJ$13))</f>
        <v/>
      </c>
      <c r="P47" s="68">
        <f>IF(OR($CD$10="",$BJ$13=""),"",INDEX($BA$3:$BA$22,$BJ$13))</f>
        <v/>
      </c>
      <c r="Q47" s="69">
        <f>IF(P47="","",INDEX('Tính'!$C$86:$V$130,$CD$10,$BJ$13))</f>
        <v/>
      </c>
      <c r="R47" s="69">
        <f>IF(P47="","",INDEX('Tính'!$C$134:$V$178,$CD$10,$BJ$13))</f>
        <v/>
      </c>
      <c r="S47" s="70">
        <f>IF(P47="","",INDEX('Tính'!$C$182:$V$226,$CD$10,$BJ$13))</f>
        <v/>
      </c>
      <c r="CA47" t="n">
        <v>45</v>
      </c>
      <c r="CB47">
        <f>IF('Tính'!B83="",0,IF(OR($AZ$1=0,'Tính'!D83=$AZ$1),1,0))</f>
        <v/>
      </c>
      <c r="CC47">
        <f>IF(CB47=1,'Tính'!M83+1+(45-45)/1000000,-1)</f>
        <v/>
      </c>
      <c r="CD47">
        <f>IF(LARGE($CC$3:$CC$47,45)&lt;0,"",MATCH(LARGE($CC$3:$CC$47,45),$CC$3:$CC$47,0))</f>
        <v/>
      </c>
    </row>
    <row r="48">
      <c r="A48" s="68">
        <f>IF(OR($CD$7="",$BJ$14=""),"",INDEX($BA$3:$BA$22,$BJ$14))</f>
        <v/>
      </c>
      <c r="B48" s="69">
        <f>IF(A48="","",INDEX('Tính'!$C$86:$V$130,$CD$7,$BJ$14))</f>
        <v/>
      </c>
      <c r="C48" s="69">
        <f>IF(A48="","",INDEX('Tính'!$C$134:$V$178,$CD$7,$BJ$14))</f>
        <v/>
      </c>
      <c r="D48" s="70">
        <f>IF(A48="","",INDEX('Tính'!$C$182:$V$226,$CD$7,$BJ$14))</f>
        <v/>
      </c>
      <c r="F48" s="68">
        <f>IF(OR($CD$8="",$BJ$14=""),"",INDEX($BA$3:$BA$22,$BJ$14))</f>
        <v/>
      </c>
      <c r="G48" s="69">
        <f>IF(F48="","",INDEX('Tính'!$C$86:$V$130,$CD$8,$BJ$14))</f>
        <v/>
      </c>
      <c r="H48" s="69">
        <f>IF(F48="","",INDEX('Tính'!$C$134:$V$178,$CD$8,$BJ$14))</f>
        <v/>
      </c>
      <c r="I48" s="70">
        <f>IF(F48="","",INDEX('Tính'!$C$182:$V$226,$CD$8,$BJ$14))</f>
        <v/>
      </c>
      <c r="K48" s="68">
        <f>IF(OR($CD$9="",$BJ$14=""),"",INDEX($BA$3:$BA$22,$BJ$14))</f>
        <v/>
      </c>
      <c r="L48" s="69">
        <f>IF(K48="","",INDEX('Tính'!$C$86:$V$130,$CD$9,$BJ$14))</f>
        <v/>
      </c>
      <c r="M48" s="69">
        <f>IF(K48="","",INDEX('Tính'!$C$134:$V$178,$CD$9,$BJ$14))</f>
        <v/>
      </c>
      <c r="N48" s="70">
        <f>IF(K48="","",INDEX('Tính'!$C$182:$V$226,$CD$9,$BJ$14))</f>
        <v/>
      </c>
      <c r="P48" s="68">
        <f>IF(OR($CD$10="",$BJ$14=""),"",INDEX($BA$3:$BA$22,$BJ$14))</f>
        <v/>
      </c>
      <c r="Q48" s="69">
        <f>IF(P48="","",INDEX('Tính'!$C$86:$V$130,$CD$10,$BJ$14))</f>
        <v/>
      </c>
      <c r="R48" s="69">
        <f>IF(P48="","",INDEX('Tính'!$C$134:$V$178,$CD$10,$BJ$14))</f>
        <v/>
      </c>
      <c r="S48" s="70">
        <f>IF(P48="","",INDEX('Tính'!$C$182:$V$226,$CD$10,$BJ$14))</f>
        <v/>
      </c>
    </row>
    <row r="49">
      <c r="A49" s="68">
        <f>IF(OR($CD$7="",$BJ$15=""),"",INDEX($BA$3:$BA$22,$BJ$15))</f>
        <v/>
      </c>
      <c r="B49" s="69">
        <f>IF(A49="","",INDEX('Tính'!$C$86:$V$130,$CD$7,$BJ$15))</f>
        <v/>
      </c>
      <c r="C49" s="69">
        <f>IF(A49="","",INDEX('Tính'!$C$134:$V$178,$CD$7,$BJ$15))</f>
        <v/>
      </c>
      <c r="D49" s="70">
        <f>IF(A49="","",INDEX('Tính'!$C$182:$V$226,$CD$7,$BJ$15))</f>
        <v/>
      </c>
      <c r="F49" s="68">
        <f>IF(OR($CD$8="",$BJ$15=""),"",INDEX($BA$3:$BA$22,$BJ$15))</f>
        <v/>
      </c>
      <c r="G49" s="69">
        <f>IF(F49="","",INDEX('Tính'!$C$86:$V$130,$CD$8,$BJ$15))</f>
        <v/>
      </c>
      <c r="H49" s="69">
        <f>IF(F49="","",INDEX('Tính'!$C$134:$V$178,$CD$8,$BJ$15))</f>
        <v/>
      </c>
      <c r="I49" s="70">
        <f>IF(F49="","",INDEX('Tính'!$C$182:$V$226,$CD$8,$BJ$15))</f>
        <v/>
      </c>
      <c r="K49" s="68">
        <f>IF(OR($CD$9="",$BJ$15=""),"",INDEX($BA$3:$BA$22,$BJ$15))</f>
        <v/>
      </c>
      <c r="L49" s="69">
        <f>IF(K49="","",INDEX('Tính'!$C$86:$V$130,$CD$9,$BJ$15))</f>
        <v/>
      </c>
      <c r="M49" s="69">
        <f>IF(K49="","",INDEX('Tính'!$C$134:$V$178,$CD$9,$BJ$15))</f>
        <v/>
      </c>
      <c r="N49" s="70">
        <f>IF(K49="","",INDEX('Tính'!$C$182:$V$226,$CD$9,$BJ$15))</f>
        <v/>
      </c>
      <c r="P49" s="68">
        <f>IF(OR($CD$10="",$BJ$15=""),"",INDEX($BA$3:$BA$22,$BJ$15))</f>
        <v/>
      </c>
      <c r="Q49" s="69">
        <f>IF(P49="","",INDEX('Tính'!$C$86:$V$130,$CD$10,$BJ$15))</f>
        <v/>
      </c>
      <c r="R49" s="69">
        <f>IF(P49="","",INDEX('Tính'!$C$134:$V$178,$CD$10,$BJ$15))</f>
        <v/>
      </c>
      <c r="S49" s="70">
        <f>IF(P49="","",INDEX('Tính'!$C$182:$V$226,$CD$10,$BJ$15))</f>
        <v/>
      </c>
    </row>
    <row r="50">
      <c r="A50" s="68">
        <f>IF(OR($CD$7="",$BJ$16=""),"",INDEX($BA$3:$BA$22,$BJ$16))</f>
        <v/>
      </c>
      <c r="B50" s="69">
        <f>IF(A50="","",INDEX('Tính'!$C$86:$V$130,$CD$7,$BJ$16))</f>
        <v/>
      </c>
      <c r="C50" s="69">
        <f>IF(A50="","",INDEX('Tính'!$C$134:$V$178,$CD$7,$BJ$16))</f>
        <v/>
      </c>
      <c r="D50" s="70">
        <f>IF(A50="","",INDEX('Tính'!$C$182:$V$226,$CD$7,$BJ$16))</f>
        <v/>
      </c>
      <c r="F50" s="68">
        <f>IF(OR($CD$8="",$BJ$16=""),"",INDEX($BA$3:$BA$22,$BJ$16))</f>
        <v/>
      </c>
      <c r="G50" s="69">
        <f>IF(F50="","",INDEX('Tính'!$C$86:$V$130,$CD$8,$BJ$16))</f>
        <v/>
      </c>
      <c r="H50" s="69">
        <f>IF(F50="","",INDEX('Tính'!$C$134:$V$178,$CD$8,$BJ$16))</f>
        <v/>
      </c>
      <c r="I50" s="70">
        <f>IF(F50="","",INDEX('Tính'!$C$182:$V$226,$CD$8,$BJ$16))</f>
        <v/>
      </c>
      <c r="K50" s="68">
        <f>IF(OR($CD$9="",$BJ$16=""),"",INDEX($BA$3:$BA$22,$BJ$16))</f>
        <v/>
      </c>
      <c r="L50" s="69">
        <f>IF(K50="","",INDEX('Tính'!$C$86:$V$130,$CD$9,$BJ$16))</f>
        <v/>
      </c>
      <c r="M50" s="69">
        <f>IF(K50="","",INDEX('Tính'!$C$134:$V$178,$CD$9,$BJ$16))</f>
        <v/>
      </c>
      <c r="N50" s="70">
        <f>IF(K50="","",INDEX('Tính'!$C$182:$V$226,$CD$9,$BJ$16))</f>
        <v/>
      </c>
      <c r="P50" s="68">
        <f>IF(OR($CD$10="",$BJ$16=""),"",INDEX($BA$3:$BA$22,$BJ$16))</f>
        <v/>
      </c>
      <c r="Q50" s="69">
        <f>IF(P50="","",INDEX('Tính'!$C$86:$V$130,$CD$10,$BJ$16))</f>
        <v/>
      </c>
      <c r="R50" s="69">
        <f>IF(P50="","",INDEX('Tính'!$C$134:$V$178,$CD$10,$BJ$16))</f>
        <v/>
      </c>
      <c r="S50" s="70">
        <f>IF(P50="","",INDEX('Tính'!$C$182:$V$226,$CD$10,$BJ$16))</f>
        <v/>
      </c>
    </row>
    <row r="51">
      <c r="A51" s="68">
        <f>IF(OR($CD$7="",$BJ$17=""),"",INDEX($BA$3:$BA$22,$BJ$17))</f>
        <v/>
      </c>
      <c r="B51" s="69">
        <f>IF(A51="","",INDEX('Tính'!$C$86:$V$130,$CD$7,$BJ$17))</f>
        <v/>
      </c>
      <c r="C51" s="69">
        <f>IF(A51="","",INDEX('Tính'!$C$134:$V$178,$CD$7,$BJ$17))</f>
        <v/>
      </c>
      <c r="D51" s="70">
        <f>IF(A51="","",INDEX('Tính'!$C$182:$V$226,$CD$7,$BJ$17))</f>
        <v/>
      </c>
      <c r="F51" s="68">
        <f>IF(OR($CD$8="",$BJ$17=""),"",INDEX($BA$3:$BA$22,$BJ$17))</f>
        <v/>
      </c>
      <c r="G51" s="69">
        <f>IF(F51="","",INDEX('Tính'!$C$86:$V$130,$CD$8,$BJ$17))</f>
        <v/>
      </c>
      <c r="H51" s="69">
        <f>IF(F51="","",INDEX('Tính'!$C$134:$V$178,$CD$8,$BJ$17))</f>
        <v/>
      </c>
      <c r="I51" s="70">
        <f>IF(F51="","",INDEX('Tính'!$C$182:$V$226,$CD$8,$BJ$17))</f>
        <v/>
      </c>
      <c r="K51" s="68">
        <f>IF(OR($CD$9="",$BJ$17=""),"",INDEX($BA$3:$BA$22,$BJ$17))</f>
        <v/>
      </c>
      <c r="L51" s="69">
        <f>IF(K51="","",INDEX('Tính'!$C$86:$V$130,$CD$9,$BJ$17))</f>
        <v/>
      </c>
      <c r="M51" s="69">
        <f>IF(K51="","",INDEX('Tính'!$C$134:$V$178,$CD$9,$BJ$17))</f>
        <v/>
      </c>
      <c r="N51" s="70">
        <f>IF(K51="","",INDEX('Tính'!$C$182:$V$226,$CD$9,$BJ$17))</f>
        <v/>
      </c>
      <c r="P51" s="68">
        <f>IF(OR($CD$10="",$BJ$17=""),"",INDEX($BA$3:$BA$22,$BJ$17))</f>
        <v/>
      </c>
      <c r="Q51" s="69">
        <f>IF(P51="","",INDEX('Tính'!$C$86:$V$130,$CD$10,$BJ$17))</f>
        <v/>
      </c>
      <c r="R51" s="69">
        <f>IF(P51="","",INDEX('Tính'!$C$134:$V$178,$CD$10,$BJ$17))</f>
        <v/>
      </c>
      <c r="S51" s="70">
        <f>IF(P51="","",INDEX('Tính'!$C$182:$V$226,$CD$10,$BJ$17))</f>
        <v/>
      </c>
    </row>
    <row r="52">
      <c r="A52" s="68">
        <f>IF(OR($CD$7="",$BJ$18=""),"",INDEX($BA$3:$BA$22,$BJ$18))</f>
        <v/>
      </c>
      <c r="B52" s="69">
        <f>IF(A52="","",INDEX('Tính'!$C$86:$V$130,$CD$7,$BJ$18))</f>
        <v/>
      </c>
      <c r="C52" s="69">
        <f>IF(A52="","",INDEX('Tính'!$C$134:$V$178,$CD$7,$BJ$18))</f>
        <v/>
      </c>
      <c r="D52" s="70">
        <f>IF(A52="","",INDEX('Tính'!$C$182:$V$226,$CD$7,$BJ$18))</f>
        <v/>
      </c>
      <c r="F52" s="68">
        <f>IF(OR($CD$8="",$BJ$18=""),"",INDEX($BA$3:$BA$22,$BJ$18))</f>
        <v/>
      </c>
      <c r="G52" s="69">
        <f>IF(F52="","",INDEX('Tính'!$C$86:$V$130,$CD$8,$BJ$18))</f>
        <v/>
      </c>
      <c r="H52" s="69">
        <f>IF(F52="","",INDEX('Tính'!$C$134:$V$178,$CD$8,$BJ$18))</f>
        <v/>
      </c>
      <c r="I52" s="70">
        <f>IF(F52="","",INDEX('Tính'!$C$182:$V$226,$CD$8,$BJ$18))</f>
        <v/>
      </c>
      <c r="K52" s="68">
        <f>IF(OR($CD$9="",$BJ$18=""),"",INDEX($BA$3:$BA$22,$BJ$18))</f>
        <v/>
      </c>
      <c r="L52" s="69">
        <f>IF(K52="","",INDEX('Tính'!$C$86:$V$130,$CD$9,$BJ$18))</f>
        <v/>
      </c>
      <c r="M52" s="69">
        <f>IF(K52="","",INDEX('Tính'!$C$134:$V$178,$CD$9,$BJ$18))</f>
        <v/>
      </c>
      <c r="N52" s="70">
        <f>IF(K52="","",INDEX('Tính'!$C$182:$V$226,$CD$9,$BJ$18))</f>
        <v/>
      </c>
      <c r="P52" s="68">
        <f>IF(OR($CD$10="",$BJ$18=""),"",INDEX($BA$3:$BA$22,$BJ$18))</f>
        <v/>
      </c>
      <c r="Q52" s="69">
        <f>IF(P52="","",INDEX('Tính'!$C$86:$V$130,$CD$10,$BJ$18))</f>
        <v/>
      </c>
      <c r="R52" s="69">
        <f>IF(P52="","",INDEX('Tính'!$C$134:$V$178,$CD$10,$BJ$18))</f>
        <v/>
      </c>
      <c r="S52" s="70">
        <f>IF(P52="","",INDEX('Tính'!$C$182:$V$226,$CD$10,$BJ$18))</f>
        <v/>
      </c>
    </row>
    <row r="53">
      <c r="A53" s="68">
        <f>IF(OR($CD$7="",$BJ$19=""),"",INDEX($BA$3:$BA$22,$BJ$19))</f>
        <v/>
      </c>
      <c r="B53" s="69">
        <f>IF(A53="","",INDEX('Tính'!$C$86:$V$130,$CD$7,$BJ$19))</f>
        <v/>
      </c>
      <c r="C53" s="69">
        <f>IF(A53="","",INDEX('Tính'!$C$134:$V$178,$CD$7,$BJ$19))</f>
        <v/>
      </c>
      <c r="D53" s="70">
        <f>IF(A53="","",INDEX('Tính'!$C$182:$V$226,$CD$7,$BJ$19))</f>
        <v/>
      </c>
      <c r="F53" s="68">
        <f>IF(OR($CD$8="",$BJ$19=""),"",INDEX($BA$3:$BA$22,$BJ$19))</f>
        <v/>
      </c>
      <c r="G53" s="69">
        <f>IF(F53="","",INDEX('Tính'!$C$86:$V$130,$CD$8,$BJ$19))</f>
        <v/>
      </c>
      <c r="H53" s="69">
        <f>IF(F53="","",INDEX('Tính'!$C$134:$V$178,$CD$8,$BJ$19))</f>
        <v/>
      </c>
      <c r="I53" s="70">
        <f>IF(F53="","",INDEX('Tính'!$C$182:$V$226,$CD$8,$BJ$19))</f>
        <v/>
      </c>
      <c r="K53" s="68">
        <f>IF(OR($CD$9="",$BJ$19=""),"",INDEX($BA$3:$BA$22,$BJ$19))</f>
        <v/>
      </c>
      <c r="L53" s="69">
        <f>IF(K53="","",INDEX('Tính'!$C$86:$V$130,$CD$9,$BJ$19))</f>
        <v/>
      </c>
      <c r="M53" s="69">
        <f>IF(K53="","",INDEX('Tính'!$C$134:$V$178,$CD$9,$BJ$19))</f>
        <v/>
      </c>
      <c r="N53" s="70">
        <f>IF(K53="","",INDEX('Tính'!$C$182:$V$226,$CD$9,$BJ$19))</f>
        <v/>
      </c>
      <c r="P53" s="68">
        <f>IF(OR($CD$10="",$BJ$19=""),"",INDEX($BA$3:$BA$22,$BJ$19))</f>
        <v/>
      </c>
      <c r="Q53" s="69">
        <f>IF(P53="","",INDEX('Tính'!$C$86:$V$130,$CD$10,$BJ$19))</f>
        <v/>
      </c>
      <c r="R53" s="69">
        <f>IF(P53="","",INDEX('Tính'!$C$134:$V$178,$CD$10,$BJ$19))</f>
        <v/>
      </c>
      <c r="S53" s="70">
        <f>IF(P53="","",INDEX('Tính'!$C$182:$V$226,$CD$10,$BJ$19))</f>
        <v/>
      </c>
    </row>
    <row r="54">
      <c r="A54" s="68">
        <f>IF(OR($CD$7="",$BJ$20=""),"",INDEX($BA$3:$BA$22,$BJ$20))</f>
        <v/>
      </c>
      <c r="B54" s="69">
        <f>IF(A54="","",INDEX('Tính'!$C$86:$V$130,$CD$7,$BJ$20))</f>
        <v/>
      </c>
      <c r="C54" s="69">
        <f>IF(A54="","",INDEX('Tính'!$C$134:$V$178,$CD$7,$BJ$20))</f>
        <v/>
      </c>
      <c r="D54" s="70">
        <f>IF(A54="","",INDEX('Tính'!$C$182:$V$226,$CD$7,$BJ$20))</f>
        <v/>
      </c>
      <c r="F54" s="68">
        <f>IF(OR($CD$8="",$BJ$20=""),"",INDEX($BA$3:$BA$22,$BJ$20))</f>
        <v/>
      </c>
      <c r="G54" s="69">
        <f>IF(F54="","",INDEX('Tính'!$C$86:$V$130,$CD$8,$BJ$20))</f>
        <v/>
      </c>
      <c r="H54" s="69">
        <f>IF(F54="","",INDEX('Tính'!$C$134:$V$178,$CD$8,$BJ$20))</f>
        <v/>
      </c>
      <c r="I54" s="70">
        <f>IF(F54="","",INDEX('Tính'!$C$182:$V$226,$CD$8,$BJ$20))</f>
        <v/>
      </c>
      <c r="K54" s="68">
        <f>IF(OR($CD$9="",$BJ$20=""),"",INDEX($BA$3:$BA$22,$BJ$20))</f>
        <v/>
      </c>
      <c r="L54" s="69">
        <f>IF(K54="","",INDEX('Tính'!$C$86:$V$130,$CD$9,$BJ$20))</f>
        <v/>
      </c>
      <c r="M54" s="69">
        <f>IF(K54="","",INDEX('Tính'!$C$134:$V$178,$CD$9,$BJ$20))</f>
        <v/>
      </c>
      <c r="N54" s="70">
        <f>IF(K54="","",INDEX('Tính'!$C$182:$V$226,$CD$9,$BJ$20))</f>
        <v/>
      </c>
      <c r="P54" s="68">
        <f>IF(OR($CD$10="",$BJ$20=""),"",INDEX($BA$3:$BA$22,$BJ$20))</f>
        <v/>
      </c>
      <c r="Q54" s="69">
        <f>IF(P54="","",INDEX('Tính'!$C$86:$V$130,$CD$10,$BJ$20))</f>
        <v/>
      </c>
      <c r="R54" s="69">
        <f>IF(P54="","",INDEX('Tính'!$C$134:$V$178,$CD$10,$BJ$20))</f>
        <v/>
      </c>
      <c r="S54" s="70">
        <f>IF(P54="","",INDEX('Tính'!$C$182:$V$226,$CD$10,$BJ$20))</f>
        <v/>
      </c>
    </row>
    <row r="55">
      <c r="A55" s="68">
        <f>IF(OR($CD$7="",$BJ$21=""),"",INDEX($BA$3:$BA$22,$BJ$21))</f>
        <v/>
      </c>
      <c r="B55" s="69">
        <f>IF(A55="","",INDEX('Tính'!$C$86:$V$130,$CD$7,$BJ$21))</f>
        <v/>
      </c>
      <c r="C55" s="69">
        <f>IF(A55="","",INDEX('Tính'!$C$134:$V$178,$CD$7,$BJ$21))</f>
        <v/>
      </c>
      <c r="D55" s="70">
        <f>IF(A55="","",INDEX('Tính'!$C$182:$V$226,$CD$7,$BJ$21))</f>
        <v/>
      </c>
      <c r="F55" s="68">
        <f>IF(OR($CD$8="",$BJ$21=""),"",INDEX($BA$3:$BA$22,$BJ$21))</f>
        <v/>
      </c>
      <c r="G55" s="69">
        <f>IF(F55="","",INDEX('Tính'!$C$86:$V$130,$CD$8,$BJ$21))</f>
        <v/>
      </c>
      <c r="H55" s="69">
        <f>IF(F55="","",INDEX('Tính'!$C$134:$V$178,$CD$8,$BJ$21))</f>
        <v/>
      </c>
      <c r="I55" s="70">
        <f>IF(F55="","",INDEX('Tính'!$C$182:$V$226,$CD$8,$BJ$21))</f>
        <v/>
      </c>
      <c r="K55" s="68">
        <f>IF(OR($CD$9="",$BJ$21=""),"",INDEX($BA$3:$BA$22,$BJ$21))</f>
        <v/>
      </c>
      <c r="L55" s="69">
        <f>IF(K55="","",INDEX('Tính'!$C$86:$V$130,$CD$9,$BJ$21))</f>
        <v/>
      </c>
      <c r="M55" s="69">
        <f>IF(K55="","",INDEX('Tính'!$C$134:$V$178,$CD$9,$BJ$21))</f>
        <v/>
      </c>
      <c r="N55" s="70">
        <f>IF(K55="","",INDEX('Tính'!$C$182:$V$226,$CD$9,$BJ$21))</f>
        <v/>
      </c>
      <c r="P55" s="68">
        <f>IF(OR($CD$10="",$BJ$21=""),"",INDEX($BA$3:$BA$22,$BJ$21))</f>
        <v/>
      </c>
      <c r="Q55" s="69">
        <f>IF(P55="","",INDEX('Tính'!$C$86:$V$130,$CD$10,$BJ$21))</f>
        <v/>
      </c>
      <c r="R55" s="69">
        <f>IF(P55="","",INDEX('Tính'!$C$134:$V$178,$CD$10,$BJ$21))</f>
        <v/>
      </c>
      <c r="S55" s="70">
        <f>IF(P55="","",INDEX('Tính'!$C$182:$V$226,$CD$10,$BJ$21))</f>
        <v/>
      </c>
    </row>
    <row r="56">
      <c r="A56" s="68">
        <f>IF(OR($CD$7="",$BJ$22=""),"",INDEX($BA$3:$BA$22,$BJ$22))</f>
        <v/>
      </c>
      <c r="B56" s="69">
        <f>IF(A56="","",INDEX('Tính'!$C$86:$V$130,$CD$7,$BJ$22))</f>
        <v/>
      </c>
      <c r="C56" s="69">
        <f>IF(A56="","",INDEX('Tính'!$C$134:$V$178,$CD$7,$BJ$22))</f>
        <v/>
      </c>
      <c r="D56" s="70">
        <f>IF(A56="","",INDEX('Tính'!$C$182:$V$226,$CD$7,$BJ$22))</f>
        <v/>
      </c>
      <c r="F56" s="68">
        <f>IF(OR($CD$8="",$BJ$22=""),"",INDEX($BA$3:$BA$22,$BJ$22))</f>
        <v/>
      </c>
      <c r="G56" s="69">
        <f>IF(F56="","",INDEX('Tính'!$C$86:$V$130,$CD$8,$BJ$22))</f>
        <v/>
      </c>
      <c r="H56" s="69">
        <f>IF(F56="","",INDEX('Tính'!$C$134:$V$178,$CD$8,$BJ$22))</f>
        <v/>
      </c>
      <c r="I56" s="70">
        <f>IF(F56="","",INDEX('Tính'!$C$182:$V$226,$CD$8,$BJ$22))</f>
        <v/>
      </c>
      <c r="K56" s="68">
        <f>IF(OR($CD$9="",$BJ$22=""),"",INDEX($BA$3:$BA$22,$BJ$22))</f>
        <v/>
      </c>
      <c r="L56" s="69">
        <f>IF(K56="","",INDEX('Tính'!$C$86:$V$130,$CD$9,$BJ$22))</f>
        <v/>
      </c>
      <c r="M56" s="69">
        <f>IF(K56="","",INDEX('Tính'!$C$134:$V$178,$CD$9,$BJ$22))</f>
        <v/>
      </c>
      <c r="N56" s="70">
        <f>IF(K56="","",INDEX('Tính'!$C$182:$V$226,$CD$9,$BJ$22))</f>
        <v/>
      </c>
      <c r="P56" s="68">
        <f>IF(OR($CD$10="",$BJ$22=""),"",INDEX($BA$3:$BA$22,$BJ$22))</f>
        <v/>
      </c>
      <c r="Q56" s="69">
        <f>IF(P56="","",INDEX('Tính'!$C$86:$V$130,$CD$10,$BJ$22))</f>
        <v/>
      </c>
      <c r="R56" s="69">
        <f>IF(P56="","",INDEX('Tính'!$C$134:$V$178,$CD$10,$BJ$22))</f>
        <v/>
      </c>
      <c r="S56" s="70">
        <f>IF(P56="","",INDEX('Tính'!$C$182:$V$226,$CD$10,$BJ$22))</f>
        <v/>
      </c>
    </row>
    <row r="58">
      <c r="A58" s="62">
        <f>IF($CD$11="","",9&amp;". "&amp;IF($CD$11="","",INDEX('Tính'!$F$39:$F$83,$CD$11))&amp;" · "&amp;IF($CD$11="","",INDEX('Tính'!$O$39:$O$83,$CD$11)))</f>
        <v/>
      </c>
      <c r="F58" s="62">
        <f>IF($CD$12="","",10&amp;". "&amp;IF($CD$12="","",INDEX('Tính'!$F$39:$F$83,$CD$12))&amp;" · "&amp;IF($CD$12="","",INDEX('Tính'!$O$39:$O$83,$CD$12)))</f>
        <v/>
      </c>
      <c r="K58" s="62">
        <f>IF($CD$13="","",11&amp;". "&amp;IF($CD$13="","",INDEX('Tính'!$F$39:$F$83,$CD$13))&amp;" · "&amp;IF($CD$13="","",INDEX('Tính'!$O$39:$O$83,$CD$13)))</f>
        <v/>
      </c>
      <c r="P58" s="62">
        <f>IF($CD$14="","",12&amp;". "&amp;IF($CD$14="","",INDEX('Tính'!$F$39:$F$83,$CD$14))&amp;" · "&amp;IF($CD$14="","",INDEX('Tính'!$O$39:$O$83,$CD$14)))</f>
        <v/>
      </c>
    </row>
    <row r="59">
      <c r="A59" s="63">
        <f>IF($CD$11="","","DỰ KIẾN")</f>
        <v/>
      </c>
      <c r="B59" s="63">
        <f>IF($CD$11="","","% HT")</f>
        <v/>
      </c>
      <c r="C59" s="63">
        <f>IF($CD$11="","","NH ĐẠT")</f>
        <v/>
      </c>
      <c r="D59" s="63">
        <f>IF($CD$11="","","HẠNG")</f>
        <v/>
      </c>
      <c r="F59" s="63">
        <f>IF($CD$12="","","DỰ KIẾN")</f>
        <v/>
      </c>
      <c r="G59" s="63">
        <f>IF($CD$12="","","% HT")</f>
        <v/>
      </c>
      <c r="H59" s="63">
        <f>IF($CD$12="","","NH ĐẠT")</f>
        <v/>
      </c>
      <c r="I59" s="63">
        <f>IF($CD$12="","","HẠNG")</f>
        <v/>
      </c>
      <c r="K59" s="63">
        <f>IF($CD$13="","","DỰ KIẾN")</f>
        <v/>
      </c>
      <c r="L59" s="63">
        <f>IF($CD$13="","","% HT")</f>
        <v/>
      </c>
      <c r="M59" s="63">
        <f>IF($CD$13="","","NH ĐẠT")</f>
        <v/>
      </c>
      <c r="N59" s="63">
        <f>IF($CD$13="","","HẠNG")</f>
        <v/>
      </c>
      <c r="P59" s="63">
        <f>IF($CD$14="","","DỰ KIẾN")</f>
        <v/>
      </c>
      <c r="Q59" s="63">
        <f>IF($CD$14="","","% HT")</f>
        <v/>
      </c>
      <c r="R59" s="63">
        <f>IF($CD$14="","","NH ĐẠT")</f>
        <v/>
      </c>
      <c r="S59" s="63">
        <f>IF($CD$14="","","HẠNG")</f>
        <v/>
      </c>
    </row>
    <row r="60">
      <c r="A60" s="64">
        <f>IF($CD$11="","",IF($CD$11="","",INDEX('Tính'!$M$39:$M$83,$CD$11)))</f>
        <v/>
      </c>
      <c r="B60" s="64">
        <f>IF($CD$11="","",IF($CD$11="","",INDEX('Tính'!$N$39:$N$83,$CD$11)))</f>
        <v/>
      </c>
      <c r="C60" s="65">
        <f>IF($CD$11="","",IF($CD$11="","",INDEX('Tính'!$P$39:$P$83,$CD$11))&amp;"/"&amp;COUNTIF($BA$3:$BA$22,"?*"))</f>
        <v/>
      </c>
      <c r="D60" s="65">
        <f>IF($CD$11="","",9)</f>
        <v/>
      </c>
      <c r="F60" s="64">
        <f>IF($CD$12="","",IF($CD$12="","",INDEX('Tính'!$M$39:$M$83,$CD$12)))</f>
        <v/>
      </c>
      <c r="G60" s="64">
        <f>IF($CD$12="","",IF($CD$12="","",INDEX('Tính'!$N$39:$N$83,$CD$12)))</f>
        <v/>
      </c>
      <c r="H60" s="65">
        <f>IF($CD$12="","",IF($CD$12="","",INDEX('Tính'!$P$39:$P$83,$CD$12))&amp;"/"&amp;COUNTIF($BA$3:$BA$22,"?*"))</f>
        <v/>
      </c>
      <c r="I60" s="65">
        <f>IF($CD$12="","",10)</f>
        <v/>
      </c>
      <c r="K60" s="64">
        <f>IF($CD$13="","",IF($CD$13="","",INDEX('Tính'!$M$39:$M$83,$CD$13)))</f>
        <v/>
      </c>
      <c r="L60" s="64">
        <f>IF($CD$13="","",IF($CD$13="","",INDEX('Tính'!$N$39:$N$83,$CD$13)))</f>
        <v/>
      </c>
      <c r="M60" s="65">
        <f>IF($CD$13="","",IF($CD$13="","",INDEX('Tính'!$P$39:$P$83,$CD$13))&amp;"/"&amp;COUNTIF($BA$3:$BA$22,"?*"))</f>
        <v/>
      </c>
      <c r="N60" s="65">
        <f>IF($CD$13="","",11)</f>
        <v/>
      </c>
      <c r="P60" s="64">
        <f>IF($CD$14="","",IF($CD$14="","",INDEX('Tính'!$M$39:$M$83,$CD$14)))</f>
        <v/>
      </c>
      <c r="Q60" s="64">
        <f>IF($CD$14="","",IF($CD$14="","",INDEX('Tính'!$N$39:$N$83,$CD$14)))</f>
        <v/>
      </c>
      <c r="R60" s="65">
        <f>IF($CD$14="","",IF($CD$14="","",INDEX('Tính'!$P$39:$P$83,$CD$14))&amp;"/"&amp;COUNTIF($BA$3:$BA$22,"?*"))</f>
        <v/>
      </c>
      <c r="S60" s="65">
        <f>IF($CD$14="","",12)</f>
        <v/>
      </c>
    </row>
    <row r="61">
      <c r="A61" s="63">
        <f>IF($CD$11="","","DT QĐ")</f>
        <v/>
      </c>
      <c r="B61" s="63">
        <f>IF($CD$11="","","MỤC TIÊU")</f>
        <v/>
      </c>
      <c r="C61" s="63">
        <f>IF($CD$11="","","HÔM NAY")</f>
        <v/>
      </c>
      <c r="D61" s="63" t="n"/>
      <c r="F61" s="63">
        <f>IF($CD$12="","","DT QĐ")</f>
        <v/>
      </c>
      <c r="G61" s="63">
        <f>IF($CD$12="","","MỤC TIÊU")</f>
        <v/>
      </c>
      <c r="H61" s="63">
        <f>IF($CD$12="","","HÔM NAY")</f>
        <v/>
      </c>
      <c r="I61" s="63" t="n"/>
      <c r="K61" s="63">
        <f>IF($CD$13="","","DT QĐ")</f>
        <v/>
      </c>
      <c r="L61" s="63">
        <f>IF($CD$13="","","MỤC TIÊU")</f>
        <v/>
      </c>
      <c r="M61" s="63">
        <f>IF($CD$13="","","HÔM NAY")</f>
        <v/>
      </c>
      <c r="N61" s="63" t="n"/>
      <c r="P61" s="63">
        <f>IF($CD$14="","","DT QĐ")</f>
        <v/>
      </c>
      <c r="Q61" s="63">
        <f>IF($CD$14="","","MỤC TIÊU")</f>
        <v/>
      </c>
      <c r="R61" s="63">
        <f>IF($CD$14="","","HÔM NAY")</f>
        <v/>
      </c>
      <c r="S61" s="63" t="n"/>
    </row>
    <row r="62">
      <c r="A62" s="66">
        <f>IF($CD$11="","",IF($CD$11="","",INDEX('Tính'!$K$39:$K$83,$CD$11)))</f>
        <v/>
      </c>
      <c r="B62" s="67">
        <f>IF($CD$11="","",IF($CD$11="","",INDEX('Tính'!$J$39:$J$83,$CD$11)))</f>
        <v/>
      </c>
      <c r="C62" s="66">
        <f>IF($CD$11="","",IF($CD$11="","",INDEX('Tính'!$L$39:$L$83,$CD$11)))</f>
        <v/>
      </c>
      <c r="D62" s="61">
        <f>IF($CD$11="","","")</f>
        <v/>
      </c>
      <c r="F62" s="66">
        <f>IF($CD$12="","",IF($CD$12="","",INDEX('Tính'!$K$39:$K$83,$CD$12)))</f>
        <v/>
      </c>
      <c r="G62" s="67">
        <f>IF($CD$12="","",IF($CD$12="","",INDEX('Tính'!$J$39:$J$83,$CD$12)))</f>
        <v/>
      </c>
      <c r="H62" s="66">
        <f>IF($CD$12="","",IF($CD$12="","",INDEX('Tính'!$L$39:$L$83,$CD$12)))</f>
        <v/>
      </c>
      <c r="I62" s="61">
        <f>IF($CD$12="","","")</f>
        <v/>
      </c>
      <c r="K62" s="66">
        <f>IF($CD$13="","",IF($CD$13="","",INDEX('Tính'!$K$39:$K$83,$CD$13)))</f>
        <v/>
      </c>
      <c r="L62" s="67">
        <f>IF($CD$13="","",IF($CD$13="","",INDEX('Tính'!$J$39:$J$83,$CD$13)))</f>
        <v/>
      </c>
      <c r="M62" s="66">
        <f>IF($CD$13="","",IF($CD$13="","",INDEX('Tính'!$L$39:$L$83,$CD$13)))</f>
        <v/>
      </c>
      <c r="N62" s="61">
        <f>IF($CD$13="","","")</f>
        <v/>
      </c>
      <c r="P62" s="66">
        <f>IF($CD$14="","",IF($CD$14="","",INDEX('Tính'!$K$39:$K$83,$CD$14)))</f>
        <v/>
      </c>
      <c r="Q62" s="67">
        <f>IF($CD$14="","",IF($CD$14="","",INDEX('Tính'!$J$39:$J$83,$CD$14)))</f>
        <v/>
      </c>
      <c r="R62" s="66">
        <f>IF($CD$14="","",IF($CD$14="","",INDEX('Tính'!$L$39:$L$83,$CD$14)))</f>
        <v/>
      </c>
      <c r="S62" s="61">
        <f>IF($CD$14="","","")</f>
        <v/>
      </c>
    </row>
    <row r="63">
      <c r="A63" s="57">
        <f>IF($CD$11="","","Nhóm hàng")</f>
        <v/>
      </c>
      <c r="B63" s="57">
        <f>IF($CD$11="","","TH")</f>
        <v/>
      </c>
      <c r="C63" s="57">
        <f>IF($CD$11="","","Target")</f>
        <v/>
      </c>
      <c r="D63" s="57">
        <f>IF($CD$11="","","DK")</f>
        <v/>
      </c>
      <c r="F63" s="57">
        <f>IF($CD$12="","","Nhóm hàng")</f>
        <v/>
      </c>
      <c r="G63" s="57">
        <f>IF($CD$12="","","TH")</f>
        <v/>
      </c>
      <c r="H63" s="57">
        <f>IF($CD$12="","","Target")</f>
        <v/>
      </c>
      <c r="I63" s="57">
        <f>IF($CD$12="","","DK")</f>
        <v/>
      </c>
      <c r="K63" s="57">
        <f>IF($CD$13="","","Nhóm hàng")</f>
        <v/>
      </c>
      <c r="L63" s="57">
        <f>IF($CD$13="","","TH")</f>
        <v/>
      </c>
      <c r="M63" s="57">
        <f>IF($CD$13="","","Target")</f>
        <v/>
      </c>
      <c r="N63" s="57">
        <f>IF($CD$13="","","DK")</f>
        <v/>
      </c>
      <c r="P63" s="57">
        <f>IF($CD$14="","","Nhóm hàng")</f>
        <v/>
      </c>
      <c r="Q63" s="57">
        <f>IF($CD$14="","","TH")</f>
        <v/>
      </c>
      <c r="R63" s="57">
        <f>IF($CD$14="","","Target")</f>
        <v/>
      </c>
      <c r="S63" s="57">
        <f>IF($CD$14="","","DK")</f>
        <v/>
      </c>
    </row>
    <row r="64">
      <c r="A64" s="68">
        <f>IF(OR($CD$11="",$BJ$3=""),"",INDEX($BA$3:$BA$22,$BJ$3))</f>
        <v/>
      </c>
      <c r="B64" s="69">
        <f>IF(A64="","",INDEX('Tính'!$C$86:$V$130,$CD$11,$BJ$3))</f>
        <v/>
      </c>
      <c r="C64" s="69">
        <f>IF(A64="","",INDEX('Tính'!$C$134:$V$178,$CD$11,$BJ$3))</f>
        <v/>
      </c>
      <c r="D64" s="70">
        <f>IF(A64="","",INDEX('Tính'!$C$182:$V$226,$CD$11,$BJ$3))</f>
        <v/>
      </c>
      <c r="F64" s="68">
        <f>IF(OR($CD$12="",$BJ$3=""),"",INDEX($BA$3:$BA$22,$BJ$3))</f>
        <v/>
      </c>
      <c r="G64" s="69">
        <f>IF(F64="","",INDEX('Tính'!$C$86:$V$130,$CD$12,$BJ$3))</f>
        <v/>
      </c>
      <c r="H64" s="69">
        <f>IF(F64="","",INDEX('Tính'!$C$134:$V$178,$CD$12,$BJ$3))</f>
        <v/>
      </c>
      <c r="I64" s="70">
        <f>IF(F64="","",INDEX('Tính'!$C$182:$V$226,$CD$12,$BJ$3))</f>
        <v/>
      </c>
      <c r="K64" s="68">
        <f>IF(OR($CD$13="",$BJ$3=""),"",INDEX($BA$3:$BA$22,$BJ$3))</f>
        <v/>
      </c>
      <c r="L64" s="69">
        <f>IF(K64="","",INDEX('Tính'!$C$86:$V$130,$CD$13,$BJ$3))</f>
        <v/>
      </c>
      <c r="M64" s="69">
        <f>IF(K64="","",INDEX('Tính'!$C$134:$V$178,$CD$13,$BJ$3))</f>
        <v/>
      </c>
      <c r="N64" s="70">
        <f>IF(K64="","",INDEX('Tính'!$C$182:$V$226,$CD$13,$BJ$3))</f>
        <v/>
      </c>
      <c r="P64" s="68">
        <f>IF(OR($CD$14="",$BJ$3=""),"",INDEX($BA$3:$BA$22,$BJ$3))</f>
        <v/>
      </c>
      <c r="Q64" s="69">
        <f>IF(P64="","",INDEX('Tính'!$C$86:$V$130,$CD$14,$BJ$3))</f>
        <v/>
      </c>
      <c r="R64" s="69">
        <f>IF(P64="","",INDEX('Tính'!$C$134:$V$178,$CD$14,$BJ$3))</f>
        <v/>
      </c>
      <c r="S64" s="70">
        <f>IF(P64="","",INDEX('Tính'!$C$182:$V$226,$CD$14,$BJ$3))</f>
        <v/>
      </c>
    </row>
    <row r="65">
      <c r="A65" s="68">
        <f>IF(OR($CD$11="",$BJ$4=""),"",INDEX($BA$3:$BA$22,$BJ$4))</f>
        <v/>
      </c>
      <c r="B65" s="69">
        <f>IF(A65="","",INDEX('Tính'!$C$86:$V$130,$CD$11,$BJ$4))</f>
        <v/>
      </c>
      <c r="C65" s="69">
        <f>IF(A65="","",INDEX('Tính'!$C$134:$V$178,$CD$11,$BJ$4))</f>
        <v/>
      </c>
      <c r="D65" s="70">
        <f>IF(A65="","",INDEX('Tính'!$C$182:$V$226,$CD$11,$BJ$4))</f>
        <v/>
      </c>
      <c r="F65" s="68">
        <f>IF(OR($CD$12="",$BJ$4=""),"",INDEX($BA$3:$BA$22,$BJ$4))</f>
        <v/>
      </c>
      <c r="G65" s="69">
        <f>IF(F65="","",INDEX('Tính'!$C$86:$V$130,$CD$12,$BJ$4))</f>
        <v/>
      </c>
      <c r="H65" s="69">
        <f>IF(F65="","",INDEX('Tính'!$C$134:$V$178,$CD$12,$BJ$4))</f>
        <v/>
      </c>
      <c r="I65" s="70">
        <f>IF(F65="","",INDEX('Tính'!$C$182:$V$226,$CD$12,$BJ$4))</f>
        <v/>
      </c>
      <c r="K65" s="68">
        <f>IF(OR($CD$13="",$BJ$4=""),"",INDEX($BA$3:$BA$22,$BJ$4))</f>
        <v/>
      </c>
      <c r="L65" s="69">
        <f>IF(K65="","",INDEX('Tính'!$C$86:$V$130,$CD$13,$BJ$4))</f>
        <v/>
      </c>
      <c r="M65" s="69">
        <f>IF(K65="","",INDEX('Tính'!$C$134:$V$178,$CD$13,$BJ$4))</f>
        <v/>
      </c>
      <c r="N65" s="70">
        <f>IF(K65="","",INDEX('Tính'!$C$182:$V$226,$CD$13,$BJ$4))</f>
        <v/>
      </c>
      <c r="P65" s="68">
        <f>IF(OR($CD$14="",$BJ$4=""),"",INDEX($BA$3:$BA$22,$BJ$4))</f>
        <v/>
      </c>
      <c r="Q65" s="69">
        <f>IF(P65="","",INDEX('Tính'!$C$86:$V$130,$CD$14,$BJ$4))</f>
        <v/>
      </c>
      <c r="R65" s="69">
        <f>IF(P65="","",INDEX('Tính'!$C$134:$V$178,$CD$14,$BJ$4))</f>
        <v/>
      </c>
      <c r="S65" s="70">
        <f>IF(P65="","",INDEX('Tính'!$C$182:$V$226,$CD$14,$BJ$4))</f>
        <v/>
      </c>
    </row>
    <row r="66">
      <c r="A66" s="68">
        <f>IF(OR($CD$11="",$BJ$5=""),"",INDEX($BA$3:$BA$22,$BJ$5))</f>
        <v/>
      </c>
      <c r="B66" s="69">
        <f>IF(A66="","",INDEX('Tính'!$C$86:$V$130,$CD$11,$BJ$5))</f>
        <v/>
      </c>
      <c r="C66" s="69">
        <f>IF(A66="","",INDEX('Tính'!$C$134:$V$178,$CD$11,$BJ$5))</f>
        <v/>
      </c>
      <c r="D66" s="70">
        <f>IF(A66="","",INDEX('Tính'!$C$182:$V$226,$CD$11,$BJ$5))</f>
        <v/>
      </c>
      <c r="F66" s="68">
        <f>IF(OR($CD$12="",$BJ$5=""),"",INDEX($BA$3:$BA$22,$BJ$5))</f>
        <v/>
      </c>
      <c r="G66" s="69">
        <f>IF(F66="","",INDEX('Tính'!$C$86:$V$130,$CD$12,$BJ$5))</f>
        <v/>
      </c>
      <c r="H66" s="69">
        <f>IF(F66="","",INDEX('Tính'!$C$134:$V$178,$CD$12,$BJ$5))</f>
        <v/>
      </c>
      <c r="I66" s="70">
        <f>IF(F66="","",INDEX('Tính'!$C$182:$V$226,$CD$12,$BJ$5))</f>
        <v/>
      </c>
      <c r="K66" s="68">
        <f>IF(OR($CD$13="",$BJ$5=""),"",INDEX($BA$3:$BA$22,$BJ$5))</f>
        <v/>
      </c>
      <c r="L66" s="69">
        <f>IF(K66="","",INDEX('Tính'!$C$86:$V$130,$CD$13,$BJ$5))</f>
        <v/>
      </c>
      <c r="M66" s="69">
        <f>IF(K66="","",INDEX('Tính'!$C$134:$V$178,$CD$13,$BJ$5))</f>
        <v/>
      </c>
      <c r="N66" s="70">
        <f>IF(K66="","",INDEX('Tính'!$C$182:$V$226,$CD$13,$BJ$5))</f>
        <v/>
      </c>
      <c r="P66" s="68">
        <f>IF(OR($CD$14="",$BJ$5=""),"",INDEX($BA$3:$BA$22,$BJ$5))</f>
        <v/>
      </c>
      <c r="Q66" s="69">
        <f>IF(P66="","",INDEX('Tính'!$C$86:$V$130,$CD$14,$BJ$5))</f>
        <v/>
      </c>
      <c r="R66" s="69">
        <f>IF(P66="","",INDEX('Tính'!$C$134:$V$178,$CD$14,$BJ$5))</f>
        <v/>
      </c>
      <c r="S66" s="70">
        <f>IF(P66="","",INDEX('Tính'!$C$182:$V$226,$CD$14,$BJ$5))</f>
        <v/>
      </c>
    </row>
    <row r="67">
      <c r="A67" s="68">
        <f>IF(OR($CD$11="",$BJ$6=""),"",INDEX($BA$3:$BA$22,$BJ$6))</f>
        <v/>
      </c>
      <c r="B67" s="69">
        <f>IF(A67="","",INDEX('Tính'!$C$86:$V$130,$CD$11,$BJ$6))</f>
        <v/>
      </c>
      <c r="C67" s="69">
        <f>IF(A67="","",INDEX('Tính'!$C$134:$V$178,$CD$11,$BJ$6))</f>
        <v/>
      </c>
      <c r="D67" s="70">
        <f>IF(A67="","",INDEX('Tính'!$C$182:$V$226,$CD$11,$BJ$6))</f>
        <v/>
      </c>
      <c r="F67" s="68">
        <f>IF(OR($CD$12="",$BJ$6=""),"",INDEX($BA$3:$BA$22,$BJ$6))</f>
        <v/>
      </c>
      <c r="G67" s="69">
        <f>IF(F67="","",INDEX('Tính'!$C$86:$V$130,$CD$12,$BJ$6))</f>
        <v/>
      </c>
      <c r="H67" s="69">
        <f>IF(F67="","",INDEX('Tính'!$C$134:$V$178,$CD$12,$BJ$6))</f>
        <v/>
      </c>
      <c r="I67" s="70">
        <f>IF(F67="","",INDEX('Tính'!$C$182:$V$226,$CD$12,$BJ$6))</f>
        <v/>
      </c>
      <c r="K67" s="68">
        <f>IF(OR($CD$13="",$BJ$6=""),"",INDEX($BA$3:$BA$22,$BJ$6))</f>
        <v/>
      </c>
      <c r="L67" s="69">
        <f>IF(K67="","",INDEX('Tính'!$C$86:$V$130,$CD$13,$BJ$6))</f>
        <v/>
      </c>
      <c r="M67" s="69">
        <f>IF(K67="","",INDEX('Tính'!$C$134:$V$178,$CD$13,$BJ$6))</f>
        <v/>
      </c>
      <c r="N67" s="70">
        <f>IF(K67="","",INDEX('Tính'!$C$182:$V$226,$CD$13,$BJ$6))</f>
        <v/>
      </c>
      <c r="P67" s="68">
        <f>IF(OR($CD$14="",$BJ$6=""),"",INDEX($BA$3:$BA$22,$BJ$6))</f>
        <v/>
      </c>
      <c r="Q67" s="69">
        <f>IF(P67="","",INDEX('Tính'!$C$86:$V$130,$CD$14,$BJ$6))</f>
        <v/>
      </c>
      <c r="R67" s="69">
        <f>IF(P67="","",INDEX('Tính'!$C$134:$V$178,$CD$14,$BJ$6))</f>
        <v/>
      </c>
      <c r="S67" s="70">
        <f>IF(P67="","",INDEX('Tính'!$C$182:$V$226,$CD$14,$BJ$6))</f>
        <v/>
      </c>
    </row>
    <row r="68">
      <c r="A68" s="68">
        <f>IF(OR($CD$11="",$BJ$7=""),"",INDEX($BA$3:$BA$22,$BJ$7))</f>
        <v/>
      </c>
      <c r="B68" s="69">
        <f>IF(A68="","",INDEX('Tính'!$C$86:$V$130,$CD$11,$BJ$7))</f>
        <v/>
      </c>
      <c r="C68" s="69">
        <f>IF(A68="","",INDEX('Tính'!$C$134:$V$178,$CD$11,$BJ$7))</f>
        <v/>
      </c>
      <c r="D68" s="70">
        <f>IF(A68="","",INDEX('Tính'!$C$182:$V$226,$CD$11,$BJ$7))</f>
        <v/>
      </c>
      <c r="F68" s="68">
        <f>IF(OR($CD$12="",$BJ$7=""),"",INDEX($BA$3:$BA$22,$BJ$7))</f>
        <v/>
      </c>
      <c r="G68" s="69">
        <f>IF(F68="","",INDEX('Tính'!$C$86:$V$130,$CD$12,$BJ$7))</f>
        <v/>
      </c>
      <c r="H68" s="69">
        <f>IF(F68="","",INDEX('Tính'!$C$134:$V$178,$CD$12,$BJ$7))</f>
        <v/>
      </c>
      <c r="I68" s="70">
        <f>IF(F68="","",INDEX('Tính'!$C$182:$V$226,$CD$12,$BJ$7))</f>
        <v/>
      </c>
      <c r="K68" s="68">
        <f>IF(OR($CD$13="",$BJ$7=""),"",INDEX($BA$3:$BA$22,$BJ$7))</f>
        <v/>
      </c>
      <c r="L68" s="69">
        <f>IF(K68="","",INDEX('Tính'!$C$86:$V$130,$CD$13,$BJ$7))</f>
        <v/>
      </c>
      <c r="M68" s="69">
        <f>IF(K68="","",INDEX('Tính'!$C$134:$V$178,$CD$13,$BJ$7))</f>
        <v/>
      </c>
      <c r="N68" s="70">
        <f>IF(K68="","",INDEX('Tính'!$C$182:$V$226,$CD$13,$BJ$7))</f>
        <v/>
      </c>
      <c r="P68" s="68">
        <f>IF(OR($CD$14="",$BJ$7=""),"",INDEX($BA$3:$BA$22,$BJ$7))</f>
        <v/>
      </c>
      <c r="Q68" s="69">
        <f>IF(P68="","",INDEX('Tính'!$C$86:$V$130,$CD$14,$BJ$7))</f>
        <v/>
      </c>
      <c r="R68" s="69">
        <f>IF(P68="","",INDEX('Tính'!$C$134:$V$178,$CD$14,$BJ$7))</f>
        <v/>
      </c>
      <c r="S68" s="70">
        <f>IF(P68="","",INDEX('Tính'!$C$182:$V$226,$CD$14,$BJ$7))</f>
        <v/>
      </c>
    </row>
    <row r="69">
      <c r="A69" s="68">
        <f>IF(OR($CD$11="",$BJ$8=""),"",INDEX($BA$3:$BA$22,$BJ$8))</f>
        <v/>
      </c>
      <c r="B69" s="69">
        <f>IF(A69="","",INDEX('Tính'!$C$86:$V$130,$CD$11,$BJ$8))</f>
        <v/>
      </c>
      <c r="C69" s="69">
        <f>IF(A69="","",INDEX('Tính'!$C$134:$V$178,$CD$11,$BJ$8))</f>
        <v/>
      </c>
      <c r="D69" s="70">
        <f>IF(A69="","",INDEX('Tính'!$C$182:$V$226,$CD$11,$BJ$8))</f>
        <v/>
      </c>
      <c r="F69" s="68">
        <f>IF(OR($CD$12="",$BJ$8=""),"",INDEX($BA$3:$BA$22,$BJ$8))</f>
        <v/>
      </c>
      <c r="G69" s="69">
        <f>IF(F69="","",INDEX('Tính'!$C$86:$V$130,$CD$12,$BJ$8))</f>
        <v/>
      </c>
      <c r="H69" s="69">
        <f>IF(F69="","",INDEX('Tính'!$C$134:$V$178,$CD$12,$BJ$8))</f>
        <v/>
      </c>
      <c r="I69" s="70">
        <f>IF(F69="","",INDEX('Tính'!$C$182:$V$226,$CD$12,$BJ$8))</f>
        <v/>
      </c>
      <c r="K69" s="68">
        <f>IF(OR($CD$13="",$BJ$8=""),"",INDEX($BA$3:$BA$22,$BJ$8))</f>
        <v/>
      </c>
      <c r="L69" s="69">
        <f>IF(K69="","",INDEX('Tính'!$C$86:$V$130,$CD$13,$BJ$8))</f>
        <v/>
      </c>
      <c r="M69" s="69">
        <f>IF(K69="","",INDEX('Tính'!$C$134:$V$178,$CD$13,$BJ$8))</f>
        <v/>
      </c>
      <c r="N69" s="70">
        <f>IF(K69="","",INDEX('Tính'!$C$182:$V$226,$CD$13,$BJ$8))</f>
        <v/>
      </c>
      <c r="P69" s="68">
        <f>IF(OR($CD$14="",$BJ$8=""),"",INDEX($BA$3:$BA$22,$BJ$8))</f>
        <v/>
      </c>
      <c r="Q69" s="69">
        <f>IF(P69="","",INDEX('Tính'!$C$86:$V$130,$CD$14,$BJ$8))</f>
        <v/>
      </c>
      <c r="R69" s="69">
        <f>IF(P69="","",INDEX('Tính'!$C$134:$V$178,$CD$14,$BJ$8))</f>
        <v/>
      </c>
      <c r="S69" s="70">
        <f>IF(P69="","",INDEX('Tính'!$C$182:$V$226,$CD$14,$BJ$8))</f>
        <v/>
      </c>
    </row>
    <row r="70">
      <c r="A70" s="68">
        <f>IF(OR($CD$11="",$BJ$9=""),"",INDEX($BA$3:$BA$22,$BJ$9))</f>
        <v/>
      </c>
      <c r="B70" s="69">
        <f>IF(A70="","",INDEX('Tính'!$C$86:$V$130,$CD$11,$BJ$9))</f>
        <v/>
      </c>
      <c r="C70" s="69">
        <f>IF(A70="","",INDEX('Tính'!$C$134:$V$178,$CD$11,$BJ$9))</f>
        <v/>
      </c>
      <c r="D70" s="70">
        <f>IF(A70="","",INDEX('Tính'!$C$182:$V$226,$CD$11,$BJ$9))</f>
        <v/>
      </c>
      <c r="F70" s="68">
        <f>IF(OR($CD$12="",$BJ$9=""),"",INDEX($BA$3:$BA$22,$BJ$9))</f>
        <v/>
      </c>
      <c r="G70" s="69">
        <f>IF(F70="","",INDEX('Tính'!$C$86:$V$130,$CD$12,$BJ$9))</f>
        <v/>
      </c>
      <c r="H70" s="69">
        <f>IF(F70="","",INDEX('Tính'!$C$134:$V$178,$CD$12,$BJ$9))</f>
        <v/>
      </c>
      <c r="I70" s="70">
        <f>IF(F70="","",INDEX('Tính'!$C$182:$V$226,$CD$12,$BJ$9))</f>
        <v/>
      </c>
      <c r="K70" s="68">
        <f>IF(OR($CD$13="",$BJ$9=""),"",INDEX($BA$3:$BA$22,$BJ$9))</f>
        <v/>
      </c>
      <c r="L70" s="69">
        <f>IF(K70="","",INDEX('Tính'!$C$86:$V$130,$CD$13,$BJ$9))</f>
        <v/>
      </c>
      <c r="M70" s="69">
        <f>IF(K70="","",INDEX('Tính'!$C$134:$V$178,$CD$13,$BJ$9))</f>
        <v/>
      </c>
      <c r="N70" s="70">
        <f>IF(K70="","",INDEX('Tính'!$C$182:$V$226,$CD$13,$BJ$9))</f>
        <v/>
      </c>
      <c r="P70" s="68">
        <f>IF(OR($CD$14="",$BJ$9=""),"",INDEX($BA$3:$BA$22,$BJ$9))</f>
        <v/>
      </c>
      <c r="Q70" s="69">
        <f>IF(P70="","",INDEX('Tính'!$C$86:$V$130,$CD$14,$BJ$9))</f>
        <v/>
      </c>
      <c r="R70" s="69">
        <f>IF(P70="","",INDEX('Tính'!$C$134:$V$178,$CD$14,$BJ$9))</f>
        <v/>
      </c>
      <c r="S70" s="70">
        <f>IF(P70="","",INDEX('Tính'!$C$182:$V$226,$CD$14,$BJ$9))</f>
        <v/>
      </c>
    </row>
    <row r="71">
      <c r="A71" s="68">
        <f>IF(OR($CD$11="",$BJ$10=""),"",INDEX($BA$3:$BA$22,$BJ$10))</f>
        <v/>
      </c>
      <c r="B71" s="69">
        <f>IF(A71="","",INDEX('Tính'!$C$86:$V$130,$CD$11,$BJ$10))</f>
        <v/>
      </c>
      <c r="C71" s="69">
        <f>IF(A71="","",INDEX('Tính'!$C$134:$V$178,$CD$11,$BJ$10))</f>
        <v/>
      </c>
      <c r="D71" s="70">
        <f>IF(A71="","",INDEX('Tính'!$C$182:$V$226,$CD$11,$BJ$10))</f>
        <v/>
      </c>
      <c r="F71" s="68">
        <f>IF(OR($CD$12="",$BJ$10=""),"",INDEX($BA$3:$BA$22,$BJ$10))</f>
        <v/>
      </c>
      <c r="G71" s="69">
        <f>IF(F71="","",INDEX('Tính'!$C$86:$V$130,$CD$12,$BJ$10))</f>
        <v/>
      </c>
      <c r="H71" s="69">
        <f>IF(F71="","",INDEX('Tính'!$C$134:$V$178,$CD$12,$BJ$10))</f>
        <v/>
      </c>
      <c r="I71" s="70">
        <f>IF(F71="","",INDEX('Tính'!$C$182:$V$226,$CD$12,$BJ$10))</f>
        <v/>
      </c>
      <c r="K71" s="68">
        <f>IF(OR($CD$13="",$BJ$10=""),"",INDEX($BA$3:$BA$22,$BJ$10))</f>
        <v/>
      </c>
      <c r="L71" s="69">
        <f>IF(K71="","",INDEX('Tính'!$C$86:$V$130,$CD$13,$BJ$10))</f>
        <v/>
      </c>
      <c r="M71" s="69">
        <f>IF(K71="","",INDEX('Tính'!$C$134:$V$178,$CD$13,$BJ$10))</f>
        <v/>
      </c>
      <c r="N71" s="70">
        <f>IF(K71="","",INDEX('Tính'!$C$182:$V$226,$CD$13,$BJ$10))</f>
        <v/>
      </c>
      <c r="P71" s="68">
        <f>IF(OR($CD$14="",$BJ$10=""),"",INDEX($BA$3:$BA$22,$BJ$10))</f>
        <v/>
      </c>
      <c r="Q71" s="69">
        <f>IF(P71="","",INDEX('Tính'!$C$86:$V$130,$CD$14,$BJ$10))</f>
        <v/>
      </c>
      <c r="R71" s="69">
        <f>IF(P71="","",INDEX('Tính'!$C$134:$V$178,$CD$14,$BJ$10))</f>
        <v/>
      </c>
      <c r="S71" s="70">
        <f>IF(P71="","",INDEX('Tính'!$C$182:$V$226,$CD$14,$BJ$10))</f>
        <v/>
      </c>
    </row>
    <row r="72">
      <c r="A72" s="68">
        <f>IF(OR($CD$11="",$BJ$11=""),"",INDEX($BA$3:$BA$22,$BJ$11))</f>
        <v/>
      </c>
      <c r="B72" s="69">
        <f>IF(A72="","",INDEX('Tính'!$C$86:$V$130,$CD$11,$BJ$11))</f>
        <v/>
      </c>
      <c r="C72" s="69">
        <f>IF(A72="","",INDEX('Tính'!$C$134:$V$178,$CD$11,$BJ$11))</f>
        <v/>
      </c>
      <c r="D72" s="70">
        <f>IF(A72="","",INDEX('Tính'!$C$182:$V$226,$CD$11,$BJ$11))</f>
        <v/>
      </c>
      <c r="F72" s="68">
        <f>IF(OR($CD$12="",$BJ$11=""),"",INDEX($BA$3:$BA$22,$BJ$11))</f>
        <v/>
      </c>
      <c r="G72" s="69">
        <f>IF(F72="","",INDEX('Tính'!$C$86:$V$130,$CD$12,$BJ$11))</f>
        <v/>
      </c>
      <c r="H72" s="69">
        <f>IF(F72="","",INDEX('Tính'!$C$134:$V$178,$CD$12,$BJ$11))</f>
        <v/>
      </c>
      <c r="I72" s="70">
        <f>IF(F72="","",INDEX('Tính'!$C$182:$V$226,$CD$12,$BJ$11))</f>
        <v/>
      </c>
      <c r="K72" s="68">
        <f>IF(OR($CD$13="",$BJ$11=""),"",INDEX($BA$3:$BA$22,$BJ$11))</f>
        <v/>
      </c>
      <c r="L72" s="69">
        <f>IF(K72="","",INDEX('Tính'!$C$86:$V$130,$CD$13,$BJ$11))</f>
        <v/>
      </c>
      <c r="M72" s="69">
        <f>IF(K72="","",INDEX('Tính'!$C$134:$V$178,$CD$13,$BJ$11))</f>
        <v/>
      </c>
      <c r="N72" s="70">
        <f>IF(K72="","",INDEX('Tính'!$C$182:$V$226,$CD$13,$BJ$11))</f>
        <v/>
      </c>
      <c r="P72" s="68">
        <f>IF(OR($CD$14="",$BJ$11=""),"",INDEX($BA$3:$BA$22,$BJ$11))</f>
        <v/>
      </c>
      <c r="Q72" s="69">
        <f>IF(P72="","",INDEX('Tính'!$C$86:$V$130,$CD$14,$BJ$11))</f>
        <v/>
      </c>
      <c r="R72" s="69">
        <f>IF(P72="","",INDEX('Tính'!$C$134:$V$178,$CD$14,$BJ$11))</f>
        <v/>
      </c>
      <c r="S72" s="70">
        <f>IF(P72="","",INDEX('Tính'!$C$182:$V$226,$CD$14,$BJ$11))</f>
        <v/>
      </c>
    </row>
    <row r="73">
      <c r="A73" s="68">
        <f>IF(OR($CD$11="",$BJ$12=""),"",INDEX($BA$3:$BA$22,$BJ$12))</f>
        <v/>
      </c>
      <c r="B73" s="69">
        <f>IF(A73="","",INDEX('Tính'!$C$86:$V$130,$CD$11,$BJ$12))</f>
        <v/>
      </c>
      <c r="C73" s="69">
        <f>IF(A73="","",INDEX('Tính'!$C$134:$V$178,$CD$11,$BJ$12))</f>
        <v/>
      </c>
      <c r="D73" s="70">
        <f>IF(A73="","",INDEX('Tính'!$C$182:$V$226,$CD$11,$BJ$12))</f>
        <v/>
      </c>
      <c r="F73" s="68">
        <f>IF(OR($CD$12="",$BJ$12=""),"",INDEX($BA$3:$BA$22,$BJ$12))</f>
        <v/>
      </c>
      <c r="G73" s="69">
        <f>IF(F73="","",INDEX('Tính'!$C$86:$V$130,$CD$12,$BJ$12))</f>
        <v/>
      </c>
      <c r="H73" s="69">
        <f>IF(F73="","",INDEX('Tính'!$C$134:$V$178,$CD$12,$BJ$12))</f>
        <v/>
      </c>
      <c r="I73" s="70">
        <f>IF(F73="","",INDEX('Tính'!$C$182:$V$226,$CD$12,$BJ$12))</f>
        <v/>
      </c>
      <c r="K73" s="68">
        <f>IF(OR($CD$13="",$BJ$12=""),"",INDEX($BA$3:$BA$22,$BJ$12))</f>
        <v/>
      </c>
      <c r="L73" s="69">
        <f>IF(K73="","",INDEX('Tính'!$C$86:$V$130,$CD$13,$BJ$12))</f>
        <v/>
      </c>
      <c r="M73" s="69">
        <f>IF(K73="","",INDEX('Tính'!$C$134:$V$178,$CD$13,$BJ$12))</f>
        <v/>
      </c>
      <c r="N73" s="70">
        <f>IF(K73="","",INDEX('Tính'!$C$182:$V$226,$CD$13,$BJ$12))</f>
        <v/>
      </c>
      <c r="P73" s="68">
        <f>IF(OR($CD$14="",$BJ$12=""),"",INDEX($BA$3:$BA$22,$BJ$12))</f>
        <v/>
      </c>
      <c r="Q73" s="69">
        <f>IF(P73="","",INDEX('Tính'!$C$86:$V$130,$CD$14,$BJ$12))</f>
        <v/>
      </c>
      <c r="R73" s="69">
        <f>IF(P73="","",INDEX('Tính'!$C$134:$V$178,$CD$14,$BJ$12))</f>
        <v/>
      </c>
      <c r="S73" s="70">
        <f>IF(P73="","",INDEX('Tính'!$C$182:$V$226,$CD$14,$BJ$12))</f>
        <v/>
      </c>
    </row>
    <row r="74">
      <c r="A74" s="68">
        <f>IF(OR($CD$11="",$BJ$13=""),"",INDEX($BA$3:$BA$22,$BJ$13))</f>
        <v/>
      </c>
      <c r="B74" s="69">
        <f>IF(A74="","",INDEX('Tính'!$C$86:$V$130,$CD$11,$BJ$13))</f>
        <v/>
      </c>
      <c r="C74" s="69">
        <f>IF(A74="","",INDEX('Tính'!$C$134:$V$178,$CD$11,$BJ$13))</f>
        <v/>
      </c>
      <c r="D74" s="70">
        <f>IF(A74="","",INDEX('Tính'!$C$182:$V$226,$CD$11,$BJ$13))</f>
        <v/>
      </c>
      <c r="F74" s="68">
        <f>IF(OR($CD$12="",$BJ$13=""),"",INDEX($BA$3:$BA$22,$BJ$13))</f>
        <v/>
      </c>
      <c r="G74" s="69">
        <f>IF(F74="","",INDEX('Tính'!$C$86:$V$130,$CD$12,$BJ$13))</f>
        <v/>
      </c>
      <c r="H74" s="69">
        <f>IF(F74="","",INDEX('Tính'!$C$134:$V$178,$CD$12,$BJ$13))</f>
        <v/>
      </c>
      <c r="I74" s="70">
        <f>IF(F74="","",INDEX('Tính'!$C$182:$V$226,$CD$12,$BJ$13))</f>
        <v/>
      </c>
      <c r="K74" s="68">
        <f>IF(OR($CD$13="",$BJ$13=""),"",INDEX($BA$3:$BA$22,$BJ$13))</f>
        <v/>
      </c>
      <c r="L74" s="69">
        <f>IF(K74="","",INDEX('Tính'!$C$86:$V$130,$CD$13,$BJ$13))</f>
        <v/>
      </c>
      <c r="M74" s="69">
        <f>IF(K74="","",INDEX('Tính'!$C$134:$V$178,$CD$13,$BJ$13))</f>
        <v/>
      </c>
      <c r="N74" s="70">
        <f>IF(K74="","",INDEX('Tính'!$C$182:$V$226,$CD$13,$BJ$13))</f>
        <v/>
      </c>
      <c r="P74" s="68">
        <f>IF(OR($CD$14="",$BJ$13=""),"",INDEX($BA$3:$BA$22,$BJ$13))</f>
        <v/>
      </c>
      <c r="Q74" s="69">
        <f>IF(P74="","",INDEX('Tính'!$C$86:$V$130,$CD$14,$BJ$13))</f>
        <v/>
      </c>
      <c r="R74" s="69">
        <f>IF(P74="","",INDEX('Tính'!$C$134:$V$178,$CD$14,$BJ$13))</f>
        <v/>
      </c>
      <c r="S74" s="70">
        <f>IF(P74="","",INDEX('Tính'!$C$182:$V$226,$CD$14,$BJ$13))</f>
        <v/>
      </c>
    </row>
    <row r="75">
      <c r="A75" s="68">
        <f>IF(OR($CD$11="",$BJ$14=""),"",INDEX($BA$3:$BA$22,$BJ$14))</f>
        <v/>
      </c>
      <c r="B75" s="69">
        <f>IF(A75="","",INDEX('Tính'!$C$86:$V$130,$CD$11,$BJ$14))</f>
        <v/>
      </c>
      <c r="C75" s="69">
        <f>IF(A75="","",INDEX('Tính'!$C$134:$V$178,$CD$11,$BJ$14))</f>
        <v/>
      </c>
      <c r="D75" s="70">
        <f>IF(A75="","",INDEX('Tính'!$C$182:$V$226,$CD$11,$BJ$14))</f>
        <v/>
      </c>
      <c r="F75" s="68">
        <f>IF(OR($CD$12="",$BJ$14=""),"",INDEX($BA$3:$BA$22,$BJ$14))</f>
        <v/>
      </c>
      <c r="G75" s="69">
        <f>IF(F75="","",INDEX('Tính'!$C$86:$V$130,$CD$12,$BJ$14))</f>
        <v/>
      </c>
      <c r="H75" s="69">
        <f>IF(F75="","",INDEX('Tính'!$C$134:$V$178,$CD$12,$BJ$14))</f>
        <v/>
      </c>
      <c r="I75" s="70">
        <f>IF(F75="","",INDEX('Tính'!$C$182:$V$226,$CD$12,$BJ$14))</f>
        <v/>
      </c>
      <c r="K75" s="68">
        <f>IF(OR($CD$13="",$BJ$14=""),"",INDEX($BA$3:$BA$22,$BJ$14))</f>
        <v/>
      </c>
      <c r="L75" s="69">
        <f>IF(K75="","",INDEX('Tính'!$C$86:$V$130,$CD$13,$BJ$14))</f>
        <v/>
      </c>
      <c r="M75" s="69">
        <f>IF(K75="","",INDEX('Tính'!$C$134:$V$178,$CD$13,$BJ$14))</f>
        <v/>
      </c>
      <c r="N75" s="70">
        <f>IF(K75="","",INDEX('Tính'!$C$182:$V$226,$CD$13,$BJ$14))</f>
        <v/>
      </c>
      <c r="P75" s="68">
        <f>IF(OR($CD$14="",$BJ$14=""),"",INDEX($BA$3:$BA$22,$BJ$14))</f>
        <v/>
      </c>
      <c r="Q75" s="69">
        <f>IF(P75="","",INDEX('Tính'!$C$86:$V$130,$CD$14,$BJ$14))</f>
        <v/>
      </c>
      <c r="R75" s="69">
        <f>IF(P75="","",INDEX('Tính'!$C$134:$V$178,$CD$14,$BJ$14))</f>
        <v/>
      </c>
      <c r="S75" s="70">
        <f>IF(P75="","",INDEX('Tính'!$C$182:$V$226,$CD$14,$BJ$14))</f>
        <v/>
      </c>
    </row>
    <row r="76">
      <c r="A76" s="68">
        <f>IF(OR($CD$11="",$BJ$15=""),"",INDEX($BA$3:$BA$22,$BJ$15))</f>
        <v/>
      </c>
      <c r="B76" s="69">
        <f>IF(A76="","",INDEX('Tính'!$C$86:$V$130,$CD$11,$BJ$15))</f>
        <v/>
      </c>
      <c r="C76" s="69">
        <f>IF(A76="","",INDEX('Tính'!$C$134:$V$178,$CD$11,$BJ$15))</f>
        <v/>
      </c>
      <c r="D76" s="70">
        <f>IF(A76="","",INDEX('Tính'!$C$182:$V$226,$CD$11,$BJ$15))</f>
        <v/>
      </c>
      <c r="F76" s="68">
        <f>IF(OR($CD$12="",$BJ$15=""),"",INDEX($BA$3:$BA$22,$BJ$15))</f>
        <v/>
      </c>
      <c r="G76" s="69">
        <f>IF(F76="","",INDEX('Tính'!$C$86:$V$130,$CD$12,$BJ$15))</f>
        <v/>
      </c>
      <c r="H76" s="69">
        <f>IF(F76="","",INDEX('Tính'!$C$134:$V$178,$CD$12,$BJ$15))</f>
        <v/>
      </c>
      <c r="I76" s="70">
        <f>IF(F76="","",INDEX('Tính'!$C$182:$V$226,$CD$12,$BJ$15))</f>
        <v/>
      </c>
      <c r="K76" s="68">
        <f>IF(OR($CD$13="",$BJ$15=""),"",INDEX($BA$3:$BA$22,$BJ$15))</f>
        <v/>
      </c>
      <c r="L76" s="69">
        <f>IF(K76="","",INDEX('Tính'!$C$86:$V$130,$CD$13,$BJ$15))</f>
        <v/>
      </c>
      <c r="M76" s="69">
        <f>IF(K76="","",INDEX('Tính'!$C$134:$V$178,$CD$13,$BJ$15))</f>
        <v/>
      </c>
      <c r="N76" s="70">
        <f>IF(K76="","",INDEX('Tính'!$C$182:$V$226,$CD$13,$BJ$15))</f>
        <v/>
      </c>
      <c r="P76" s="68">
        <f>IF(OR($CD$14="",$BJ$15=""),"",INDEX($BA$3:$BA$22,$BJ$15))</f>
        <v/>
      </c>
      <c r="Q76" s="69">
        <f>IF(P76="","",INDEX('Tính'!$C$86:$V$130,$CD$14,$BJ$15))</f>
        <v/>
      </c>
      <c r="R76" s="69">
        <f>IF(P76="","",INDEX('Tính'!$C$134:$V$178,$CD$14,$BJ$15))</f>
        <v/>
      </c>
      <c r="S76" s="70">
        <f>IF(P76="","",INDEX('Tính'!$C$182:$V$226,$CD$14,$BJ$15))</f>
        <v/>
      </c>
    </row>
    <row r="77">
      <c r="A77" s="68">
        <f>IF(OR($CD$11="",$BJ$16=""),"",INDEX($BA$3:$BA$22,$BJ$16))</f>
        <v/>
      </c>
      <c r="B77" s="69">
        <f>IF(A77="","",INDEX('Tính'!$C$86:$V$130,$CD$11,$BJ$16))</f>
        <v/>
      </c>
      <c r="C77" s="69">
        <f>IF(A77="","",INDEX('Tính'!$C$134:$V$178,$CD$11,$BJ$16))</f>
        <v/>
      </c>
      <c r="D77" s="70">
        <f>IF(A77="","",INDEX('Tính'!$C$182:$V$226,$CD$11,$BJ$16))</f>
        <v/>
      </c>
      <c r="F77" s="68">
        <f>IF(OR($CD$12="",$BJ$16=""),"",INDEX($BA$3:$BA$22,$BJ$16))</f>
        <v/>
      </c>
      <c r="G77" s="69">
        <f>IF(F77="","",INDEX('Tính'!$C$86:$V$130,$CD$12,$BJ$16))</f>
        <v/>
      </c>
      <c r="H77" s="69">
        <f>IF(F77="","",INDEX('Tính'!$C$134:$V$178,$CD$12,$BJ$16))</f>
        <v/>
      </c>
      <c r="I77" s="70">
        <f>IF(F77="","",INDEX('Tính'!$C$182:$V$226,$CD$12,$BJ$16))</f>
        <v/>
      </c>
      <c r="K77" s="68">
        <f>IF(OR($CD$13="",$BJ$16=""),"",INDEX($BA$3:$BA$22,$BJ$16))</f>
        <v/>
      </c>
      <c r="L77" s="69">
        <f>IF(K77="","",INDEX('Tính'!$C$86:$V$130,$CD$13,$BJ$16))</f>
        <v/>
      </c>
      <c r="M77" s="69">
        <f>IF(K77="","",INDEX('Tính'!$C$134:$V$178,$CD$13,$BJ$16))</f>
        <v/>
      </c>
      <c r="N77" s="70">
        <f>IF(K77="","",INDEX('Tính'!$C$182:$V$226,$CD$13,$BJ$16))</f>
        <v/>
      </c>
      <c r="P77" s="68">
        <f>IF(OR($CD$14="",$BJ$16=""),"",INDEX($BA$3:$BA$22,$BJ$16))</f>
        <v/>
      </c>
      <c r="Q77" s="69">
        <f>IF(P77="","",INDEX('Tính'!$C$86:$V$130,$CD$14,$BJ$16))</f>
        <v/>
      </c>
      <c r="R77" s="69">
        <f>IF(P77="","",INDEX('Tính'!$C$134:$V$178,$CD$14,$BJ$16))</f>
        <v/>
      </c>
      <c r="S77" s="70">
        <f>IF(P77="","",INDEX('Tính'!$C$182:$V$226,$CD$14,$BJ$16))</f>
        <v/>
      </c>
    </row>
    <row r="78">
      <c r="A78" s="68">
        <f>IF(OR($CD$11="",$BJ$17=""),"",INDEX($BA$3:$BA$22,$BJ$17))</f>
        <v/>
      </c>
      <c r="B78" s="69">
        <f>IF(A78="","",INDEX('Tính'!$C$86:$V$130,$CD$11,$BJ$17))</f>
        <v/>
      </c>
      <c r="C78" s="69">
        <f>IF(A78="","",INDEX('Tính'!$C$134:$V$178,$CD$11,$BJ$17))</f>
        <v/>
      </c>
      <c r="D78" s="70">
        <f>IF(A78="","",INDEX('Tính'!$C$182:$V$226,$CD$11,$BJ$17))</f>
        <v/>
      </c>
      <c r="F78" s="68">
        <f>IF(OR($CD$12="",$BJ$17=""),"",INDEX($BA$3:$BA$22,$BJ$17))</f>
        <v/>
      </c>
      <c r="G78" s="69">
        <f>IF(F78="","",INDEX('Tính'!$C$86:$V$130,$CD$12,$BJ$17))</f>
        <v/>
      </c>
      <c r="H78" s="69">
        <f>IF(F78="","",INDEX('Tính'!$C$134:$V$178,$CD$12,$BJ$17))</f>
        <v/>
      </c>
      <c r="I78" s="70">
        <f>IF(F78="","",INDEX('Tính'!$C$182:$V$226,$CD$12,$BJ$17))</f>
        <v/>
      </c>
      <c r="K78" s="68">
        <f>IF(OR($CD$13="",$BJ$17=""),"",INDEX($BA$3:$BA$22,$BJ$17))</f>
        <v/>
      </c>
      <c r="L78" s="69">
        <f>IF(K78="","",INDEX('Tính'!$C$86:$V$130,$CD$13,$BJ$17))</f>
        <v/>
      </c>
      <c r="M78" s="69">
        <f>IF(K78="","",INDEX('Tính'!$C$134:$V$178,$CD$13,$BJ$17))</f>
        <v/>
      </c>
      <c r="N78" s="70">
        <f>IF(K78="","",INDEX('Tính'!$C$182:$V$226,$CD$13,$BJ$17))</f>
        <v/>
      </c>
      <c r="P78" s="68">
        <f>IF(OR($CD$14="",$BJ$17=""),"",INDEX($BA$3:$BA$22,$BJ$17))</f>
        <v/>
      </c>
      <c r="Q78" s="69">
        <f>IF(P78="","",INDEX('Tính'!$C$86:$V$130,$CD$14,$BJ$17))</f>
        <v/>
      </c>
      <c r="R78" s="69">
        <f>IF(P78="","",INDEX('Tính'!$C$134:$V$178,$CD$14,$BJ$17))</f>
        <v/>
      </c>
      <c r="S78" s="70">
        <f>IF(P78="","",INDEX('Tính'!$C$182:$V$226,$CD$14,$BJ$17))</f>
        <v/>
      </c>
    </row>
    <row r="79">
      <c r="A79" s="68">
        <f>IF(OR($CD$11="",$BJ$18=""),"",INDEX($BA$3:$BA$22,$BJ$18))</f>
        <v/>
      </c>
      <c r="B79" s="69">
        <f>IF(A79="","",INDEX('Tính'!$C$86:$V$130,$CD$11,$BJ$18))</f>
        <v/>
      </c>
      <c r="C79" s="69">
        <f>IF(A79="","",INDEX('Tính'!$C$134:$V$178,$CD$11,$BJ$18))</f>
        <v/>
      </c>
      <c r="D79" s="70">
        <f>IF(A79="","",INDEX('Tính'!$C$182:$V$226,$CD$11,$BJ$18))</f>
        <v/>
      </c>
      <c r="F79" s="68">
        <f>IF(OR($CD$12="",$BJ$18=""),"",INDEX($BA$3:$BA$22,$BJ$18))</f>
        <v/>
      </c>
      <c r="G79" s="69">
        <f>IF(F79="","",INDEX('Tính'!$C$86:$V$130,$CD$12,$BJ$18))</f>
        <v/>
      </c>
      <c r="H79" s="69">
        <f>IF(F79="","",INDEX('Tính'!$C$134:$V$178,$CD$12,$BJ$18))</f>
        <v/>
      </c>
      <c r="I79" s="70">
        <f>IF(F79="","",INDEX('Tính'!$C$182:$V$226,$CD$12,$BJ$18))</f>
        <v/>
      </c>
      <c r="K79" s="68">
        <f>IF(OR($CD$13="",$BJ$18=""),"",INDEX($BA$3:$BA$22,$BJ$18))</f>
        <v/>
      </c>
      <c r="L79" s="69">
        <f>IF(K79="","",INDEX('Tính'!$C$86:$V$130,$CD$13,$BJ$18))</f>
        <v/>
      </c>
      <c r="M79" s="69">
        <f>IF(K79="","",INDEX('Tính'!$C$134:$V$178,$CD$13,$BJ$18))</f>
        <v/>
      </c>
      <c r="N79" s="70">
        <f>IF(K79="","",INDEX('Tính'!$C$182:$V$226,$CD$13,$BJ$18))</f>
        <v/>
      </c>
      <c r="P79" s="68">
        <f>IF(OR($CD$14="",$BJ$18=""),"",INDEX($BA$3:$BA$22,$BJ$18))</f>
        <v/>
      </c>
      <c r="Q79" s="69">
        <f>IF(P79="","",INDEX('Tính'!$C$86:$V$130,$CD$14,$BJ$18))</f>
        <v/>
      </c>
      <c r="R79" s="69">
        <f>IF(P79="","",INDEX('Tính'!$C$134:$V$178,$CD$14,$BJ$18))</f>
        <v/>
      </c>
      <c r="S79" s="70">
        <f>IF(P79="","",INDEX('Tính'!$C$182:$V$226,$CD$14,$BJ$18))</f>
        <v/>
      </c>
    </row>
    <row r="80">
      <c r="A80" s="68">
        <f>IF(OR($CD$11="",$BJ$19=""),"",INDEX($BA$3:$BA$22,$BJ$19))</f>
        <v/>
      </c>
      <c r="B80" s="69">
        <f>IF(A80="","",INDEX('Tính'!$C$86:$V$130,$CD$11,$BJ$19))</f>
        <v/>
      </c>
      <c r="C80" s="69">
        <f>IF(A80="","",INDEX('Tính'!$C$134:$V$178,$CD$11,$BJ$19))</f>
        <v/>
      </c>
      <c r="D80" s="70">
        <f>IF(A80="","",INDEX('Tính'!$C$182:$V$226,$CD$11,$BJ$19))</f>
        <v/>
      </c>
      <c r="F80" s="68">
        <f>IF(OR($CD$12="",$BJ$19=""),"",INDEX($BA$3:$BA$22,$BJ$19))</f>
        <v/>
      </c>
      <c r="G80" s="69">
        <f>IF(F80="","",INDEX('Tính'!$C$86:$V$130,$CD$12,$BJ$19))</f>
        <v/>
      </c>
      <c r="H80" s="69">
        <f>IF(F80="","",INDEX('Tính'!$C$134:$V$178,$CD$12,$BJ$19))</f>
        <v/>
      </c>
      <c r="I80" s="70">
        <f>IF(F80="","",INDEX('Tính'!$C$182:$V$226,$CD$12,$BJ$19))</f>
        <v/>
      </c>
      <c r="K80" s="68">
        <f>IF(OR($CD$13="",$BJ$19=""),"",INDEX($BA$3:$BA$22,$BJ$19))</f>
        <v/>
      </c>
      <c r="L80" s="69">
        <f>IF(K80="","",INDEX('Tính'!$C$86:$V$130,$CD$13,$BJ$19))</f>
        <v/>
      </c>
      <c r="M80" s="69">
        <f>IF(K80="","",INDEX('Tính'!$C$134:$V$178,$CD$13,$BJ$19))</f>
        <v/>
      </c>
      <c r="N80" s="70">
        <f>IF(K80="","",INDEX('Tính'!$C$182:$V$226,$CD$13,$BJ$19))</f>
        <v/>
      </c>
      <c r="P80" s="68">
        <f>IF(OR($CD$14="",$BJ$19=""),"",INDEX($BA$3:$BA$22,$BJ$19))</f>
        <v/>
      </c>
      <c r="Q80" s="69">
        <f>IF(P80="","",INDEX('Tính'!$C$86:$V$130,$CD$14,$BJ$19))</f>
        <v/>
      </c>
      <c r="R80" s="69">
        <f>IF(P80="","",INDEX('Tính'!$C$134:$V$178,$CD$14,$BJ$19))</f>
        <v/>
      </c>
      <c r="S80" s="70">
        <f>IF(P80="","",INDEX('Tính'!$C$182:$V$226,$CD$14,$BJ$19))</f>
        <v/>
      </c>
    </row>
    <row r="81">
      <c r="A81" s="68">
        <f>IF(OR($CD$11="",$BJ$20=""),"",INDEX($BA$3:$BA$22,$BJ$20))</f>
        <v/>
      </c>
      <c r="B81" s="69">
        <f>IF(A81="","",INDEX('Tính'!$C$86:$V$130,$CD$11,$BJ$20))</f>
        <v/>
      </c>
      <c r="C81" s="69">
        <f>IF(A81="","",INDEX('Tính'!$C$134:$V$178,$CD$11,$BJ$20))</f>
        <v/>
      </c>
      <c r="D81" s="70">
        <f>IF(A81="","",INDEX('Tính'!$C$182:$V$226,$CD$11,$BJ$20))</f>
        <v/>
      </c>
      <c r="F81" s="68">
        <f>IF(OR($CD$12="",$BJ$20=""),"",INDEX($BA$3:$BA$22,$BJ$20))</f>
        <v/>
      </c>
      <c r="G81" s="69">
        <f>IF(F81="","",INDEX('Tính'!$C$86:$V$130,$CD$12,$BJ$20))</f>
        <v/>
      </c>
      <c r="H81" s="69">
        <f>IF(F81="","",INDEX('Tính'!$C$134:$V$178,$CD$12,$BJ$20))</f>
        <v/>
      </c>
      <c r="I81" s="70">
        <f>IF(F81="","",INDEX('Tính'!$C$182:$V$226,$CD$12,$BJ$20))</f>
        <v/>
      </c>
      <c r="K81" s="68">
        <f>IF(OR($CD$13="",$BJ$20=""),"",INDEX($BA$3:$BA$22,$BJ$20))</f>
        <v/>
      </c>
      <c r="L81" s="69">
        <f>IF(K81="","",INDEX('Tính'!$C$86:$V$130,$CD$13,$BJ$20))</f>
        <v/>
      </c>
      <c r="M81" s="69">
        <f>IF(K81="","",INDEX('Tính'!$C$134:$V$178,$CD$13,$BJ$20))</f>
        <v/>
      </c>
      <c r="N81" s="70">
        <f>IF(K81="","",INDEX('Tính'!$C$182:$V$226,$CD$13,$BJ$20))</f>
        <v/>
      </c>
      <c r="P81" s="68">
        <f>IF(OR($CD$14="",$BJ$20=""),"",INDEX($BA$3:$BA$22,$BJ$20))</f>
        <v/>
      </c>
      <c r="Q81" s="69">
        <f>IF(P81="","",INDEX('Tính'!$C$86:$V$130,$CD$14,$BJ$20))</f>
        <v/>
      </c>
      <c r="R81" s="69">
        <f>IF(P81="","",INDEX('Tính'!$C$134:$V$178,$CD$14,$BJ$20))</f>
        <v/>
      </c>
      <c r="S81" s="70">
        <f>IF(P81="","",INDEX('Tính'!$C$182:$V$226,$CD$14,$BJ$20))</f>
        <v/>
      </c>
    </row>
    <row r="82">
      <c r="A82" s="68">
        <f>IF(OR($CD$11="",$BJ$21=""),"",INDEX($BA$3:$BA$22,$BJ$21))</f>
        <v/>
      </c>
      <c r="B82" s="69">
        <f>IF(A82="","",INDEX('Tính'!$C$86:$V$130,$CD$11,$BJ$21))</f>
        <v/>
      </c>
      <c r="C82" s="69">
        <f>IF(A82="","",INDEX('Tính'!$C$134:$V$178,$CD$11,$BJ$21))</f>
        <v/>
      </c>
      <c r="D82" s="70">
        <f>IF(A82="","",INDEX('Tính'!$C$182:$V$226,$CD$11,$BJ$21))</f>
        <v/>
      </c>
      <c r="F82" s="68">
        <f>IF(OR($CD$12="",$BJ$21=""),"",INDEX($BA$3:$BA$22,$BJ$21))</f>
        <v/>
      </c>
      <c r="G82" s="69">
        <f>IF(F82="","",INDEX('Tính'!$C$86:$V$130,$CD$12,$BJ$21))</f>
        <v/>
      </c>
      <c r="H82" s="69">
        <f>IF(F82="","",INDEX('Tính'!$C$134:$V$178,$CD$12,$BJ$21))</f>
        <v/>
      </c>
      <c r="I82" s="70">
        <f>IF(F82="","",INDEX('Tính'!$C$182:$V$226,$CD$12,$BJ$21))</f>
        <v/>
      </c>
      <c r="K82" s="68">
        <f>IF(OR($CD$13="",$BJ$21=""),"",INDEX($BA$3:$BA$22,$BJ$21))</f>
        <v/>
      </c>
      <c r="L82" s="69">
        <f>IF(K82="","",INDEX('Tính'!$C$86:$V$130,$CD$13,$BJ$21))</f>
        <v/>
      </c>
      <c r="M82" s="69">
        <f>IF(K82="","",INDEX('Tính'!$C$134:$V$178,$CD$13,$BJ$21))</f>
        <v/>
      </c>
      <c r="N82" s="70">
        <f>IF(K82="","",INDEX('Tính'!$C$182:$V$226,$CD$13,$BJ$21))</f>
        <v/>
      </c>
      <c r="P82" s="68">
        <f>IF(OR($CD$14="",$BJ$21=""),"",INDEX($BA$3:$BA$22,$BJ$21))</f>
        <v/>
      </c>
      <c r="Q82" s="69">
        <f>IF(P82="","",INDEX('Tính'!$C$86:$V$130,$CD$14,$BJ$21))</f>
        <v/>
      </c>
      <c r="R82" s="69">
        <f>IF(P82="","",INDEX('Tính'!$C$134:$V$178,$CD$14,$BJ$21))</f>
        <v/>
      </c>
      <c r="S82" s="70">
        <f>IF(P82="","",INDEX('Tính'!$C$182:$V$226,$CD$14,$BJ$21))</f>
        <v/>
      </c>
    </row>
    <row r="83">
      <c r="A83" s="68">
        <f>IF(OR($CD$11="",$BJ$22=""),"",INDEX($BA$3:$BA$22,$BJ$22))</f>
        <v/>
      </c>
      <c r="B83" s="69">
        <f>IF(A83="","",INDEX('Tính'!$C$86:$V$130,$CD$11,$BJ$22))</f>
        <v/>
      </c>
      <c r="C83" s="69">
        <f>IF(A83="","",INDEX('Tính'!$C$134:$V$178,$CD$11,$BJ$22))</f>
        <v/>
      </c>
      <c r="D83" s="70">
        <f>IF(A83="","",INDEX('Tính'!$C$182:$V$226,$CD$11,$BJ$22))</f>
        <v/>
      </c>
      <c r="F83" s="68">
        <f>IF(OR($CD$12="",$BJ$22=""),"",INDEX($BA$3:$BA$22,$BJ$22))</f>
        <v/>
      </c>
      <c r="G83" s="69">
        <f>IF(F83="","",INDEX('Tính'!$C$86:$V$130,$CD$12,$BJ$22))</f>
        <v/>
      </c>
      <c r="H83" s="69">
        <f>IF(F83="","",INDEX('Tính'!$C$134:$V$178,$CD$12,$BJ$22))</f>
        <v/>
      </c>
      <c r="I83" s="70">
        <f>IF(F83="","",INDEX('Tính'!$C$182:$V$226,$CD$12,$BJ$22))</f>
        <v/>
      </c>
      <c r="K83" s="68">
        <f>IF(OR($CD$13="",$BJ$22=""),"",INDEX($BA$3:$BA$22,$BJ$22))</f>
        <v/>
      </c>
      <c r="L83" s="69">
        <f>IF(K83="","",INDEX('Tính'!$C$86:$V$130,$CD$13,$BJ$22))</f>
        <v/>
      </c>
      <c r="M83" s="69">
        <f>IF(K83="","",INDEX('Tính'!$C$134:$V$178,$CD$13,$BJ$22))</f>
        <v/>
      </c>
      <c r="N83" s="70">
        <f>IF(K83="","",INDEX('Tính'!$C$182:$V$226,$CD$13,$BJ$22))</f>
        <v/>
      </c>
      <c r="P83" s="68">
        <f>IF(OR($CD$14="",$BJ$22=""),"",INDEX($BA$3:$BA$22,$BJ$22))</f>
        <v/>
      </c>
      <c r="Q83" s="69">
        <f>IF(P83="","",INDEX('Tính'!$C$86:$V$130,$CD$14,$BJ$22))</f>
        <v/>
      </c>
      <c r="R83" s="69">
        <f>IF(P83="","",INDEX('Tính'!$C$134:$V$178,$CD$14,$BJ$22))</f>
        <v/>
      </c>
      <c r="S83" s="70">
        <f>IF(P83="","",INDEX('Tính'!$C$182:$V$226,$CD$14,$BJ$22))</f>
        <v/>
      </c>
    </row>
    <row r="85">
      <c r="A85" s="62">
        <f>IF($CD$15="","",13&amp;". "&amp;IF($CD$15="","",INDEX('Tính'!$F$39:$F$83,$CD$15))&amp;" · "&amp;IF($CD$15="","",INDEX('Tính'!$O$39:$O$83,$CD$15)))</f>
        <v/>
      </c>
      <c r="F85" s="62">
        <f>IF($CD$16="","",14&amp;". "&amp;IF($CD$16="","",INDEX('Tính'!$F$39:$F$83,$CD$16))&amp;" · "&amp;IF($CD$16="","",INDEX('Tính'!$O$39:$O$83,$CD$16)))</f>
        <v/>
      </c>
      <c r="K85" s="62">
        <f>IF($CD$17="","",15&amp;". "&amp;IF($CD$17="","",INDEX('Tính'!$F$39:$F$83,$CD$17))&amp;" · "&amp;IF($CD$17="","",INDEX('Tính'!$O$39:$O$83,$CD$17)))</f>
        <v/>
      </c>
      <c r="P85" s="62">
        <f>IF($CD$18="","",16&amp;". "&amp;IF($CD$18="","",INDEX('Tính'!$F$39:$F$83,$CD$18))&amp;" · "&amp;IF($CD$18="","",INDEX('Tính'!$O$39:$O$83,$CD$18)))</f>
        <v/>
      </c>
    </row>
    <row r="86">
      <c r="A86" s="63">
        <f>IF($CD$15="","","DỰ KIẾN")</f>
        <v/>
      </c>
      <c r="B86" s="63">
        <f>IF($CD$15="","","% HT")</f>
        <v/>
      </c>
      <c r="C86" s="63">
        <f>IF($CD$15="","","NH ĐẠT")</f>
        <v/>
      </c>
      <c r="D86" s="63">
        <f>IF($CD$15="","","HẠNG")</f>
        <v/>
      </c>
      <c r="F86" s="63">
        <f>IF($CD$16="","","DỰ KIẾN")</f>
        <v/>
      </c>
      <c r="G86" s="63">
        <f>IF($CD$16="","","% HT")</f>
        <v/>
      </c>
      <c r="H86" s="63">
        <f>IF($CD$16="","","NH ĐẠT")</f>
        <v/>
      </c>
      <c r="I86" s="63">
        <f>IF($CD$16="","","HẠNG")</f>
        <v/>
      </c>
      <c r="K86" s="63">
        <f>IF($CD$17="","","DỰ KIẾN")</f>
        <v/>
      </c>
      <c r="L86" s="63">
        <f>IF($CD$17="","","% HT")</f>
        <v/>
      </c>
      <c r="M86" s="63">
        <f>IF($CD$17="","","NH ĐẠT")</f>
        <v/>
      </c>
      <c r="N86" s="63">
        <f>IF($CD$17="","","HẠNG")</f>
        <v/>
      </c>
      <c r="P86" s="63">
        <f>IF($CD$18="","","DỰ KIẾN")</f>
        <v/>
      </c>
      <c r="Q86" s="63">
        <f>IF($CD$18="","","% HT")</f>
        <v/>
      </c>
      <c r="R86" s="63">
        <f>IF($CD$18="","","NH ĐẠT")</f>
        <v/>
      </c>
      <c r="S86" s="63">
        <f>IF($CD$18="","","HẠNG")</f>
        <v/>
      </c>
    </row>
    <row r="87">
      <c r="A87" s="64">
        <f>IF($CD$15="","",IF($CD$15="","",INDEX('Tính'!$M$39:$M$83,$CD$15)))</f>
        <v/>
      </c>
      <c r="B87" s="64">
        <f>IF($CD$15="","",IF($CD$15="","",INDEX('Tính'!$N$39:$N$83,$CD$15)))</f>
        <v/>
      </c>
      <c r="C87" s="65">
        <f>IF($CD$15="","",IF($CD$15="","",INDEX('Tính'!$P$39:$P$83,$CD$15))&amp;"/"&amp;COUNTIF($BA$3:$BA$22,"?*"))</f>
        <v/>
      </c>
      <c r="D87" s="65">
        <f>IF($CD$15="","",13)</f>
        <v/>
      </c>
      <c r="F87" s="64">
        <f>IF($CD$16="","",IF($CD$16="","",INDEX('Tính'!$M$39:$M$83,$CD$16)))</f>
        <v/>
      </c>
      <c r="G87" s="64">
        <f>IF($CD$16="","",IF($CD$16="","",INDEX('Tính'!$N$39:$N$83,$CD$16)))</f>
        <v/>
      </c>
      <c r="H87" s="65">
        <f>IF($CD$16="","",IF($CD$16="","",INDEX('Tính'!$P$39:$P$83,$CD$16))&amp;"/"&amp;COUNTIF($BA$3:$BA$22,"?*"))</f>
        <v/>
      </c>
      <c r="I87" s="65">
        <f>IF($CD$16="","",14)</f>
        <v/>
      </c>
      <c r="K87" s="64">
        <f>IF($CD$17="","",IF($CD$17="","",INDEX('Tính'!$M$39:$M$83,$CD$17)))</f>
        <v/>
      </c>
      <c r="L87" s="64">
        <f>IF($CD$17="","",IF($CD$17="","",INDEX('Tính'!$N$39:$N$83,$CD$17)))</f>
        <v/>
      </c>
      <c r="M87" s="65">
        <f>IF($CD$17="","",IF($CD$17="","",INDEX('Tính'!$P$39:$P$83,$CD$17))&amp;"/"&amp;COUNTIF($BA$3:$BA$22,"?*"))</f>
        <v/>
      </c>
      <c r="N87" s="65">
        <f>IF($CD$17="","",15)</f>
        <v/>
      </c>
      <c r="P87" s="64">
        <f>IF($CD$18="","",IF($CD$18="","",INDEX('Tính'!$M$39:$M$83,$CD$18)))</f>
        <v/>
      </c>
      <c r="Q87" s="64">
        <f>IF($CD$18="","",IF($CD$18="","",INDEX('Tính'!$N$39:$N$83,$CD$18)))</f>
        <v/>
      </c>
      <c r="R87" s="65">
        <f>IF($CD$18="","",IF($CD$18="","",INDEX('Tính'!$P$39:$P$83,$CD$18))&amp;"/"&amp;COUNTIF($BA$3:$BA$22,"?*"))</f>
        <v/>
      </c>
      <c r="S87" s="65">
        <f>IF($CD$18="","",16)</f>
        <v/>
      </c>
    </row>
    <row r="88">
      <c r="A88" s="63">
        <f>IF($CD$15="","","DT QĐ")</f>
        <v/>
      </c>
      <c r="B88" s="63">
        <f>IF($CD$15="","","MỤC TIÊU")</f>
        <v/>
      </c>
      <c r="C88" s="63">
        <f>IF($CD$15="","","HÔM NAY")</f>
        <v/>
      </c>
      <c r="D88" s="63" t="n"/>
      <c r="F88" s="63">
        <f>IF($CD$16="","","DT QĐ")</f>
        <v/>
      </c>
      <c r="G88" s="63">
        <f>IF($CD$16="","","MỤC TIÊU")</f>
        <v/>
      </c>
      <c r="H88" s="63">
        <f>IF($CD$16="","","HÔM NAY")</f>
        <v/>
      </c>
      <c r="I88" s="63" t="n"/>
      <c r="K88" s="63">
        <f>IF($CD$17="","","DT QĐ")</f>
        <v/>
      </c>
      <c r="L88" s="63">
        <f>IF($CD$17="","","MỤC TIÊU")</f>
        <v/>
      </c>
      <c r="M88" s="63">
        <f>IF($CD$17="","","HÔM NAY")</f>
        <v/>
      </c>
      <c r="N88" s="63" t="n"/>
      <c r="P88" s="63">
        <f>IF($CD$18="","","DT QĐ")</f>
        <v/>
      </c>
      <c r="Q88" s="63">
        <f>IF($CD$18="","","MỤC TIÊU")</f>
        <v/>
      </c>
      <c r="R88" s="63">
        <f>IF($CD$18="","","HÔM NAY")</f>
        <v/>
      </c>
      <c r="S88" s="63" t="n"/>
    </row>
    <row r="89">
      <c r="A89" s="66">
        <f>IF($CD$15="","",IF($CD$15="","",INDEX('Tính'!$K$39:$K$83,$CD$15)))</f>
        <v/>
      </c>
      <c r="B89" s="67">
        <f>IF($CD$15="","",IF($CD$15="","",INDEX('Tính'!$J$39:$J$83,$CD$15)))</f>
        <v/>
      </c>
      <c r="C89" s="66">
        <f>IF($CD$15="","",IF($CD$15="","",INDEX('Tính'!$L$39:$L$83,$CD$15)))</f>
        <v/>
      </c>
      <c r="D89" s="61">
        <f>IF($CD$15="","","")</f>
        <v/>
      </c>
      <c r="F89" s="66">
        <f>IF($CD$16="","",IF($CD$16="","",INDEX('Tính'!$K$39:$K$83,$CD$16)))</f>
        <v/>
      </c>
      <c r="G89" s="67">
        <f>IF($CD$16="","",IF($CD$16="","",INDEX('Tính'!$J$39:$J$83,$CD$16)))</f>
        <v/>
      </c>
      <c r="H89" s="66">
        <f>IF($CD$16="","",IF($CD$16="","",INDEX('Tính'!$L$39:$L$83,$CD$16)))</f>
        <v/>
      </c>
      <c r="I89" s="61">
        <f>IF($CD$16="","","")</f>
        <v/>
      </c>
      <c r="K89" s="66">
        <f>IF($CD$17="","",IF($CD$17="","",INDEX('Tính'!$K$39:$K$83,$CD$17)))</f>
        <v/>
      </c>
      <c r="L89" s="67">
        <f>IF($CD$17="","",IF($CD$17="","",INDEX('Tính'!$J$39:$J$83,$CD$17)))</f>
        <v/>
      </c>
      <c r="M89" s="66">
        <f>IF($CD$17="","",IF($CD$17="","",INDEX('Tính'!$L$39:$L$83,$CD$17)))</f>
        <v/>
      </c>
      <c r="N89" s="61">
        <f>IF($CD$17="","","")</f>
        <v/>
      </c>
      <c r="P89" s="66">
        <f>IF($CD$18="","",IF($CD$18="","",INDEX('Tính'!$K$39:$K$83,$CD$18)))</f>
        <v/>
      </c>
      <c r="Q89" s="67">
        <f>IF($CD$18="","",IF($CD$18="","",INDEX('Tính'!$J$39:$J$83,$CD$18)))</f>
        <v/>
      </c>
      <c r="R89" s="66">
        <f>IF($CD$18="","",IF($CD$18="","",INDEX('Tính'!$L$39:$L$83,$CD$18)))</f>
        <v/>
      </c>
      <c r="S89" s="61">
        <f>IF($CD$18="","","")</f>
        <v/>
      </c>
    </row>
    <row r="90">
      <c r="A90" s="57">
        <f>IF($CD$15="","","Nhóm hàng")</f>
        <v/>
      </c>
      <c r="B90" s="57">
        <f>IF($CD$15="","","TH")</f>
        <v/>
      </c>
      <c r="C90" s="57">
        <f>IF($CD$15="","","Target")</f>
        <v/>
      </c>
      <c r="D90" s="57">
        <f>IF($CD$15="","","DK")</f>
        <v/>
      </c>
      <c r="F90" s="57">
        <f>IF($CD$16="","","Nhóm hàng")</f>
        <v/>
      </c>
      <c r="G90" s="57">
        <f>IF($CD$16="","","TH")</f>
        <v/>
      </c>
      <c r="H90" s="57">
        <f>IF($CD$16="","","Target")</f>
        <v/>
      </c>
      <c r="I90" s="57">
        <f>IF($CD$16="","","DK")</f>
        <v/>
      </c>
      <c r="K90" s="57">
        <f>IF($CD$17="","","Nhóm hàng")</f>
        <v/>
      </c>
      <c r="L90" s="57">
        <f>IF($CD$17="","","TH")</f>
        <v/>
      </c>
      <c r="M90" s="57">
        <f>IF($CD$17="","","Target")</f>
        <v/>
      </c>
      <c r="N90" s="57">
        <f>IF($CD$17="","","DK")</f>
        <v/>
      </c>
      <c r="P90" s="57">
        <f>IF($CD$18="","","Nhóm hàng")</f>
        <v/>
      </c>
      <c r="Q90" s="57">
        <f>IF($CD$18="","","TH")</f>
        <v/>
      </c>
      <c r="R90" s="57">
        <f>IF($CD$18="","","Target")</f>
        <v/>
      </c>
      <c r="S90" s="57">
        <f>IF($CD$18="","","DK")</f>
        <v/>
      </c>
    </row>
    <row r="91">
      <c r="A91" s="68">
        <f>IF(OR($CD$15="",$BJ$3=""),"",INDEX($BA$3:$BA$22,$BJ$3))</f>
        <v/>
      </c>
      <c r="B91" s="69">
        <f>IF(A91="","",INDEX('Tính'!$C$86:$V$130,$CD$15,$BJ$3))</f>
        <v/>
      </c>
      <c r="C91" s="69">
        <f>IF(A91="","",INDEX('Tính'!$C$134:$V$178,$CD$15,$BJ$3))</f>
        <v/>
      </c>
      <c r="D91" s="70">
        <f>IF(A91="","",INDEX('Tính'!$C$182:$V$226,$CD$15,$BJ$3))</f>
        <v/>
      </c>
      <c r="F91" s="68">
        <f>IF(OR($CD$16="",$BJ$3=""),"",INDEX($BA$3:$BA$22,$BJ$3))</f>
        <v/>
      </c>
      <c r="G91" s="69">
        <f>IF(F91="","",INDEX('Tính'!$C$86:$V$130,$CD$16,$BJ$3))</f>
        <v/>
      </c>
      <c r="H91" s="69">
        <f>IF(F91="","",INDEX('Tính'!$C$134:$V$178,$CD$16,$BJ$3))</f>
        <v/>
      </c>
      <c r="I91" s="70">
        <f>IF(F91="","",INDEX('Tính'!$C$182:$V$226,$CD$16,$BJ$3))</f>
        <v/>
      </c>
      <c r="K91" s="68">
        <f>IF(OR($CD$17="",$BJ$3=""),"",INDEX($BA$3:$BA$22,$BJ$3))</f>
        <v/>
      </c>
      <c r="L91" s="69">
        <f>IF(K91="","",INDEX('Tính'!$C$86:$V$130,$CD$17,$BJ$3))</f>
        <v/>
      </c>
      <c r="M91" s="69">
        <f>IF(K91="","",INDEX('Tính'!$C$134:$V$178,$CD$17,$BJ$3))</f>
        <v/>
      </c>
      <c r="N91" s="70">
        <f>IF(K91="","",INDEX('Tính'!$C$182:$V$226,$CD$17,$BJ$3))</f>
        <v/>
      </c>
      <c r="P91" s="68">
        <f>IF(OR($CD$18="",$BJ$3=""),"",INDEX($BA$3:$BA$22,$BJ$3))</f>
        <v/>
      </c>
      <c r="Q91" s="69">
        <f>IF(P91="","",INDEX('Tính'!$C$86:$V$130,$CD$18,$BJ$3))</f>
        <v/>
      </c>
      <c r="R91" s="69">
        <f>IF(P91="","",INDEX('Tính'!$C$134:$V$178,$CD$18,$BJ$3))</f>
        <v/>
      </c>
      <c r="S91" s="70">
        <f>IF(P91="","",INDEX('Tính'!$C$182:$V$226,$CD$18,$BJ$3))</f>
        <v/>
      </c>
    </row>
    <row r="92">
      <c r="A92" s="68">
        <f>IF(OR($CD$15="",$BJ$4=""),"",INDEX($BA$3:$BA$22,$BJ$4))</f>
        <v/>
      </c>
      <c r="B92" s="69">
        <f>IF(A92="","",INDEX('Tính'!$C$86:$V$130,$CD$15,$BJ$4))</f>
        <v/>
      </c>
      <c r="C92" s="69">
        <f>IF(A92="","",INDEX('Tính'!$C$134:$V$178,$CD$15,$BJ$4))</f>
        <v/>
      </c>
      <c r="D92" s="70">
        <f>IF(A92="","",INDEX('Tính'!$C$182:$V$226,$CD$15,$BJ$4))</f>
        <v/>
      </c>
      <c r="F92" s="68">
        <f>IF(OR($CD$16="",$BJ$4=""),"",INDEX($BA$3:$BA$22,$BJ$4))</f>
        <v/>
      </c>
      <c r="G92" s="69">
        <f>IF(F92="","",INDEX('Tính'!$C$86:$V$130,$CD$16,$BJ$4))</f>
        <v/>
      </c>
      <c r="H92" s="69">
        <f>IF(F92="","",INDEX('Tính'!$C$134:$V$178,$CD$16,$BJ$4))</f>
        <v/>
      </c>
      <c r="I92" s="70">
        <f>IF(F92="","",INDEX('Tính'!$C$182:$V$226,$CD$16,$BJ$4))</f>
        <v/>
      </c>
      <c r="K92" s="68">
        <f>IF(OR($CD$17="",$BJ$4=""),"",INDEX($BA$3:$BA$22,$BJ$4))</f>
        <v/>
      </c>
      <c r="L92" s="69">
        <f>IF(K92="","",INDEX('Tính'!$C$86:$V$130,$CD$17,$BJ$4))</f>
        <v/>
      </c>
      <c r="M92" s="69">
        <f>IF(K92="","",INDEX('Tính'!$C$134:$V$178,$CD$17,$BJ$4))</f>
        <v/>
      </c>
      <c r="N92" s="70">
        <f>IF(K92="","",INDEX('Tính'!$C$182:$V$226,$CD$17,$BJ$4))</f>
        <v/>
      </c>
      <c r="P92" s="68">
        <f>IF(OR($CD$18="",$BJ$4=""),"",INDEX($BA$3:$BA$22,$BJ$4))</f>
        <v/>
      </c>
      <c r="Q92" s="69">
        <f>IF(P92="","",INDEX('Tính'!$C$86:$V$130,$CD$18,$BJ$4))</f>
        <v/>
      </c>
      <c r="R92" s="69">
        <f>IF(P92="","",INDEX('Tính'!$C$134:$V$178,$CD$18,$BJ$4))</f>
        <v/>
      </c>
      <c r="S92" s="70">
        <f>IF(P92="","",INDEX('Tính'!$C$182:$V$226,$CD$18,$BJ$4))</f>
        <v/>
      </c>
    </row>
    <row r="93">
      <c r="A93" s="68">
        <f>IF(OR($CD$15="",$BJ$5=""),"",INDEX($BA$3:$BA$22,$BJ$5))</f>
        <v/>
      </c>
      <c r="B93" s="69">
        <f>IF(A93="","",INDEX('Tính'!$C$86:$V$130,$CD$15,$BJ$5))</f>
        <v/>
      </c>
      <c r="C93" s="69">
        <f>IF(A93="","",INDEX('Tính'!$C$134:$V$178,$CD$15,$BJ$5))</f>
        <v/>
      </c>
      <c r="D93" s="70">
        <f>IF(A93="","",INDEX('Tính'!$C$182:$V$226,$CD$15,$BJ$5))</f>
        <v/>
      </c>
      <c r="F93" s="68">
        <f>IF(OR($CD$16="",$BJ$5=""),"",INDEX($BA$3:$BA$22,$BJ$5))</f>
        <v/>
      </c>
      <c r="G93" s="69">
        <f>IF(F93="","",INDEX('Tính'!$C$86:$V$130,$CD$16,$BJ$5))</f>
        <v/>
      </c>
      <c r="H93" s="69">
        <f>IF(F93="","",INDEX('Tính'!$C$134:$V$178,$CD$16,$BJ$5))</f>
        <v/>
      </c>
      <c r="I93" s="70">
        <f>IF(F93="","",INDEX('Tính'!$C$182:$V$226,$CD$16,$BJ$5))</f>
        <v/>
      </c>
      <c r="K93" s="68">
        <f>IF(OR($CD$17="",$BJ$5=""),"",INDEX($BA$3:$BA$22,$BJ$5))</f>
        <v/>
      </c>
      <c r="L93" s="69">
        <f>IF(K93="","",INDEX('Tính'!$C$86:$V$130,$CD$17,$BJ$5))</f>
        <v/>
      </c>
      <c r="M93" s="69">
        <f>IF(K93="","",INDEX('Tính'!$C$134:$V$178,$CD$17,$BJ$5))</f>
        <v/>
      </c>
      <c r="N93" s="70">
        <f>IF(K93="","",INDEX('Tính'!$C$182:$V$226,$CD$17,$BJ$5))</f>
        <v/>
      </c>
      <c r="P93" s="68">
        <f>IF(OR($CD$18="",$BJ$5=""),"",INDEX($BA$3:$BA$22,$BJ$5))</f>
        <v/>
      </c>
      <c r="Q93" s="69">
        <f>IF(P93="","",INDEX('Tính'!$C$86:$V$130,$CD$18,$BJ$5))</f>
        <v/>
      </c>
      <c r="R93" s="69">
        <f>IF(P93="","",INDEX('Tính'!$C$134:$V$178,$CD$18,$BJ$5))</f>
        <v/>
      </c>
      <c r="S93" s="70">
        <f>IF(P93="","",INDEX('Tính'!$C$182:$V$226,$CD$18,$BJ$5))</f>
        <v/>
      </c>
    </row>
    <row r="94">
      <c r="A94" s="68">
        <f>IF(OR($CD$15="",$BJ$6=""),"",INDEX($BA$3:$BA$22,$BJ$6))</f>
        <v/>
      </c>
      <c r="B94" s="69">
        <f>IF(A94="","",INDEX('Tính'!$C$86:$V$130,$CD$15,$BJ$6))</f>
        <v/>
      </c>
      <c r="C94" s="69">
        <f>IF(A94="","",INDEX('Tính'!$C$134:$V$178,$CD$15,$BJ$6))</f>
        <v/>
      </c>
      <c r="D94" s="70">
        <f>IF(A94="","",INDEX('Tính'!$C$182:$V$226,$CD$15,$BJ$6))</f>
        <v/>
      </c>
      <c r="F94" s="68">
        <f>IF(OR($CD$16="",$BJ$6=""),"",INDEX($BA$3:$BA$22,$BJ$6))</f>
        <v/>
      </c>
      <c r="G94" s="69">
        <f>IF(F94="","",INDEX('Tính'!$C$86:$V$130,$CD$16,$BJ$6))</f>
        <v/>
      </c>
      <c r="H94" s="69">
        <f>IF(F94="","",INDEX('Tính'!$C$134:$V$178,$CD$16,$BJ$6))</f>
        <v/>
      </c>
      <c r="I94" s="70">
        <f>IF(F94="","",INDEX('Tính'!$C$182:$V$226,$CD$16,$BJ$6))</f>
        <v/>
      </c>
      <c r="K94" s="68">
        <f>IF(OR($CD$17="",$BJ$6=""),"",INDEX($BA$3:$BA$22,$BJ$6))</f>
        <v/>
      </c>
      <c r="L94" s="69">
        <f>IF(K94="","",INDEX('Tính'!$C$86:$V$130,$CD$17,$BJ$6))</f>
        <v/>
      </c>
      <c r="M94" s="69">
        <f>IF(K94="","",INDEX('Tính'!$C$134:$V$178,$CD$17,$BJ$6))</f>
        <v/>
      </c>
      <c r="N94" s="70">
        <f>IF(K94="","",INDEX('Tính'!$C$182:$V$226,$CD$17,$BJ$6))</f>
        <v/>
      </c>
      <c r="P94" s="68">
        <f>IF(OR($CD$18="",$BJ$6=""),"",INDEX($BA$3:$BA$22,$BJ$6))</f>
        <v/>
      </c>
      <c r="Q94" s="69">
        <f>IF(P94="","",INDEX('Tính'!$C$86:$V$130,$CD$18,$BJ$6))</f>
        <v/>
      </c>
      <c r="R94" s="69">
        <f>IF(P94="","",INDEX('Tính'!$C$134:$V$178,$CD$18,$BJ$6))</f>
        <v/>
      </c>
      <c r="S94" s="70">
        <f>IF(P94="","",INDEX('Tính'!$C$182:$V$226,$CD$18,$BJ$6))</f>
        <v/>
      </c>
    </row>
    <row r="95">
      <c r="A95" s="68">
        <f>IF(OR($CD$15="",$BJ$7=""),"",INDEX($BA$3:$BA$22,$BJ$7))</f>
        <v/>
      </c>
      <c r="B95" s="69">
        <f>IF(A95="","",INDEX('Tính'!$C$86:$V$130,$CD$15,$BJ$7))</f>
        <v/>
      </c>
      <c r="C95" s="69">
        <f>IF(A95="","",INDEX('Tính'!$C$134:$V$178,$CD$15,$BJ$7))</f>
        <v/>
      </c>
      <c r="D95" s="70">
        <f>IF(A95="","",INDEX('Tính'!$C$182:$V$226,$CD$15,$BJ$7))</f>
        <v/>
      </c>
      <c r="F95" s="68">
        <f>IF(OR($CD$16="",$BJ$7=""),"",INDEX($BA$3:$BA$22,$BJ$7))</f>
        <v/>
      </c>
      <c r="G95" s="69">
        <f>IF(F95="","",INDEX('Tính'!$C$86:$V$130,$CD$16,$BJ$7))</f>
        <v/>
      </c>
      <c r="H95" s="69">
        <f>IF(F95="","",INDEX('Tính'!$C$134:$V$178,$CD$16,$BJ$7))</f>
        <v/>
      </c>
      <c r="I95" s="70">
        <f>IF(F95="","",INDEX('Tính'!$C$182:$V$226,$CD$16,$BJ$7))</f>
        <v/>
      </c>
      <c r="K95" s="68">
        <f>IF(OR($CD$17="",$BJ$7=""),"",INDEX($BA$3:$BA$22,$BJ$7))</f>
        <v/>
      </c>
      <c r="L95" s="69">
        <f>IF(K95="","",INDEX('Tính'!$C$86:$V$130,$CD$17,$BJ$7))</f>
        <v/>
      </c>
      <c r="M95" s="69">
        <f>IF(K95="","",INDEX('Tính'!$C$134:$V$178,$CD$17,$BJ$7))</f>
        <v/>
      </c>
      <c r="N95" s="70">
        <f>IF(K95="","",INDEX('Tính'!$C$182:$V$226,$CD$17,$BJ$7))</f>
        <v/>
      </c>
      <c r="P95" s="68">
        <f>IF(OR($CD$18="",$BJ$7=""),"",INDEX($BA$3:$BA$22,$BJ$7))</f>
        <v/>
      </c>
      <c r="Q95" s="69">
        <f>IF(P95="","",INDEX('Tính'!$C$86:$V$130,$CD$18,$BJ$7))</f>
        <v/>
      </c>
      <c r="R95" s="69">
        <f>IF(P95="","",INDEX('Tính'!$C$134:$V$178,$CD$18,$BJ$7))</f>
        <v/>
      </c>
      <c r="S95" s="70">
        <f>IF(P95="","",INDEX('Tính'!$C$182:$V$226,$CD$18,$BJ$7))</f>
        <v/>
      </c>
    </row>
    <row r="96">
      <c r="A96" s="68">
        <f>IF(OR($CD$15="",$BJ$8=""),"",INDEX($BA$3:$BA$22,$BJ$8))</f>
        <v/>
      </c>
      <c r="B96" s="69">
        <f>IF(A96="","",INDEX('Tính'!$C$86:$V$130,$CD$15,$BJ$8))</f>
        <v/>
      </c>
      <c r="C96" s="69">
        <f>IF(A96="","",INDEX('Tính'!$C$134:$V$178,$CD$15,$BJ$8))</f>
        <v/>
      </c>
      <c r="D96" s="70">
        <f>IF(A96="","",INDEX('Tính'!$C$182:$V$226,$CD$15,$BJ$8))</f>
        <v/>
      </c>
      <c r="F96" s="68">
        <f>IF(OR($CD$16="",$BJ$8=""),"",INDEX($BA$3:$BA$22,$BJ$8))</f>
        <v/>
      </c>
      <c r="G96" s="69">
        <f>IF(F96="","",INDEX('Tính'!$C$86:$V$130,$CD$16,$BJ$8))</f>
        <v/>
      </c>
      <c r="H96" s="69">
        <f>IF(F96="","",INDEX('Tính'!$C$134:$V$178,$CD$16,$BJ$8))</f>
        <v/>
      </c>
      <c r="I96" s="70">
        <f>IF(F96="","",INDEX('Tính'!$C$182:$V$226,$CD$16,$BJ$8))</f>
        <v/>
      </c>
      <c r="K96" s="68">
        <f>IF(OR($CD$17="",$BJ$8=""),"",INDEX($BA$3:$BA$22,$BJ$8))</f>
        <v/>
      </c>
      <c r="L96" s="69">
        <f>IF(K96="","",INDEX('Tính'!$C$86:$V$130,$CD$17,$BJ$8))</f>
        <v/>
      </c>
      <c r="M96" s="69">
        <f>IF(K96="","",INDEX('Tính'!$C$134:$V$178,$CD$17,$BJ$8))</f>
        <v/>
      </c>
      <c r="N96" s="70">
        <f>IF(K96="","",INDEX('Tính'!$C$182:$V$226,$CD$17,$BJ$8))</f>
        <v/>
      </c>
      <c r="P96" s="68">
        <f>IF(OR($CD$18="",$BJ$8=""),"",INDEX($BA$3:$BA$22,$BJ$8))</f>
        <v/>
      </c>
      <c r="Q96" s="69">
        <f>IF(P96="","",INDEX('Tính'!$C$86:$V$130,$CD$18,$BJ$8))</f>
        <v/>
      </c>
      <c r="R96" s="69">
        <f>IF(P96="","",INDEX('Tính'!$C$134:$V$178,$CD$18,$BJ$8))</f>
        <v/>
      </c>
      <c r="S96" s="70">
        <f>IF(P96="","",INDEX('Tính'!$C$182:$V$226,$CD$18,$BJ$8))</f>
        <v/>
      </c>
    </row>
    <row r="97">
      <c r="A97" s="68">
        <f>IF(OR($CD$15="",$BJ$9=""),"",INDEX($BA$3:$BA$22,$BJ$9))</f>
        <v/>
      </c>
      <c r="B97" s="69">
        <f>IF(A97="","",INDEX('Tính'!$C$86:$V$130,$CD$15,$BJ$9))</f>
        <v/>
      </c>
      <c r="C97" s="69">
        <f>IF(A97="","",INDEX('Tính'!$C$134:$V$178,$CD$15,$BJ$9))</f>
        <v/>
      </c>
      <c r="D97" s="70">
        <f>IF(A97="","",INDEX('Tính'!$C$182:$V$226,$CD$15,$BJ$9))</f>
        <v/>
      </c>
      <c r="F97" s="68">
        <f>IF(OR($CD$16="",$BJ$9=""),"",INDEX($BA$3:$BA$22,$BJ$9))</f>
        <v/>
      </c>
      <c r="G97" s="69">
        <f>IF(F97="","",INDEX('Tính'!$C$86:$V$130,$CD$16,$BJ$9))</f>
        <v/>
      </c>
      <c r="H97" s="69">
        <f>IF(F97="","",INDEX('Tính'!$C$134:$V$178,$CD$16,$BJ$9))</f>
        <v/>
      </c>
      <c r="I97" s="70">
        <f>IF(F97="","",INDEX('Tính'!$C$182:$V$226,$CD$16,$BJ$9))</f>
        <v/>
      </c>
      <c r="K97" s="68">
        <f>IF(OR($CD$17="",$BJ$9=""),"",INDEX($BA$3:$BA$22,$BJ$9))</f>
        <v/>
      </c>
      <c r="L97" s="69">
        <f>IF(K97="","",INDEX('Tính'!$C$86:$V$130,$CD$17,$BJ$9))</f>
        <v/>
      </c>
      <c r="M97" s="69">
        <f>IF(K97="","",INDEX('Tính'!$C$134:$V$178,$CD$17,$BJ$9))</f>
        <v/>
      </c>
      <c r="N97" s="70">
        <f>IF(K97="","",INDEX('Tính'!$C$182:$V$226,$CD$17,$BJ$9))</f>
        <v/>
      </c>
      <c r="P97" s="68">
        <f>IF(OR($CD$18="",$BJ$9=""),"",INDEX($BA$3:$BA$22,$BJ$9))</f>
        <v/>
      </c>
      <c r="Q97" s="69">
        <f>IF(P97="","",INDEX('Tính'!$C$86:$V$130,$CD$18,$BJ$9))</f>
        <v/>
      </c>
      <c r="R97" s="69">
        <f>IF(P97="","",INDEX('Tính'!$C$134:$V$178,$CD$18,$BJ$9))</f>
        <v/>
      </c>
      <c r="S97" s="70">
        <f>IF(P97="","",INDEX('Tính'!$C$182:$V$226,$CD$18,$BJ$9))</f>
        <v/>
      </c>
    </row>
    <row r="98">
      <c r="A98" s="68">
        <f>IF(OR($CD$15="",$BJ$10=""),"",INDEX($BA$3:$BA$22,$BJ$10))</f>
        <v/>
      </c>
      <c r="B98" s="69">
        <f>IF(A98="","",INDEX('Tính'!$C$86:$V$130,$CD$15,$BJ$10))</f>
        <v/>
      </c>
      <c r="C98" s="69">
        <f>IF(A98="","",INDEX('Tính'!$C$134:$V$178,$CD$15,$BJ$10))</f>
        <v/>
      </c>
      <c r="D98" s="70">
        <f>IF(A98="","",INDEX('Tính'!$C$182:$V$226,$CD$15,$BJ$10))</f>
        <v/>
      </c>
      <c r="F98" s="68">
        <f>IF(OR($CD$16="",$BJ$10=""),"",INDEX($BA$3:$BA$22,$BJ$10))</f>
        <v/>
      </c>
      <c r="G98" s="69">
        <f>IF(F98="","",INDEX('Tính'!$C$86:$V$130,$CD$16,$BJ$10))</f>
        <v/>
      </c>
      <c r="H98" s="69">
        <f>IF(F98="","",INDEX('Tính'!$C$134:$V$178,$CD$16,$BJ$10))</f>
        <v/>
      </c>
      <c r="I98" s="70">
        <f>IF(F98="","",INDEX('Tính'!$C$182:$V$226,$CD$16,$BJ$10))</f>
        <v/>
      </c>
      <c r="K98" s="68">
        <f>IF(OR($CD$17="",$BJ$10=""),"",INDEX($BA$3:$BA$22,$BJ$10))</f>
        <v/>
      </c>
      <c r="L98" s="69">
        <f>IF(K98="","",INDEX('Tính'!$C$86:$V$130,$CD$17,$BJ$10))</f>
        <v/>
      </c>
      <c r="M98" s="69">
        <f>IF(K98="","",INDEX('Tính'!$C$134:$V$178,$CD$17,$BJ$10))</f>
        <v/>
      </c>
      <c r="N98" s="70">
        <f>IF(K98="","",INDEX('Tính'!$C$182:$V$226,$CD$17,$BJ$10))</f>
        <v/>
      </c>
      <c r="P98" s="68">
        <f>IF(OR($CD$18="",$BJ$10=""),"",INDEX($BA$3:$BA$22,$BJ$10))</f>
        <v/>
      </c>
      <c r="Q98" s="69">
        <f>IF(P98="","",INDEX('Tính'!$C$86:$V$130,$CD$18,$BJ$10))</f>
        <v/>
      </c>
      <c r="R98" s="69">
        <f>IF(P98="","",INDEX('Tính'!$C$134:$V$178,$CD$18,$BJ$10))</f>
        <v/>
      </c>
      <c r="S98" s="70">
        <f>IF(P98="","",INDEX('Tính'!$C$182:$V$226,$CD$18,$BJ$10))</f>
        <v/>
      </c>
    </row>
    <row r="99">
      <c r="A99" s="68">
        <f>IF(OR($CD$15="",$BJ$11=""),"",INDEX($BA$3:$BA$22,$BJ$11))</f>
        <v/>
      </c>
      <c r="B99" s="69">
        <f>IF(A99="","",INDEX('Tính'!$C$86:$V$130,$CD$15,$BJ$11))</f>
        <v/>
      </c>
      <c r="C99" s="69">
        <f>IF(A99="","",INDEX('Tính'!$C$134:$V$178,$CD$15,$BJ$11))</f>
        <v/>
      </c>
      <c r="D99" s="70">
        <f>IF(A99="","",INDEX('Tính'!$C$182:$V$226,$CD$15,$BJ$11))</f>
        <v/>
      </c>
      <c r="F99" s="68">
        <f>IF(OR($CD$16="",$BJ$11=""),"",INDEX($BA$3:$BA$22,$BJ$11))</f>
        <v/>
      </c>
      <c r="G99" s="69">
        <f>IF(F99="","",INDEX('Tính'!$C$86:$V$130,$CD$16,$BJ$11))</f>
        <v/>
      </c>
      <c r="H99" s="69">
        <f>IF(F99="","",INDEX('Tính'!$C$134:$V$178,$CD$16,$BJ$11))</f>
        <v/>
      </c>
      <c r="I99" s="70">
        <f>IF(F99="","",INDEX('Tính'!$C$182:$V$226,$CD$16,$BJ$11))</f>
        <v/>
      </c>
      <c r="K99" s="68">
        <f>IF(OR($CD$17="",$BJ$11=""),"",INDEX($BA$3:$BA$22,$BJ$11))</f>
        <v/>
      </c>
      <c r="L99" s="69">
        <f>IF(K99="","",INDEX('Tính'!$C$86:$V$130,$CD$17,$BJ$11))</f>
        <v/>
      </c>
      <c r="M99" s="69">
        <f>IF(K99="","",INDEX('Tính'!$C$134:$V$178,$CD$17,$BJ$11))</f>
        <v/>
      </c>
      <c r="N99" s="70">
        <f>IF(K99="","",INDEX('Tính'!$C$182:$V$226,$CD$17,$BJ$11))</f>
        <v/>
      </c>
      <c r="P99" s="68">
        <f>IF(OR($CD$18="",$BJ$11=""),"",INDEX($BA$3:$BA$22,$BJ$11))</f>
        <v/>
      </c>
      <c r="Q99" s="69">
        <f>IF(P99="","",INDEX('Tính'!$C$86:$V$130,$CD$18,$BJ$11))</f>
        <v/>
      </c>
      <c r="R99" s="69">
        <f>IF(P99="","",INDEX('Tính'!$C$134:$V$178,$CD$18,$BJ$11))</f>
        <v/>
      </c>
      <c r="S99" s="70">
        <f>IF(P99="","",INDEX('Tính'!$C$182:$V$226,$CD$18,$BJ$11))</f>
        <v/>
      </c>
    </row>
    <row r="100">
      <c r="A100" s="68">
        <f>IF(OR($CD$15="",$BJ$12=""),"",INDEX($BA$3:$BA$22,$BJ$12))</f>
        <v/>
      </c>
      <c r="B100" s="69">
        <f>IF(A100="","",INDEX('Tính'!$C$86:$V$130,$CD$15,$BJ$12))</f>
        <v/>
      </c>
      <c r="C100" s="69">
        <f>IF(A100="","",INDEX('Tính'!$C$134:$V$178,$CD$15,$BJ$12))</f>
        <v/>
      </c>
      <c r="D100" s="70">
        <f>IF(A100="","",INDEX('Tính'!$C$182:$V$226,$CD$15,$BJ$12))</f>
        <v/>
      </c>
      <c r="F100" s="68">
        <f>IF(OR($CD$16="",$BJ$12=""),"",INDEX($BA$3:$BA$22,$BJ$12))</f>
        <v/>
      </c>
      <c r="G100" s="69">
        <f>IF(F100="","",INDEX('Tính'!$C$86:$V$130,$CD$16,$BJ$12))</f>
        <v/>
      </c>
      <c r="H100" s="69">
        <f>IF(F100="","",INDEX('Tính'!$C$134:$V$178,$CD$16,$BJ$12))</f>
        <v/>
      </c>
      <c r="I100" s="70">
        <f>IF(F100="","",INDEX('Tính'!$C$182:$V$226,$CD$16,$BJ$12))</f>
        <v/>
      </c>
      <c r="K100" s="68">
        <f>IF(OR($CD$17="",$BJ$12=""),"",INDEX($BA$3:$BA$22,$BJ$12))</f>
        <v/>
      </c>
      <c r="L100" s="69">
        <f>IF(K100="","",INDEX('Tính'!$C$86:$V$130,$CD$17,$BJ$12))</f>
        <v/>
      </c>
      <c r="M100" s="69">
        <f>IF(K100="","",INDEX('Tính'!$C$134:$V$178,$CD$17,$BJ$12))</f>
        <v/>
      </c>
      <c r="N100" s="70">
        <f>IF(K100="","",INDEX('Tính'!$C$182:$V$226,$CD$17,$BJ$12))</f>
        <v/>
      </c>
      <c r="P100" s="68">
        <f>IF(OR($CD$18="",$BJ$12=""),"",INDEX($BA$3:$BA$22,$BJ$12))</f>
        <v/>
      </c>
      <c r="Q100" s="69">
        <f>IF(P100="","",INDEX('Tính'!$C$86:$V$130,$CD$18,$BJ$12))</f>
        <v/>
      </c>
      <c r="R100" s="69">
        <f>IF(P100="","",INDEX('Tính'!$C$134:$V$178,$CD$18,$BJ$12))</f>
        <v/>
      </c>
      <c r="S100" s="70">
        <f>IF(P100="","",INDEX('Tính'!$C$182:$V$226,$CD$18,$BJ$12))</f>
        <v/>
      </c>
    </row>
    <row r="101">
      <c r="A101" s="68">
        <f>IF(OR($CD$15="",$BJ$13=""),"",INDEX($BA$3:$BA$22,$BJ$13))</f>
        <v/>
      </c>
      <c r="B101" s="69">
        <f>IF(A101="","",INDEX('Tính'!$C$86:$V$130,$CD$15,$BJ$13))</f>
        <v/>
      </c>
      <c r="C101" s="69">
        <f>IF(A101="","",INDEX('Tính'!$C$134:$V$178,$CD$15,$BJ$13))</f>
        <v/>
      </c>
      <c r="D101" s="70">
        <f>IF(A101="","",INDEX('Tính'!$C$182:$V$226,$CD$15,$BJ$13))</f>
        <v/>
      </c>
      <c r="F101" s="68">
        <f>IF(OR($CD$16="",$BJ$13=""),"",INDEX($BA$3:$BA$22,$BJ$13))</f>
        <v/>
      </c>
      <c r="G101" s="69">
        <f>IF(F101="","",INDEX('Tính'!$C$86:$V$130,$CD$16,$BJ$13))</f>
        <v/>
      </c>
      <c r="H101" s="69">
        <f>IF(F101="","",INDEX('Tính'!$C$134:$V$178,$CD$16,$BJ$13))</f>
        <v/>
      </c>
      <c r="I101" s="70">
        <f>IF(F101="","",INDEX('Tính'!$C$182:$V$226,$CD$16,$BJ$13))</f>
        <v/>
      </c>
      <c r="K101" s="68">
        <f>IF(OR($CD$17="",$BJ$13=""),"",INDEX($BA$3:$BA$22,$BJ$13))</f>
        <v/>
      </c>
      <c r="L101" s="69">
        <f>IF(K101="","",INDEX('Tính'!$C$86:$V$130,$CD$17,$BJ$13))</f>
        <v/>
      </c>
      <c r="M101" s="69">
        <f>IF(K101="","",INDEX('Tính'!$C$134:$V$178,$CD$17,$BJ$13))</f>
        <v/>
      </c>
      <c r="N101" s="70">
        <f>IF(K101="","",INDEX('Tính'!$C$182:$V$226,$CD$17,$BJ$13))</f>
        <v/>
      </c>
      <c r="P101" s="68">
        <f>IF(OR($CD$18="",$BJ$13=""),"",INDEX($BA$3:$BA$22,$BJ$13))</f>
        <v/>
      </c>
      <c r="Q101" s="69">
        <f>IF(P101="","",INDEX('Tính'!$C$86:$V$130,$CD$18,$BJ$13))</f>
        <v/>
      </c>
      <c r="R101" s="69">
        <f>IF(P101="","",INDEX('Tính'!$C$134:$V$178,$CD$18,$BJ$13))</f>
        <v/>
      </c>
      <c r="S101" s="70">
        <f>IF(P101="","",INDEX('Tính'!$C$182:$V$226,$CD$18,$BJ$13))</f>
        <v/>
      </c>
    </row>
    <row r="102">
      <c r="A102" s="68">
        <f>IF(OR($CD$15="",$BJ$14=""),"",INDEX($BA$3:$BA$22,$BJ$14))</f>
        <v/>
      </c>
      <c r="B102" s="69">
        <f>IF(A102="","",INDEX('Tính'!$C$86:$V$130,$CD$15,$BJ$14))</f>
        <v/>
      </c>
      <c r="C102" s="69">
        <f>IF(A102="","",INDEX('Tính'!$C$134:$V$178,$CD$15,$BJ$14))</f>
        <v/>
      </c>
      <c r="D102" s="70">
        <f>IF(A102="","",INDEX('Tính'!$C$182:$V$226,$CD$15,$BJ$14))</f>
        <v/>
      </c>
      <c r="F102" s="68">
        <f>IF(OR($CD$16="",$BJ$14=""),"",INDEX($BA$3:$BA$22,$BJ$14))</f>
        <v/>
      </c>
      <c r="G102" s="69">
        <f>IF(F102="","",INDEX('Tính'!$C$86:$V$130,$CD$16,$BJ$14))</f>
        <v/>
      </c>
      <c r="H102" s="69">
        <f>IF(F102="","",INDEX('Tính'!$C$134:$V$178,$CD$16,$BJ$14))</f>
        <v/>
      </c>
      <c r="I102" s="70">
        <f>IF(F102="","",INDEX('Tính'!$C$182:$V$226,$CD$16,$BJ$14))</f>
        <v/>
      </c>
      <c r="K102" s="68">
        <f>IF(OR($CD$17="",$BJ$14=""),"",INDEX($BA$3:$BA$22,$BJ$14))</f>
        <v/>
      </c>
      <c r="L102" s="69">
        <f>IF(K102="","",INDEX('Tính'!$C$86:$V$130,$CD$17,$BJ$14))</f>
        <v/>
      </c>
      <c r="M102" s="69">
        <f>IF(K102="","",INDEX('Tính'!$C$134:$V$178,$CD$17,$BJ$14))</f>
        <v/>
      </c>
      <c r="N102" s="70">
        <f>IF(K102="","",INDEX('Tính'!$C$182:$V$226,$CD$17,$BJ$14))</f>
        <v/>
      </c>
      <c r="P102" s="68">
        <f>IF(OR($CD$18="",$BJ$14=""),"",INDEX($BA$3:$BA$22,$BJ$14))</f>
        <v/>
      </c>
      <c r="Q102" s="69">
        <f>IF(P102="","",INDEX('Tính'!$C$86:$V$130,$CD$18,$BJ$14))</f>
        <v/>
      </c>
      <c r="R102" s="69">
        <f>IF(P102="","",INDEX('Tính'!$C$134:$V$178,$CD$18,$BJ$14))</f>
        <v/>
      </c>
      <c r="S102" s="70">
        <f>IF(P102="","",INDEX('Tính'!$C$182:$V$226,$CD$18,$BJ$14))</f>
        <v/>
      </c>
    </row>
    <row r="103">
      <c r="A103" s="68">
        <f>IF(OR($CD$15="",$BJ$15=""),"",INDEX($BA$3:$BA$22,$BJ$15))</f>
        <v/>
      </c>
      <c r="B103" s="69">
        <f>IF(A103="","",INDEX('Tính'!$C$86:$V$130,$CD$15,$BJ$15))</f>
        <v/>
      </c>
      <c r="C103" s="69">
        <f>IF(A103="","",INDEX('Tính'!$C$134:$V$178,$CD$15,$BJ$15))</f>
        <v/>
      </c>
      <c r="D103" s="70">
        <f>IF(A103="","",INDEX('Tính'!$C$182:$V$226,$CD$15,$BJ$15))</f>
        <v/>
      </c>
      <c r="F103" s="68">
        <f>IF(OR($CD$16="",$BJ$15=""),"",INDEX($BA$3:$BA$22,$BJ$15))</f>
        <v/>
      </c>
      <c r="G103" s="69">
        <f>IF(F103="","",INDEX('Tính'!$C$86:$V$130,$CD$16,$BJ$15))</f>
        <v/>
      </c>
      <c r="H103" s="69">
        <f>IF(F103="","",INDEX('Tính'!$C$134:$V$178,$CD$16,$BJ$15))</f>
        <v/>
      </c>
      <c r="I103" s="70">
        <f>IF(F103="","",INDEX('Tính'!$C$182:$V$226,$CD$16,$BJ$15))</f>
        <v/>
      </c>
      <c r="K103" s="68">
        <f>IF(OR($CD$17="",$BJ$15=""),"",INDEX($BA$3:$BA$22,$BJ$15))</f>
        <v/>
      </c>
      <c r="L103" s="69">
        <f>IF(K103="","",INDEX('Tính'!$C$86:$V$130,$CD$17,$BJ$15))</f>
        <v/>
      </c>
      <c r="M103" s="69">
        <f>IF(K103="","",INDEX('Tính'!$C$134:$V$178,$CD$17,$BJ$15))</f>
        <v/>
      </c>
      <c r="N103" s="70">
        <f>IF(K103="","",INDEX('Tính'!$C$182:$V$226,$CD$17,$BJ$15))</f>
        <v/>
      </c>
      <c r="P103" s="68">
        <f>IF(OR($CD$18="",$BJ$15=""),"",INDEX($BA$3:$BA$22,$BJ$15))</f>
        <v/>
      </c>
      <c r="Q103" s="69">
        <f>IF(P103="","",INDEX('Tính'!$C$86:$V$130,$CD$18,$BJ$15))</f>
        <v/>
      </c>
      <c r="R103" s="69">
        <f>IF(P103="","",INDEX('Tính'!$C$134:$V$178,$CD$18,$BJ$15))</f>
        <v/>
      </c>
      <c r="S103" s="70">
        <f>IF(P103="","",INDEX('Tính'!$C$182:$V$226,$CD$18,$BJ$15))</f>
        <v/>
      </c>
    </row>
    <row r="104">
      <c r="A104" s="68">
        <f>IF(OR($CD$15="",$BJ$16=""),"",INDEX($BA$3:$BA$22,$BJ$16))</f>
        <v/>
      </c>
      <c r="B104" s="69">
        <f>IF(A104="","",INDEX('Tính'!$C$86:$V$130,$CD$15,$BJ$16))</f>
        <v/>
      </c>
      <c r="C104" s="69">
        <f>IF(A104="","",INDEX('Tính'!$C$134:$V$178,$CD$15,$BJ$16))</f>
        <v/>
      </c>
      <c r="D104" s="70">
        <f>IF(A104="","",INDEX('Tính'!$C$182:$V$226,$CD$15,$BJ$16))</f>
        <v/>
      </c>
      <c r="F104" s="68">
        <f>IF(OR($CD$16="",$BJ$16=""),"",INDEX($BA$3:$BA$22,$BJ$16))</f>
        <v/>
      </c>
      <c r="G104" s="69">
        <f>IF(F104="","",INDEX('Tính'!$C$86:$V$130,$CD$16,$BJ$16))</f>
        <v/>
      </c>
      <c r="H104" s="69">
        <f>IF(F104="","",INDEX('Tính'!$C$134:$V$178,$CD$16,$BJ$16))</f>
        <v/>
      </c>
      <c r="I104" s="70">
        <f>IF(F104="","",INDEX('Tính'!$C$182:$V$226,$CD$16,$BJ$16))</f>
        <v/>
      </c>
      <c r="K104" s="68">
        <f>IF(OR($CD$17="",$BJ$16=""),"",INDEX($BA$3:$BA$22,$BJ$16))</f>
        <v/>
      </c>
      <c r="L104" s="69">
        <f>IF(K104="","",INDEX('Tính'!$C$86:$V$130,$CD$17,$BJ$16))</f>
        <v/>
      </c>
      <c r="M104" s="69">
        <f>IF(K104="","",INDEX('Tính'!$C$134:$V$178,$CD$17,$BJ$16))</f>
        <v/>
      </c>
      <c r="N104" s="70">
        <f>IF(K104="","",INDEX('Tính'!$C$182:$V$226,$CD$17,$BJ$16))</f>
        <v/>
      </c>
      <c r="P104" s="68">
        <f>IF(OR($CD$18="",$BJ$16=""),"",INDEX($BA$3:$BA$22,$BJ$16))</f>
        <v/>
      </c>
      <c r="Q104" s="69">
        <f>IF(P104="","",INDEX('Tính'!$C$86:$V$130,$CD$18,$BJ$16))</f>
        <v/>
      </c>
      <c r="R104" s="69">
        <f>IF(P104="","",INDEX('Tính'!$C$134:$V$178,$CD$18,$BJ$16))</f>
        <v/>
      </c>
      <c r="S104" s="70">
        <f>IF(P104="","",INDEX('Tính'!$C$182:$V$226,$CD$18,$BJ$16))</f>
        <v/>
      </c>
    </row>
    <row r="105">
      <c r="A105" s="68">
        <f>IF(OR($CD$15="",$BJ$17=""),"",INDEX($BA$3:$BA$22,$BJ$17))</f>
        <v/>
      </c>
      <c r="B105" s="69">
        <f>IF(A105="","",INDEX('Tính'!$C$86:$V$130,$CD$15,$BJ$17))</f>
        <v/>
      </c>
      <c r="C105" s="69">
        <f>IF(A105="","",INDEX('Tính'!$C$134:$V$178,$CD$15,$BJ$17))</f>
        <v/>
      </c>
      <c r="D105" s="70">
        <f>IF(A105="","",INDEX('Tính'!$C$182:$V$226,$CD$15,$BJ$17))</f>
        <v/>
      </c>
      <c r="F105" s="68">
        <f>IF(OR($CD$16="",$BJ$17=""),"",INDEX($BA$3:$BA$22,$BJ$17))</f>
        <v/>
      </c>
      <c r="G105" s="69">
        <f>IF(F105="","",INDEX('Tính'!$C$86:$V$130,$CD$16,$BJ$17))</f>
        <v/>
      </c>
      <c r="H105" s="69">
        <f>IF(F105="","",INDEX('Tính'!$C$134:$V$178,$CD$16,$BJ$17))</f>
        <v/>
      </c>
      <c r="I105" s="70">
        <f>IF(F105="","",INDEX('Tính'!$C$182:$V$226,$CD$16,$BJ$17))</f>
        <v/>
      </c>
      <c r="K105" s="68">
        <f>IF(OR($CD$17="",$BJ$17=""),"",INDEX($BA$3:$BA$22,$BJ$17))</f>
        <v/>
      </c>
      <c r="L105" s="69">
        <f>IF(K105="","",INDEX('Tính'!$C$86:$V$130,$CD$17,$BJ$17))</f>
        <v/>
      </c>
      <c r="M105" s="69">
        <f>IF(K105="","",INDEX('Tính'!$C$134:$V$178,$CD$17,$BJ$17))</f>
        <v/>
      </c>
      <c r="N105" s="70">
        <f>IF(K105="","",INDEX('Tính'!$C$182:$V$226,$CD$17,$BJ$17))</f>
        <v/>
      </c>
      <c r="P105" s="68">
        <f>IF(OR($CD$18="",$BJ$17=""),"",INDEX($BA$3:$BA$22,$BJ$17))</f>
        <v/>
      </c>
      <c r="Q105" s="69">
        <f>IF(P105="","",INDEX('Tính'!$C$86:$V$130,$CD$18,$BJ$17))</f>
        <v/>
      </c>
      <c r="R105" s="69">
        <f>IF(P105="","",INDEX('Tính'!$C$134:$V$178,$CD$18,$BJ$17))</f>
        <v/>
      </c>
      <c r="S105" s="70">
        <f>IF(P105="","",INDEX('Tính'!$C$182:$V$226,$CD$18,$BJ$17))</f>
        <v/>
      </c>
    </row>
    <row r="106">
      <c r="A106" s="68">
        <f>IF(OR($CD$15="",$BJ$18=""),"",INDEX($BA$3:$BA$22,$BJ$18))</f>
        <v/>
      </c>
      <c r="B106" s="69">
        <f>IF(A106="","",INDEX('Tính'!$C$86:$V$130,$CD$15,$BJ$18))</f>
        <v/>
      </c>
      <c r="C106" s="69">
        <f>IF(A106="","",INDEX('Tính'!$C$134:$V$178,$CD$15,$BJ$18))</f>
        <v/>
      </c>
      <c r="D106" s="70">
        <f>IF(A106="","",INDEX('Tính'!$C$182:$V$226,$CD$15,$BJ$18))</f>
        <v/>
      </c>
      <c r="F106" s="68">
        <f>IF(OR($CD$16="",$BJ$18=""),"",INDEX($BA$3:$BA$22,$BJ$18))</f>
        <v/>
      </c>
      <c r="G106" s="69">
        <f>IF(F106="","",INDEX('Tính'!$C$86:$V$130,$CD$16,$BJ$18))</f>
        <v/>
      </c>
      <c r="H106" s="69">
        <f>IF(F106="","",INDEX('Tính'!$C$134:$V$178,$CD$16,$BJ$18))</f>
        <v/>
      </c>
      <c r="I106" s="70">
        <f>IF(F106="","",INDEX('Tính'!$C$182:$V$226,$CD$16,$BJ$18))</f>
        <v/>
      </c>
      <c r="K106" s="68">
        <f>IF(OR($CD$17="",$BJ$18=""),"",INDEX($BA$3:$BA$22,$BJ$18))</f>
        <v/>
      </c>
      <c r="L106" s="69">
        <f>IF(K106="","",INDEX('Tính'!$C$86:$V$130,$CD$17,$BJ$18))</f>
        <v/>
      </c>
      <c r="M106" s="69">
        <f>IF(K106="","",INDEX('Tính'!$C$134:$V$178,$CD$17,$BJ$18))</f>
        <v/>
      </c>
      <c r="N106" s="70">
        <f>IF(K106="","",INDEX('Tính'!$C$182:$V$226,$CD$17,$BJ$18))</f>
        <v/>
      </c>
      <c r="P106" s="68">
        <f>IF(OR($CD$18="",$BJ$18=""),"",INDEX($BA$3:$BA$22,$BJ$18))</f>
        <v/>
      </c>
      <c r="Q106" s="69">
        <f>IF(P106="","",INDEX('Tính'!$C$86:$V$130,$CD$18,$BJ$18))</f>
        <v/>
      </c>
      <c r="R106" s="69">
        <f>IF(P106="","",INDEX('Tính'!$C$134:$V$178,$CD$18,$BJ$18))</f>
        <v/>
      </c>
      <c r="S106" s="70">
        <f>IF(P106="","",INDEX('Tính'!$C$182:$V$226,$CD$18,$BJ$18))</f>
        <v/>
      </c>
    </row>
    <row r="107">
      <c r="A107" s="68">
        <f>IF(OR($CD$15="",$BJ$19=""),"",INDEX($BA$3:$BA$22,$BJ$19))</f>
        <v/>
      </c>
      <c r="B107" s="69">
        <f>IF(A107="","",INDEX('Tính'!$C$86:$V$130,$CD$15,$BJ$19))</f>
        <v/>
      </c>
      <c r="C107" s="69">
        <f>IF(A107="","",INDEX('Tính'!$C$134:$V$178,$CD$15,$BJ$19))</f>
        <v/>
      </c>
      <c r="D107" s="70">
        <f>IF(A107="","",INDEX('Tính'!$C$182:$V$226,$CD$15,$BJ$19))</f>
        <v/>
      </c>
      <c r="F107" s="68">
        <f>IF(OR($CD$16="",$BJ$19=""),"",INDEX($BA$3:$BA$22,$BJ$19))</f>
        <v/>
      </c>
      <c r="G107" s="69">
        <f>IF(F107="","",INDEX('Tính'!$C$86:$V$130,$CD$16,$BJ$19))</f>
        <v/>
      </c>
      <c r="H107" s="69">
        <f>IF(F107="","",INDEX('Tính'!$C$134:$V$178,$CD$16,$BJ$19))</f>
        <v/>
      </c>
      <c r="I107" s="70">
        <f>IF(F107="","",INDEX('Tính'!$C$182:$V$226,$CD$16,$BJ$19))</f>
        <v/>
      </c>
      <c r="K107" s="68">
        <f>IF(OR($CD$17="",$BJ$19=""),"",INDEX($BA$3:$BA$22,$BJ$19))</f>
        <v/>
      </c>
      <c r="L107" s="69">
        <f>IF(K107="","",INDEX('Tính'!$C$86:$V$130,$CD$17,$BJ$19))</f>
        <v/>
      </c>
      <c r="M107" s="69">
        <f>IF(K107="","",INDEX('Tính'!$C$134:$V$178,$CD$17,$BJ$19))</f>
        <v/>
      </c>
      <c r="N107" s="70">
        <f>IF(K107="","",INDEX('Tính'!$C$182:$V$226,$CD$17,$BJ$19))</f>
        <v/>
      </c>
      <c r="P107" s="68">
        <f>IF(OR($CD$18="",$BJ$19=""),"",INDEX($BA$3:$BA$22,$BJ$19))</f>
        <v/>
      </c>
      <c r="Q107" s="69">
        <f>IF(P107="","",INDEX('Tính'!$C$86:$V$130,$CD$18,$BJ$19))</f>
        <v/>
      </c>
      <c r="R107" s="69">
        <f>IF(P107="","",INDEX('Tính'!$C$134:$V$178,$CD$18,$BJ$19))</f>
        <v/>
      </c>
      <c r="S107" s="70">
        <f>IF(P107="","",INDEX('Tính'!$C$182:$V$226,$CD$18,$BJ$19))</f>
        <v/>
      </c>
    </row>
    <row r="108">
      <c r="A108" s="68">
        <f>IF(OR($CD$15="",$BJ$20=""),"",INDEX($BA$3:$BA$22,$BJ$20))</f>
        <v/>
      </c>
      <c r="B108" s="69">
        <f>IF(A108="","",INDEX('Tính'!$C$86:$V$130,$CD$15,$BJ$20))</f>
        <v/>
      </c>
      <c r="C108" s="69">
        <f>IF(A108="","",INDEX('Tính'!$C$134:$V$178,$CD$15,$BJ$20))</f>
        <v/>
      </c>
      <c r="D108" s="70">
        <f>IF(A108="","",INDEX('Tính'!$C$182:$V$226,$CD$15,$BJ$20))</f>
        <v/>
      </c>
      <c r="F108" s="68">
        <f>IF(OR($CD$16="",$BJ$20=""),"",INDEX($BA$3:$BA$22,$BJ$20))</f>
        <v/>
      </c>
      <c r="G108" s="69">
        <f>IF(F108="","",INDEX('Tính'!$C$86:$V$130,$CD$16,$BJ$20))</f>
        <v/>
      </c>
      <c r="H108" s="69">
        <f>IF(F108="","",INDEX('Tính'!$C$134:$V$178,$CD$16,$BJ$20))</f>
        <v/>
      </c>
      <c r="I108" s="70">
        <f>IF(F108="","",INDEX('Tính'!$C$182:$V$226,$CD$16,$BJ$20))</f>
        <v/>
      </c>
      <c r="K108" s="68">
        <f>IF(OR($CD$17="",$BJ$20=""),"",INDEX($BA$3:$BA$22,$BJ$20))</f>
        <v/>
      </c>
      <c r="L108" s="69">
        <f>IF(K108="","",INDEX('Tính'!$C$86:$V$130,$CD$17,$BJ$20))</f>
        <v/>
      </c>
      <c r="M108" s="69">
        <f>IF(K108="","",INDEX('Tính'!$C$134:$V$178,$CD$17,$BJ$20))</f>
        <v/>
      </c>
      <c r="N108" s="70">
        <f>IF(K108="","",INDEX('Tính'!$C$182:$V$226,$CD$17,$BJ$20))</f>
        <v/>
      </c>
      <c r="P108" s="68">
        <f>IF(OR($CD$18="",$BJ$20=""),"",INDEX($BA$3:$BA$22,$BJ$20))</f>
        <v/>
      </c>
      <c r="Q108" s="69">
        <f>IF(P108="","",INDEX('Tính'!$C$86:$V$130,$CD$18,$BJ$20))</f>
        <v/>
      </c>
      <c r="R108" s="69">
        <f>IF(P108="","",INDEX('Tính'!$C$134:$V$178,$CD$18,$BJ$20))</f>
        <v/>
      </c>
      <c r="S108" s="70">
        <f>IF(P108="","",INDEX('Tính'!$C$182:$V$226,$CD$18,$BJ$20))</f>
        <v/>
      </c>
    </row>
    <row r="109">
      <c r="A109" s="68">
        <f>IF(OR($CD$15="",$BJ$21=""),"",INDEX($BA$3:$BA$22,$BJ$21))</f>
        <v/>
      </c>
      <c r="B109" s="69">
        <f>IF(A109="","",INDEX('Tính'!$C$86:$V$130,$CD$15,$BJ$21))</f>
        <v/>
      </c>
      <c r="C109" s="69">
        <f>IF(A109="","",INDEX('Tính'!$C$134:$V$178,$CD$15,$BJ$21))</f>
        <v/>
      </c>
      <c r="D109" s="70">
        <f>IF(A109="","",INDEX('Tính'!$C$182:$V$226,$CD$15,$BJ$21))</f>
        <v/>
      </c>
      <c r="F109" s="68">
        <f>IF(OR($CD$16="",$BJ$21=""),"",INDEX($BA$3:$BA$22,$BJ$21))</f>
        <v/>
      </c>
      <c r="G109" s="69">
        <f>IF(F109="","",INDEX('Tính'!$C$86:$V$130,$CD$16,$BJ$21))</f>
        <v/>
      </c>
      <c r="H109" s="69">
        <f>IF(F109="","",INDEX('Tính'!$C$134:$V$178,$CD$16,$BJ$21))</f>
        <v/>
      </c>
      <c r="I109" s="70">
        <f>IF(F109="","",INDEX('Tính'!$C$182:$V$226,$CD$16,$BJ$21))</f>
        <v/>
      </c>
      <c r="K109" s="68">
        <f>IF(OR($CD$17="",$BJ$21=""),"",INDEX($BA$3:$BA$22,$BJ$21))</f>
        <v/>
      </c>
      <c r="L109" s="69">
        <f>IF(K109="","",INDEX('Tính'!$C$86:$V$130,$CD$17,$BJ$21))</f>
        <v/>
      </c>
      <c r="M109" s="69">
        <f>IF(K109="","",INDEX('Tính'!$C$134:$V$178,$CD$17,$BJ$21))</f>
        <v/>
      </c>
      <c r="N109" s="70">
        <f>IF(K109="","",INDEX('Tính'!$C$182:$V$226,$CD$17,$BJ$21))</f>
        <v/>
      </c>
      <c r="P109" s="68">
        <f>IF(OR($CD$18="",$BJ$21=""),"",INDEX($BA$3:$BA$22,$BJ$21))</f>
        <v/>
      </c>
      <c r="Q109" s="69">
        <f>IF(P109="","",INDEX('Tính'!$C$86:$V$130,$CD$18,$BJ$21))</f>
        <v/>
      </c>
      <c r="R109" s="69">
        <f>IF(P109="","",INDEX('Tính'!$C$134:$V$178,$CD$18,$BJ$21))</f>
        <v/>
      </c>
      <c r="S109" s="70">
        <f>IF(P109="","",INDEX('Tính'!$C$182:$V$226,$CD$18,$BJ$21))</f>
        <v/>
      </c>
    </row>
    <row r="110">
      <c r="A110" s="68">
        <f>IF(OR($CD$15="",$BJ$22=""),"",INDEX($BA$3:$BA$22,$BJ$22))</f>
        <v/>
      </c>
      <c r="B110" s="69">
        <f>IF(A110="","",INDEX('Tính'!$C$86:$V$130,$CD$15,$BJ$22))</f>
        <v/>
      </c>
      <c r="C110" s="69">
        <f>IF(A110="","",INDEX('Tính'!$C$134:$V$178,$CD$15,$BJ$22))</f>
        <v/>
      </c>
      <c r="D110" s="70">
        <f>IF(A110="","",INDEX('Tính'!$C$182:$V$226,$CD$15,$BJ$22))</f>
        <v/>
      </c>
      <c r="F110" s="68">
        <f>IF(OR($CD$16="",$BJ$22=""),"",INDEX($BA$3:$BA$22,$BJ$22))</f>
        <v/>
      </c>
      <c r="G110" s="69">
        <f>IF(F110="","",INDEX('Tính'!$C$86:$V$130,$CD$16,$BJ$22))</f>
        <v/>
      </c>
      <c r="H110" s="69">
        <f>IF(F110="","",INDEX('Tính'!$C$134:$V$178,$CD$16,$BJ$22))</f>
        <v/>
      </c>
      <c r="I110" s="70">
        <f>IF(F110="","",INDEX('Tính'!$C$182:$V$226,$CD$16,$BJ$22))</f>
        <v/>
      </c>
      <c r="K110" s="68">
        <f>IF(OR($CD$17="",$BJ$22=""),"",INDEX($BA$3:$BA$22,$BJ$22))</f>
        <v/>
      </c>
      <c r="L110" s="69">
        <f>IF(K110="","",INDEX('Tính'!$C$86:$V$130,$CD$17,$BJ$22))</f>
        <v/>
      </c>
      <c r="M110" s="69">
        <f>IF(K110="","",INDEX('Tính'!$C$134:$V$178,$CD$17,$BJ$22))</f>
        <v/>
      </c>
      <c r="N110" s="70">
        <f>IF(K110="","",INDEX('Tính'!$C$182:$V$226,$CD$17,$BJ$22))</f>
        <v/>
      </c>
      <c r="P110" s="68">
        <f>IF(OR($CD$18="",$BJ$22=""),"",INDEX($BA$3:$BA$22,$BJ$22))</f>
        <v/>
      </c>
      <c r="Q110" s="69">
        <f>IF(P110="","",INDEX('Tính'!$C$86:$V$130,$CD$18,$BJ$22))</f>
        <v/>
      </c>
      <c r="R110" s="69">
        <f>IF(P110="","",INDEX('Tính'!$C$134:$V$178,$CD$18,$BJ$22))</f>
        <v/>
      </c>
      <c r="S110" s="70">
        <f>IF(P110="","",INDEX('Tính'!$C$182:$V$226,$CD$18,$BJ$22))</f>
        <v/>
      </c>
    </row>
    <row r="112">
      <c r="A112" s="62">
        <f>IF($CD$19="","",17&amp;". "&amp;IF($CD$19="","",INDEX('Tính'!$F$39:$F$83,$CD$19))&amp;" · "&amp;IF($CD$19="","",INDEX('Tính'!$O$39:$O$83,$CD$19)))</f>
        <v/>
      </c>
      <c r="F112" s="62">
        <f>IF($CD$20="","",18&amp;". "&amp;IF($CD$20="","",INDEX('Tính'!$F$39:$F$83,$CD$20))&amp;" · "&amp;IF($CD$20="","",INDEX('Tính'!$O$39:$O$83,$CD$20)))</f>
        <v/>
      </c>
      <c r="K112" s="62">
        <f>IF($CD$21="","",19&amp;". "&amp;IF($CD$21="","",INDEX('Tính'!$F$39:$F$83,$CD$21))&amp;" · "&amp;IF($CD$21="","",INDEX('Tính'!$O$39:$O$83,$CD$21)))</f>
        <v/>
      </c>
      <c r="P112" s="62">
        <f>IF($CD$22="","",20&amp;". "&amp;IF($CD$22="","",INDEX('Tính'!$F$39:$F$83,$CD$22))&amp;" · "&amp;IF($CD$22="","",INDEX('Tính'!$O$39:$O$83,$CD$22)))</f>
        <v/>
      </c>
    </row>
    <row r="113">
      <c r="A113" s="63">
        <f>IF($CD$19="","","DỰ KIẾN")</f>
        <v/>
      </c>
      <c r="B113" s="63">
        <f>IF($CD$19="","","% HT")</f>
        <v/>
      </c>
      <c r="C113" s="63">
        <f>IF($CD$19="","","NH ĐẠT")</f>
        <v/>
      </c>
      <c r="D113" s="63">
        <f>IF($CD$19="","","HẠNG")</f>
        <v/>
      </c>
      <c r="F113" s="63">
        <f>IF($CD$20="","","DỰ KIẾN")</f>
        <v/>
      </c>
      <c r="G113" s="63">
        <f>IF($CD$20="","","% HT")</f>
        <v/>
      </c>
      <c r="H113" s="63">
        <f>IF($CD$20="","","NH ĐẠT")</f>
        <v/>
      </c>
      <c r="I113" s="63">
        <f>IF($CD$20="","","HẠNG")</f>
        <v/>
      </c>
      <c r="K113" s="63">
        <f>IF($CD$21="","","DỰ KIẾN")</f>
        <v/>
      </c>
      <c r="L113" s="63">
        <f>IF($CD$21="","","% HT")</f>
        <v/>
      </c>
      <c r="M113" s="63">
        <f>IF($CD$21="","","NH ĐẠT")</f>
        <v/>
      </c>
      <c r="N113" s="63">
        <f>IF($CD$21="","","HẠNG")</f>
        <v/>
      </c>
      <c r="P113" s="63">
        <f>IF($CD$22="","","DỰ KIẾN")</f>
        <v/>
      </c>
      <c r="Q113" s="63">
        <f>IF($CD$22="","","% HT")</f>
        <v/>
      </c>
      <c r="R113" s="63">
        <f>IF($CD$22="","","NH ĐẠT")</f>
        <v/>
      </c>
      <c r="S113" s="63">
        <f>IF($CD$22="","","HẠNG")</f>
        <v/>
      </c>
    </row>
    <row r="114">
      <c r="A114" s="64">
        <f>IF($CD$19="","",IF($CD$19="","",INDEX('Tính'!$M$39:$M$83,$CD$19)))</f>
        <v/>
      </c>
      <c r="B114" s="64">
        <f>IF($CD$19="","",IF($CD$19="","",INDEX('Tính'!$N$39:$N$83,$CD$19)))</f>
        <v/>
      </c>
      <c r="C114" s="65">
        <f>IF($CD$19="","",IF($CD$19="","",INDEX('Tính'!$P$39:$P$83,$CD$19))&amp;"/"&amp;COUNTIF($BA$3:$BA$22,"?*"))</f>
        <v/>
      </c>
      <c r="D114" s="65">
        <f>IF($CD$19="","",17)</f>
        <v/>
      </c>
      <c r="F114" s="64">
        <f>IF($CD$20="","",IF($CD$20="","",INDEX('Tính'!$M$39:$M$83,$CD$20)))</f>
        <v/>
      </c>
      <c r="G114" s="64">
        <f>IF($CD$20="","",IF($CD$20="","",INDEX('Tính'!$N$39:$N$83,$CD$20)))</f>
        <v/>
      </c>
      <c r="H114" s="65">
        <f>IF($CD$20="","",IF($CD$20="","",INDEX('Tính'!$P$39:$P$83,$CD$20))&amp;"/"&amp;COUNTIF($BA$3:$BA$22,"?*"))</f>
        <v/>
      </c>
      <c r="I114" s="65">
        <f>IF($CD$20="","",18)</f>
        <v/>
      </c>
      <c r="K114" s="64">
        <f>IF($CD$21="","",IF($CD$21="","",INDEX('Tính'!$M$39:$M$83,$CD$21)))</f>
        <v/>
      </c>
      <c r="L114" s="64">
        <f>IF($CD$21="","",IF($CD$21="","",INDEX('Tính'!$N$39:$N$83,$CD$21)))</f>
        <v/>
      </c>
      <c r="M114" s="65">
        <f>IF($CD$21="","",IF($CD$21="","",INDEX('Tính'!$P$39:$P$83,$CD$21))&amp;"/"&amp;COUNTIF($BA$3:$BA$22,"?*"))</f>
        <v/>
      </c>
      <c r="N114" s="65">
        <f>IF($CD$21="","",19)</f>
        <v/>
      </c>
      <c r="P114" s="64">
        <f>IF($CD$22="","",IF($CD$22="","",INDEX('Tính'!$M$39:$M$83,$CD$22)))</f>
        <v/>
      </c>
      <c r="Q114" s="64">
        <f>IF($CD$22="","",IF($CD$22="","",INDEX('Tính'!$N$39:$N$83,$CD$22)))</f>
        <v/>
      </c>
      <c r="R114" s="65">
        <f>IF($CD$22="","",IF($CD$22="","",INDEX('Tính'!$P$39:$P$83,$CD$22))&amp;"/"&amp;COUNTIF($BA$3:$BA$22,"?*"))</f>
        <v/>
      </c>
      <c r="S114" s="65">
        <f>IF($CD$22="","",20)</f>
        <v/>
      </c>
    </row>
    <row r="115">
      <c r="A115" s="63">
        <f>IF($CD$19="","","DT QĐ")</f>
        <v/>
      </c>
      <c r="B115" s="63">
        <f>IF($CD$19="","","MỤC TIÊU")</f>
        <v/>
      </c>
      <c r="C115" s="63">
        <f>IF($CD$19="","","HÔM NAY")</f>
        <v/>
      </c>
      <c r="D115" s="63" t="n"/>
      <c r="F115" s="63">
        <f>IF($CD$20="","","DT QĐ")</f>
        <v/>
      </c>
      <c r="G115" s="63">
        <f>IF($CD$20="","","MỤC TIÊU")</f>
        <v/>
      </c>
      <c r="H115" s="63">
        <f>IF($CD$20="","","HÔM NAY")</f>
        <v/>
      </c>
      <c r="I115" s="63" t="n"/>
      <c r="K115" s="63">
        <f>IF($CD$21="","","DT QĐ")</f>
        <v/>
      </c>
      <c r="L115" s="63">
        <f>IF($CD$21="","","MỤC TIÊU")</f>
        <v/>
      </c>
      <c r="M115" s="63">
        <f>IF($CD$21="","","HÔM NAY")</f>
        <v/>
      </c>
      <c r="N115" s="63" t="n"/>
      <c r="P115" s="63">
        <f>IF($CD$22="","","DT QĐ")</f>
        <v/>
      </c>
      <c r="Q115" s="63">
        <f>IF($CD$22="","","MỤC TIÊU")</f>
        <v/>
      </c>
      <c r="R115" s="63">
        <f>IF($CD$22="","","HÔM NAY")</f>
        <v/>
      </c>
      <c r="S115" s="63" t="n"/>
    </row>
    <row r="116">
      <c r="A116" s="66">
        <f>IF($CD$19="","",IF($CD$19="","",INDEX('Tính'!$K$39:$K$83,$CD$19)))</f>
        <v/>
      </c>
      <c r="B116" s="67">
        <f>IF($CD$19="","",IF($CD$19="","",INDEX('Tính'!$J$39:$J$83,$CD$19)))</f>
        <v/>
      </c>
      <c r="C116" s="66">
        <f>IF($CD$19="","",IF($CD$19="","",INDEX('Tính'!$L$39:$L$83,$CD$19)))</f>
        <v/>
      </c>
      <c r="D116" s="61">
        <f>IF($CD$19="","","")</f>
        <v/>
      </c>
      <c r="F116" s="66">
        <f>IF($CD$20="","",IF($CD$20="","",INDEX('Tính'!$K$39:$K$83,$CD$20)))</f>
        <v/>
      </c>
      <c r="G116" s="67">
        <f>IF($CD$20="","",IF($CD$20="","",INDEX('Tính'!$J$39:$J$83,$CD$20)))</f>
        <v/>
      </c>
      <c r="H116" s="66">
        <f>IF($CD$20="","",IF($CD$20="","",INDEX('Tính'!$L$39:$L$83,$CD$20)))</f>
        <v/>
      </c>
      <c r="I116" s="61">
        <f>IF($CD$20="","","")</f>
        <v/>
      </c>
      <c r="K116" s="66">
        <f>IF($CD$21="","",IF($CD$21="","",INDEX('Tính'!$K$39:$K$83,$CD$21)))</f>
        <v/>
      </c>
      <c r="L116" s="67">
        <f>IF($CD$21="","",IF($CD$21="","",INDEX('Tính'!$J$39:$J$83,$CD$21)))</f>
        <v/>
      </c>
      <c r="M116" s="66">
        <f>IF($CD$21="","",IF($CD$21="","",INDEX('Tính'!$L$39:$L$83,$CD$21)))</f>
        <v/>
      </c>
      <c r="N116" s="61">
        <f>IF($CD$21="","","")</f>
        <v/>
      </c>
      <c r="P116" s="66">
        <f>IF($CD$22="","",IF($CD$22="","",INDEX('Tính'!$K$39:$K$83,$CD$22)))</f>
        <v/>
      </c>
      <c r="Q116" s="67">
        <f>IF($CD$22="","",IF($CD$22="","",INDEX('Tính'!$J$39:$J$83,$CD$22)))</f>
        <v/>
      </c>
      <c r="R116" s="66">
        <f>IF($CD$22="","",IF($CD$22="","",INDEX('Tính'!$L$39:$L$83,$CD$22)))</f>
        <v/>
      </c>
      <c r="S116" s="61">
        <f>IF($CD$22="","","")</f>
        <v/>
      </c>
    </row>
    <row r="117">
      <c r="A117" s="57">
        <f>IF($CD$19="","","Nhóm hàng")</f>
        <v/>
      </c>
      <c r="B117" s="57">
        <f>IF($CD$19="","","TH")</f>
        <v/>
      </c>
      <c r="C117" s="57">
        <f>IF($CD$19="","","Target")</f>
        <v/>
      </c>
      <c r="D117" s="57">
        <f>IF($CD$19="","","DK")</f>
        <v/>
      </c>
      <c r="F117" s="57">
        <f>IF($CD$20="","","Nhóm hàng")</f>
        <v/>
      </c>
      <c r="G117" s="57">
        <f>IF($CD$20="","","TH")</f>
        <v/>
      </c>
      <c r="H117" s="57">
        <f>IF($CD$20="","","Target")</f>
        <v/>
      </c>
      <c r="I117" s="57">
        <f>IF($CD$20="","","DK")</f>
        <v/>
      </c>
      <c r="K117" s="57">
        <f>IF($CD$21="","","Nhóm hàng")</f>
        <v/>
      </c>
      <c r="L117" s="57">
        <f>IF($CD$21="","","TH")</f>
        <v/>
      </c>
      <c r="M117" s="57">
        <f>IF($CD$21="","","Target")</f>
        <v/>
      </c>
      <c r="N117" s="57">
        <f>IF($CD$21="","","DK")</f>
        <v/>
      </c>
      <c r="P117" s="57">
        <f>IF($CD$22="","","Nhóm hàng")</f>
        <v/>
      </c>
      <c r="Q117" s="57">
        <f>IF($CD$22="","","TH")</f>
        <v/>
      </c>
      <c r="R117" s="57">
        <f>IF($CD$22="","","Target")</f>
        <v/>
      </c>
      <c r="S117" s="57">
        <f>IF($CD$22="","","DK")</f>
        <v/>
      </c>
    </row>
    <row r="118">
      <c r="A118" s="68">
        <f>IF(OR($CD$19="",$BJ$3=""),"",INDEX($BA$3:$BA$22,$BJ$3))</f>
        <v/>
      </c>
      <c r="B118" s="69">
        <f>IF(A118="","",INDEX('Tính'!$C$86:$V$130,$CD$19,$BJ$3))</f>
        <v/>
      </c>
      <c r="C118" s="69">
        <f>IF(A118="","",INDEX('Tính'!$C$134:$V$178,$CD$19,$BJ$3))</f>
        <v/>
      </c>
      <c r="D118" s="70">
        <f>IF(A118="","",INDEX('Tính'!$C$182:$V$226,$CD$19,$BJ$3))</f>
        <v/>
      </c>
      <c r="F118" s="68">
        <f>IF(OR($CD$20="",$BJ$3=""),"",INDEX($BA$3:$BA$22,$BJ$3))</f>
        <v/>
      </c>
      <c r="G118" s="69">
        <f>IF(F118="","",INDEX('Tính'!$C$86:$V$130,$CD$20,$BJ$3))</f>
        <v/>
      </c>
      <c r="H118" s="69">
        <f>IF(F118="","",INDEX('Tính'!$C$134:$V$178,$CD$20,$BJ$3))</f>
        <v/>
      </c>
      <c r="I118" s="70">
        <f>IF(F118="","",INDEX('Tính'!$C$182:$V$226,$CD$20,$BJ$3))</f>
        <v/>
      </c>
      <c r="K118" s="68">
        <f>IF(OR($CD$21="",$BJ$3=""),"",INDEX($BA$3:$BA$22,$BJ$3))</f>
        <v/>
      </c>
      <c r="L118" s="69">
        <f>IF(K118="","",INDEX('Tính'!$C$86:$V$130,$CD$21,$BJ$3))</f>
        <v/>
      </c>
      <c r="M118" s="69">
        <f>IF(K118="","",INDEX('Tính'!$C$134:$V$178,$CD$21,$BJ$3))</f>
        <v/>
      </c>
      <c r="N118" s="70">
        <f>IF(K118="","",INDEX('Tính'!$C$182:$V$226,$CD$21,$BJ$3))</f>
        <v/>
      </c>
      <c r="P118" s="68">
        <f>IF(OR($CD$22="",$BJ$3=""),"",INDEX($BA$3:$BA$22,$BJ$3))</f>
        <v/>
      </c>
      <c r="Q118" s="69">
        <f>IF(P118="","",INDEX('Tính'!$C$86:$V$130,$CD$22,$BJ$3))</f>
        <v/>
      </c>
      <c r="R118" s="69">
        <f>IF(P118="","",INDEX('Tính'!$C$134:$V$178,$CD$22,$BJ$3))</f>
        <v/>
      </c>
      <c r="S118" s="70">
        <f>IF(P118="","",INDEX('Tính'!$C$182:$V$226,$CD$22,$BJ$3))</f>
        <v/>
      </c>
    </row>
    <row r="119">
      <c r="A119" s="68">
        <f>IF(OR($CD$19="",$BJ$4=""),"",INDEX($BA$3:$BA$22,$BJ$4))</f>
        <v/>
      </c>
      <c r="B119" s="69">
        <f>IF(A119="","",INDEX('Tính'!$C$86:$V$130,$CD$19,$BJ$4))</f>
        <v/>
      </c>
      <c r="C119" s="69">
        <f>IF(A119="","",INDEX('Tính'!$C$134:$V$178,$CD$19,$BJ$4))</f>
        <v/>
      </c>
      <c r="D119" s="70">
        <f>IF(A119="","",INDEX('Tính'!$C$182:$V$226,$CD$19,$BJ$4))</f>
        <v/>
      </c>
      <c r="F119" s="68">
        <f>IF(OR($CD$20="",$BJ$4=""),"",INDEX($BA$3:$BA$22,$BJ$4))</f>
        <v/>
      </c>
      <c r="G119" s="69">
        <f>IF(F119="","",INDEX('Tính'!$C$86:$V$130,$CD$20,$BJ$4))</f>
        <v/>
      </c>
      <c r="H119" s="69">
        <f>IF(F119="","",INDEX('Tính'!$C$134:$V$178,$CD$20,$BJ$4))</f>
        <v/>
      </c>
      <c r="I119" s="70">
        <f>IF(F119="","",INDEX('Tính'!$C$182:$V$226,$CD$20,$BJ$4))</f>
        <v/>
      </c>
      <c r="K119" s="68">
        <f>IF(OR($CD$21="",$BJ$4=""),"",INDEX($BA$3:$BA$22,$BJ$4))</f>
        <v/>
      </c>
      <c r="L119" s="69">
        <f>IF(K119="","",INDEX('Tính'!$C$86:$V$130,$CD$21,$BJ$4))</f>
        <v/>
      </c>
      <c r="M119" s="69">
        <f>IF(K119="","",INDEX('Tính'!$C$134:$V$178,$CD$21,$BJ$4))</f>
        <v/>
      </c>
      <c r="N119" s="70">
        <f>IF(K119="","",INDEX('Tính'!$C$182:$V$226,$CD$21,$BJ$4))</f>
        <v/>
      </c>
      <c r="P119" s="68">
        <f>IF(OR($CD$22="",$BJ$4=""),"",INDEX($BA$3:$BA$22,$BJ$4))</f>
        <v/>
      </c>
      <c r="Q119" s="69">
        <f>IF(P119="","",INDEX('Tính'!$C$86:$V$130,$CD$22,$BJ$4))</f>
        <v/>
      </c>
      <c r="R119" s="69">
        <f>IF(P119="","",INDEX('Tính'!$C$134:$V$178,$CD$22,$BJ$4))</f>
        <v/>
      </c>
      <c r="S119" s="70">
        <f>IF(P119="","",INDEX('Tính'!$C$182:$V$226,$CD$22,$BJ$4))</f>
        <v/>
      </c>
    </row>
    <row r="120">
      <c r="A120" s="68">
        <f>IF(OR($CD$19="",$BJ$5=""),"",INDEX($BA$3:$BA$22,$BJ$5))</f>
        <v/>
      </c>
      <c r="B120" s="69">
        <f>IF(A120="","",INDEX('Tính'!$C$86:$V$130,$CD$19,$BJ$5))</f>
        <v/>
      </c>
      <c r="C120" s="69">
        <f>IF(A120="","",INDEX('Tính'!$C$134:$V$178,$CD$19,$BJ$5))</f>
        <v/>
      </c>
      <c r="D120" s="70">
        <f>IF(A120="","",INDEX('Tính'!$C$182:$V$226,$CD$19,$BJ$5))</f>
        <v/>
      </c>
      <c r="F120" s="68">
        <f>IF(OR($CD$20="",$BJ$5=""),"",INDEX($BA$3:$BA$22,$BJ$5))</f>
        <v/>
      </c>
      <c r="G120" s="69">
        <f>IF(F120="","",INDEX('Tính'!$C$86:$V$130,$CD$20,$BJ$5))</f>
        <v/>
      </c>
      <c r="H120" s="69">
        <f>IF(F120="","",INDEX('Tính'!$C$134:$V$178,$CD$20,$BJ$5))</f>
        <v/>
      </c>
      <c r="I120" s="70">
        <f>IF(F120="","",INDEX('Tính'!$C$182:$V$226,$CD$20,$BJ$5))</f>
        <v/>
      </c>
      <c r="K120" s="68">
        <f>IF(OR($CD$21="",$BJ$5=""),"",INDEX($BA$3:$BA$22,$BJ$5))</f>
        <v/>
      </c>
      <c r="L120" s="69">
        <f>IF(K120="","",INDEX('Tính'!$C$86:$V$130,$CD$21,$BJ$5))</f>
        <v/>
      </c>
      <c r="M120" s="69">
        <f>IF(K120="","",INDEX('Tính'!$C$134:$V$178,$CD$21,$BJ$5))</f>
        <v/>
      </c>
      <c r="N120" s="70">
        <f>IF(K120="","",INDEX('Tính'!$C$182:$V$226,$CD$21,$BJ$5))</f>
        <v/>
      </c>
      <c r="P120" s="68">
        <f>IF(OR($CD$22="",$BJ$5=""),"",INDEX($BA$3:$BA$22,$BJ$5))</f>
        <v/>
      </c>
      <c r="Q120" s="69">
        <f>IF(P120="","",INDEX('Tính'!$C$86:$V$130,$CD$22,$BJ$5))</f>
        <v/>
      </c>
      <c r="R120" s="69">
        <f>IF(P120="","",INDEX('Tính'!$C$134:$V$178,$CD$22,$BJ$5))</f>
        <v/>
      </c>
      <c r="S120" s="70">
        <f>IF(P120="","",INDEX('Tính'!$C$182:$V$226,$CD$22,$BJ$5))</f>
        <v/>
      </c>
    </row>
    <row r="121">
      <c r="A121" s="68">
        <f>IF(OR($CD$19="",$BJ$6=""),"",INDEX($BA$3:$BA$22,$BJ$6))</f>
        <v/>
      </c>
      <c r="B121" s="69">
        <f>IF(A121="","",INDEX('Tính'!$C$86:$V$130,$CD$19,$BJ$6))</f>
        <v/>
      </c>
      <c r="C121" s="69">
        <f>IF(A121="","",INDEX('Tính'!$C$134:$V$178,$CD$19,$BJ$6))</f>
        <v/>
      </c>
      <c r="D121" s="70">
        <f>IF(A121="","",INDEX('Tính'!$C$182:$V$226,$CD$19,$BJ$6))</f>
        <v/>
      </c>
      <c r="F121" s="68">
        <f>IF(OR($CD$20="",$BJ$6=""),"",INDEX($BA$3:$BA$22,$BJ$6))</f>
        <v/>
      </c>
      <c r="G121" s="69">
        <f>IF(F121="","",INDEX('Tính'!$C$86:$V$130,$CD$20,$BJ$6))</f>
        <v/>
      </c>
      <c r="H121" s="69">
        <f>IF(F121="","",INDEX('Tính'!$C$134:$V$178,$CD$20,$BJ$6))</f>
        <v/>
      </c>
      <c r="I121" s="70">
        <f>IF(F121="","",INDEX('Tính'!$C$182:$V$226,$CD$20,$BJ$6))</f>
        <v/>
      </c>
      <c r="K121" s="68">
        <f>IF(OR($CD$21="",$BJ$6=""),"",INDEX($BA$3:$BA$22,$BJ$6))</f>
        <v/>
      </c>
      <c r="L121" s="69">
        <f>IF(K121="","",INDEX('Tính'!$C$86:$V$130,$CD$21,$BJ$6))</f>
        <v/>
      </c>
      <c r="M121" s="69">
        <f>IF(K121="","",INDEX('Tính'!$C$134:$V$178,$CD$21,$BJ$6))</f>
        <v/>
      </c>
      <c r="N121" s="70">
        <f>IF(K121="","",INDEX('Tính'!$C$182:$V$226,$CD$21,$BJ$6))</f>
        <v/>
      </c>
      <c r="P121" s="68">
        <f>IF(OR($CD$22="",$BJ$6=""),"",INDEX($BA$3:$BA$22,$BJ$6))</f>
        <v/>
      </c>
      <c r="Q121" s="69">
        <f>IF(P121="","",INDEX('Tính'!$C$86:$V$130,$CD$22,$BJ$6))</f>
        <v/>
      </c>
      <c r="R121" s="69">
        <f>IF(P121="","",INDEX('Tính'!$C$134:$V$178,$CD$22,$BJ$6))</f>
        <v/>
      </c>
      <c r="S121" s="70">
        <f>IF(P121="","",INDEX('Tính'!$C$182:$V$226,$CD$22,$BJ$6))</f>
        <v/>
      </c>
    </row>
    <row r="122">
      <c r="A122" s="68">
        <f>IF(OR($CD$19="",$BJ$7=""),"",INDEX($BA$3:$BA$22,$BJ$7))</f>
        <v/>
      </c>
      <c r="B122" s="69">
        <f>IF(A122="","",INDEX('Tính'!$C$86:$V$130,$CD$19,$BJ$7))</f>
        <v/>
      </c>
      <c r="C122" s="69">
        <f>IF(A122="","",INDEX('Tính'!$C$134:$V$178,$CD$19,$BJ$7))</f>
        <v/>
      </c>
      <c r="D122" s="70">
        <f>IF(A122="","",INDEX('Tính'!$C$182:$V$226,$CD$19,$BJ$7))</f>
        <v/>
      </c>
      <c r="F122" s="68">
        <f>IF(OR($CD$20="",$BJ$7=""),"",INDEX($BA$3:$BA$22,$BJ$7))</f>
        <v/>
      </c>
      <c r="G122" s="69">
        <f>IF(F122="","",INDEX('Tính'!$C$86:$V$130,$CD$20,$BJ$7))</f>
        <v/>
      </c>
      <c r="H122" s="69">
        <f>IF(F122="","",INDEX('Tính'!$C$134:$V$178,$CD$20,$BJ$7))</f>
        <v/>
      </c>
      <c r="I122" s="70">
        <f>IF(F122="","",INDEX('Tính'!$C$182:$V$226,$CD$20,$BJ$7))</f>
        <v/>
      </c>
      <c r="K122" s="68">
        <f>IF(OR($CD$21="",$BJ$7=""),"",INDEX($BA$3:$BA$22,$BJ$7))</f>
        <v/>
      </c>
      <c r="L122" s="69">
        <f>IF(K122="","",INDEX('Tính'!$C$86:$V$130,$CD$21,$BJ$7))</f>
        <v/>
      </c>
      <c r="M122" s="69">
        <f>IF(K122="","",INDEX('Tính'!$C$134:$V$178,$CD$21,$BJ$7))</f>
        <v/>
      </c>
      <c r="N122" s="70">
        <f>IF(K122="","",INDEX('Tính'!$C$182:$V$226,$CD$21,$BJ$7))</f>
        <v/>
      </c>
      <c r="P122" s="68">
        <f>IF(OR($CD$22="",$BJ$7=""),"",INDEX($BA$3:$BA$22,$BJ$7))</f>
        <v/>
      </c>
      <c r="Q122" s="69">
        <f>IF(P122="","",INDEX('Tính'!$C$86:$V$130,$CD$22,$BJ$7))</f>
        <v/>
      </c>
      <c r="R122" s="69">
        <f>IF(P122="","",INDEX('Tính'!$C$134:$V$178,$CD$22,$BJ$7))</f>
        <v/>
      </c>
      <c r="S122" s="70">
        <f>IF(P122="","",INDEX('Tính'!$C$182:$V$226,$CD$22,$BJ$7))</f>
        <v/>
      </c>
    </row>
    <row r="123">
      <c r="A123" s="68">
        <f>IF(OR($CD$19="",$BJ$8=""),"",INDEX($BA$3:$BA$22,$BJ$8))</f>
        <v/>
      </c>
      <c r="B123" s="69">
        <f>IF(A123="","",INDEX('Tính'!$C$86:$V$130,$CD$19,$BJ$8))</f>
        <v/>
      </c>
      <c r="C123" s="69">
        <f>IF(A123="","",INDEX('Tính'!$C$134:$V$178,$CD$19,$BJ$8))</f>
        <v/>
      </c>
      <c r="D123" s="70">
        <f>IF(A123="","",INDEX('Tính'!$C$182:$V$226,$CD$19,$BJ$8))</f>
        <v/>
      </c>
      <c r="F123" s="68">
        <f>IF(OR($CD$20="",$BJ$8=""),"",INDEX($BA$3:$BA$22,$BJ$8))</f>
        <v/>
      </c>
      <c r="G123" s="69">
        <f>IF(F123="","",INDEX('Tính'!$C$86:$V$130,$CD$20,$BJ$8))</f>
        <v/>
      </c>
      <c r="H123" s="69">
        <f>IF(F123="","",INDEX('Tính'!$C$134:$V$178,$CD$20,$BJ$8))</f>
        <v/>
      </c>
      <c r="I123" s="70">
        <f>IF(F123="","",INDEX('Tính'!$C$182:$V$226,$CD$20,$BJ$8))</f>
        <v/>
      </c>
      <c r="K123" s="68">
        <f>IF(OR($CD$21="",$BJ$8=""),"",INDEX($BA$3:$BA$22,$BJ$8))</f>
        <v/>
      </c>
      <c r="L123" s="69">
        <f>IF(K123="","",INDEX('Tính'!$C$86:$V$130,$CD$21,$BJ$8))</f>
        <v/>
      </c>
      <c r="M123" s="69">
        <f>IF(K123="","",INDEX('Tính'!$C$134:$V$178,$CD$21,$BJ$8))</f>
        <v/>
      </c>
      <c r="N123" s="70">
        <f>IF(K123="","",INDEX('Tính'!$C$182:$V$226,$CD$21,$BJ$8))</f>
        <v/>
      </c>
      <c r="P123" s="68">
        <f>IF(OR($CD$22="",$BJ$8=""),"",INDEX($BA$3:$BA$22,$BJ$8))</f>
        <v/>
      </c>
      <c r="Q123" s="69">
        <f>IF(P123="","",INDEX('Tính'!$C$86:$V$130,$CD$22,$BJ$8))</f>
        <v/>
      </c>
      <c r="R123" s="69">
        <f>IF(P123="","",INDEX('Tính'!$C$134:$V$178,$CD$22,$BJ$8))</f>
        <v/>
      </c>
      <c r="S123" s="70">
        <f>IF(P123="","",INDEX('Tính'!$C$182:$V$226,$CD$22,$BJ$8))</f>
        <v/>
      </c>
    </row>
    <row r="124">
      <c r="A124" s="68">
        <f>IF(OR($CD$19="",$BJ$9=""),"",INDEX($BA$3:$BA$22,$BJ$9))</f>
        <v/>
      </c>
      <c r="B124" s="69">
        <f>IF(A124="","",INDEX('Tính'!$C$86:$V$130,$CD$19,$BJ$9))</f>
        <v/>
      </c>
      <c r="C124" s="69">
        <f>IF(A124="","",INDEX('Tính'!$C$134:$V$178,$CD$19,$BJ$9))</f>
        <v/>
      </c>
      <c r="D124" s="70">
        <f>IF(A124="","",INDEX('Tính'!$C$182:$V$226,$CD$19,$BJ$9))</f>
        <v/>
      </c>
      <c r="F124" s="68">
        <f>IF(OR($CD$20="",$BJ$9=""),"",INDEX($BA$3:$BA$22,$BJ$9))</f>
        <v/>
      </c>
      <c r="G124" s="69">
        <f>IF(F124="","",INDEX('Tính'!$C$86:$V$130,$CD$20,$BJ$9))</f>
        <v/>
      </c>
      <c r="H124" s="69">
        <f>IF(F124="","",INDEX('Tính'!$C$134:$V$178,$CD$20,$BJ$9))</f>
        <v/>
      </c>
      <c r="I124" s="70">
        <f>IF(F124="","",INDEX('Tính'!$C$182:$V$226,$CD$20,$BJ$9))</f>
        <v/>
      </c>
      <c r="K124" s="68">
        <f>IF(OR($CD$21="",$BJ$9=""),"",INDEX($BA$3:$BA$22,$BJ$9))</f>
        <v/>
      </c>
      <c r="L124" s="69">
        <f>IF(K124="","",INDEX('Tính'!$C$86:$V$130,$CD$21,$BJ$9))</f>
        <v/>
      </c>
      <c r="M124" s="69">
        <f>IF(K124="","",INDEX('Tính'!$C$134:$V$178,$CD$21,$BJ$9))</f>
        <v/>
      </c>
      <c r="N124" s="70">
        <f>IF(K124="","",INDEX('Tính'!$C$182:$V$226,$CD$21,$BJ$9))</f>
        <v/>
      </c>
      <c r="P124" s="68">
        <f>IF(OR($CD$22="",$BJ$9=""),"",INDEX($BA$3:$BA$22,$BJ$9))</f>
        <v/>
      </c>
      <c r="Q124" s="69">
        <f>IF(P124="","",INDEX('Tính'!$C$86:$V$130,$CD$22,$BJ$9))</f>
        <v/>
      </c>
      <c r="R124" s="69">
        <f>IF(P124="","",INDEX('Tính'!$C$134:$V$178,$CD$22,$BJ$9))</f>
        <v/>
      </c>
      <c r="S124" s="70">
        <f>IF(P124="","",INDEX('Tính'!$C$182:$V$226,$CD$22,$BJ$9))</f>
        <v/>
      </c>
    </row>
    <row r="125">
      <c r="A125" s="68">
        <f>IF(OR($CD$19="",$BJ$10=""),"",INDEX($BA$3:$BA$22,$BJ$10))</f>
        <v/>
      </c>
      <c r="B125" s="69">
        <f>IF(A125="","",INDEX('Tính'!$C$86:$V$130,$CD$19,$BJ$10))</f>
        <v/>
      </c>
      <c r="C125" s="69">
        <f>IF(A125="","",INDEX('Tính'!$C$134:$V$178,$CD$19,$BJ$10))</f>
        <v/>
      </c>
      <c r="D125" s="70">
        <f>IF(A125="","",INDEX('Tính'!$C$182:$V$226,$CD$19,$BJ$10))</f>
        <v/>
      </c>
      <c r="F125" s="68">
        <f>IF(OR($CD$20="",$BJ$10=""),"",INDEX($BA$3:$BA$22,$BJ$10))</f>
        <v/>
      </c>
      <c r="G125" s="69">
        <f>IF(F125="","",INDEX('Tính'!$C$86:$V$130,$CD$20,$BJ$10))</f>
        <v/>
      </c>
      <c r="H125" s="69">
        <f>IF(F125="","",INDEX('Tính'!$C$134:$V$178,$CD$20,$BJ$10))</f>
        <v/>
      </c>
      <c r="I125" s="70">
        <f>IF(F125="","",INDEX('Tính'!$C$182:$V$226,$CD$20,$BJ$10))</f>
        <v/>
      </c>
      <c r="K125" s="68">
        <f>IF(OR($CD$21="",$BJ$10=""),"",INDEX($BA$3:$BA$22,$BJ$10))</f>
        <v/>
      </c>
      <c r="L125" s="69">
        <f>IF(K125="","",INDEX('Tính'!$C$86:$V$130,$CD$21,$BJ$10))</f>
        <v/>
      </c>
      <c r="M125" s="69">
        <f>IF(K125="","",INDEX('Tính'!$C$134:$V$178,$CD$21,$BJ$10))</f>
        <v/>
      </c>
      <c r="N125" s="70">
        <f>IF(K125="","",INDEX('Tính'!$C$182:$V$226,$CD$21,$BJ$10))</f>
        <v/>
      </c>
      <c r="P125" s="68">
        <f>IF(OR($CD$22="",$BJ$10=""),"",INDEX($BA$3:$BA$22,$BJ$10))</f>
        <v/>
      </c>
      <c r="Q125" s="69">
        <f>IF(P125="","",INDEX('Tính'!$C$86:$V$130,$CD$22,$BJ$10))</f>
        <v/>
      </c>
      <c r="R125" s="69">
        <f>IF(P125="","",INDEX('Tính'!$C$134:$V$178,$CD$22,$BJ$10))</f>
        <v/>
      </c>
      <c r="S125" s="70">
        <f>IF(P125="","",INDEX('Tính'!$C$182:$V$226,$CD$22,$BJ$10))</f>
        <v/>
      </c>
    </row>
    <row r="126">
      <c r="A126" s="68">
        <f>IF(OR($CD$19="",$BJ$11=""),"",INDEX($BA$3:$BA$22,$BJ$11))</f>
        <v/>
      </c>
      <c r="B126" s="69">
        <f>IF(A126="","",INDEX('Tính'!$C$86:$V$130,$CD$19,$BJ$11))</f>
        <v/>
      </c>
      <c r="C126" s="69">
        <f>IF(A126="","",INDEX('Tính'!$C$134:$V$178,$CD$19,$BJ$11))</f>
        <v/>
      </c>
      <c r="D126" s="70">
        <f>IF(A126="","",INDEX('Tính'!$C$182:$V$226,$CD$19,$BJ$11))</f>
        <v/>
      </c>
      <c r="F126" s="68">
        <f>IF(OR($CD$20="",$BJ$11=""),"",INDEX($BA$3:$BA$22,$BJ$11))</f>
        <v/>
      </c>
      <c r="G126" s="69">
        <f>IF(F126="","",INDEX('Tính'!$C$86:$V$130,$CD$20,$BJ$11))</f>
        <v/>
      </c>
      <c r="H126" s="69">
        <f>IF(F126="","",INDEX('Tính'!$C$134:$V$178,$CD$20,$BJ$11))</f>
        <v/>
      </c>
      <c r="I126" s="70">
        <f>IF(F126="","",INDEX('Tính'!$C$182:$V$226,$CD$20,$BJ$11))</f>
        <v/>
      </c>
      <c r="K126" s="68">
        <f>IF(OR($CD$21="",$BJ$11=""),"",INDEX($BA$3:$BA$22,$BJ$11))</f>
        <v/>
      </c>
      <c r="L126" s="69">
        <f>IF(K126="","",INDEX('Tính'!$C$86:$V$130,$CD$21,$BJ$11))</f>
        <v/>
      </c>
      <c r="M126" s="69">
        <f>IF(K126="","",INDEX('Tính'!$C$134:$V$178,$CD$21,$BJ$11))</f>
        <v/>
      </c>
      <c r="N126" s="70">
        <f>IF(K126="","",INDEX('Tính'!$C$182:$V$226,$CD$21,$BJ$11))</f>
        <v/>
      </c>
      <c r="P126" s="68">
        <f>IF(OR($CD$22="",$BJ$11=""),"",INDEX($BA$3:$BA$22,$BJ$11))</f>
        <v/>
      </c>
      <c r="Q126" s="69">
        <f>IF(P126="","",INDEX('Tính'!$C$86:$V$130,$CD$22,$BJ$11))</f>
        <v/>
      </c>
      <c r="R126" s="69">
        <f>IF(P126="","",INDEX('Tính'!$C$134:$V$178,$CD$22,$BJ$11))</f>
        <v/>
      </c>
      <c r="S126" s="70">
        <f>IF(P126="","",INDEX('Tính'!$C$182:$V$226,$CD$22,$BJ$11))</f>
        <v/>
      </c>
    </row>
    <row r="127">
      <c r="A127" s="68">
        <f>IF(OR($CD$19="",$BJ$12=""),"",INDEX($BA$3:$BA$22,$BJ$12))</f>
        <v/>
      </c>
      <c r="B127" s="69">
        <f>IF(A127="","",INDEX('Tính'!$C$86:$V$130,$CD$19,$BJ$12))</f>
        <v/>
      </c>
      <c r="C127" s="69">
        <f>IF(A127="","",INDEX('Tính'!$C$134:$V$178,$CD$19,$BJ$12))</f>
        <v/>
      </c>
      <c r="D127" s="70">
        <f>IF(A127="","",INDEX('Tính'!$C$182:$V$226,$CD$19,$BJ$12))</f>
        <v/>
      </c>
      <c r="F127" s="68">
        <f>IF(OR($CD$20="",$BJ$12=""),"",INDEX($BA$3:$BA$22,$BJ$12))</f>
        <v/>
      </c>
      <c r="G127" s="69">
        <f>IF(F127="","",INDEX('Tính'!$C$86:$V$130,$CD$20,$BJ$12))</f>
        <v/>
      </c>
      <c r="H127" s="69">
        <f>IF(F127="","",INDEX('Tính'!$C$134:$V$178,$CD$20,$BJ$12))</f>
        <v/>
      </c>
      <c r="I127" s="70">
        <f>IF(F127="","",INDEX('Tính'!$C$182:$V$226,$CD$20,$BJ$12))</f>
        <v/>
      </c>
      <c r="K127" s="68">
        <f>IF(OR($CD$21="",$BJ$12=""),"",INDEX($BA$3:$BA$22,$BJ$12))</f>
        <v/>
      </c>
      <c r="L127" s="69">
        <f>IF(K127="","",INDEX('Tính'!$C$86:$V$130,$CD$21,$BJ$12))</f>
        <v/>
      </c>
      <c r="M127" s="69">
        <f>IF(K127="","",INDEX('Tính'!$C$134:$V$178,$CD$21,$BJ$12))</f>
        <v/>
      </c>
      <c r="N127" s="70">
        <f>IF(K127="","",INDEX('Tính'!$C$182:$V$226,$CD$21,$BJ$12))</f>
        <v/>
      </c>
      <c r="P127" s="68">
        <f>IF(OR($CD$22="",$BJ$12=""),"",INDEX($BA$3:$BA$22,$BJ$12))</f>
        <v/>
      </c>
      <c r="Q127" s="69">
        <f>IF(P127="","",INDEX('Tính'!$C$86:$V$130,$CD$22,$BJ$12))</f>
        <v/>
      </c>
      <c r="R127" s="69">
        <f>IF(P127="","",INDEX('Tính'!$C$134:$V$178,$CD$22,$BJ$12))</f>
        <v/>
      </c>
      <c r="S127" s="70">
        <f>IF(P127="","",INDEX('Tính'!$C$182:$V$226,$CD$22,$BJ$12))</f>
        <v/>
      </c>
    </row>
    <row r="128">
      <c r="A128" s="68">
        <f>IF(OR($CD$19="",$BJ$13=""),"",INDEX($BA$3:$BA$22,$BJ$13))</f>
        <v/>
      </c>
      <c r="B128" s="69">
        <f>IF(A128="","",INDEX('Tính'!$C$86:$V$130,$CD$19,$BJ$13))</f>
        <v/>
      </c>
      <c r="C128" s="69">
        <f>IF(A128="","",INDEX('Tính'!$C$134:$V$178,$CD$19,$BJ$13))</f>
        <v/>
      </c>
      <c r="D128" s="70">
        <f>IF(A128="","",INDEX('Tính'!$C$182:$V$226,$CD$19,$BJ$13))</f>
        <v/>
      </c>
      <c r="F128" s="68">
        <f>IF(OR($CD$20="",$BJ$13=""),"",INDEX($BA$3:$BA$22,$BJ$13))</f>
        <v/>
      </c>
      <c r="G128" s="69">
        <f>IF(F128="","",INDEX('Tính'!$C$86:$V$130,$CD$20,$BJ$13))</f>
        <v/>
      </c>
      <c r="H128" s="69">
        <f>IF(F128="","",INDEX('Tính'!$C$134:$V$178,$CD$20,$BJ$13))</f>
        <v/>
      </c>
      <c r="I128" s="70">
        <f>IF(F128="","",INDEX('Tính'!$C$182:$V$226,$CD$20,$BJ$13))</f>
        <v/>
      </c>
      <c r="K128" s="68">
        <f>IF(OR($CD$21="",$BJ$13=""),"",INDEX($BA$3:$BA$22,$BJ$13))</f>
        <v/>
      </c>
      <c r="L128" s="69">
        <f>IF(K128="","",INDEX('Tính'!$C$86:$V$130,$CD$21,$BJ$13))</f>
        <v/>
      </c>
      <c r="M128" s="69">
        <f>IF(K128="","",INDEX('Tính'!$C$134:$V$178,$CD$21,$BJ$13))</f>
        <v/>
      </c>
      <c r="N128" s="70">
        <f>IF(K128="","",INDEX('Tính'!$C$182:$V$226,$CD$21,$BJ$13))</f>
        <v/>
      </c>
      <c r="P128" s="68">
        <f>IF(OR($CD$22="",$BJ$13=""),"",INDEX($BA$3:$BA$22,$BJ$13))</f>
        <v/>
      </c>
      <c r="Q128" s="69">
        <f>IF(P128="","",INDEX('Tính'!$C$86:$V$130,$CD$22,$BJ$13))</f>
        <v/>
      </c>
      <c r="R128" s="69">
        <f>IF(P128="","",INDEX('Tính'!$C$134:$V$178,$CD$22,$BJ$13))</f>
        <v/>
      </c>
      <c r="S128" s="70">
        <f>IF(P128="","",INDEX('Tính'!$C$182:$V$226,$CD$22,$BJ$13))</f>
        <v/>
      </c>
    </row>
    <row r="129">
      <c r="A129" s="68">
        <f>IF(OR($CD$19="",$BJ$14=""),"",INDEX($BA$3:$BA$22,$BJ$14))</f>
        <v/>
      </c>
      <c r="B129" s="69">
        <f>IF(A129="","",INDEX('Tính'!$C$86:$V$130,$CD$19,$BJ$14))</f>
        <v/>
      </c>
      <c r="C129" s="69">
        <f>IF(A129="","",INDEX('Tính'!$C$134:$V$178,$CD$19,$BJ$14))</f>
        <v/>
      </c>
      <c r="D129" s="70">
        <f>IF(A129="","",INDEX('Tính'!$C$182:$V$226,$CD$19,$BJ$14))</f>
        <v/>
      </c>
      <c r="F129" s="68">
        <f>IF(OR($CD$20="",$BJ$14=""),"",INDEX($BA$3:$BA$22,$BJ$14))</f>
        <v/>
      </c>
      <c r="G129" s="69">
        <f>IF(F129="","",INDEX('Tính'!$C$86:$V$130,$CD$20,$BJ$14))</f>
        <v/>
      </c>
      <c r="H129" s="69">
        <f>IF(F129="","",INDEX('Tính'!$C$134:$V$178,$CD$20,$BJ$14))</f>
        <v/>
      </c>
      <c r="I129" s="70">
        <f>IF(F129="","",INDEX('Tính'!$C$182:$V$226,$CD$20,$BJ$14))</f>
        <v/>
      </c>
      <c r="K129" s="68">
        <f>IF(OR($CD$21="",$BJ$14=""),"",INDEX($BA$3:$BA$22,$BJ$14))</f>
        <v/>
      </c>
      <c r="L129" s="69">
        <f>IF(K129="","",INDEX('Tính'!$C$86:$V$130,$CD$21,$BJ$14))</f>
        <v/>
      </c>
      <c r="M129" s="69">
        <f>IF(K129="","",INDEX('Tính'!$C$134:$V$178,$CD$21,$BJ$14))</f>
        <v/>
      </c>
      <c r="N129" s="70">
        <f>IF(K129="","",INDEX('Tính'!$C$182:$V$226,$CD$21,$BJ$14))</f>
        <v/>
      </c>
      <c r="P129" s="68">
        <f>IF(OR($CD$22="",$BJ$14=""),"",INDEX($BA$3:$BA$22,$BJ$14))</f>
        <v/>
      </c>
      <c r="Q129" s="69">
        <f>IF(P129="","",INDEX('Tính'!$C$86:$V$130,$CD$22,$BJ$14))</f>
        <v/>
      </c>
      <c r="R129" s="69">
        <f>IF(P129="","",INDEX('Tính'!$C$134:$V$178,$CD$22,$BJ$14))</f>
        <v/>
      </c>
      <c r="S129" s="70">
        <f>IF(P129="","",INDEX('Tính'!$C$182:$V$226,$CD$22,$BJ$14))</f>
        <v/>
      </c>
    </row>
    <row r="130">
      <c r="A130" s="68">
        <f>IF(OR($CD$19="",$BJ$15=""),"",INDEX($BA$3:$BA$22,$BJ$15))</f>
        <v/>
      </c>
      <c r="B130" s="69">
        <f>IF(A130="","",INDEX('Tính'!$C$86:$V$130,$CD$19,$BJ$15))</f>
        <v/>
      </c>
      <c r="C130" s="69">
        <f>IF(A130="","",INDEX('Tính'!$C$134:$V$178,$CD$19,$BJ$15))</f>
        <v/>
      </c>
      <c r="D130" s="70">
        <f>IF(A130="","",INDEX('Tính'!$C$182:$V$226,$CD$19,$BJ$15))</f>
        <v/>
      </c>
      <c r="F130" s="68">
        <f>IF(OR($CD$20="",$BJ$15=""),"",INDEX($BA$3:$BA$22,$BJ$15))</f>
        <v/>
      </c>
      <c r="G130" s="69">
        <f>IF(F130="","",INDEX('Tính'!$C$86:$V$130,$CD$20,$BJ$15))</f>
        <v/>
      </c>
      <c r="H130" s="69">
        <f>IF(F130="","",INDEX('Tính'!$C$134:$V$178,$CD$20,$BJ$15))</f>
        <v/>
      </c>
      <c r="I130" s="70">
        <f>IF(F130="","",INDEX('Tính'!$C$182:$V$226,$CD$20,$BJ$15))</f>
        <v/>
      </c>
      <c r="K130" s="68">
        <f>IF(OR($CD$21="",$BJ$15=""),"",INDEX($BA$3:$BA$22,$BJ$15))</f>
        <v/>
      </c>
      <c r="L130" s="69">
        <f>IF(K130="","",INDEX('Tính'!$C$86:$V$130,$CD$21,$BJ$15))</f>
        <v/>
      </c>
      <c r="M130" s="69">
        <f>IF(K130="","",INDEX('Tính'!$C$134:$V$178,$CD$21,$BJ$15))</f>
        <v/>
      </c>
      <c r="N130" s="70">
        <f>IF(K130="","",INDEX('Tính'!$C$182:$V$226,$CD$21,$BJ$15))</f>
        <v/>
      </c>
      <c r="P130" s="68">
        <f>IF(OR($CD$22="",$BJ$15=""),"",INDEX($BA$3:$BA$22,$BJ$15))</f>
        <v/>
      </c>
      <c r="Q130" s="69">
        <f>IF(P130="","",INDEX('Tính'!$C$86:$V$130,$CD$22,$BJ$15))</f>
        <v/>
      </c>
      <c r="R130" s="69">
        <f>IF(P130="","",INDEX('Tính'!$C$134:$V$178,$CD$22,$BJ$15))</f>
        <v/>
      </c>
      <c r="S130" s="70">
        <f>IF(P130="","",INDEX('Tính'!$C$182:$V$226,$CD$22,$BJ$15))</f>
        <v/>
      </c>
    </row>
    <row r="131">
      <c r="A131" s="68">
        <f>IF(OR($CD$19="",$BJ$16=""),"",INDEX($BA$3:$BA$22,$BJ$16))</f>
        <v/>
      </c>
      <c r="B131" s="69">
        <f>IF(A131="","",INDEX('Tính'!$C$86:$V$130,$CD$19,$BJ$16))</f>
        <v/>
      </c>
      <c r="C131" s="69">
        <f>IF(A131="","",INDEX('Tính'!$C$134:$V$178,$CD$19,$BJ$16))</f>
        <v/>
      </c>
      <c r="D131" s="70">
        <f>IF(A131="","",INDEX('Tính'!$C$182:$V$226,$CD$19,$BJ$16))</f>
        <v/>
      </c>
      <c r="F131" s="68">
        <f>IF(OR($CD$20="",$BJ$16=""),"",INDEX($BA$3:$BA$22,$BJ$16))</f>
        <v/>
      </c>
      <c r="G131" s="69">
        <f>IF(F131="","",INDEX('Tính'!$C$86:$V$130,$CD$20,$BJ$16))</f>
        <v/>
      </c>
      <c r="H131" s="69">
        <f>IF(F131="","",INDEX('Tính'!$C$134:$V$178,$CD$20,$BJ$16))</f>
        <v/>
      </c>
      <c r="I131" s="70">
        <f>IF(F131="","",INDEX('Tính'!$C$182:$V$226,$CD$20,$BJ$16))</f>
        <v/>
      </c>
      <c r="K131" s="68">
        <f>IF(OR($CD$21="",$BJ$16=""),"",INDEX($BA$3:$BA$22,$BJ$16))</f>
        <v/>
      </c>
      <c r="L131" s="69">
        <f>IF(K131="","",INDEX('Tính'!$C$86:$V$130,$CD$21,$BJ$16))</f>
        <v/>
      </c>
      <c r="M131" s="69">
        <f>IF(K131="","",INDEX('Tính'!$C$134:$V$178,$CD$21,$BJ$16))</f>
        <v/>
      </c>
      <c r="N131" s="70">
        <f>IF(K131="","",INDEX('Tính'!$C$182:$V$226,$CD$21,$BJ$16))</f>
        <v/>
      </c>
      <c r="P131" s="68">
        <f>IF(OR($CD$22="",$BJ$16=""),"",INDEX($BA$3:$BA$22,$BJ$16))</f>
        <v/>
      </c>
      <c r="Q131" s="69">
        <f>IF(P131="","",INDEX('Tính'!$C$86:$V$130,$CD$22,$BJ$16))</f>
        <v/>
      </c>
      <c r="R131" s="69">
        <f>IF(P131="","",INDEX('Tính'!$C$134:$V$178,$CD$22,$BJ$16))</f>
        <v/>
      </c>
      <c r="S131" s="70">
        <f>IF(P131="","",INDEX('Tính'!$C$182:$V$226,$CD$22,$BJ$16))</f>
        <v/>
      </c>
    </row>
    <row r="132">
      <c r="A132" s="68">
        <f>IF(OR($CD$19="",$BJ$17=""),"",INDEX($BA$3:$BA$22,$BJ$17))</f>
        <v/>
      </c>
      <c r="B132" s="69">
        <f>IF(A132="","",INDEX('Tính'!$C$86:$V$130,$CD$19,$BJ$17))</f>
        <v/>
      </c>
      <c r="C132" s="69">
        <f>IF(A132="","",INDEX('Tính'!$C$134:$V$178,$CD$19,$BJ$17))</f>
        <v/>
      </c>
      <c r="D132" s="70">
        <f>IF(A132="","",INDEX('Tính'!$C$182:$V$226,$CD$19,$BJ$17))</f>
        <v/>
      </c>
      <c r="F132" s="68">
        <f>IF(OR($CD$20="",$BJ$17=""),"",INDEX($BA$3:$BA$22,$BJ$17))</f>
        <v/>
      </c>
      <c r="G132" s="69">
        <f>IF(F132="","",INDEX('Tính'!$C$86:$V$130,$CD$20,$BJ$17))</f>
        <v/>
      </c>
      <c r="H132" s="69">
        <f>IF(F132="","",INDEX('Tính'!$C$134:$V$178,$CD$20,$BJ$17))</f>
        <v/>
      </c>
      <c r="I132" s="70">
        <f>IF(F132="","",INDEX('Tính'!$C$182:$V$226,$CD$20,$BJ$17))</f>
        <v/>
      </c>
      <c r="K132" s="68">
        <f>IF(OR($CD$21="",$BJ$17=""),"",INDEX($BA$3:$BA$22,$BJ$17))</f>
        <v/>
      </c>
      <c r="L132" s="69">
        <f>IF(K132="","",INDEX('Tính'!$C$86:$V$130,$CD$21,$BJ$17))</f>
        <v/>
      </c>
      <c r="M132" s="69">
        <f>IF(K132="","",INDEX('Tính'!$C$134:$V$178,$CD$21,$BJ$17))</f>
        <v/>
      </c>
      <c r="N132" s="70">
        <f>IF(K132="","",INDEX('Tính'!$C$182:$V$226,$CD$21,$BJ$17))</f>
        <v/>
      </c>
      <c r="P132" s="68">
        <f>IF(OR($CD$22="",$BJ$17=""),"",INDEX($BA$3:$BA$22,$BJ$17))</f>
        <v/>
      </c>
      <c r="Q132" s="69">
        <f>IF(P132="","",INDEX('Tính'!$C$86:$V$130,$CD$22,$BJ$17))</f>
        <v/>
      </c>
      <c r="R132" s="69">
        <f>IF(P132="","",INDEX('Tính'!$C$134:$V$178,$CD$22,$BJ$17))</f>
        <v/>
      </c>
      <c r="S132" s="70">
        <f>IF(P132="","",INDEX('Tính'!$C$182:$V$226,$CD$22,$BJ$17))</f>
        <v/>
      </c>
    </row>
    <row r="133">
      <c r="A133" s="68">
        <f>IF(OR($CD$19="",$BJ$18=""),"",INDEX($BA$3:$BA$22,$BJ$18))</f>
        <v/>
      </c>
      <c r="B133" s="69">
        <f>IF(A133="","",INDEX('Tính'!$C$86:$V$130,$CD$19,$BJ$18))</f>
        <v/>
      </c>
      <c r="C133" s="69">
        <f>IF(A133="","",INDEX('Tính'!$C$134:$V$178,$CD$19,$BJ$18))</f>
        <v/>
      </c>
      <c r="D133" s="70">
        <f>IF(A133="","",INDEX('Tính'!$C$182:$V$226,$CD$19,$BJ$18))</f>
        <v/>
      </c>
      <c r="F133" s="68">
        <f>IF(OR($CD$20="",$BJ$18=""),"",INDEX($BA$3:$BA$22,$BJ$18))</f>
        <v/>
      </c>
      <c r="G133" s="69">
        <f>IF(F133="","",INDEX('Tính'!$C$86:$V$130,$CD$20,$BJ$18))</f>
        <v/>
      </c>
      <c r="H133" s="69">
        <f>IF(F133="","",INDEX('Tính'!$C$134:$V$178,$CD$20,$BJ$18))</f>
        <v/>
      </c>
      <c r="I133" s="70">
        <f>IF(F133="","",INDEX('Tính'!$C$182:$V$226,$CD$20,$BJ$18))</f>
        <v/>
      </c>
      <c r="K133" s="68">
        <f>IF(OR($CD$21="",$BJ$18=""),"",INDEX($BA$3:$BA$22,$BJ$18))</f>
        <v/>
      </c>
      <c r="L133" s="69">
        <f>IF(K133="","",INDEX('Tính'!$C$86:$V$130,$CD$21,$BJ$18))</f>
        <v/>
      </c>
      <c r="M133" s="69">
        <f>IF(K133="","",INDEX('Tính'!$C$134:$V$178,$CD$21,$BJ$18))</f>
        <v/>
      </c>
      <c r="N133" s="70">
        <f>IF(K133="","",INDEX('Tính'!$C$182:$V$226,$CD$21,$BJ$18))</f>
        <v/>
      </c>
      <c r="P133" s="68">
        <f>IF(OR($CD$22="",$BJ$18=""),"",INDEX($BA$3:$BA$22,$BJ$18))</f>
        <v/>
      </c>
      <c r="Q133" s="69">
        <f>IF(P133="","",INDEX('Tính'!$C$86:$V$130,$CD$22,$BJ$18))</f>
        <v/>
      </c>
      <c r="R133" s="69">
        <f>IF(P133="","",INDEX('Tính'!$C$134:$V$178,$CD$22,$BJ$18))</f>
        <v/>
      </c>
      <c r="S133" s="70">
        <f>IF(P133="","",INDEX('Tính'!$C$182:$V$226,$CD$22,$BJ$18))</f>
        <v/>
      </c>
    </row>
    <row r="134">
      <c r="A134" s="68">
        <f>IF(OR($CD$19="",$BJ$19=""),"",INDEX($BA$3:$BA$22,$BJ$19))</f>
        <v/>
      </c>
      <c r="B134" s="69">
        <f>IF(A134="","",INDEX('Tính'!$C$86:$V$130,$CD$19,$BJ$19))</f>
        <v/>
      </c>
      <c r="C134" s="69">
        <f>IF(A134="","",INDEX('Tính'!$C$134:$V$178,$CD$19,$BJ$19))</f>
        <v/>
      </c>
      <c r="D134" s="70">
        <f>IF(A134="","",INDEX('Tính'!$C$182:$V$226,$CD$19,$BJ$19))</f>
        <v/>
      </c>
      <c r="F134" s="68">
        <f>IF(OR($CD$20="",$BJ$19=""),"",INDEX($BA$3:$BA$22,$BJ$19))</f>
        <v/>
      </c>
      <c r="G134" s="69">
        <f>IF(F134="","",INDEX('Tính'!$C$86:$V$130,$CD$20,$BJ$19))</f>
        <v/>
      </c>
      <c r="H134" s="69">
        <f>IF(F134="","",INDEX('Tính'!$C$134:$V$178,$CD$20,$BJ$19))</f>
        <v/>
      </c>
      <c r="I134" s="70">
        <f>IF(F134="","",INDEX('Tính'!$C$182:$V$226,$CD$20,$BJ$19))</f>
        <v/>
      </c>
      <c r="K134" s="68">
        <f>IF(OR($CD$21="",$BJ$19=""),"",INDEX($BA$3:$BA$22,$BJ$19))</f>
        <v/>
      </c>
      <c r="L134" s="69">
        <f>IF(K134="","",INDEX('Tính'!$C$86:$V$130,$CD$21,$BJ$19))</f>
        <v/>
      </c>
      <c r="M134" s="69">
        <f>IF(K134="","",INDEX('Tính'!$C$134:$V$178,$CD$21,$BJ$19))</f>
        <v/>
      </c>
      <c r="N134" s="70">
        <f>IF(K134="","",INDEX('Tính'!$C$182:$V$226,$CD$21,$BJ$19))</f>
        <v/>
      </c>
      <c r="P134" s="68">
        <f>IF(OR($CD$22="",$BJ$19=""),"",INDEX($BA$3:$BA$22,$BJ$19))</f>
        <v/>
      </c>
      <c r="Q134" s="69">
        <f>IF(P134="","",INDEX('Tính'!$C$86:$V$130,$CD$22,$BJ$19))</f>
        <v/>
      </c>
      <c r="R134" s="69">
        <f>IF(P134="","",INDEX('Tính'!$C$134:$V$178,$CD$22,$BJ$19))</f>
        <v/>
      </c>
      <c r="S134" s="70">
        <f>IF(P134="","",INDEX('Tính'!$C$182:$V$226,$CD$22,$BJ$19))</f>
        <v/>
      </c>
    </row>
    <row r="135">
      <c r="A135" s="68">
        <f>IF(OR($CD$19="",$BJ$20=""),"",INDEX($BA$3:$BA$22,$BJ$20))</f>
        <v/>
      </c>
      <c r="B135" s="69">
        <f>IF(A135="","",INDEX('Tính'!$C$86:$V$130,$CD$19,$BJ$20))</f>
        <v/>
      </c>
      <c r="C135" s="69">
        <f>IF(A135="","",INDEX('Tính'!$C$134:$V$178,$CD$19,$BJ$20))</f>
        <v/>
      </c>
      <c r="D135" s="70">
        <f>IF(A135="","",INDEX('Tính'!$C$182:$V$226,$CD$19,$BJ$20))</f>
        <v/>
      </c>
      <c r="F135" s="68">
        <f>IF(OR($CD$20="",$BJ$20=""),"",INDEX($BA$3:$BA$22,$BJ$20))</f>
        <v/>
      </c>
      <c r="G135" s="69">
        <f>IF(F135="","",INDEX('Tính'!$C$86:$V$130,$CD$20,$BJ$20))</f>
        <v/>
      </c>
      <c r="H135" s="69">
        <f>IF(F135="","",INDEX('Tính'!$C$134:$V$178,$CD$20,$BJ$20))</f>
        <v/>
      </c>
      <c r="I135" s="70">
        <f>IF(F135="","",INDEX('Tính'!$C$182:$V$226,$CD$20,$BJ$20))</f>
        <v/>
      </c>
      <c r="K135" s="68">
        <f>IF(OR($CD$21="",$BJ$20=""),"",INDEX($BA$3:$BA$22,$BJ$20))</f>
        <v/>
      </c>
      <c r="L135" s="69">
        <f>IF(K135="","",INDEX('Tính'!$C$86:$V$130,$CD$21,$BJ$20))</f>
        <v/>
      </c>
      <c r="M135" s="69">
        <f>IF(K135="","",INDEX('Tính'!$C$134:$V$178,$CD$21,$BJ$20))</f>
        <v/>
      </c>
      <c r="N135" s="70">
        <f>IF(K135="","",INDEX('Tính'!$C$182:$V$226,$CD$21,$BJ$20))</f>
        <v/>
      </c>
      <c r="P135" s="68">
        <f>IF(OR($CD$22="",$BJ$20=""),"",INDEX($BA$3:$BA$22,$BJ$20))</f>
        <v/>
      </c>
      <c r="Q135" s="69">
        <f>IF(P135="","",INDEX('Tính'!$C$86:$V$130,$CD$22,$BJ$20))</f>
        <v/>
      </c>
      <c r="R135" s="69">
        <f>IF(P135="","",INDEX('Tính'!$C$134:$V$178,$CD$22,$BJ$20))</f>
        <v/>
      </c>
      <c r="S135" s="70">
        <f>IF(P135="","",INDEX('Tính'!$C$182:$V$226,$CD$22,$BJ$20))</f>
        <v/>
      </c>
    </row>
    <row r="136">
      <c r="A136" s="68">
        <f>IF(OR($CD$19="",$BJ$21=""),"",INDEX($BA$3:$BA$22,$BJ$21))</f>
        <v/>
      </c>
      <c r="B136" s="69">
        <f>IF(A136="","",INDEX('Tính'!$C$86:$V$130,$CD$19,$BJ$21))</f>
        <v/>
      </c>
      <c r="C136" s="69">
        <f>IF(A136="","",INDEX('Tính'!$C$134:$V$178,$CD$19,$BJ$21))</f>
        <v/>
      </c>
      <c r="D136" s="70">
        <f>IF(A136="","",INDEX('Tính'!$C$182:$V$226,$CD$19,$BJ$21))</f>
        <v/>
      </c>
      <c r="F136" s="68">
        <f>IF(OR($CD$20="",$BJ$21=""),"",INDEX($BA$3:$BA$22,$BJ$21))</f>
        <v/>
      </c>
      <c r="G136" s="69">
        <f>IF(F136="","",INDEX('Tính'!$C$86:$V$130,$CD$20,$BJ$21))</f>
        <v/>
      </c>
      <c r="H136" s="69">
        <f>IF(F136="","",INDEX('Tính'!$C$134:$V$178,$CD$20,$BJ$21))</f>
        <v/>
      </c>
      <c r="I136" s="70">
        <f>IF(F136="","",INDEX('Tính'!$C$182:$V$226,$CD$20,$BJ$21))</f>
        <v/>
      </c>
      <c r="K136" s="68">
        <f>IF(OR($CD$21="",$BJ$21=""),"",INDEX($BA$3:$BA$22,$BJ$21))</f>
        <v/>
      </c>
      <c r="L136" s="69">
        <f>IF(K136="","",INDEX('Tính'!$C$86:$V$130,$CD$21,$BJ$21))</f>
        <v/>
      </c>
      <c r="M136" s="69">
        <f>IF(K136="","",INDEX('Tính'!$C$134:$V$178,$CD$21,$BJ$21))</f>
        <v/>
      </c>
      <c r="N136" s="70">
        <f>IF(K136="","",INDEX('Tính'!$C$182:$V$226,$CD$21,$BJ$21))</f>
        <v/>
      </c>
      <c r="P136" s="68">
        <f>IF(OR($CD$22="",$BJ$21=""),"",INDEX($BA$3:$BA$22,$BJ$21))</f>
        <v/>
      </c>
      <c r="Q136" s="69">
        <f>IF(P136="","",INDEX('Tính'!$C$86:$V$130,$CD$22,$BJ$21))</f>
        <v/>
      </c>
      <c r="R136" s="69">
        <f>IF(P136="","",INDEX('Tính'!$C$134:$V$178,$CD$22,$BJ$21))</f>
        <v/>
      </c>
      <c r="S136" s="70">
        <f>IF(P136="","",INDEX('Tính'!$C$182:$V$226,$CD$22,$BJ$21))</f>
        <v/>
      </c>
    </row>
    <row r="137">
      <c r="A137" s="68">
        <f>IF(OR($CD$19="",$BJ$22=""),"",INDEX($BA$3:$BA$22,$BJ$22))</f>
        <v/>
      </c>
      <c r="B137" s="69">
        <f>IF(A137="","",INDEX('Tính'!$C$86:$V$130,$CD$19,$BJ$22))</f>
        <v/>
      </c>
      <c r="C137" s="69">
        <f>IF(A137="","",INDEX('Tính'!$C$134:$V$178,$CD$19,$BJ$22))</f>
        <v/>
      </c>
      <c r="D137" s="70">
        <f>IF(A137="","",INDEX('Tính'!$C$182:$V$226,$CD$19,$BJ$22))</f>
        <v/>
      </c>
      <c r="F137" s="68">
        <f>IF(OR($CD$20="",$BJ$22=""),"",INDEX($BA$3:$BA$22,$BJ$22))</f>
        <v/>
      </c>
      <c r="G137" s="69">
        <f>IF(F137="","",INDEX('Tính'!$C$86:$V$130,$CD$20,$BJ$22))</f>
        <v/>
      </c>
      <c r="H137" s="69">
        <f>IF(F137="","",INDEX('Tính'!$C$134:$V$178,$CD$20,$BJ$22))</f>
        <v/>
      </c>
      <c r="I137" s="70">
        <f>IF(F137="","",INDEX('Tính'!$C$182:$V$226,$CD$20,$BJ$22))</f>
        <v/>
      </c>
      <c r="K137" s="68">
        <f>IF(OR($CD$21="",$BJ$22=""),"",INDEX($BA$3:$BA$22,$BJ$22))</f>
        <v/>
      </c>
      <c r="L137" s="69">
        <f>IF(K137="","",INDEX('Tính'!$C$86:$V$130,$CD$21,$BJ$22))</f>
        <v/>
      </c>
      <c r="M137" s="69">
        <f>IF(K137="","",INDEX('Tính'!$C$134:$V$178,$CD$21,$BJ$22))</f>
        <v/>
      </c>
      <c r="N137" s="70">
        <f>IF(K137="","",INDEX('Tính'!$C$182:$V$226,$CD$21,$BJ$22))</f>
        <v/>
      </c>
      <c r="P137" s="68">
        <f>IF(OR($CD$22="",$BJ$22=""),"",INDEX($BA$3:$BA$22,$BJ$22))</f>
        <v/>
      </c>
      <c r="Q137" s="69">
        <f>IF(P137="","",INDEX('Tính'!$C$86:$V$130,$CD$22,$BJ$22))</f>
        <v/>
      </c>
      <c r="R137" s="69">
        <f>IF(P137="","",INDEX('Tính'!$C$134:$V$178,$CD$22,$BJ$22))</f>
        <v/>
      </c>
      <c r="S137" s="70">
        <f>IF(P137="","",INDEX('Tính'!$C$182:$V$226,$CD$22,$BJ$22))</f>
        <v/>
      </c>
    </row>
  </sheetData>
  <mergeCells count="23">
    <mergeCell ref="F31:I31"/>
    <mergeCell ref="A4:D4"/>
    <mergeCell ref="F58:I58"/>
    <mergeCell ref="A112:D112"/>
    <mergeCell ref="K112:N112"/>
    <mergeCell ref="K4:N4"/>
    <mergeCell ref="P58:S58"/>
    <mergeCell ref="A31:D31"/>
    <mergeCell ref="A58:D58"/>
    <mergeCell ref="F4:I4"/>
    <mergeCell ref="P4:S4"/>
    <mergeCell ref="F112:I112"/>
    <mergeCell ref="P85:S85"/>
    <mergeCell ref="P31:S31"/>
    <mergeCell ref="A1:S1"/>
    <mergeCell ref="K85:N85"/>
    <mergeCell ref="F85:I85"/>
    <mergeCell ref="K31:N31"/>
    <mergeCell ref="K58:N58"/>
    <mergeCell ref="F2:L2"/>
    <mergeCell ref="A85:D85"/>
    <mergeCell ref="B2:D2"/>
    <mergeCell ref="P112:S112"/>
  </mergeCells>
  <conditionalFormatting sqref="A4:D4">
    <cfRule type="expression" priority="1" dxfId="8">
      <formula>$A$4&lt;&gt;""</formula>
    </cfRule>
  </conditionalFormatting>
  <conditionalFormatting sqref="A5:D5">
    <cfRule type="expression" priority="2" dxfId="9">
      <formula>$A$4&lt;&gt;""</formula>
    </cfRule>
  </conditionalFormatting>
  <conditionalFormatting sqref="A6:D6">
    <cfRule type="expression" priority="3" dxfId="5">
      <formula>$A$4&lt;&gt;""</formula>
    </cfRule>
  </conditionalFormatting>
  <conditionalFormatting sqref="A7:D7">
    <cfRule type="expression" priority="4" dxfId="9">
      <formula>$A$4&lt;&gt;""</formula>
    </cfRule>
  </conditionalFormatting>
  <conditionalFormatting sqref="A8:D8">
    <cfRule type="expression" priority="5" dxfId="5">
      <formula>$A$4&lt;&gt;""</formula>
    </cfRule>
  </conditionalFormatting>
  <conditionalFormatting sqref="A6">
    <cfRule type="expression" priority="6" dxfId="0" stopIfTrue="1">
      <formula>AND(ISNUMBER(A6),ROUND(A6,2)=0)</formula>
    </cfRule>
    <cfRule type="expression" priority="7" dxfId="1" stopIfTrue="1">
      <formula>AND(ISNUMBER(A6),A6&gt;=1)</formula>
    </cfRule>
    <cfRule type="expression" priority="8" dxfId="2" stopIfTrue="1">
      <formula>AND(ISNUMBER(A6),A6&gt;=1*0.8)</formula>
    </cfRule>
    <cfRule type="expression" priority="9" dxfId="3" stopIfTrue="1">
      <formula>ISNUMBER(A6)</formula>
    </cfRule>
  </conditionalFormatting>
  <conditionalFormatting sqref="B6">
    <cfRule type="expression" priority="10" dxfId="0" stopIfTrue="1">
      <formula>AND(ISNUMBER(B6),ROUND(B6,2)=0)</formula>
    </cfRule>
    <cfRule type="expression" priority="11" dxfId="1" stopIfTrue="1">
      <formula>AND(ISNUMBER(B6),B6&gt;=NgayQua/SoNgay)</formula>
    </cfRule>
    <cfRule type="expression" priority="12" dxfId="2" stopIfTrue="1">
      <formula>AND(ISNUMBER(B6),B6&gt;=NgayQua/SoNgay*0.8)</formula>
    </cfRule>
    <cfRule type="expression" priority="13" dxfId="3" stopIfTrue="1">
      <formula>ISNUMBER(B6)</formula>
    </cfRule>
  </conditionalFormatting>
  <conditionalFormatting sqref="A9:D9">
    <cfRule type="expression" priority="14" dxfId="10">
      <formula>$A$4&lt;&gt;""</formula>
    </cfRule>
  </conditionalFormatting>
  <conditionalFormatting sqref="D10:D29">
    <cfRule type="expression" priority="15" dxfId="0" stopIfTrue="1">
      <formula>AND(ISNUMBER(D10),ROUND(D10,2)=0)</formula>
    </cfRule>
    <cfRule type="expression" priority="16" dxfId="1" stopIfTrue="1">
      <formula>AND(ISNUMBER(D10),D10&gt;=1)</formula>
    </cfRule>
    <cfRule type="expression" priority="17" dxfId="2" stopIfTrue="1">
      <formula>AND(ISNUMBER(D10),D10&gt;=1*0.8)</formula>
    </cfRule>
    <cfRule type="expression" priority="18" dxfId="3" stopIfTrue="1">
      <formula>ISNUMBER(D10)</formula>
    </cfRule>
  </conditionalFormatting>
  <conditionalFormatting sqref="F4:I4">
    <cfRule type="expression" priority="19" dxfId="8">
      <formula>$F$4&lt;&gt;""</formula>
    </cfRule>
  </conditionalFormatting>
  <conditionalFormatting sqref="F5:I5">
    <cfRule type="expression" priority="20" dxfId="9">
      <formula>$F$4&lt;&gt;""</formula>
    </cfRule>
  </conditionalFormatting>
  <conditionalFormatting sqref="F6:I6">
    <cfRule type="expression" priority="21" dxfId="5">
      <formula>$F$4&lt;&gt;""</formula>
    </cfRule>
  </conditionalFormatting>
  <conditionalFormatting sqref="F7:I7">
    <cfRule type="expression" priority="22" dxfId="9">
      <formula>$F$4&lt;&gt;""</formula>
    </cfRule>
  </conditionalFormatting>
  <conditionalFormatting sqref="F8:I8">
    <cfRule type="expression" priority="23" dxfId="5">
      <formula>$F$4&lt;&gt;""</formula>
    </cfRule>
  </conditionalFormatting>
  <conditionalFormatting sqref="F6">
    <cfRule type="expression" priority="24" dxfId="0" stopIfTrue="1">
      <formula>AND(ISNUMBER(F6),ROUND(F6,2)=0)</formula>
    </cfRule>
    <cfRule type="expression" priority="25" dxfId="1" stopIfTrue="1">
      <formula>AND(ISNUMBER(F6),F6&gt;=1)</formula>
    </cfRule>
    <cfRule type="expression" priority="26" dxfId="2" stopIfTrue="1">
      <formula>AND(ISNUMBER(F6),F6&gt;=1*0.8)</formula>
    </cfRule>
    <cfRule type="expression" priority="27" dxfId="3" stopIfTrue="1">
      <formula>ISNUMBER(F6)</formula>
    </cfRule>
  </conditionalFormatting>
  <conditionalFormatting sqref="G6">
    <cfRule type="expression" priority="28" dxfId="0" stopIfTrue="1">
      <formula>AND(ISNUMBER(G6),ROUND(G6,2)=0)</formula>
    </cfRule>
    <cfRule type="expression" priority="29" dxfId="1" stopIfTrue="1">
      <formula>AND(ISNUMBER(G6),G6&gt;=NgayQua/SoNgay)</formula>
    </cfRule>
    <cfRule type="expression" priority="30" dxfId="2" stopIfTrue="1">
      <formula>AND(ISNUMBER(G6),G6&gt;=NgayQua/SoNgay*0.8)</formula>
    </cfRule>
    <cfRule type="expression" priority="31" dxfId="3" stopIfTrue="1">
      <formula>ISNUMBER(G6)</formula>
    </cfRule>
  </conditionalFormatting>
  <conditionalFormatting sqref="F9:I9">
    <cfRule type="expression" priority="32" dxfId="10">
      <formula>$F$4&lt;&gt;""</formula>
    </cfRule>
  </conditionalFormatting>
  <conditionalFormatting sqref="I10:I29">
    <cfRule type="expression" priority="33" dxfId="0" stopIfTrue="1">
      <formula>AND(ISNUMBER(I10),ROUND(I10,2)=0)</formula>
    </cfRule>
    <cfRule type="expression" priority="34" dxfId="1" stopIfTrue="1">
      <formula>AND(ISNUMBER(I10),I10&gt;=1)</formula>
    </cfRule>
    <cfRule type="expression" priority="35" dxfId="2" stopIfTrue="1">
      <formula>AND(ISNUMBER(I10),I10&gt;=1*0.8)</formula>
    </cfRule>
    <cfRule type="expression" priority="36" dxfId="3" stopIfTrue="1">
      <formula>ISNUMBER(I10)</formula>
    </cfRule>
  </conditionalFormatting>
  <conditionalFormatting sqref="K4:N4">
    <cfRule type="expression" priority="37" dxfId="8">
      <formula>$K$4&lt;&gt;""</formula>
    </cfRule>
  </conditionalFormatting>
  <conditionalFormatting sqref="K5:N5">
    <cfRule type="expression" priority="38" dxfId="9">
      <formula>$K$4&lt;&gt;""</formula>
    </cfRule>
  </conditionalFormatting>
  <conditionalFormatting sqref="K6:N6">
    <cfRule type="expression" priority="39" dxfId="5">
      <formula>$K$4&lt;&gt;""</formula>
    </cfRule>
  </conditionalFormatting>
  <conditionalFormatting sqref="K7:N7">
    <cfRule type="expression" priority="40" dxfId="9">
      <formula>$K$4&lt;&gt;""</formula>
    </cfRule>
  </conditionalFormatting>
  <conditionalFormatting sqref="K8:N8">
    <cfRule type="expression" priority="41" dxfId="5">
      <formula>$K$4&lt;&gt;""</formula>
    </cfRule>
  </conditionalFormatting>
  <conditionalFormatting sqref="K6">
    <cfRule type="expression" priority="42" dxfId="0" stopIfTrue="1">
      <formula>AND(ISNUMBER(K6),ROUND(K6,2)=0)</formula>
    </cfRule>
    <cfRule type="expression" priority="43" dxfId="1" stopIfTrue="1">
      <formula>AND(ISNUMBER(K6),K6&gt;=1)</formula>
    </cfRule>
    <cfRule type="expression" priority="44" dxfId="2" stopIfTrue="1">
      <formula>AND(ISNUMBER(K6),K6&gt;=1*0.8)</formula>
    </cfRule>
    <cfRule type="expression" priority="45" dxfId="3" stopIfTrue="1">
      <formula>ISNUMBER(K6)</formula>
    </cfRule>
  </conditionalFormatting>
  <conditionalFormatting sqref="L6">
    <cfRule type="expression" priority="46" dxfId="0" stopIfTrue="1">
      <formula>AND(ISNUMBER(L6),ROUND(L6,2)=0)</formula>
    </cfRule>
    <cfRule type="expression" priority="47" dxfId="1" stopIfTrue="1">
      <formula>AND(ISNUMBER(L6),L6&gt;=NgayQua/SoNgay)</formula>
    </cfRule>
    <cfRule type="expression" priority="48" dxfId="2" stopIfTrue="1">
      <formula>AND(ISNUMBER(L6),L6&gt;=NgayQua/SoNgay*0.8)</formula>
    </cfRule>
    <cfRule type="expression" priority="49" dxfId="3" stopIfTrue="1">
      <formula>ISNUMBER(L6)</formula>
    </cfRule>
  </conditionalFormatting>
  <conditionalFormatting sqref="K9:N9">
    <cfRule type="expression" priority="50" dxfId="10">
      <formula>$K$4&lt;&gt;""</formula>
    </cfRule>
  </conditionalFormatting>
  <conditionalFormatting sqref="N10:N29">
    <cfRule type="expression" priority="51" dxfId="0" stopIfTrue="1">
      <formula>AND(ISNUMBER(N10),ROUND(N10,2)=0)</formula>
    </cfRule>
    <cfRule type="expression" priority="52" dxfId="1" stopIfTrue="1">
      <formula>AND(ISNUMBER(N10),N10&gt;=1)</formula>
    </cfRule>
    <cfRule type="expression" priority="53" dxfId="2" stopIfTrue="1">
      <formula>AND(ISNUMBER(N10),N10&gt;=1*0.8)</formula>
    </cfRule>
    <cfRule type="expression" priority="54" dxfId="3" stopIfTrue="1">
      <formula>ISNUMBER(N10)</formula>
    </cfRule>
  </conditionalFormatting>
  <conditionalFormatting sqref="P4:S4">
    <cfRule type="expression" priority="55" dxfId="8">
      <formula>$P$4&lt;&gt;""</formula>
    </cfRule>
  </conditionalFormatting>
  <conditionalFormatting sqref="P5:S5">
    <cfRule type="expression" priority="56" dxfId="9">
      <formula>$P$4&lt;&gt;""</formula>
    </cfRule>
  </conditionalFormatting>
  <conditionalFormatting sqref="P6:S6">
    <cfRule type="expression" priority="57" dxfId="5">
      <formula>$P$4&lt;&gt;""</formula>
    </cfRule>
  </conditionalFormatting>
  <conditionalFormatting sqref="P7:S7">
    <cfRule type="expression" priority="58" dxfId="9">
      <formula>$P$4&lt;&gt;""</formula>
    </cfRule>
  </conditionalFormatting>
  <conditionalFormatting sqref="P8:S8">
    <cfRule type="expression" priority="59" dxfId="5">
      <formula>$P$4&lt;&gt;""</formula>
    </cfRule>
  </conditionalFormatting>
  <conditionalFormatting sqref="P6">
    <cfRule type="expression" priority="60" dxfId="0" stopIfTrue="1">
      <formula>AND(ISNUMBER(P6),ROUND(P6,2)=0)</formula>
    </cfRule>
    <cfRule type="expression" priority="61" dxfId="1" stopIfTrue="1">
      <formula>AND(ISNUMBER(P6),P6&gt;=1)</formula>
    </cfRule>
    <cfRule type="expression" priority="62" dxfId="2" stopIfTrue="1">
      <formula>AND(ISNUMBER(P6),P6&gt;=1*0.8)</formula>
    </cfRule>
    <cfRule type="expression" priority="63" dxfId="3" stopIfTrue="1">
      <formula>ISNUMBER(P6)</formula>
    </cfRule>
  </conditionalFormatting>
  <conditionalFormatting sqref="Q6">
    <cfRule type="expression" priority="64" dxfId="0" stopIfTrue="1">
      <formula>AND(ISNUMBER(Q6),ROUND(Q6,2)=0)</formula>
    </cfRule>
    <cfRule type="expression" priority="65" dxfId="1" stopIfTrue="1">
      <formula>AND(ISNUMBER(Q6),Q6&gt;=NgayQua/SoNgay)</formula>
    </cfRule>
    <cfRule type="expression" priority="66" dxfId="2" stopIfTrue="1">
      <formula>AND(ISNUMBER(Q6),Q6&gt;=NgayQua/SoNgay*0.8)</formula>
    </cfRule>
    <cfRule type="expression" priority="67" dxfId="3" stopIfTrue="1">
      <formula>ISNUMBER(Q6)</formula>
    </cfRule>
  </conditionalFormatting>
  <conditionalFormatting sqref="P9:S9">
    <cfRule type="expression" priority="68" dxfId="10">
      <formula>$P$4&lt;&gt;""</formula>
    </cfRule>
  </conditionalFormatting>
  <conditionalFormatting sqref="S10:S29">
    <cfRule type="expression" priority="69" dxfId="0" stopIfTrue="1">
      <formula>AND(ISNUMBER(S10),ROUND(S10,2)=0)</formula>
    </cfRule>
    <cfRule type="expression" priority="70" dxfId="1" stopIfTrue="1">
      <formula>AND(ISNUMBER(S10),S10&gt;=1)</formula>
    </cfRule>
    <cfRule type="expression" priority="71" dxfId="2" stopIfTrue="1">
      <formula>AND(ISNUMBER(S10),S10&gt;=1*0.8)</formula>
    </cfRule>
    <cfRule type="expression" priority="72" dxfId="3" stopIfTrue="1">
      <formula>ISNUMBER(S10)</formula>
    </cfRule>
  </conditionalFormatting>
  <conditionalFormatting sqref="A31:D31">
    <cfRule type="expression" priority="73" dxfId="8">
      <formula>$A$31&lt;&gt;""</formula>
    </cfRule>
  </conditionalFormatting>
  <conditionalFormatting sqref="A32:D32">
    <cfRule type="expression" priority="74" dxfId="9">
      <formula>$A$31&lt;&gt;""</formula>
    </cfRule>
  </conditionalFormatting>
  <conditionalFormatting sqref="A33:D33">
    <cfRule type="expression" priority="75" dxfId="5">
      <formula>$A$31&lt;&gt;""</formula>
    </cfRule>
  </conditionalFormatting>
  <conditionalFormatting sqref="A34:D34">
    <cfRule type="expression" priority="76" dxfId="9">
      <formula>$A$31&lt;&gt;""</formula>
    </cfRule>
  </conditionalFormatting>
  <conditionalFormatting sqref="A35:D35">
    <cfRule type="expression" priority="77" dxfId="5">
      <formula>$A$31&lt;&gt;""</formula>
    </cfRule>
  </conditionalFormatting>
  <conditionalFormatting sqref="A33">
    <cfRule type="expression" priority="78" dxfId="0" stopIfTrue="1">
      <formula>AND(ISNUMBER(A33),ROUND(A33,2)=0)</formula>
    </cfRule>
    <cfRule type="expression" priority="79" dxfId="1" stopIfTrue="1">
      <formula>AND(ISNUMBER(A33),A33&gt;=1)</formula>
    </cfRule>
    <cfRule type="expression" priority="80" dxfId="2" stopIfTrue="1">
      <formula>AND(ISNUMBER(A33),A33&gt;=1*0.8)</formula>
    </cfRule>
    <cfRule type="expression" priority="81" dxfId="3" stopIfTrue="1">
      <formula>ISNUMBER(A33)</formula>
    </cfRule>
  </conditionalFormatting>
  <conditionalFormatting sqref="B33">
    <cfRule type="expression" priority="82" dxfId="0" stopIfTrue="1">
      <formula>AND(ISNUMBER(B33),ROUND(B33,2)=0)</formula>
    </cfRule>
    <cfRule type="expression" priority="83" dxfId="1" stopIfTrue="1">
      <formula>AND(ISNUMBER(B33),B33&gt;=NgayQua/SoNgay)</formula>
    </cfRule>
    <cfRule type="expression" priority="84" dxfId="2" stopIfTrue="1">
      <formula>AND(ISNUMBER(B33),B33&gt;=NgayQua/SoNgay*0.8)</formula>
    </cfRule>
    <cfRule type="expression" priority="85" dxfId="3" stopIfTrue="1">
      <formula>ISNUMBER(B33)</formula>
    </cfRule>
  </conditionalFormatting>
  <conditionalFormatting sqref="A36:D36">
    <cfRule type="expression" priority="86" dxfId="10">
      <formula>$A$31&lt;&gt;""</formula>
    </cfRule>
  </conditionalFormatting>
  <conditionalFormatting sqref="D37:D56">
    <cfRule type="expression" priority="87" dxfId="0" stopIfTrue="1">
      <formula>AND(ISNUMBER(D37),ROUND(D37,2)=0)</formula>
    </cfRule>
    <cfRule type="expression" priority="88" dxfId="1" stopIfTrue="1">
      <formula>AND(ISNUMBER(D37),D37&gt;=1)</formula>
    </cfRule>
    <cfRule type="expression" priority="89" dxfId="2" stopIfTrue="1">
      <formula>AND(ISNUMBER(D37),D37&gt;=1*0.8)</formula>
    </cfRule>
    <cfRule type="expression" priority="90" dxfId="3" stopIfTrue="1">
      <formula>ISNUMBER(D37)</formula>
    </cfRule>
  </conditionalFormatting>
  <conditionalFormatting sqref="F31:I31">
    <cfRule type="expression" priority="91" dxfId="8">
      <formula>$F$31&lt;&gt;""</formula>
    </cfRule>
  </conditionalFormatting>
  <conditionalFormatting sqref="F32:I32">
    <cfRule type="expression" priority="92" dxfId="9">
      <formula>$F$31&lt;&gt;""</formula>
    </cfRule>
  </conditionalFormatting>
  <conditionalFormatting sqref="F33:I33">
    <cfRule type="expression" priority="93" dxfId="5">
      <formula>$F$31&lt;&gt;""</formula>
    </cfRule>
  </conditionalFormatting>
  <conditionalFormatting sqref="F34:I34">
    <cfRule type="expression" priority="94" dxfId="9">
      <formula>$F$31&lt;&gt;""</formula>
    </cfRule>
  </conditionalFormatting>
  <conditionalFormatting sqref="F35:I35">
    <cfRule type="expression" priority="95" dxfId="5">
      <formula>$F$31&lt;&gt;""</formula>
    </cfRule>
  </conditionalFormatting>
  <conditionalFormatting sqref="F33">
    <cfRule type="expression" priority="96" dxfId="0" stopIfTrue="1">
      <formula>AND(ISNUMBER(F33),ROUND(F33,2)=0)</formula>
    </cfRule>
    <cfRule type="expression" priority="97" dxfId="1" stopIfTrue="1">
      <formula>AND(ISNUMBER(F33),F33&gt;=1)</formula>
    </cfRule>
    <cfRule type="expression" priority="98" dxfId="2" stopIfTrue="1">
      <formula>AND(ISNUMBER(F33),F33&gt;=1*0.8)</formula>
    </cfRule>
    <cfRule type="expression" priority="99" dxfId="3" stopIfTrue="1">
      <formula>ISNUMBER(F33)</formula>
    </cfRule>
  </conditionalFormatting>
  <conditionalFormatting sqref="G33">
    <cfRule type="expression" priority="100" dxfId="0" stopIfTrue="1">
      <formula>AND(ISNUMBER(G33),ROUND(G33,2)=0)</formula>
    </cfRule>
    <cfRule type="expression" priority="101" dxfId="1" stopIfTrue="1">
      <formula>AND(ISNUMBER(G33),G33&gt;=NgayQua/SoNgay)</formula>
    </cfRule>
    <cfRule type="expression" priority="102" dxfId="2" stopIfTrue="1">
      <formula>AND(ISNUMBER(G33),G33&gt;=NgayQua/SoNgay*0.8)</formula>
    </cfRule>
    <cfRule type="expression" priority="103" dxfId="3" stopIfTrue="1">
      <formula>ISNUMBER(G33)</formula>
    </cfRule>
  </conditionalFormatting>
  <conditionalFormatting sqref="F36:I36">
    <cfRule type="expression" priority="104" dxfId="10">
      <formula>$F$31&lt;&gt;""</formula>
    </cfRule>
  </conditionalFormatting>
  <conditionalFormatting sqref="I37:I56">
    <cfRule type="expression" priority="105" dxfId="0" stopIfTrue="1">
      <formula>AND(ISNUMBER(I37),ROUND(I37,2)=0)</formula>
    </cfRule>
    <cfRule type="expression" priority="106" dxfId="1" stopIfTrue="1">
      <formula>AND(ISNUMBER(I37),I37&gt;=1)</formula>
    </cfRule>
    <cfRule type="expression" priority="107" dxfId="2" stopIfTrue="1">
      <formula>AND(ISNUMBER(I37),I37&gt;=1*0.8)</formula>
    </cfRule>
    <cfRule type="expression" priority="108" dxfId="3" stopIfTrue="1">
      <formula>ISNUMBER(I37)</formula>
    </cfRule>
  </conditionalFormatting>
  <conditionalFormatting sqref="K31:N31">
    <cfRule type="expression" priority="109" dxfId="8">
      <formula>$K$31&lt;&gt;""</formula>
    </cfRule>
  </conditionalFormatting>
  <conditionalFormatting sqref="K32:N32">
    <cfRule type="expression" priority="110" dxfId="9">
      <formula>$K$31&lt;&gt;""</formula>
    </cfRule>
  </conditionalFormatting>
  <conditionalFormatting sqref="K33:N33">
    <cfRule type="expression" priority="111" dxfId="5">
      <formula>$K$31&lt;&gt;""</formula>
    </cfRule>
  </conditionalFormatting>
  <conditionalFormatting sqref="K34:N34">
    <cfRule type="expression" priority="112" dxfId="9">
      <formula>$K$31&lt;&gt;""</formula>
    </cfRule>
  </conditionalFormatting>
  <conditionalFormatting sqref="K35:N35">
    <cfRule type="expression" priority="113" dxfId="5">
      <formula>$K$31&lt;&gt;""</formula>
    </cfRule>
  </conditionalFormatting>
  <conditionalFormatting sqref="K33">
    <cfRule type="expression" priority="114" dxfId="0" stopIfTrue="1">
      <formula>AND(ISNUMBER(K33),ROUND(K33,2)=0)</formula>
    </cfRule>
    <cfRule type="expression" priority="115" dxfId="1" stopIfTrue="1">
      <formula>AND(ISNUMBER(K33),K33&gt;=1)</formula>
    </cfRule>
    <cfRule type="expression" priority="116" dxfId="2" stopIfTrue="1">
      <formula>AND(ISNUMBER(K33),K33&gt;=1*0.8)</formula>
    </cfRule>
    <cfRule type="expression" priority="117" dxfId="3" stopIfTrue="1">
      <formula>ISNUMBER(K33)</formula>
    </cfRule>
  </conditionalFormatting>
  <conditionalFormatting sqref="L33">
    <cfRule type="expression" priority="118" dxfId="0" stopIfTrue="1">
      <formula>AND(ISNUMBER(L33),ROUND(L33,2)=0)</formula>
    </cfRule>
    <cfRule type="expression" priority="119" dxfId="1" stopIfTrue="1">
      <formula>AND(ISNUMBER(L33),L33&gt;=NgayQua/SoNgay)</formula>
    </cfRule>
    <cfRule type="expression" priority="120" dxfId="2" stopIfTrue="1">
      <formula>AND(ISNUMBER(L33),L33&gt;=NgayQua/SoNgay*0.8)</formula>
    </cfRule>
    <cfRule type="expression" priority="121" dxfId="3" stopIfTrue="1">
      <formula>ISNUMBER(L33)</formula>
    </cfRule>
  </conditionalFormatting>
  <conditionalFormatting sqref="K36:N36">
    <cfRule type="expression" priority="122" dxfId="10">
      <formula>$K$31&lt;&gt;""</formula>
    </cfRule>
  </conditionalFormatting>
  <conditionalFormatting sqref="N37:N56">
    <cfRule type="expression" priority="123" dxfId="0" stopIfTrue="1">
      <formula>AND(ISNUMBER(N37),ROUND(N37,2)=0)</formula>
    </cfRule>
    <cfRule type="expression" priority="124" dxfId="1" stopIfTrue="1">
      <formula>AND(ISNUMBER(N37),N37&gt;=1)</formula>
    </cfRule>
    <cfRule type="expression" priority="125" dxfId="2" stopIfTrue="1">
      <formula>AND(ISNUMBER(N37),N37&gt;=1*0.8)</formula>
    </cfRule>
    <cfRule type="expression" priority="126" dxfId="3" stopIfTrue="1">
      <formula>ISNUMBER(N37)</formula>
    </cfRule>
  </conditionalFormatting>
  <conditionalFormatting sqref="P31:S31">
    <cfRule type="expression" priority="127" dxfId="8">
      <formula>$P$31&lt;&gt;""</formula>
    </cfRule>
  </conditionalFormatting>
  <conditionalFormatting sqref="P32:S32">
    <cfRule type="expression" priority="128" dxfId="9">
      <formula>$P$31&lt;&gt;""</formula>
    </cfRule>
  </conditionalFormatting>
  <conditionalFormatting sqref="P33:S33">
    <cfRule type="expression" priority="129" dxfId="5">
      <formula>$P$31&lt;&gt;""</formula>
    </cfRule>
  </conditionalFormatting>
  <conditionalFormatting sqref="P34:S34">
    <cfRule type="expression" priority="130" dxfId="9">
      <formula>$P$31&lt;&gt;""</formula>
    </cfRule>
  </conditionalFormatting>
  <conditionalFormatting sqref="P35:S35">
    <cfRule type="expression" priority="131" dxfId="5">
      <formula>$P$31&lt;&gt;""</formula>
    </cfRule>
  </conditionalFormatting>
  <conditionalFormatting sqref="P33">
    <cfRule type="expression" priority="132" dxfId="0" stopIfTrue="1">
      <formula>AND(ISNUMBER(P33),ROUND(P33,2)=0)</formula>
    </cfRule>
    <cfRule type="expression" priority="133" dxfId="1" stopIfTrue="1">
      <formula>AND(ISNUMBER(P33),P33&gt;=1)</formula>
    </cfRule>
    <cfRule type="expression" priority="134" dxfId="2" stopIfTrue="1">
      <formula>AND(ISNUMBER(P33),P33&gt;=1*0.8)</formula>
    </cfRule>
    <cfRule type="expression" priority="135" dxfId="3" stopIfTrue="1">
      <formula>ISNUMBER(P33)</formula>
    </cfRule>
  </conditionalFormatting>
  <conditionalFormatting sqref="Q33">
    <cfRule type="expression" priority="136" dxfId="0" stopIfTrue="1">
      <formula>AND(ISNUMBER(Q33),ROUND(Q33,2)=0)</formula>
    </cfRule>
    <cfRule type="expression" priority="137" dxfId="1" stopIfTrue="1">
      <formula>AND(ISNUMBER(Q33),Q33&gt;=NgayQua/SoNgay)</formula>
    </cfRule>
    <cfRule type="expression" priority="138" dxfId="2" stopIfTrue="1">
      <formula>AND(ISNUMBER(Q33),Q33&gt;=NgayQua/SoNgay*0.8)</formula>
    </cfRule>
    <cfRule type="expression" priority="139" dxfId="3" stopIfTrue="1">
      <formula>ISNUMBER(Q33)</formula>
    </cfRule>
  </conditionalFormatting>
  <conditionalFormatting sqref="P36:S36">
    <cfRule type="expression" priority="140" dxfId="10">
      <formula>$P$31&lt;&gt;""</formula>
    </cfRule>
  </conditionalFormatting>
  <conditionalFormatting sqref="S37:S56">
    <cfRule type="expression" priority="141" dxfId="0" stopIfTrue="1">
      <formula>AND(ISNUMBER(S37),ROUND(S37,2)=0)</formula>
    </cfRule>
    <cfRule type="expression" priority="142" dxfId="1" stopIfTrue="1">
      <formula>AND(ISNUMBER(S37),S37&gt;=1)</formula>
    </cfRule>
    <cfRule type="expression" priority="143" dxfId="2" stopIfTrue="1">
      <formula>AND(ISNUMBER(S37),S37&gt;=1*0.8)</formula>
    </cfRule>
    <cfRule type="expression" priority="144" dxfId="3" stopIfTrue="1">
      <formula>ISNUMBER(S37)</formula>
    </cfRule>
  </conditionalFormatting>
  <conditionalFormatting sqref="A58:D58">
    <cfRule type="expression" priority="145" dxfId="8">
      <formula>$A$58&lt;&gt;""</formula>
    </cfRule>
  </conditionalFormatting>
  <conditionalFormatting sqref="A59:D59">
    <cfRule type="expression" priority="146" dxfId="9">
      <formula>$A$58&lt;&gt;""</formula>
    </cfRule>
  </conditionalFormatting>
  <conditionalFormatting sqref="A60:D60">
    <cfRule type="expression" priority="147" dxfId="5">
      <formula>$A$58&lt;&gt;""</formula>
    </cfRule>
  </conditionalFormatting>
  <conditionalFormatting sqref="A61:D61">
    <cfRule type="expression" priority="148" dxfId="9">
      <formula>$A$58&lt;&gt;""</formula>
    </cfRule>
  </conditionalFormatting>
  <conditionalFormatting sqref="A62:D62">
    <cfRule type="expression" priority="149" dxfId="5">
      <formula>$A$58&lt;&gt;""</formula>
    </cfRule>
  </conditionalFormatting>
  <conditionalFormatting sqref="A60">
    <cfRule type="expression" priority="150" dxfId="0" stopIfTrue="1">
      <formula>AND(ISNUMBER(A60),ROUND(A60,2)=0)</formula>
    </cfRule>
    <cfRule type="expression" priority="151" dxfId="1" stopIfTrue="1">
      <formula>AND(ISNUMBER(A60),A60&gt;=1)</formula>
    </cfRule>
    <cfRule type="expression" priority="152" dxfId="2" stopIfTrue="1">
      <formula>AND(ISNUMBER(A60),A60&gt;=1*0.8)</formula>
    </cfRule>
    <cfRule type="expression" priority="153" dxfId="3" stopIfTrue="1">
      <formula>ISNUMBER(A60)</formula>
    </cfRule>
  </conditionalFormatting>
  <conditionalFormatting sqref="B60">
    <cfRule type="expression" priority="154" dxfId="0" stopIfTrue="1">
      <formula>AND(ISNUMBER(B60),ROUND(B60,2)=0)</formula>
    </cfRule>
    <cfRule type="expression" priority="155" dxfId="1" stopIfTrue="1">
      <formula>AND(ISNUMBER(B60),B60&gt;=NgayQua/SoNgay)</formula>
    </cfRule>
    <cfRule type="expression" priority="156" dxfId="2" stopIfTrue="1">
      <formula>AND(ISNUMBER(B60),B60&gt;=NgayQua/SoNgay*0.8)</formula>
    </cfRule>
    <cfRule type="expression" priority="157" dxfId="3" stopIfTrue="1">
      <formula>ISNUMBER(B60)</formula>
    </cfRule>
  </conditionalFormatting>
  <conditionalFormatting sqref="A63:D63">
    <cfRule type="expression" priority="158" dxfId="10">
      <formula>$A$58&lt;&gt;""</formula>
    </cfRule>
  </conditionalFormatting>
  <conditionalFormatting sqref="D64:D83">
    <cfRule type="expression" priority="159" dxfId="0" stopIfTrue="1">
      <formula>AND(ISNUMBER(D64),ROUND(D64,2)=0)</formula>
    </cfRule>
    <cfRule type="expression" priority="160" dxfId="1" stopIfTrue="1">
      <formula>AND(ISNUMBER(D64),D64&gt;=1)</formula>
    </cfRule>
    <cfRule type="expression" priority="161" dxfId="2" stopIfTrue="1">
      <formula>AND(ISNUMBER(D64),D64&gt;=1*0.8)</formula>
    </cfRule>
    <cfRule type="expression" priority="162" dxfId="3" stopIfTrue="1">
      <formula>ISNUMBER(D64)</formula>
    </cfRule>
  </conditionalFormatting>
  <conditionalFormatting sqref="F58:I58">
    <cfRule type="expression" priority="163" dxfId="8">
      <formula>$F$58&lt;&gt;""</formula>
    </cfRule>
  </conditionalFormatting>
  <conditionalFormatting sqref="F59:I59">
    <cfRule type="expression" priority="164" dxfId="9">
      <formula>$F$58&lt;&gt;""</formula>
    </cfRule>
  </conditionalFormatting>
  <conditionalFormatting sqref="F60:I60">
    <cfRule type="expression" priority="165" dxfId="5">
      <formula>$F$58&lt;&gt;""</formula>
    </cfRule>
  </conditionalFormatting>
  <conditionalFormatting sqref="F61:I61">
    <cfRule type="expression" priority="166" dxfId="9">
      <formula>$F$58&lt;&gt;""</formula>
    </cfRule>
  </conditionalFormatting>
  <conditionalFormatting sqref="F62:I62">
    <cfRule type="expression" priority="167" dxfId="5">
      <formula>$F$58&lt;&gt;""</formula>
    </cfRule>
  </conditionalFormatting>
  <conditionalFormatting sqref="F60">
    <cfRule type="expression" priority="168" dxfId="0" stopIfTrue="1">
      <formula>AND(ISNUMBER(F60),ROUND(F60,2)=0)</formula>
    </cfRule>
    <cfRule type="expression" priority="169" dxfId="1" stopIfTrue="1">
      <formula>AND(ISNUMBER(F60),F60&gt;=1)</formula>
    </cfRule>
    <cfRule type="expression" priority="170" dxfId="2" stopIfTrue="1">
      <formula>AND(ISNUMBER(F60),F60&gt;=1*0.8)</formula>
    </cfRule>
    <cfRule type="expression" priority="171" dxfId="3" stopIfTrue="1">
      <formula>ISNUMBER(F60)</formula>
    </cfRule>
  </conditionalFormatting>
  <conditionalFormatting sqref="G60">
    <cfRule type="expression" priority="172" dxfId="0" stopIfTrue="1">
      <formula>AND(ISNUMBER(G60),ROUND(G60,2)=0)</formula>
    </cfRule>
    <cfRule type="expression" priority="173" dxfId="1" stopIfTrue="1">
      <formula>AND(ISNUMBER(G60),G60&gt;=NgayQua/SoNgay)</formula>
    </cfRule>
    <cfRule type="expression" priority="174" dxfId="2" stopIfTrue="1">
      <formula>AND(ISNUMBER(G60),G60&gt;=NgayQua/SoNgay*0.8)</formula>
    </cfRule>
    <cfRule type="expression" priority="175" dxfId="3" stopIfTrue="1">
      <formula>ISNUMBER(G60)</formula>
    </cfRule>
  </conditionalFormatting>
  <conditionalFormatting sqref="F63:I63">
    <cfRule type="expression" priority="176" dxfId="10">
      <formula>$F$58&lt;&gt;""</formula>
    </cfRule>
  </conditionalFormatting>
  <conditionalFormatting sqref="I64:I83">
    <cfRule type="expression" priority="177" dxfId="0" stopIfTrue="1">
      <formula>AND(ISNUMBER(I64),ROUND(I64,2)=0)</formula>
    </cfRule>
    <cfRule type="expression" priority="178" dxfId="1" stopIfTrue="1">
      <formula>AND(ISNUMBER(I64),I64&gt;=1)</formula>
    </cfRule>
    <cfRule type="expression" priority="179" dxfId="2" stopIfTrue="1">
      <formula>AND(ISNUMBER(I64),I64&gt;=1*0.8)</formula>
    </cfRule>
    <cfRule type="expression" priority="180" dxfId="3" stopIfTrue="1">
      <formula>ISNUMBER(I64)</formula>
    </cfRule>
  </conditionalFormatting>
  <conditionalFormatting sqref="K58:N58">
    <cfRule type="expression" priority="181" dxfId="8">
      <formula>$K$58&lt;&gt;""</formula>
    </cfRule>
  </conditionalFormatting>
  <conditionalFormatting sqref="K59:N59">
    <cfRule type="expression" priority="182" dxfId="9">
      <formula>$K$58&lt;&gt;""</formula>
    </cfRule>
  </conditionalFormatting>
  <conditionalFormatting sqref="K60:N60">
    <cfRule type="expression" priority="183" dxfId="5">
      <formula>$K$58&lt;&gt;""</formula>
    </cfRule>
  </conditionalFormatting>
  <conditionalFormatting sqref="K61:N61">
    <cfRule type="expression" priority="184" dxfId="9">
      <formula>$K$58&lt;&gt;""</formula>
    </cfRule>
  </conditionalFormatting>
  <conditionalFormatting sqref="K62:N62">
    <cfRule type="expression" priority="185" dxfId="5">
      <formula>$K$58&lt;&gt;""</formula>
    </cfRule>
  </conditionalFormatting>
  <conditionalFormatting sqref="K60">
    <cfRule type="expression" priority="186" dxfId="0" stopIfTrue="1">
      <formula>AND(ISNUMBER(K60),ROUND(K60,2)=0)</formula>
    </cfRule>
    <cfRule type="expression" priority="187" dxfId="1" stopIfTrue="1">
      <formula>AND(ISNUMBER(K60),K60&gt;=1)</formula>
    </cfRule>
    <cfRule type="expression" priority="188" dxfId="2" stopIfTrue="1">
      <formula>AND(ISNUMBER(K60),K60&gt;=1*0.8)</formula>
    </cfRule>
    <cfRule type="expression" priority="189" dxfId="3" stopIfTrue="1">
      <formula>ISNUMBER(K60)</formula>
    </cfRule>
  </conditionalFormatting>
  <conditionalFormatting sqref="L60">
    <cfRule type="expression" priority="190" dxfId="0" stopIfTrue="1">
      <formula>AND(ISNUMBER(L60),ROUND(L60,2)=0)</formula>
    </cfRule>
    <cfRule type="expression" priority="191" dxfId="1" stopIfTrue="1">
      <formula>AND(ISNUMBER(L60),L60&gt;=NgayQua/SoNgay)</formula>
    </cfRule>
    <cfRule type="expression" priority="192" dxfId="2" stopIfTrue="1">
      <formula>AND(ISNUMBER(L60),L60&gt;=NgayQua/SoNgay*0.8)</formula>
    </cfRule>
    <cfRule type="expression" priority="193" dxfId="3" stopIfTrue="1">
      <formula>ISNUMBER(L60)</formula>
    </cfRule>
  </conditionalFormatting>
  <conditionalFormatting sqref="K63:N63">
    <cfRule type="expression" priority="194" dxfId="10">
      <formula>$K$58&lt;&gt;""</formula>
    </cfRule>
  </conditionalFormatting>
  <conditionalFormatting sqref="N64:N83">
    <cfRule type="expression" priority="195" dxfId="0" stopIfTrue="1">
      <formula>AND(ISNUMBER(N64),ROUND(N64,2)=0)</formula>
    </cfRule>
    <cfRule type="expression" priority="196" dxfId="1" stopIfTrue="1">
      <formula>AND(ISNUMBER(N64),N64&gt;=1)</formula>
    </cfRule>
    <cfRule type="expression" priority="197" dxfId="2" stopIfTrue="1">
      <formula>AND(ISNUMBER(N64),N64&gt;=1*0.8)</formula>
    </cfRule>
    <cfRule type="expression" priority="198" dxfId="3" stopIfTrue="1">
      <formula>ISNUMBER(N64)</formula>
    </cfRule>
  </conditionalFormatting>
  <conditionalFormatting sqref="P58:S58">
    <cfRule type="expression" priority="199" dxfId="8">
      <formula>$P$58&lt;&gt;""</formula>
    </cfRule>
  </conditionalFormatting>
  <conditionalFormatting sqref="P59:S59">
    <cfRule type="expression" priority="200" dxfId="9">
      <formula>$P$58&lt;&gt;""</formula>
    </cfRule>
  </conditionalFormatting>
  <conditionalFormatting sqref="P60:S60">
    <cfRule type="expression" priority="201" dxfId="5">
      <formula>$P$58&lt;&gt;""</formula>
    </cfRule>
  </conditionalFormatting>
  <conditionalFormatting sqref="P61:S61">
    <cfRule type="expression" priority="202" dxfId="9">
      <formula>$P$58&lt;&gt;""</formula>
    </cfRule>
  </conditionalFormatting>
  <conditionalFormatting sqref="P62:S62">
    <cfRule type="expression" priority="203" dxfId="5">
      <formula>$P$58&lt;&gt;""</formula>
    </cfRule>
  </conditionalFormatting>
  <conditionalFormatting sqref="P60">
    <cfRule type="expression" priority="204" dxfId="0" stopIfTrue="1">
      <formula>AND(ISNUMBER(P60),ROUND(P60,2)=0)</formula>
    </cfRule>
    <cfRule type="expression" priority="205" dxfId="1" stopIfTrue="1">
      <formula>AND(ISNUMBER(P60),P60&gt;=1)</formula>
    </cfRule>
    <cfRule type="expression" priority="206" dxfId="2" stopIfTrue="1">
      <formula>AND(ISNUMBER(P60),P60&gt;=1*0.8)</formula>
    </cfRule>
    <cfRule type="expression" priority="207" dxfId="3" stopIfTrue="1">
      <formula>ISNUMBER(P60)</formula>
    </cfRule>
  </conditionalFormatting>
  <conditionalFormatting sqref="Q60">
    <cfRule type="expression" priority="208" dxfId="0" stopIfTrue="1">
      <formula>AND(ISNUMBER(Q60),ROUND(Q60,2)=0)</formula>
    </cfRule>
    <cfRule type="expression" priority="209" dxfId="1" stopIfTrue="1">
      <formula>AND(ISNUMBER(Q60),Q60&gt;=NgayQua/SoNgay)</formula>
    </cfRule>
    <cfRule type="expression" priority="210" dxfId="2" stopIfTrue="1">
      <formula>AND(ISNUMBER(Q60),Q60&gt;=NgayQua/SoNgay*0.8)</formula>
    </cfRule>
    <cfRule type="expression" priority="211" dxfId="3" stopIfTrue="1">
      <formula>ISNUMBER(Q60)</formula>
    </cfRule>
  </conditionalFormatting>
  <conditionalFormatting sqref="P63:S63">
    <cfRule type="expression" priority="212" dxfId="10">
      <formula>$P$58&lt;&gt;""</formula>
    </cfRule>
  </conditionalFormatting>
  <conditionalFormatting sqref="S64:S83">
    <cfRule type="expression" priority="213" dxfId="0" stopIfTrue="1">
      <formula>AND(ISNUMBER(S64),ROUND(S64,2)=0)</formula>
    </cfRule>
    <cfRule type="expression" priority="214" dxfId="1" stopIfTrue="1">
      <formula>AND(ISNUMBER(S64),S64&gt;=1)</formula>
    </cfRule>
    <cfRule type="expression" priority="215" dxfId="2" stopIfTrue="1">
      <formula>AND(ISNUMBER(S64),S64&gt;=1*0.8)</formula>
    </cfRule>
    <cfRule type="expression" priority="216" dxfId="3" stopIfTrue="1">
      <formula>ISNUMBER(S64)</formula>
    </cfRule>
  </conditionalFormatting>
  <conditionalFormatting sqref="A85:D85">
    <cfRule type="expression" priority="217" dxfId="8">
      <formula>$A$85&lt;&gt;""</formula>
    </cfRule>
  </conditionalFormatting>
  <conditionalFormatting sqref="A86:D86">
    <cfRule type="expression" priority="218" dxfId="9">
      <formula>$A$85&lt;&gt;""</formula>
    </cfRule>
  </conditionalFormatting>
  <conditionalFormatting sqref="A87:D87">
    <cfRule type="expression" priority="219" dxfId="5">
      <formula>$A$85&lt;&gt;""</formula>
    </cfRule>
  </conditionalFormatting>
  <conditionalFormatting sqref="A88:D88">
    <cfRule type="expression" priority="220" dxfId="9">
      <formula>$A$85&lt;&gt;""</formula>
    </cfRule>
  </conditionalFormatting>
  <conditionalFormatting sqref="A89:D89">
    <cfRule type="expression" priority="221" dxfId="5">
      <formula>$A$85&lt;&gt;""</formula>
    </cfRule>
  </conditionalFormatting>
  <conditionalFormatting sqref="A87">
    <cfRule type="expression" priority="222" dxfId="0" stopIfTrue="1">
      <formula>AND(ISNUMBER(A87),ROUND(A87,2)=0)</formula>
    </cfRule>
    <cfRule type="expression" priority="223" dxfId="1" stopIfTrue="1">
      <formula>AND(ISNUMBER(A87),A87&gt;=1)</formula>
    </cfRule>
    <cfRule type="expression" priority="224" dxfId="2" stopIfTrue="1">
      <formula>AND(ISNUMBER(A87),A87&gt;=1*0.8)</formula>
    </cfRule>
    <cfRule type="expression" priority="225" dxfId="3" stopIfTrue="1">
      <formula>ISNUMBER(A87)</formula>
    </cfRule>
  </conditionalFormatting>
  <conditionalFormatting sqref="B87">
    <cfRule type="expression" priority="226" dxfId="0" stopIfTrue="1">
      <formula>AND(ISNUMBER(B87),ROUND(B87,2)=0)</formula>
    </cfRule>
    <cfRule type="expression" priority="227" dxfId="1" stopIfTrue="1">
      <formula>AND(ISNUMBER(B87),B87&gt;=NgayQua/SoNgay)</formula>
    </cfRule>
    <cfRule type="expression" priority="228" dxfId="2" stopIfTrue="1">
      <formula>AND(ISNUMBER(B87),B87&gt;=NgayQua/SoNgay*0.8)</formula>
    </cfRule>
    <cfRule type="expression" priority="229" dxfId="3" stopIfTrue="1">
      <formula>ISNUMBER(B87)</formula>
    </cfRule>
  </conditionalFormatting>
  <conditionalFormatting sqref="A90:D90">
    <cfRule type="expression" priority="230" dxfId="10">
      <formula>$A$85&lt;&gt;""</formula>
    </cfRule>
  </conditionalFormatting>
  <conditionalFormatting sqref="D91:D110">
    <cfRule type="expression" priority="231" dxfId="0" stopIfTrue="1">
      <formula>AND(ISNUMBER(D91),ROUND(D91,2)=0)</formula>
    </cfRule>
    <cfRule type="expression" priority="232" dxfId="1" stopIfTrue="1">
      <formula>AND(ISNUMBER(D91),D91&gt;=1)</formula>
    </cfRule>
    <cfRule type="expression" priority="233" dxfId="2" stopIfTrue="1">
      <formula>AND(ISNUMBER(D91),D91&gt;=1*0.8)</formula>
    </cfRule>
    <cfRule type="expression" priority="234" dxfId="3" stopIfTrue="1">
      <formula>ISNUMBER(D91)</formula>
    </cfRule>
  </conditionalFormatting>
  <conditionalFormatting sqref="F85:I85">
    <cfRule type="expression" priority="235" dxfId="8">
      <formula>$F$85&lt;&gt;""</formula>
    </cfRule>
  </conditionalFormatting>
  <conditionalFormatting sqref="F86:I86">
    <cfRule type="expression" priority="236" dxfId="9">
      <formula>$F$85&lt;&gt;""</formula>
    </cfRule>
  </conditionalFormatting>
  <conditionalFormatting sqref="F87:I87">
    <cfRule type="expression" priority="237" dxfId="5">
      <formula>$F$85&lt;&gt;""</formula>
    </cfRule>
  </conditionalFormatting>
  <conditionalFormatting sqref="F88:I88">
    <cfRule type="expression" priority="238" dxfId="9">
      <formula>$F$85&lt;&gt;""</formula>
    </cfRule>
  </conditionalFormatting>
  <conditionalFormatting sqref="F89:I89">
    <cfRule type="expression" priority="239" dxfId="5">
      <formula>$F$85&lt;&gt;""</formula>
    </cfRule>
  </conditionalFormatting>
  <conditionalFormatting sqref="F87">
    <cfRule type="expression" priority="240" dxfId="0" stopIfTrue="1">
      <formula>AND(ISNUMBER(F87),ROUND(F87,2)=0)</formula>
    </cfRule>
    <cfRule type="expression" priority="241" dxfId="1" stopIfTrue="1">
      <formula>AND(ISNUMBER(F87),F87&gt;=1)</formula>
    </cfRule>
    <cfRule type="expression" priority="242" dxfId="2" stopIfTrue="1">
      <formula>AND(ISNUMBER(F87),F87&gt;=1*0.8)</formula>
    </cfRule>
    <cfRule type="expression" priority="243" dxfId="3" stopIfTrue="1">
      <formula>ISNUMBER(F87)</formula>
    </cfRule>
  </conditionalFormatting>
  <conditionalFormatting sqref="G87">
    <cfRule type="expression" priority="244" dxfId="0" stopIfTrue="1">
      <formula>AND(ISNUMBER(G87),ROUND(G87,2)=0)</formula>
    </cfRule>
    <cfRule type="expression" priority="245" dxfId="1" stopIfTrue="1">
      <formula>AND(ISNUMBER(G87),G87&gt;=NgayQua/SoNgay)</formula>
    </cfRule>
    <cfRule type="expression" priority="246" dxfId="2" stopIfTrue="1">
      <formula>AND(ISNUMBER(G87),G87&gt;=NgayQua/SoNgay*0.8)</formula>
    </cfRule>
    <cfRule type="expression" priority="247" dxfId="3" stopIfTrue="1">
      <formula>ISNUMBER(G87)</formula>
    </cfRule>
  </conditionalFormatting>
  <conditionalFormatting sqref="F90:I90">
    <cfRule type="expression" priority="248" dxfId="10">
      <formula>$F$85&lt;&gt;""</formula>
    </cfRule>
  </conditionalFormatting>
  <conditionalFormatting sqref="I91:I110">
    <cfRule type="expression" priority="249" dxfId="0" stopIfTrue="1">
      <formula>AND(ISNUMBER(I91),ROUND(I91,2)=0)</formula>
    </cfRule>
    <cfRule type="expression" priority="250" dxfId="1" stopIfTrue="1">
      <formula>AND(ISNUMBER(I91),I91&gt;=1)</formula>
    </cfRule>
    <cfRule type="expression" priority="251" dxfId="2" stopIfTrue="1">
      <formula>AND(ISNUMBER(I91),I91&gt;=1*0.8)</formula>
    </cfRule>
    <cfRule type="expression" priority="252" dxfId="3" stopIfTrue="1">
      <formula>ISNUMBER(I91)</formula>
    </cfRule>
  </conditionalFormatting>
  <conditionalFormatting sqref="K85:N85">
    <cfRule type="expression" priority="253" dxfId="8">
      <formula>$K$85&lt;&gt;""</formula>
    </cfRule>
  </conditionalFormatting>
  <conditionalFormatting sqref="K86:N86">
    <cfRule type="expression" priority="254" dxfId="9">
      <formula>$K$85&lt;&gt;""</formula>
    </cfRule>
  </conditionalFormatting>
  <conditionalFormatting sqref="K87:N87">
    <cfRule type="expression" priority="255" dxfId="5">
      <formula>$K$85&lt;&gt;""</formula>
    </cfRule>
  </conditionalFormatting>
  <conditionalFormatting sqref="K88:N88">
    <cfRule type="expression" priority="256" dxfId="9">
      <formula>$K$85&lt;&gt;""</formula>
    </cfRule>
  </conditionalFormatting>
  <conditionalFormatting sqref="K89:N89">
    <cfRule type="expression" priority="257" dxfId="5">
      <formula>$K$85&lt;&gt;""</formula>
    </cfRule>
  </conditionalFormatting>
  <conditionalFormatting sqref="K87">
    <cfRule type="expression" priority="258" dxfId="0" stopIfTrue="1">
      <formula>AND(ISNUMBER(K87),ROUND(K87,2)=0)</formula>
    </cfRule>
    <cfRule type="expression" priority="259" dxfId="1" stopIfTrue="1">
      <formula>AND(ISNUMBER(K87),K87&gt;=1)</formula>
    </cfRule>
    <cfRule type="expression" priority="260" dxfId="2" stopIfTrue="1">
      <formula>AND(ISNUMBER(K87),K87&gt;=1*0.8)</formula>
    </cfRule>
    <cfRule type="expression" priority="261" dxfId="3" stopIfTrue="1">
      <formula>ISNUMBER(K87)</formula>
    </cfRule>
  </conditionalFormatting>
  <conditionalFormatting sqref="L87">
    <cfRule type="expression" priority="262" dxfId="0" stopIfTrue="1">
      <formula>AND(ISNUMBER(L87),ROUND(L87,2)=0)</formula>
    </cfRule>
    <cfRule type="expression" priority="263" dxfId="1" stopIfTrue="1">
      <formula>AND(ISNUMBER(L87),L87&gt;=NgayQua/SoNgay)</formula>
    </cfRule>
    <cfRule type="expression" priority="264" dxfId="2" stopIfTrue="1">
      <formula>AND(ISNUMBER(L87),L87&gt;=NgayQua/SoNgay*0.8)</formula>
    </cfRule>
    <cfRule type="expression" priority="265" dxfId="3" stopIfTrue="1">
      <formula>ISNUMBER(L87)</formula>
    </cfRule>
  </conditionalFormatting>
  <conditionalFormatting sqref="K90:N90">
    <cfRule type="expression" priority="266" dxfId="10">
      <formula>$K$85&lt;&gt;""</formula>
    </cfRule>
  </conditionalFormatting>
  <conditionalFormatting sqref="N91:N110">
    <cfRule type="expression" priority="267" dxfId="0" stopIfTrue="1">
      <formula>AND(ISNUMBER(N91),ROUND(N91,2)=0)</formula>
    </cfRule>
    <cfRule type="expression" priority="268" dxfId="1" stopIfTrue="1">
      <formula>AND(ISNUMBER(N91),N91&gt;=1)</formula>
    </cfRule>
    <cfRule type="expression" priority="269" dxfId="2" stopIfTrue="1">
      <formula>AND(ISNUMBER(N91),N91&gt;=1*0.8)</formula>
    </cfRule>
    <cfRule type="expression" priority="270" dxfId="3" stopIfTrue="1">
      <formula>ISNUMBER(N91)</formula>
    </cfRule>
  </conditionalFormatting>
  <conditionalFormatting sqref="P85:S85">
    <cfRule type="expression" priority="271" dxfId="8">
      <formula>$P$85&lt;&gt;""</formula>
    </cfRule>
  </conditionalFormatting>
  <conditionalFormatting sqref="P86:S86">
    <cfRule type="expression" priority="272" dxfId="9">
      <formula>$P$85&lt;&gt;""</formula>
    </cfRule>
  </conditionalFormatting>
  <conditionalFormatting sqref="P87:S87">
    <cfRule type="expression" priority="273" dxfId="5">
      <formula>$P$85&lt;&gt;""</formula>
    </cfRule>
  </conditionalFormatting>
  <conditionalFormatting sqref="P88:S88">
    <cfRule type="expression" priority="274" dxfId="9">
      <formula>$P$85&lt;&gt;""</formula>
    </cfRule>
  </conditionalFormatting>
  <conditionalFormatting sqref="P89:S89">
    <cfRule type="expression" priority="275" dxfId="5">
      <formula>$P$85&lt;&gt;""</formula>
    </cfRule>
  </conditionalFormatting>
  <conditionalFormatting sqref="P87">
    <cfRule type="expression" priority="276" dxfId="0" stopIfTrue="1">
      <formula>AND(ISNUMBER(P87),ROUND(P87,2)=0)</formula>
    </cfRule>
    <cfRule type="expression" priority="277" dxfId="1" stopIfTrue="1">
      <formula>AND(ISNUMBER(P87),P87&gt;=1)</formula>
    </cfRule>
    <cfRule type="expression" priority="278" dxfId="2" stopIfTrue="1">
      <formula>AND(ISNUMBER(P87),P87&gt;=1*0.8)</formula>
    </cfRule>
    <cfRule type="expression" priority="279" dxfId="3" stopIfTrue="1">
      <formula>ISNUMBER(P87)</formula>
    </cfRule>
  </conditionalFormatting>
  <conditionalFormatting sqref="Q87">
    <cfRule type="expression" priority="280" dxfId="0" stopIfTrue="1">
      <formula>AND(ISNUMBER(Q87),ROUND(Q87,2)=0)</formula>
    </cfRule>
    <cfRule type="expression" priority="281" dxfId="1" stopIfTrue="1">
      <formula>AND(ISNUMBER(Q87),Q87&gt;=NgayQua/SoNgay)</formula>
    </cfRule>
    <cfRule type="expression" priority="282" dxfId="2" stopIfTrue="1">
      <formula>AND(ISNUMBER(Q87),Q87&gt;=NgayQua/SoNgay*0.8)</formula>
    </cfRule>
    <cfRule type="expression" priority="283" dxfId="3" stopIfTrue="1">
      <formula>ISNUMBER(Q87)</formula>
    </cfRule>
  </conditionalFormatting>
  <conditionalFormatting sqref="P90:S90">
    <cfRule type="expression" priority="284" dxfId="10">
      <formula>$P$85&lt;&gt;""</formula>
    </cfRule>
  </conditionalFormatting>
  <conditionalFormatting sqref="S91:S110">
    <cfRule type="expression" priority="285" dxfId="0" stopIfTrue="1">
      <formula>AND(ISNUMBER(S91),ROUND(S91,2)=0)</formula>
    </cfRule>
    <cfRule type="expression" priority="286" dxfId="1" stopIfTrue="1">
      <formula>AND(ISNUMBER(S91),S91&gt;=1)</formula>
    </cfRule>
    <cfRule type="expression" priority="287" dxfId="2" stopIfTrue="1">
      <formula>AND(ISNUMBER(S91),S91&gt;=1*0.8)</formula>
    </cfRule>
    <cfRule type="expression" priority="288" dxfId="3" stopIfTrue="1">
      <formula>ISNUMBER(S91)</formula>
    </cfRule>
  </conditionalFormatting>
  <conditionalFormatting sqref="A112:D112">
    <cfRule type="expression" priority="289" dxfId="8">
      <formula>$A$112&lt;&gt;""</formula>
    </cfRule>
  </conditionalFormatting>
  <conditionalFormatting sqref="A113:D113">
    <cfRule type="expression" priority="290" dxfId="9">
      <formula>$A$112&lt;&gt;""</formula>
    </cfRule>
  </conditionalFormatting>
  <conditionalFormatting sqref="A114:D114">
    <cfRule type="expression" priority="291" dxfId="5">
      <formula>$A$112&lt;&gt;""</formula>
    </cfRule>
  </conditionalFormatting>
  <conditionalFormatting sqref="A115:D115">
    <cfRule type="expression" priority="292" dxfId="9">
      <formula>$A$112&lt;&gt;""</formula>
    </cfRule>
  </conditionalFormatting>
  <conditionalFormatting sqref="A116:D116">
    <cfRule type="expression" priority="293" dxfId="5">
      <formula>$A$112&lt;&gt;""</formula>
    </cfRule>
  </conditionalFormatting>
  <conditionalFormatting sqref="A114">
    <cfRule type="expression" priority="294" dxfId="0" stopIfTrue="1">
      <formula>AND(ISNUMBER(A114),ROUND(A114,2)=0)</formula>
    </cfRule>
    <cfRule type="expression" priority="295" dxfId="1" stopIfTrue="1">
      <formula>AND(ISNUMBER(A114),A114&gt;=1)</formula>
    </cfRule>
    <cfRule type="expression" priority="296" dxfId="2" stopIfTrue="1">
      <formula>AND(ISNUMBER(A114),A114&gt;=1*0.8)</formula>
    </cfRule>
    <cfRule type="expression" priority="297" dxfId="3" stopIfTrue="1">
      <formula>ISNUMBER(A114)</formula>
    </cfRule>
  </conditionalFormatting>
  <conditionalFormatting sqref="B114">
    <cfRule type="expression" priority="298" dxfId="0" stopIfTrue="1">
      <formula>AND(ISNUMBER(B114),ROUND(B114,2)=0)</formula>
    </cfRule>
    <cfRule type="expression" priority="299" dxfId="1" stopIfTrue="1">
      <formula>AND(ISNUMBER(B114),B114&gt;=NgayQua/SoNgay)</formula>
    </cfRule>
    <cfRule type="expression" priority="300" dxfId="2" stopIfTrue="1">
      <formula>AND(ISNUMBER(B114),B114&gt;=NgayQua/SoNgay*0.8)</formula>
    </cfRule>
    <cfRule type="expression" priority="301" dxfId="3" stopIfTrue="1">
      <formula>ISNUMBER(B114)</formula>
    </cfRule>
  </conditionalFormatting>
  <conditionalFormatting sqref="A117:D117">
    <cfRule type="expression" priority="302" dxfId="10">
      <formula>$A$112&lt;&gt;""</formula>
    </cfRule>
  </conditionalFormatting>
  <conditionalFormatting sqref="D118:D137">
    <cfRule type="expression" priority="303" dxfId="0" stopIfTrue="1">
      <formula>AND(ISNUMBER(D118),ROUND(D118,2)=0)</formula>
    </cfRule>
    <cfRule type="expression" priority="304" dxfId="1" stopIfTrue="1">
      <formula>AND(ISNUMBER(D118),D118&gt;=1)</formula>
    </cfRule>
    <cfRule type="expression" priority="305" dxfId="2" stopIfTrue="1">
      <formula>AND(ISNUMBER(D118),D118&gt;=1*0.8)</formula>
    </cfRule>
    <cfRule type="expression" priority="306" dxfId="3" stopIfTrue="1">
      <formula>ISNUMBER(D118)</formula>
    </cfRule>
  </conditionalFormatting>
  <conditionalFormatting sqref="F112:I112">
    <cfRule type="expression" priority="307" dxfId="8">
      <formula>$F$112&lt;&gt;""</formula>
    </cfRule>
  </conditionalFormatting>
  <conditionalFormatting sqref="F113:I113">
    <cfRule type="expression" priority="308" dxfId="9">
      <formula>$F$112&lt;&gt;""</formula>
    </cfRule>
  </conditionalFormatting>
  <conditionalFormatting sqref="F114:I114">
    <cfRule type="expression" priority="309" dxfId="5">
      <formula>$F$112&lt;&gt;""</formula>
    </cfRule>
  </conditionalFormatting>
  <conditionalFormatting sqref="F115:I115">
    <cfRule type="expression" priority="310" dxfId="9">
      <formula>$F$112&lt;&gt;""</formula>
    </cfRule>
  </conditionalFormatting>
  <conditionalFormatting sqref="F116:I116">
    <cfRule type="expression" priority="311" dxfId="5">
      <formula>$F$112&lt;&gt;""</formula>
    </cfRule>
  </conditionalFormatting>
  <conditionalFormatting sqref="F114">
    <cfRule type="expression" priority="312" dxfId="0" stopIfTrue="1">
      <formula>AND(ISNUMBER(F114),ROUND(F114,2)=0)</formula>
    </cfRule>
    <cfRule type="expression" priority="313" dxfId="1" stopIfTrue="1">
      <formula>AND(ISNUMBER(F114),F114&gt;=1)</formula>
    </cfRule>
    <cfRule type="expression" priority="314" dxfId="2" stopIfTrue="1">
      <formula>AND(ISNUMBER(F114),F114&gt;=1*0.8)</formula>
    </cfRule>
    <cfRule type="expression" priority="315" dxfId="3" stopIfTrue="1">
      <formula>ISNUMBER(F114)</formula>
    </cfRule>
  </conditionalFormatting>
  <conditionalFormatting sqref="G114">
    <cfRule type="expression" priority="316" dxfId="0" stopIfTrue="1">
      <formula>AND(ISNUMBER(G114),ROUND(G114,2)=0)</formula>
    </cfRule>
    <cfRule type="expression" priority="317" dxfId="1" stopIfTrue="1">
      <formula>AND(ISNUMBER(G114),G114&gt;=NgayQua/SoNgay)</formula>
    </cfRule>
    <cfRule type="expression" priority="318" dxfId="2" stopIfTrue="1">
      <formula>AND(ISNUMBER(G114),G114&gt;=NgayQua/SoNgay*0.8)</formula>
    </cfRule>
    <cfRule type="expression" priority="319" dxfId="3" stopIfTrue="1">
      <formula>ISNUMBER(G114)</formula>
    </cfRule>
  </conditionalFormatting>
  <conditionalFormatting sqref="F117:I117">
    <cfRule type="expression" priority="320" dxfId="10">
      <formula>$F$112&lt;&gt;""</formula>
    </cfRule>
  </conditionalFormatting>
  <conditionalFormatting sqref="I118:I137">
    <cfRule type="expression" priority="321" dxfId="0" stopIfTrue="1">
      <formula>AND(ISNUMBER(I118),ROUND(I118,2)=0)</formula>
    </cfRule>
    <cfRule type="expression" priority="322" dxfId="1" stopIfTrue="1">
      <formula>AND(ISNUMBER(I118),I118&gt;=1)</formula>
    </cfRule>
    <cfRule type="expression" priority="323" dxfId="2" stopIfTrue="1">
      <formula>AND(ISNUMBER(I118),I118&gt;=1*0.8)</formula>
    </cfRule>
    <cfRule type="expression" priority="324" dxfId="3" stopIfTrue="1">
      <formula>ISNUMBER(I118)</formula>
    </cfRule>
  </conditionalFormatting>
  <conditionalFormatting sqref="K112:N112">
    <cfRule type="expression" priority="325" dxfId="8">
      <formula>$K$112&lt;&gt;""</formula>
    </cfRule>
  </conditionalFormatting>
  <conditionalFormatting sqref="K113:N113">
    <cfRule type="expression" priority="326" dxfId="9">
      <formula>$K$112&lt;&gt;""</formula>
    </cfRule>
  </conditionalFormatting>
  <conditionalFormatting sqref="K114:N114">
    <cfRule type="expression" priority="327" dxfId="5">
      <formula>$K$112&lt;&gt;""</formula>
    </cfRule>
  </conditionalFormatting>
  <conditionalFormatting sqref="K115:N115">
    <cfRule type="expression" priority="328" dxfId="9">
      <formula>$K$112&lt;&gt;""</formula>
    </cfRule>
  </conditionalFormatting>
  <conditionalFormatting sqref="K116:N116">
    <cfRule type="expression" priority="329" dxfId="5">
      <formula>$K$112&lt;&gt;""</formula>
    </cfRule>
  </conditionalFormatting>
  <conditionalFormatting sqref="K114">
    <cfRule type="expression" priority="330" dxfId="0" stopIfTrue="1">
      <formula>AND(ISNUMBER(K114),ROUND(K114,2)=0)</formula>
    </cfRule>
    <cfRule type="expression" priority="331" dxfId="1" stopIfTrue="1">
      <formula>AND(ISNUMBER(K114),K114&gt;=1)</formula>
    </cfRule>
    <cfRule type="expression" priority="332" dxfId="2" stopIfTrue="1">
      <formula>AND(ISNUMBER(K114),K114&gt;=1*0.8)</formula>
    </cfRule>
    <cfRule type="expression" priority="333" dxfId="3" stopIfTrue="1">
      <formula>ISNUMBER(K114)</formula>
    </cfRule>
  </conditionalFormatting>
  <conditionalFormatting sqref="L114">
    <cfRule type="expression" priority="334" dxfId="0" stopIfTrue="1">
      <formula>AND(ISNUMBER(L114),ROUND(L114,2)=0)</formula>
    </cfRule>
    <cfRule type="expression" priority="335" dxfId="1" stopIfTrue="1">
      <formula>AND(ISNUMBER(L114),L114&gt;=NgayQua/SoNgay)</formula>
    </cfRule>
    <cfRule type="expression" priority="336" dxfId="2" stopIfTrue="1">
      <formula>AND(ISNUMBER(L114),L114&gt;=NgayQua/SoNgay*0.8)</formula>
    </cfRule>
    <cfRule type="expression" priority="337" dxfId="3" stopIfTrue="1">
      <formula>ISNUMBER(L114)</formula>
    </cfRule>
  </conditionalFormatting>
  <conditionalFormatting sqref="K117:N117">
    <cfRule type="expression" priority="338" dxfId="10">
      <formula>$K$112&lt;&gt;""</formula>
    </cfRule>
  </conditionalFormatting>
  <conditionalFormatting sqref="N118:N137">
    <cfRule type="expression" priority="339" dxfId="0" stopIfTrue="1">
      <formula>AND(ISNUMBER(N118),ROUND(N118,2)=0)</formula>
    </cfRule>
    <cfRule type="expression" priority="340" dxfId="1" stopIfTrue="1">
      <formula>AND(ISNUMBER(N118),N118&gt;=1)</formula>
    </cfRule>
    <cfRule type="expression" priority="341" dxfId="2" stopIfTrue="1">
      <formula>AND(ISNUMBER(N118),N118&gt;=1*0.8)</formula>
    </cfRule>
    <cfRule type="expression" priority="342" dxfId="3" stopIfTrue="1">
      <formula>ISNUMBER(N118)</formula>
    </cfRule>
  </conditionalFormatting>
  <conditionalFormatting sqref="P112:S112">
    <cfRule type="expression" priority="343" dxfId="8">
      <formula>$P$112&lt;&gt;""</formula>
    </cfRule>
  </conditionalFormatting>
  <conditionalFormatting sqref="P113:S113">
    <cfRule type="expression" priority="344" dxfId="9">
      <formula>$P$112&lt;&gt;""</formula>
    </cfRule>
  </conditionalFormatting>
  <conditionalFormatting sqref="P114:S114">
    <cfRule type="expression" priority="345" dxfId="5">
      <formula>$P$112&lt;&gt;""</formula>
    </cfRule>
  </conditionalFormatting>
  <conditionalFormatting sqref="P115:S115">
    <cfRule type="expression" priority="346" dxfId="9">
      <formula>$P$112&lt;&gt;""</formula>
    </cfRule>
  </conditionalFormatting>
  <conditionalFormatting sqref="P116:S116">
    <cfRule type="expression" priority="347" dxfId="5">
      <formula>$P$112&lt;&gt;""</formula>
    </cfRule>
  </conditionalFormatting>
  <conditionalFormatting sqref="P114">
    <cfRule type="expression" priority="348" dxfId="0" stopIfTrue="1">
      <formula>AND(ISNUMBER(P114),ROUND(P114,2)=0)</formula>
    </cfRule>
    <cfRule type="expression" priority="349" dxfId="1" stopIfTrue="1">
      <formula>AND(ISNUMBER(P114),P114&gt;=1)</formula>
    </cfRule>
    <cfRule type="expression" priority="350" dxfId="2" stopIfTrue="1">
      <formula>AND(ISNUMBER(P114),P114&gt;=1*0.8)</formula>
    </cfRule>
    <cfRule type="expression" priority="351" dxfId="3" stopIfTrue="1">
      <formula>ISNUMBER(P114)</formula>
    </cfRule>
  </conditionalFormatting>
  <conditionalFormatting sqref="Q114">
    <cfRule type="expression" priority="352" dxfId="0" stopIfTrue="1">
      <formula>AND(ISNUMBER(Q114),ROUND(Q114,2)=0)</formula>
    </cfRule>
    <cfRule type="expression" priority="353" dxfId="1" stopIfTrue="1">
      <formula>AND(ISNUMBER(Q114),Q114&gt;=NgayQua/SoNgay)</formula>
    </cfRule>
    <cfRule type="expression" priority="354" dxfId="2" stopIfTrue="1">
      <formula>AND(ISNUMBER(Q114),Q114&gt;=NgayQua/SoNgay*0.8)</formula>
    </cfRule>
    <cfRule type="expression" priority="355" dxfId="3" stopIfTrue="1">
      <formula>ISNUMBER(Q114)</formula>
    </cfRule>
  </conditionalFormatting>
  <conditionalFormatting sqref="P117:S117">
    <cfRule type="expression" priority="356" dxfId="10">
      <formula>$P$112&lt;&gt;""</formula>
    </cfRule>
  </conditionalFormatting>
  <conditionalFormatting sqref="S118:S137">
    <cfRule type="expression" priority="357" dxfId="0" stopIfTrue="1">
      <formula>AND(ISNUMBER(S118),ROUND(S118,2)=0)</formula>
    </cfRule>
    <cfRule type="expression" priority="358" dxfId="1" stopIfTrue="1">
      <formula>AND(ISNUMBER(S118),S118&gt;=1)</formula>
    </cfRule>
    <cfRule type="expression" priority="359" dxfId="2" stopIfTrue="1">
      <formula>AND(ISNUMBER(S118),S118&gt;=1*0.8)</formula>
    </cfRule>
    <cfRule type="expression" priority="360" dxfId="3" stopIfTrue="1">
      <formula>ISNUMBER(S118)</formula>
    </cfRule>
  </conditionalFormatting>
  <conditionalFormatting sqref="A10:D29">
    <cfRule type="expression" priority="361" dxfId="5">
      <formula>$A10&lt;&gt;""</formula>
    </cfRule>
  </conditionalFormatting>
  <conditionalFormatting sqref="F10:I29">
    <cfRule type="expression" priority="362" dxfId="5">
      <formula>$F10&lt;&gt;""</formula>
    </cfRule>
  </conditionalFormatting>
  <conditionalFormatting sqref="K10:N29">
    <cfRule type="expression" priority="363" dxfId="5">
      <formula>$K10&lt;&gt;""</formula>
    </cfRule>
  </conditionalFormatting>
  <conditionalFormatting sqref="P10:S29">
    <cfRule type="expression" priority="364" dxfId="5">
      <formula>$P10&lt;&gt;""</formula>
    </cfRule>
  </conditionalFormatting>
  <conditionalFormatting sqref="A37:D56">
    <cfRule type="expression" priority="365" dxfId="5">
      <formula>$A37&lt;&gt;""</formula>
    </cfRule>
  </conditionalFormatting>
  <conditionalFormatting sqref="F37:I56">
    <cfRule type="expression" priority="366" dxfId="5">
      <formula>$F37&lt;&gt;""</formula>
    </cfRule>
  </conditionalFormatting>
  <conditionalFormatting sqref="K37:N56">
    <cfRule type="expression" priority="367" dxfId="5">
      <formula>$K37&lt;&gt;""</formula>
    </cfRule>
  </conditionalFormatting>
  <conditionalFormatting sqref="P37:S56">
    <cfRule type="expression" priority="368" dxfId="5">
      <formula>$P37&lt;&gt;""</formula>
    </cfRule>
  </conditionalFormatting>
  <conditionalFormatting sqref="A64:D83">
    <cfRule type="expression" priority="369" dxfId="5">
      <formula>$A64&lt;&gt;""</formula>
    </cfRule>
  </conditionalFormatting>
  <conditionalFormatting sqref="F64:I83">
    <cfRule type="expression" priority="370" dxfId="5">
      <formula>$F64&lt;&gt;""</formula>
    </cfRule>
  </conditionalFormatting>
  <conditionalFormatting sqref="K64:N83">
    <cfRule type="expression" priority="371" dxfId="5">
      <formula>$K64&lt;&gt;""</formula>
    </cfRule>
  </conditionalFormatting>
  <conditionalFormatting sqref="P64:S83">
    <cfRule type="expression" priority="372" dxfId="5">
      <formula>$P64&lt;&gt;""</formula>
    </cfRule>
  </conditionalFormatting>
  <conditionalFormatting sqref="A91:D110">
    <cfRule type="expression" priority="373" dxfId="5">
      <formula>$A91&lt;&gt;""</formula>
    </cfRule>
  </conditionalFormatting>
  <conditionalFormatting sqref="F91:I110">
    <cfRule type="expression" priority="374" dxfId="5">
      <formula>$F91&lt;&gt;""</formula>
    </cfRule>
  </conditionalFormatting>
  <conditionalFormatting sqref="K91:N110">
    <cfRule type="expression" priority="375" dxfId="5">
      <formula>$K91&lt;&gt;""</formula>
    </cfRule>
  </conditionalFormatting>
  <conditionalFormatting sqref="P91:S110">
    <cfRule type="expression" priority="376" dxfId="5">
      <formula>$P91&lt;&gt;""</formula>
    </cfRule>
  </conditionalFormatting>
  <conditionalFormatting sqref="A118:D137">
    <cfRule type="expression" priority="377" dxfId="5">
      <formula>$A118&lt;&gt;""</formula>
    </cfRule>
  </conditionalFormatting>
  <conditionalFormatting sqref="F118:I137">
    <cfRule type="expression" priority="378" dxfId="5">
      <formula>$F118&lt;&gt;""</formula>
    </cfRule>
  </conditionalFormatting>
  <conditionalFormatting sqref="K118:N137">
    <cfRule type="expression" priority="379" dxfId="5">
      <formula>$K118&lt;&gt;""</formula>
    </cfRule>
  </conditionalFormatting>
  <conditionalFormatting sqref="P118:S137">
    <cfRule type="expression" priority="380" dxfId="5">
      <formula>$P118&lt;&gt;""</formula>
    </cfRule>
  </conditionalFormatting>
  <dataValidations count="1">
    <dataValidation sqref="B2" showDropDown="0" showInputMessage="0" showErrorMessage="0" allowBlank="0" type="list">
      <formula1>'Tính'!$Z$31:$Z$35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J1:O1500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J1" s="71" t="inlineStr">
        <is>
          <t>◀ DÁN VÀO Ô A1 (cột A–H). Cột K–O là công thức, đừng xóa.</t>
        </is>
      </c>
      <c r="K1">
        <f>IF(OR(LEFT(B1,9)="DOANH THU",LEFT(B1,8)="SỐ LƯỢNG"),A1,"")</f>
        <v/>
      </c>
      <c r="L1">
        <f>IF(A1="","",IF(ISNUMBER(--LEFT(A1,FIND(" - ",A1&amp;" - ")-1)),LEFT(A1,FIND(" - ",A1&amp;" - ")-1),TRIM(A1)))</f>
        <v/>
      </c>
      <c r="M1">
        <f>IF(OR(K1="",K1=A1,A1=""),"",K1&amp;"|"&amp;L1)</f>
        <v/>
      </c>
      <c r="N1">
        <f>IF(M1="","",IF(ISNUMBER(B1),B1,IFERROR(_xlfn.NUMBERVALUE(B1,".",","),0)))</f>
        <v/>
      </c>
      <c r="O1">
        <f>IF(M1="","",IF(ISNUMBER(C1),C1,IFERROR(_xlfn.NUMBERVALUE(C1,".",","),0)))</f>
        <v/>
      </c>
    </row>
    <row r="2">
      <c r="J2" s="58" t="inlineStr">
        <is>
          <t>Trang Thi đua · chọn các siêu thị trong Khai báo · Lũy kế · Danh sách · Tải lại · bấm "Chép bảng"</t>
        </is>
      </c>
      <c r="K2">
        <f>IF(OR(LEFT(B2,9)="DOANH THU",LEFT(B2,8)="SỐ LƯỢNG"),A2,IF(A2="","",K1))</f>
        <v/>
      </c>
      <c r="L2">
        <f>IF(A2="","",IF(ISNUMBER(--LEFT(A2,FIND(" - ",A2&amp;" - ")-1)),LEFT(A2,FIND(" - ",A2&amp;" - ")-1),TRIM(A2)))</f>
        <v/>
      </c>
      <c r="M2">
        <f>IF(OR(K2="",K2=A2,A2=""),"",K2&amp;"|"&amp;L2)</f>
        <v/>
      </c>
      <c r="N2">
        <f>IF(M2="","",IF(ISNUMBER(B2),B2,IFERROR(_xlfn.NUMBERVALUE(B2,".",","),0)))</f>
        <v/>
      </c>
      <c r="O2">
        <f>IF(M2="","",IF(ISNUMBER(C2),C2,IFERROR(_xlfn.NUMBERVALUE(C2,".",","),0)))</f>
        <v/>
      </c>
    </row>
    <row r="3">
      <c r="J3" s="72" t="inlineStr">
        <is>
          <t>Mỗi chương trình 1 khối: dòng tên chương trình + TỔNG + từng siêu thị (cột B = thực hiện, C = target)</t>
        </is>
      </c>
      <c r="K3">
        <f>IF(OR(LEFT(B3,9)="DOANH THU",LEFT(B3,8)="SỐ LƯỢNG"),A3,IF(A3="","",K2))</f>
        <v/>
      </c>
      <c r="L3">
        <f>IF(A3="","",IF(ISNUMBER(--LEFT(A3,FIND(" - ",A3&amp;" - ")-1)),LEFT(A3,FIND(" - ",A3&amp;" - ")-1),TRIM(A3)))</f>
        <v/>
      </c>
      <c r="M3">
        <f>IF(OR(K3="",K3=A3,A3=""),"",K3&amp;"|"&amp;L3)</f>
        <v/>
      </c>
      <c r="N3">
        <f>IF(M3="","",IF(ISNUMBER(B3),B3,IFERROR(_xlfn.NUMBERVALUE(B3,".",","),0)))</f>
        <v/>
      </c>
      <c r="O3">
        <f>IF(M3="","",IF(ISNUMBER(C3),C3,IFERROR(_xlfn.NUMBERVALUE(C3,".",","),0)))</f>
        <v/>
      </c>
    </row>
    <row r="4">
      <c r="K4">
        <f>IF(OR(LEFT(B4,9)="DOANH THU",LEFT(B4,8)="SỐ LƯỢNG"),A4,IF(A4="","",K3))</f>
        <v/>
      </c>
      <c r="L4">
        <f>IF(A4="","",IF(ISNUMBER(--LEFT(A4,FIND(" - ",A4&amp;" - ")-1)),LEFT(A4,FIND(" - ",A4&amp;" - ")-1),TRIM(A4)))</f>
        <v/>
      </c>
      <c r="M4">
        <f>IF(OR(K4="",K4=A4,A4=""),"",K4&amp;"|"&amp;L4)</f>
        <v/>
      </c>
      <c r="N4">
        <f>IF(M4="","",IF(ISNUMBER(B4),B4,IFERROR(_xlfn.NUMBERVALUE(B4,".",","),0)))</f>
        <v/>
      </c>
      <c r="O4">
        <f>IF(M4="","",IF(ISNUMBER(C4),C4,IFERROR(_xlfn.NUMBERVALUE(C4,".",","),0)))</f>
        <v/>
      </c>
    </row>
    <row r="5">
      <c r="K5">
        <f>IF(OR(LEFT(B5,9)="DOANH THU",LEFT(B5,8)="SỐ LƯỢNG"),A5,IF(A5="","",K4))</f>
        <v/>
      </c>
      <c r="L5">
        <f>IF(A5="","",IF(ISNUMBER(--LEFT(A5,FIND(" - ",A5&amp;" - ")-1)),LEFT(A5,FIND(" - ",A5&amp;" - ")-1),TRIM(A5)))</f>
        <v/>
      </c>
      <c r="M5">
        <f>IF(OR(K5="",K5=A5,A5=""),"",K5&amp;"|"&amp;L5)</f>
        <v/>
      </c>
      <c r="N5">
        <f>IF(M5="","",IF(ISNUMBER(B5),B5,IFERROR(_xlfn.NUMBERVALUE(B5,".",","),0)))</f>
        <v/>
      </c>
      <c r="O5">
        <f>IF(M5="","",IF(ISNUMBER(C5),C5,IFERROR(_xlfn.NUMBERVALUE(C5,".",","),0)))</f>
        <v/>
      </c>
    </row>
    <row r="6">
      <c r="K6">
        <f>IF(OR(LEFT(B6,9)="DOANH THU",LEFT(B6,8)="SỐ LƯỢNG"),A6,IF(A6="","",K5))</f>
        <v/>
      </c>
      <c r="L6">
        <f>IF(A6="","",IF(ISNUMBER(--LEFT(A6,FIND(" - ",A6&amp;" - ")-1)),LEFT(A6,FIND(" - ",A6&amp;" - ")-1),TRIM(A6)))</f>
        <v/>
      </c>
      <c r="M6">
        <f>IF(OR(K6="",K6=A6,A6=""),"",K6&amp;"|"&amp;L6)</f>
        <v/>
      </c>
      <c r="N6">
        <f>IF(M6="","",IF(ISNUMBER(B6),B6,IFERROR(_xlfn.NUMBERVALUE(B6,".",","),0)))</f>
        <v/>
      </c>
      <c r="O6">
        <f>IF(M6="","",IF(ISNUMBER(C6),C6,IFERROR(_xlfn.NUMBERVALUE(C6,".",","),0)))</f>
        <v/>
      </c>
    </row>
    <row r="7">
      <c r="K7">
        <f>IF(OR(LEFT(B7,9)="DOANH THU",LEFT(B7,8)="SỐ LƯỢNG"),A7,IF(A7="","",K6))</f>
        <v/>
      </c>
      <c r="L7">
        <f>IF(A7="","",IF(ISNUMBER(--LEFT(A7,FIND(" - ",A7&amp;" - ")-1)),LEFT(A7,FIND(" - ",A7&amp;" - ")-1),TRIM(A7)))</f>
        <v/>
      </c>
      <c r="M7">
        <f>IF(OR(K7="",K7=A7,A7=""),"",K7&amp;"|"&amp;L7)</f>
        <v/>
      </c>
      <c r="N7">
        <f>IF(M7="","",IF(ISNUMBER(B7),B7,IFERROR(_xlfn.NUMBERVALUE(B7,".",","),0)))</f>
        <v/>
      </c>
      <c r="O7">
        <f>IF(M7="","",IF(ISNUMBER(C7),C7,IFERROR(_xlfn.NUMBERVALUE(C7,".",","),0)))</f>
        <v/>
      </c>
    </row>
    <row r="8">
      <c r="K8">
        <f>IF(OR(LEFT(B8,9)="DOANH THU",LEFT(B8,8)="SỐ LƯỢNG"),A8,IF(A8="","",K7))</f>
        <v/>
      </c>
      <c r="L8">
        <f>IF(A8="","",IF(ISNUMBER(--LEFT(A8,FIND(" - ",A8&amp;" - ")-1)),LEFT(A8,FIND(" - ",A8&amp;" - ")-1),TRIM(A8)))</f>
        <v/>
      </c>
      <c r="M8">
        <f>IF(OR(K8="",K8=A8,A8=""),"",K8&amp;"|"&amp;L8)</f>
        <v/>
      </c>
      <c r="N8">
        <f>IF(M8="","",IF(ISNUMBER(B8),B8,IFERROR(_xlfn.NUMBERVALUE(B8,".",","),0)))</f>
        <v/>
      </c>
      <c r="O8">
        <f>IF(M8="","",IF(ISNUMBER(C8),C8,IFERROR(_xlfn.NUMBERVALUE(C8,".",","),0)))</f>
        <v/>
      </c>
    </row>
    <row r="9">
      <c r="K9">
        <f>IF(OR(LEFT(B9,9)="DOANH THU",LEFT(B9,8)="SỐ LƯỢNG"),A9,IF(A9="","",K8))</f>
        <v/>
      </c>
      <c r="L9">
        <f>IF(A9="","",IF(ISNUMBER(--LEFT(A9,FIND(" - ",A9&amp;" - ")-1)),LEFT(A9,FIND(" - ",A9&amp;" - ")-1),TRIM(A9)))</f>
        <v/>
      </c>
      <c r="M9">
        <f>IF(OR(K9="",K9=A9,A9=""),"",K9&amp;"|"&amp;L9)</f>
        <v/>
      </c>
      <c r="N9">
        <f>IF(M9="","",IF(ISNUMBER(B9),B9,IFERROR(_xlfn.NUMBERVALUE(B9,".",","),0)))</f>
        <v/>
      </c>
      <c r="O9">
        <f>IF(M9="","",IF(ISNUMBER(C9),C9,IFERROR(_xlfn.NUMBERVALUE(C9,".",","),0)))</f>
        <v/>
      </c>
    </row>
    <row r="10">
      <c r="K10">
        <f>IF(OR(LEFT(B10,9)="DOANH THU",LEFT(B10,8)="SỐ LƯỢNG"),A10,IF(A10="","",K9))</f>
        <v/>
      </c>
      <c r="L10">
        <f>IF(A10="","",IF(ISNUMBER(--LEFT(A10,FIND(" - ",A10&amp;" - ")-1)),LEFT(A10,FIND(" - ",A10&amp;" - ")-1),TRIM(A10)))</f>
        <v/>
      </c>
      <c r="M10">
        <f>IF(OR(K10="",K10=A10,A10=""),"",K10&amp;"|"&amp;L10)</f>
        <v/>
      </c>
      <c r="N10">
        <f>IF(M10="","",IF(ISNUMBER(B10),B10,IFERROR(_xlfn.NUMBERVALUE(B10,".",","),0)))</f>
        <v/>
      </c>
      <c r="O10">
        <f>IF(M10="","",IF(ISNUMBER(C10),C10,IFERROR(_xlfn.NUMBERVALUE(C10,".",","),0)))</f>
        <v/>
      </c>
    </row>
    <row r="11">
      <c r="K11">
        <f>IF(OR(LEFT(B11,9)="DOANH THU",LEFT(B11,8)="SỐ LƯỢNG"),A11,IF(A11="","",K10))</f>
        <v/>
      </c>
      <c r="L11">
        <f>IF(A11="","",IF(ISNUMBER(--LEFT(A11,FIND(" - ",A11&amp;" - ")-1)),LEFT(A11,FIND(" - ",A11&amp;" - ")-1),TRIM(A11)))</f>
        <v/>
      </c>
      <c r="M11">
        <f>IF(OR(K11="",K11=A11,A11=""),"",K11&amp;"|"&amp;L11)</f>
        <v/>
      </c>
      <c r="N11">
        <f>IF(M11="","",IF(ISNUMBER(B11),B11,IFERROR(_xlfn.NUMBERVALUE(B11,".",","),0)))</f>
        <v/>
      </c>
      <c r="O11">
        <f>IF(M11="","",IF(ISNUMBER(C11),C11,IFERROR(_xlfn.NUMBERVALUE(C11,".",","),0)))</f>
        <v/>
      </c>
    </row>
    <row r="12">
      <c r="K12">
        <f>IF(OR(LEFT(B12,9)="DOANH THU",LEFT(B12,8)="SỐ LƯỢNG"),A12,IF(A12="","",K11))</f>
        <v/>
      </c>
      <c r="L12">
        <f>IF(A12="","",IF(ISNUMBER(--LEFT(A12,FIND(" - ",A12&amp;" - ")-1)),LEFT(A12,FIND(" - ",A12&amp;" - ")-1),TRIM(A12)))</f>
        <v/>
      </c>
      <c r="M12">
        <f>IF(OR(K12="",K12=A12,A12=""),"",K12&amp;"|"&amp;L12)</f>
        <v/>
      </c>
      <c r="N12">
        <f>IF(M12="","",IF(ISNUMBER(B12),B12,IFERROR(_xlfn.NUMBERVALUE(B12,".",","),0)))</f>
        <v/>
      </c>
      <c r="O12">
        <f>IF(M12="","",IF(ISNUMBER(C12),C12,IFERROR(_xlfn.NUMBERVALUE(C12,".",","),0)))</f>
        <v/>
      </c>
    </row>
    <row r="13">
      <c r="K13">
        <f>IF(OR(LEFT(B13,9)="DOANH THU",LEFT(B13,8)="SỐ LƯỢNG"),A13,IF(A13="","",K12))</f>
        <v/>
      </c>
      <c r="L13">
        <f>IF(A13="","",IF(ISNUMBER(--LEFT(A13,FIND(" - ",A13&amp;" - ")-1)),LEFT(A13,FIND(" - ",A13&amp;" - ")-1),TRIM(A13)))</f>
        <v/>
      </c>
      <c r="M13">
        <f>IF(OR(K13="",K13=A13,A13=""),"",K13&amp;"|"&amp;L13)</f>
        <v/>
      </c>
      <c r="N13">
        <f>IF(M13="","",IF(ISNUMBER(B13),B13,IFERROR(_xlfn.NUMBERVALUE(B13,".",","),0)))</f>
        <v/>
      </c>
      <c r="O13">
        <f>IF(M13="","",IF(ISNUMBER(C13),C13,IFERROR(_xlfn.NUMBERVALUE(C13,".",","),0)))</f>
        <v/>
      </c>
    </row>
    <row r="14">
      <c r="K14">
        <f>IF(OR(LEFT(B14,9)="DOANH THU",LEFT(B14,8)="SỐ LƯỢNG"),A14,IF(A14="","",K13))</f>
        <v/>
      </c>
      <c r="L14">
        <f>IF(A14="","",IF(ISNUMBER(--LEFT(A14,FIND(" - ",A14&amp;" - ")-1)),LEFT(A14,FIND(" - ",A14&amp;" - ")-1),TRIM(A14)))</f>
        <v/>
      </c>
      <c r="M14">
        <f>IF(OR(K14="",K14=A14,A14=""),"",K14&amp;"|"&amp;L14)</f>
        <v/>
      </c>
      <c r="N14">
        <f>IF(M14="","",IF(ISNUMBER(B14),B14,IFERROR(_xlfn.NUMBERVALUE(B14,".",","),0)))</f>
        <v/>
      </c>
      <c r="O14">
        <f>IF(M14="","",IF(ISNUMBER(C14),C14,IFERROR(_xlfn.NUMBERVALUE(C14,".",","),0)))</f>
        <v/>
      </c>
    </row>
    <row r="15">
      <c r="K15">
        <f>IF(OR(LEFT(B15,9)="DOANH THU",LEFT(B15,8)="SỐ LƯỢNG"),A15,IF(A15="","",K14))</f>
        <v/>
      </c>
      <c r="L15">
        <f>IF(A15="","",IF(ISNUMBER(--LEFT(A15,FIND(" - ",A15&amp;" - ")-1)),LEFT(A15,FIND(" - ",A15&amp;" - ")-1),TRIM(A15)))</f>
        <v/>
      </c>
      <c r="M15">
        <f>IF(OR(K15="",K15=A15,A15=""),"",K15&amp;"|"&amp;L15)</f>
        <v/>
      </c>
      <c r="N15">
        <f>IF(M15="","",IF(ISNUMBER(B15),B15,IFERROR(_xlfn.NUMBERVALUE(B15,".",","),0)))</f>
        <v/>
      </c>
      <c r="O15">
        <f>IF(M15="","",IF(ISNUMBER(C15),C15,IFERROR(_xlfn.NUMBERVALUE(C15,".",","),0)))</f>
        <v/>
      </c>
    </row>
    <row r="16">
      <c r="K16">
        <f>IF(OR(LEFT(B16,9)="DOANH THU",LEFT(B16,8)="SỐ LƯỢNG"),A16,IF(A16="","",K15))</f>
        <v/>
      </c>
      <c r="L16">
        <f>IF(A16="","",IF(ISNUMBER(--LEFT(A16,FIND(" - ",A16&amp;" - ")-1)),LEFT(A16,FIND(" - ",A16&amp;" - ")-1),TRIM(A16)))</f>
        <v/>
      </c>
      <c r="M16">
        <f>IF(OR(K16="",K16=A16,A16=""),"",K16&amp;"|"&amp;L16)</f>
        <v/>
      </c>
      <c r="N16">
        <f>IF(M16="","",IF(ISNUMBER(B16),B16,IFERROR(_xlfn.NUMBERVALUE(B16,".",","),0)))</f>
        <v/>
      </c>
      <c r="O16">
        <f>IF(M16="","",IF(ISNUMBER(C16),C16,IFERROR(_xlfn.NUMBERVALUE(C16,".",","),0)))</f>
        <v/>
      </c>
    </row>
    <row r="17">
      <c r="K17">
        <f>IF(OR(LEFT(B17,9)="DOANH THU",LEFT(B17,8)="SỐ LƯỢNG"),A17,IF(A17="","",K16))</f>
        <v/>
      </c>
      <c r="L17">
        <f>IF(A17="","",IF(ISNUMBER(--LEFT(A17,FIND(" - ",A17&amp;" - ")-1)),LEFT(A17,FIND(" - ",A17&amp;" - ")-1),TRIM(A17)))</f>
        <v/>
      </c>
      <c r="M17">
        <f>IF(OR(K17="",K17=A17,A17=""),"",K17&amp;"|"&amp;L17)</f>
        <v/>
      </c>
      <c r="N17">
        <f>IF(M17="","",IF(ISNUMBER(B17),B17,IFERROR(_xlfn.NUMBERVALUE(B17,".",","),0)))</f>
        <v/>
      </c>
      <c r="O17">
        <f>IF(M17="","",IF(ISNUMBER(C17),C17,IFERROR(_xlfn.NUMBERVALUE(C17,".",","),0)))</f>
        <v/>
      </c>
    </row>
    <row r="18">
      <c r="K18">
        <f>IF(OR(LEFT(B18,9)="DOANH THU",LEFT(B18,8)="SỐ LƯỢNG"),A18,IF(A18="","",K17))</f>
        <v/>
      </c>
      <c r="L18">
        <f>IF(A18="","",IF(ISNUMBER(--LEFT(A18,FIND(" - ",A18&amp;" - ")-1)),LEFT(A18,FIND(" - ",A18&amp;" - ")-1),TRIM(A18)))</f>
        <v/>
      </c>
      <c r="M18">
        <f>IF(OR(K18="",K18=A18,A18=""),"",K18&amp;"|"&amp;L18)</f>
        <v/>
      </c>
      <c r="N18">
        <f>IF(M18="","",IF(ISNUMBER(B18),B18,IFERROR(_xlfn.NUMBERVALUE(B18,".",","),0)))</f>
        <v/>
      </c>
      <c r="O18">
        <f>IF(M18="","",IF(ISNUMBER(C18),C18,IFERROR(_xlfn.NUMBERVALUE(C18,".",","),0)))</f>
        <v/>
      </c>
    </row>
    <row r="19">
      <c r="K19">
        <f>IF(OR(LEFT(B19,9)="DOANH THU",LEFT(B19,8)="SỐ LƯỢNG"),A19,IF(A19="","",K18))</f>
        <v/>
      </c>
      <c r="L19">
        <f>IF(A19="","",IF(ISNUMBER(--LEFT(A19,FIND(" - ",A19&amp;" - ")-1)),LEFT(A19,FIND(" - ",A19&amp;" - ")-1),TRIM(A19)))</f>
        <v/>
      </c>
      <c r="M19">
        <f>IF(OR(K19="",K19=A19,A19=""),"",K19&amp;"|"&amp;L19)</f>
        <v/>
      </c>
      <c r="N19">
        <f>IF(M19="","",IF(ISNUMBER(B19),B19,IFERROR(_xlfn.NUMBERVALUE(B19,".",","),0)))</f>
        <v/>
      </c>
      <c r="O19">
        <f>IF(M19="","",IF(ISNUMBER(C19),C19,IFERROR(_xlfn.NUMBERVALUE(C19,".",","),0)))</f>
        <v/>
      </c>
    </row>
    <row r="20">
      <c r="K20">
        <f>IF(OR(LEFT(B20,9)="DOANH THU",LEFT(B20,8)="SỐ LƯỢNG"),A20,IF(A20="","",K19))</f>
        <v/>
      </c>
      <c r="L20">
        <f>IF(A20="","",IF(ISNUMBER(--LEFT(A20,FIND(" - ",A20&amp;" - ")-1)),LEFT(A20,FIND(" - ",A20&amp;" - ")-1),TRIM(A20)))</f>
        <v/>
      </c>
      <c r="M20">
        <f>IF(OR(K20="",K20=A20,A20=""),"",K20&amp;"|"&amp;L20)</f>
        <v/>
      </c>
      <c r="N20">
        <f>IF(M20="","",IF(ISNUMBER(B20),B20,IFERROR(_xlfn.NUMBERVALUE(B20,".",","),0)))</f>
        <v/>
      </c>
      <c r="O20">
        <f>IF(M20="","",IF(ISNUMBER(C20),C20,IFERROR(_xlfn.NUMBERVALUE(C20,".",","),0)))</f>
        <v/>
      </c>
    </row>
    <row r="21">
      <c r="K21">
        <f>IF(OR(LEFT(B21,9)="DOANH THU",LEFT(B21,8)="SỐ LƯỢNG"),A21,IF(A21="","",K20))</f>
        <v/>
      </c>
      <c r="L21">
        <f>IF(A21="","",IF(ISNUMBER(--LEFT(A21,FIND(" - ",A21&amp;" - ")-1)),LEFT(A21,FIND(" - ",A21&amp;" - ")-1),TRIM(A21)))</f>
        <v/>
      </c>
      <c r="M21">
        <f>IF(OR(K21="",K21=A21,A21=""),"",K21&amp;"|"&amp;L21)</f>
        <v/>
      </c>
      <c r="N21">
        <f>IF(M21="","",IF(ISNUMBER(B21),B21,IFERROR(_xlfn.NUMBERVALUE(B21,".",","),0)))</f>
        <v/>
      </c>
      <c r="O21">
        <f>IF(M21="","",IF(ISNUMBER(C21),C21,IFERROR(_xlfn.NUMBERVALUE(C21,".",","),0)))</f>
        <v/>
      </c>
    </row>
    <row r="22">
      <c r="K22">
        <f>IF(OR(LEFT(B22,9)="DOANH THU",LEFT(B22,8)="SỐ LƯỢNG"),A22,IF(A22="","",K21))</f>
        <v/>
      </c>
      <c r="L22">
        <f>IF(A22="","",IF(ISNUMBER(--LEFT(A22,FIND(" - ",A22&amp;" - ")-1)),LEFT(A22,FIND(" - ",A22&amp;" - ")-1),TRIM(A22)))</f>
        <v/>
      </c>
      <c r="M22">
        <f>IF(OR(K22="",K22=A22,A22=""),"",K22&amp;"|"&amp;L22)</f>
        <v/>
      </c>
      <c r="N22">
        <f>IF(M22="","",IF(ISNUMBER(B22),B22,IFERROR(_xlfn.NUMBERVALUE(B22,".",","),0)))</f>
        <v/>
      </c>
      <c r="O22">
        <f>IF(M22="","",IF(ISNUMBER(C22),C22,IFERROR(_xlfn.NUMBERVALUE(C22,".",","),0)))</f>
        <v/>
      </c>
    </row>
    <row r="23">
      <c r="K23">
        <f>IF(OR(LEFT(B23,9)="DOANH THU",LEFT(B23,8)="SỐ LƯỢNG"),A23,IF(A23="","",K22))</f>
        <v/>
      </c>
      <c r="L23">
        <f>IF(A23="","",IF(ISNUMBER(--LEFT(A23,FIND(" - ",A23&amp;" - ")-1)),LEFT(A23,FIND(" - ",A23&amp;" - ")-1),TRIM(A23)))</f>
        <v/>
      </c>
      <c r="M23">
        <f>IF(OR(K23="",K23=A23,A23=""),"",K23&amp;"|"&amp;L23)</f>
        <v/>
      </c>
      <c r="N23">
        <f>IF(M23="","",IF(ISNUMBER(B23),B23,IFERROR(_xlfn.NUMBERVALUE(B23,".",","),0)))</f>
        <v/>
      </c>
      <c r="O23">
        <f>IF(M23="","",IF(ISNUMBER(C23),C23,IFERROR(_xlfn.NUMBERVALUE(C23,".",","),0)))</f>
        <v/>
      </c>
    </row>
    <row r="24">
      <c r="K24">
        <f>IF(OR(LEFT(B24,9)="DOANH THU",LEFT(B24,8)="SỐ LƯỢNG"),A24,IF(A24="","",K23))</f>
        <v/>
      </c>
      <c r="L24">
        <f>IF(A24="","",IF(ISNUMBER(--LEFT(A24,FIND(" - ",A24&amp;" - ")-1)),LEFT(A24,FIND(" - ",A24&amp;" - ")-1),TRIM(A24)))</f>
        <v/>
      </c>
      <c r="M24">
        <f>IF(OR(K24="",K24=A24,A24=""),"",K24&amp;"|"&amp;L24)</f>
        <v/>
      </c>
      <c r="N24">
        <f>IF(M24="","",IF(ISNUMBER(B24),B24,IFERROR(_xlfn.NUMBERVALUE(B24,".",","),0)))</f>
        <v/>
      </c>
      <c r="O24">
        <f>IF(M24="","",IF(ISNUMBER(C24),C24,IFERROR(_xlfn.NUMBERVALUE(C24,".",","),0)))</f>
        <v/>
      </c>
    </row>
    <row r="25">
      <c r="K25">
        <f>IF(OR(LEFT(B25,9)="DOANH THU",LEFT(B25,8)="SỐ LƯỢNG"),A25,IF(A25="","",K24))</f>
        <v/>
      </c>
      <c r="L25">
        <f>IF(A25="","",IF(ISNUMBER(--LEFT(A25,FIND(" - ",A25&amp;" - ")-1)),LEFT(A25,FIND(" - ",A25&amp;" - ")-1),TRIM(A25)))</f>
        <v/>
      </c>
      <c r="M25">
        <f>IF(OR(K25="",K25=A25,A25=""),"",K25&amp;"|"&amp;L25)</f>
        <v/>
      </c>
      <c r="N25">
        <f>IF(M25="","",IF(ISNUMBER(B25),B25,IFERROR(_xlfn.NUMBERVALUE(B25,".",","),0)))</f>
        <v/>
      </c>
      <c r="O25">
        <f>IF(M25="","",IF(ISNUMBER(C25),C25,IFERROR(_xlfn.NUMBERVALUE(C25,".",","),0)))</f>
        <v/>
      </c>
    </row>
    <row r="26">
      <c r="K26">
        <f>IF(OR(LEFT(B26,9)="DOANH THU",LEFT(B26,8)="SỐ LƯỢNG"),A26,IF(A26="","",K25))</f>
        <v/>
      </c>
      <c r="L26">
        <f>IF(A26="","",IF(ISNUMBER(--LEFT(A26,FIND(" - ",A26&amp;" - ")-1)),LEFT(A26,FIND(" - ",A26&amp;" - ")-1),TRIM(A26)))</f>
        <v/>
      </c>
      <c r="M26">
        <f>IF(OR(K26="",K26=A26,A26=""),"",K26&amp;"|"&amp;L26)</f>
        <v/>
      </c>
      <c r="N26">
        <f>IF(M26="","",IF(ISNUMBER(B26),B26,IFERROR(_xlfn.NUMBERVALUE(B26,".",","),0)))</f>
        <v/>
      </c>
      <c r="O26">
        <f>IF(M26="","",IF(ISNUMBER(C26),C26,IFERROR(_xlfn.NUMBERVALUE(C26,".",","),0)))</f>
        <v/>
      </c>
    </row>
    <row r="27">
      <c r="K27">
        <f>IF(OR(LEFT(B27,9)="DOANH THU",LEFT(B27,8)="SỐ LƯỢNG"),A27,IF(A27="","",K26))</f>
        <v/>
      </c>
      <c r="L27">
        <f>IF(A27="","",IF(ISNUMBER(--LEFT(A27,FIND(" - ",A27&amp;" - ")-1)),LEFT(A27,FIND(" - ",A27&amp;" - ")-1),TRIM(A27)))</f>
        <v/>
      </c>
      <c r="M27">
        <f>IF(OR(K27="",K27=A27,A27=""),"",K27&amp;"|"&amp;L27)</f>
        <v/>
      </c>
      <c r="N27">
        <f>IF(M27="","",IF(ISNUMBER(B27),B27,IFERROR(_xlfn.NUMBERVALUE(B27,".",","),0)))</f>
        <v/>
      </c>
      <c r="O27">
        <f>IF(M27="","",IF(ISNUMBER(C27),C27,IFERROR(_xlfn.NUMBERVALUE(C27,".",","),0)))</f>
        <v/>
      </c>
    </row>
    <row r="28">
      <c r="K28">
        <f>IF(OR(LEFT(B28,9)="DOANH THU",LEFT(B28,8)="SỐ LƯỢNG"),A28,IF(A28="","",K27))</f>
        <v/>
      </c>
      <c r="L28">
        <f>IF(A28="","",IF(ISNUMBER(--LEFT(A28,FIND(" - ",A28&amp;" - ")-1)),LEFT(A28,FIND(" - ",A28&amp;" - ")-1),TRIM(A28)))</f>
        <v/>
      </c>
      <c r="M28">
        <f>IF(OR(K28="",K28=A28,A28=""),"",K28&amp;"|"&amp;L28)</f>
        <v/>
      </c>
      <c r="N28">
        <f>IF(M28="","",IF(ISNUMBER(B28),B28,IFERROR(_xlfn.NUMBERVALUE(B28,".",","),0)))</f>
        <v/>
      </c>
      <c r="O28">
        <f>IF(M28="","",IF(ISNUMBER(C28),C28,IFERROR(_xlfn.NUMBERVALUE(C28,".",","),0)))</f>
        <v/>
      </c>
    </row>
    <row r="29">
      <c r="K29">
        <f>IF(OR(LEFT(B29,9)="DOANH THU",LEFT(B29,8)="SỐ LƯỢNG"),A29,IF(A29="","",K28))</f>
        <v/>
      </c>
      <c r="L29">
        <f>IF(A29="","",IF(ISNUMBER(--LEFT(A29,FIND(" - ",A29&amp;" - ")-1)),LEFT(A29,FIND(" - ",A29&amp;" - ")-1),TRIM(A29)))</f>
        <v/>
      </c>
      <c r="M29">
        <f>IF(OR(K29="",K29=A29,A29=""),"",K29&amp;"|"&amp;L29)</f>
        <v/>
      </c>
      <c r="N29">
        <f>IF(M29="","",IF(ISNUMBER(B29),B29,IFERROR(_xlfn.NUMBERVALUE(B29,".",","),0)))</f>
        <v/>
      </c>
      <c r="O29">
        <f>IF(M29="","",IF(ISNUMBER(C29),C29,IFERROR(_xlfn.NUMBERVALUE(C29,".",","),0)))</f>
        <v/>
      </c>
    </row>
    <row r="30">
      <c r="K30">
        <f>IF(OR(LEFT(B30,9)="DOANH THU",LEFT(B30,8)="SỐ LƯỢNG"),A30,IF(A30="","",K29))</f>
        <v/>
      </c>
      <c r="L30">
        <f>IF(A30="","",IF(ISNUMBER(--LEFT(A30,FIND(" - ",A30&amp;" - ")-1)),LEFT(A30,FIND(" - ",A30&amp;" - ")-1),TRIM(A30)))</f>
        <v/>
      </c>
      <c r="M30">
        <f>IF(OR(K30="",K30=A30,A30=""),"",K30&amp;"|"&amp;L30)</f>
        <v/>
      </c>
      <c r="N30">
        <f>IF(M30="","",IF(ISNUMBER(B30),B30,IFERROR(_xlfn.NUMBERVALUE(B30,".",","),0)))</f>
        <v/>
      </c>
      <c r="O30">
        <f>IF(M30="","",IF(ISNUMBER(C30),C30,IFERROR(_xlfn.NUMBERVALUE(C30,".",","),0)))</f>
        <v/>
      </c>
    </row>
    <row r="31">
      <c r="K31">
        <f>IF(OR(LEFT(B31,9)="DOANH THU",LEFT(B31,8)="SỐ LƯỢNG"),A31,IF(A31="","",K30))</f>
        <v/>
      </c>
      <c r="L31">
        <f>IF(A31="","",IF(ISNUMBER(--LEFT(A31,FIND(" - ",A31&amp;" - ")-1)),LEFT(A31,FIND(" - ",A31&amp;" - ")-1),TRIM(A31)))</f>
        <v/>
      </c>
      <c r="M31">
        <f>IF(OR(K31="",K31=A31,A31=""),"",K31&amp;"|"&amp;L31)</f>
        <v/>
      </c>
      <c r="N31">
        <f>IF(M31="","",IF(ISNUMBER(B31),B31,IFERROR(_xlfn.NUMBERVALUE(B31,".",","),0)))</f>
        <v/>
      </c>
      <c r="O31">
        <f>IF(M31="","",IF(ISNUMBER(C31),C31,IFERROR(_xlfn.NUMBERVALUE(C31,".",","),0)))</f>
        <v/>
      </c>
    </row>
    <row r="32">
      <c r="K32">
        <f>IF(OR(LEFT(B32,9)="DOANH THU",LEFT(B32,8)="SỐ LƯỢNG"),A32,IF(A32="","",K31))</f>
        <v/>
      </c>
      <c r="L32">
        <f>IF(A32="","",IF(ISNUMBER(--LEFT(A32,FIND(" - ",A32&amp;" - ")-1)),LEFT(A32,FIND(" - ",A32&amp;" - ")-1),TRIM(A32)))</f>
        <v/>
      </c>
      <c r="M32">
        <f>IF(OR(K32="",K32=A32,A32=""),"",K32&amp;"|"&amp;L32)</f>
        <v/>
      </c>
      <c r="N32">
        <f>IF(M32="","",IF(ISNUMBER(B32),B32,IFERROR(_xlfn.NUMBERVALUE(B32,".",","),0)))</f>
        <v/>
      </c>
      <c r="O32">
        <f>IF(M32="","",IF(ISNUMBER(C32),C32,IFERROR(_xlfn.NUMBERVALUE(C32,".",","),0)))</f>
        <v/>
      </c>
    </row>
    <row r="33">
      <c r="K33">
        <f>IF(OR(LEFT(B33,9)="DOANH THU",LEFT(B33,8)="SỐ LƯỢNG"),A33,IF(A33="","",K32))</f>
        <v/>
      </c>
      <c r="L33">
        <f>IF(A33="","",IF(ISNUMBER(--LEFT(A33,FIND(" - ",A33&amp;" - ")-1)),LEFT(A33,FIND(" - ",A33&amp;" - ")-1),TRIM(A33)))</f>
        <v/>
      </c>
      <c r="M33">
        <f>IF(OR(K33="",K33=A33,A33=""),"",K33&amp;"|"&amp;L33)</f>
        <v/>
      </c>
      <c r="N33">
        <f>IF(M33="","",IF(ISNUMBER(B33),B33,IFERROR(_xlfn.NUMBERVALUE(B33,".",","),0)))</f>
        <v/>
      </c>
      <c r="O33">
        <f>IF(M33="","",IF(ISNUMBER(C33),C33,IFERROR(_xlfn.NUMBERVALUE(C33,".",","),0)))</f>
        <v/>
      </c>
    </row>
    <row r="34">
      <c r="K34">
        <f>IF(OR(LEFT(B34,9)="DOANH THU",LEFT(B34,8)="SỐ LƯỢNG"),A34,IF(A34="","",K33))</f>
        <v/>
      </c>
      <c r="L34">
        <f>IF(A34="","",IF(ISNUMBER(--LEFT(A34,FIND(" - ",A34&amp;" - ")-1)),LEFT(A34,FIND(" - ",A34&amp;" - ")-1),TRIM(A34)))</f>
        <v/>
      </c>
      <c r="M34">
        <f>IF(OR(K34="",K34=A34,A34=""),"",K34&amp;"|"&amp;L34)</f>
        <v/>
      </c>
      <c r="N34">
        <f>IF(M34="","",IF(ISNUMBER(B34),B34,IFERROR(_xlfn.NUMBERVALUE(B34,".",","),0)))</f>
        <v/>
      </c>
      <c r="O34">
        <f>IF(M34="","",IF(ISNUMBER(C34),C34,IFERROR(_xlfn.NUMBERVALUE(C34,".",","),0)))</f>
        <v/>
      </c>
    </row>
    <row r="35">
      <c r="K35">
        <f>IF(OR(LEFT(B35,9)="DOANH THU",LEFT(B35,8)="SỐ LƯỢNG"),A35,IF(A35="","",K34))</f>
        <v/>
      </c>
      <c r="L35">
        <f>IF(A35="","",IF(ISNUMBER(--LEFT(A35,FIND(" - ",A35&amp;" - ")-1)),LEFT(A35,FIND(" - ",A35&amp;" - ")-1),TRIM(A35)))</f>
        <v/>
      </c>
      <c r="M35">
        <f>IF(OR(K35="",K35=A35,A35=""),"",K35&amp;"|"&amp;L35)</f>
        <v/>
      </c>
      <c r="N35">
        <f>IF(M35="","",IF(ISNUMBER(B35),B35,IFERROR(_xlfn.NUMBERVALUE(B35,".",","),0)))</f>
        <v/>
      </c>
      <c r="O35">
        <f>IF(M35="","",IF(ISNUMBER(C35),C35,IFERROR(_xlfn.NUMBERVALUE(C35,".",","),0)))</f>
        <v/>
      </c>
    </row>
    <row r="36">
      <c r="K36">
        <f>IF(OR(LEFT(B36,9)="DOANH THU",LEFT(B36,8)="SỐ LƯỢNG"),A36,IF(A36="","",K35))</f>
        <v/>
      </c>
      <c r="L36">
        <f>IF(A36="","",IF(ISNUMBER(--LEFT(A36,FIND(" - ",A36&amp;" - ")-1)),LEFT(A36,FIND(" - ",A36&amp;" - ")-1),TRIM(A36)))</f>
        <v/>
      </c>
      <c r="M36">
        <f>IF(OR(K36="",K36=A36,A36=""),"",K36&amp;"|"&amp;L36)</f>
        <v/>
      </c>
      <c r="N36">
        <f>IF(M36="","",IF(ISNUMBER(B36),B36,IFERROR(_xlfn.NUMBERVALUE(B36,".",","),0)))</f>
        <v/>
      </c>
      <c r="O36">
        <f>IF(M36="","",IF(ISNUMBER(C36),C36,IFERROR(_xlfn.NUMBERVALUE(C36,".",","),0)))</f>
        <v/>
      </c>
    </row>
    <row r="37">
      <c r="K37">
        <f>IF(OR(LEFT(B37,9)="DOANH THU",LEFT(B37,8)="SỐ LƯỢNG"),A37,IF(A37="","",K36))</f>
        <v/>
      </c>
      <c r="L37">
        <f>IF(A37="","",IF(ISNUMBER(--LEFT(A37,FIND(" - ",A37&amp;" - ")-1)),LEFT(A37,FIND(" - ",A37&amp;" - ")-1),TRIM(A37)))</f>
        <v/>
      </c>
      <c r="M37">
        <f>IF(OR(K37="",K37=A37,A37=""),"",K37&amp;"|"&amp;L37)</f>
        <v/>
      </c>
      <c r="N37">
        <f>IF(M37="","",IF(ISNUMBER(B37),B37,IFERROR(_xlfn.NUMBERVALUE(B37,".",","),0)))</f>
        <v/>
      </c>
      <c r="O37">
        <f>IF(M37="","",IF(ISNUMBER(C37),C37,IFERROR(_xlfn.NUMBERVALUE(C37,".",","),0)))</f>
        <v/>
      </c>
    </row>
    <row r="38">
      <c r="K38">
        <f>IF(OR(LEFT(B38,9)="DOANH THU",LEFT(B38,8)="SỐ LƯỢNG"),A38,IF(A38="","",K37))</f>
        <v/>
      </c>
      <c r="L38">
        <f>IF(A38="","",IF(ISNUMBER(--LEFT(A38,FIND(" - ",A38&amp;" - ")-1)),LEFT(A38,FIND(" - ",A38&amp;" - ")-1),TRIM(A38)))</f>
        <v/>
      </c>
      <c r="M38">
        <f>IF(OR(K38="",K38=A38,A38=""),"",K38&amp;"|"&amp;L38)</f>
        <v/>
      </c>
      <c r="N38">
        <f>IF(M38="","",IF(ISNUMBER(B38),B38,IFERROR(_xlfn.NUMBERVALUE(B38,".",","),0)))</f>
        <v/>
      </c>
      <c r="O38">
        <f>IF(M38="","",IF(ISNUMBER(C38),C38,IFERROR(_xlfn.NUMBERVALUE(C38,".",","),0)))</f>
        <v/>
      </c>
    </row>
    <row r="39">
      <c r="K39">
        <f>IF(OR(LEFT(B39,9)="DOANH THU",LEFT(B39,8)="SỐ LƯỢNG"),A39,IF(A39="","",K38))</f>
        <v/>
      </c>
      <c r="L39">
        <f>IF(A39="","",IF(ISNUMBER(--LEFT(A39,FIND(" - ",A39&amp;" - ")-1)),LEFT(A39,FIND(" - ",A39&amp;" - ")-1),TRIM(A39)))</f>
        <v/>
      </c>
      <c r="M39">
        <f>IF(OR(K39="",K39=A39,A39=""),"",K39&amp;"|"&amp;L39)</f>
        <v/>
      </c>
      <c r="N39">
        <f>IF(M39="","",IF(ISNUMBER(B39),B39,IFERROR(_xlfn.NUMBERVALUE(B39,".",","),0)))</f>
        <v/>
      </c>
      <c r="O39">
        <f>IF(M39="","",IF(ISNUMBER(C39),C39,IFERROR(_xlfn.NUMBERVALUE(C39,".",","),0)))</f>
        <v/>
      </c>
    </row>
    <row r="40">
      <c r="K40">
        <f>IF(OR(LEFT(B40,9)="DOANH THU",LEFT(B40,8)="SỐ LƯỢNG"),A40,IF(A40="","",K39))</f>
        <v/>
      </c>
      <c r="L40">
        <f>IF(A40="","",IF(ISNUMBER(--LEFT(A40,FIND(" - ",A40&amp;" - ")-1)),LEFT(A40,FIND(" - ",A40&amp;" - ")-1),TRIM(A40)))</f>
        <v/>
      </c>
      <c r="M40">
        <f>IF(OR(K40="",K40=A40,A40=""),"",K40&amp;"|"&amp;L40)</f>
        <v/>
      </c>
      <c r="N40">
        <f>IF(M40="","",IF(ISNUMBER(B40),B40,IFERROR(_xlfn.NUMBERVALUE(B40,".",","),0)))</f>
        <v/>
      </c>
      <c r="O40">
        <f>IF(M40="","",IF(ISNUMBER(C40),C40,IFERROR(_xlfn.NUMBERVALUE(C40,".",","),0)))</f>
        <v/>
      </c>
    </row>
    <row r="41">
      <c r="K41">
        <f>IF(OR(LEFT(B41,9)="DOANH THU",LEFT(B41,8)="SỐ LƯỢNG"),A41,IF(A41="","",K40))</f>
        <v/>
      </c>
      <c r="L41">
        <f>IF(A41="","",IF(ISNUMBER(--LEFT(A41,FIND(" - ",A41&amp;" - ")-1)),LEFT(A41,FIND(" - ",A41&amp;" - ")-1),TRIM(A41)))</f>
        <v/>
      </c>
      <c r="M41">
        <f>IF(OR(K41="",K41=A41,A41=""),"",K41&amp;"|"&amp;L41)</f>
        <v/>
      </c>
      <c r="N41">
        <f>IF(M41="","",IF(ISNUMBER(B41),B41,IFERROR(_xlfn.NUMBERVALUE(B41,".",","),0)))</f>
        <v/>
      </c>
      <c r="O41">
        <f>IF(M41="","",IF(ISNUMBER(C41),C41,IFERROR(_xlfn.NUMBERVALUE(C41,".",","),0)))</f>
        <v/>
      </c>
    </row>
    <row r="42">
      <c r="K42">
        <f>IF(OR(LEFT(B42,9)="DOANH THU",LEFT(B42,8)="SỐ LƯỢNG"),A42,IF(A42="","",K41))</f>
        <v/>
      </c>
      <c r="L42">
        <f>IF(A42="","",IF(ISNUMBER(--LEFT(A42,FIND(" - ",A42&amp;" - ")-1)),LEFT(A42,FIND(" - ",A42&amp;" - ")-1),TRIM(A42)))</f>
        <v/>
      </c>
      <c r="M42">
        <f>IF(OR(K42="",K42=A42,A42=""),"",K42&amp;"|"&amp;L42)</f>
        <v/>
      </c>
      <c r="N42">
        <f>IF(M42="","",IF(ISNUMBER(B42),B42,IFERROR(_xlfn.NUMBERVALUE(B42,".",","),0)))</f>
        <v/>
      </c>
      <c r="O42">
        <f>IF(M42="","",IF(ISNUMBER(C42),C42,IFERROR(_xlfn.NUMBERVALUE(C42,".",","),0)))</f>
        <v/>
      </c>
    </row>
    <row r="43">
      <c r="K43">
        <f>IF(OR(LEFT(B43,9)="DOANH THU",LEFT(B43,8)="SỐ LƯỢNG"),A43,IF(A43="","",K42))</f>
        <v/>
      </c>
      <c r="L43">
        <f>IF(A43="","",IF(ISNUMBER(--LEFT(A43,FIND(" - ",A43&amp;" - ")-1)),LEFT(A43,FIND(" - ",A43&amp;" - ")-1),TRIM(A43)))</f>
        <v/>
      </c>
      <c r="M43">
        <f>IF(OR(K43="",K43=A43,A43=""),"",K43&amp;"|"&amp;L43)</f>
        <v/>
      </c>
      <c r="N43">
        <f>IF(M43="","",IF(ISNUMBER(B43),B43,IFERROR(_xlfn.NUMBERVALUE(B43,".",","),0)))</f>
        <v/>
      </c>
      <c r="O43">
        <f>IF(M43="","",IF(ISNUMBER(C43),C43,IFERROR(_xlfn.NUMBERVALUE(C43,".",","),0)))</f>
        <v/>
      </c>
    </row>
    <row r="44">
      <c r="K44">
        <f>IF(OR(LEFT(B44,9)="DOANH THU",LEFT(B44,8)="SỐ LƯỢNG"),A44,IF(A44="","",K43))</f>
        <v/>
      </c>
      <c r="L44">
        <f>IF(A44="","",IF(ISNUMBER(--LEFT(A44,FIND(" - ",A44&amp;" - ")-1)),LEFT(A44,FIND(" - ",A44&amp;" - ")-1),TRIM(A44)))</f>
        <v/>
      </c>
      <c r="M44">
        <f>IF(OR(K44="",K44=A44,A44=""),"",K44&amp;"|"&amp;L44)</f>
        <v/>
      </c>
      <c r="N44">
        <f>IF(M44="","",IF(ISNUMBER(B44),B44,IFERROR(_xlfn.NUMBERVALUE(B44,".",","),0)))</f>
        <v/>
      </c>
      <c r="O44">
        <f>IF(M44="","",IF(ISNUMBER(C44),C44,IFERROR(_xlfn.NUMBERVALUE(C44,".",","),0)))</f>
        <v/>
      </c>
    </row>
    <row r="45">
      <c r="K45">
        <f>IF(OR(LEFT(B45,9)="DOANH THU",LEFT(B45,8)="SỐ LƯỢNG"),A45,IF(A45="","",K44))</f>
        <v/>
      </c>
      <c r="L45">
        <f>IF(A45="","",IF(ISNUMBER(--LEFT(A45,FIND(" - ",A45&amp;" - ")-1)),LEFT(A45,FIND(" - ",A45&amp;" - ")-1),TRIM(A45)))</f>
        <v/>
      </c>
      <c r="M45">
        <f>IF(OR(K45="",K45=A45,A45=""),"",K45&amp;"|"&amp;L45)</f>
        <v/>
      </c>
      <c r="N45">
        <f>IF(M45="","",IF(ISNUMBER(B45),B45,IFERROR(_xlfn.NUMBERVALUE(B45,".",","),0)))</f>
        <v/>
      </c>
      <c r="O45">
        <f>IF(M45="","",IF(ISNUMBER(C45),C45,IFERROR(_xlfn.NUMBERVALUE(C45,".",","),0)))</f>
        <v/>
      </c>
    </row>
    <row r="46">
      <c r="K46">
        <f>IF(OR(LEFT(B46,9)="DOANH THU",LEFT(B46,8)="SỐ LƯỢNG"),A46,IF(A46="","",K45))</f>
        <v/>
      </c>
      <c r="L46">
        <f>IF(A46="","",IF(ISNUMBER(--LEFT(A46,FIND(" - ",A46&amp;" - ")-1)),LEFT(A46,FIND(" - ",A46&amp;" - ")-1),TRIM(A46)))</f>
        <v/>
      </c>
      <c r="M46">
        <f>IF(OR(K46="",K46=A46,A46=""),"",K46&amp;"|"&amp;L46)</f>
        <v/>
      </c>
      <c r="N46">
        <f>IF(M46="","",IF(ISNUMBER(B46),B46,IFERROR(_xlfn.NUMBERVALUE(B46,".",","),0)))</f>
        <v/>
      </c>
      <c r="O46">
        <f>IF(M46="","",IF(ISNUMBER(C46),C46,IFERROR(_xlfn.NUMBERVALUE(C46,".",","),0)))</f>
        <v/>
      </c>
    </row>
    <row r="47">
      <c r="K47">
        <f>IF(OR(LEFT(B47,9)="DOANH THU",LEFT(B47,8)="SỐ LƯỢNG"),A47,IF(A47="","",K46))</f>
        <v/>
      </c>
      <c r="L47">
        <f>IF(A47="","",IF(ISNUMBER(--LEFT(A47,FIND(" - ",A47&amp;" - ")-1)),LEFT(A47,FIND(" - ",A47&amp;" - ")-1),TRIM(A47)))</f>
        <v/>
      </c>
      <c r="M47">
        <f>IF(OR(K47="",K47=A47,A47=""),"",K47&amp;"|"&amp;L47)</f>
        <v/>
      </c>
      <c r="N47">
        <f>IF(M47="","",IF(ISNUMBER(B47),B47,IFERROR(_xlfn.NUMBERVALUE(B47,".",","),0)))</f>
        <v/>
      </c>
      <c r="O47">
        <f>IF(M47="","",IF(ISNUMBER(C47),C47,IFERROR(_xlfn.NUMBERVALUE(C47,".",","),0)))</f>
        <v/>
      </c>
    </row>
    <row r="48">
      <c r="K48">
        <f>IF(OR(LEFT(B48,9)="DOANH THU",LEFT(B48,8)="SỐ LƯỢNG"),A48,IF(A48="","",K47))</f>
        <v/>
      </c>
      <c r="L48">
        <f>IF(A48="","",IF(ISNUMBER(--LEFT(A48,FIND(" - ",A48&amp;" - ")-1)),LEFT(A48,FIND(" - ",A48&amp;" - ")-1),TRIM(A48)))</f>
        <v/>
      </c>
      <c r="M48">
        <f>IF(OR(K48="",K48=A48,A48=""),"",K48&amp;"|"&amp;L48)</f>
        <v/>
      </c>
      <c r="N48">
        <f>IF(M48="","",IF(ISNUMBER(B48),B48,IFERROR(_xlfn.NUMBERVALUE(B48,".",","),0)))</f>
        <v/>
      </c>
      <c r="O48">
        <f>IF(M48="","",IF(ISNUMBER(C48),C48,IFERROR(_xlfn.NUMBERVALUE(C48,".",","),0)))</f>
        <v/>
      </c>
    </row>
    <row r="49">
      <c r="K49">
        <f>IF(OR(LEFT(B49,9)="DOANH THU",LEFT(B49,8)="SỐ LƯỢNG"),A49,IF(A49="","",K48))</f>
        <v/>
      </c>
      <c r="L49">
        <f>IF(A49="","",IF(ISNUMBER(--LEFT(A49,FIND(" - ",A49&amp;" - ")-1)),LEFT(A49,FIND(" - ",A49&amp;" - ")-1),TRIM(A49)))</f>
        <v/>
      </c>
      <c r="M49">
        <f>IF(OR(K49="",K49=A49,A49=""),"",K49&amp;"|"&amp;L49)</f>
        <v/>
      </c>
      <c r="N49">
        <f>IF(M49="","",IF(ISNUMBER(B49),B49,IFERROR(_xlfn.NUMBERVALUE(B49,".",","),0)))</f>
        <v/>
      </c>
      <c r="O49">
        <f>IF(M49="","",IF(ISNUMBER(C49),C49,IFERROR(_xlfn.NUMBERVALUE(C49,".",","),0)))</f>
        <v/>
      </c>
    </row>
    <row r="50">
      <c r="K50">
        <f>IF(OR(LEFT(B50,9)="DOANH THU",LEFT(B50,8)="SỐ LƯỢNG"),A50,IF(A50="","",K49))</f>
        <v/>
      </c>
      <c r="L50">
        <f>IF(A50="","",IF(ISNUMBER(--LEFT(A50,FIND(" - ",A50&amp;" - ")-1)),LEFT(A50,FIND(" - ",A50&amp;" - ")-1),TRIM(A50)))</f>
        <v/>
      </c>
      <c r="M50">
        <f>IF(OR(K50="",K50=A50,A50=""),"",K50&amp;"|"&amp;L50)</f>
        <v/>
      </c>
      <c r="N50">
        <f>IF(M50="","",IF(ISNUMBER(B50),B50,IFERROR(_xlfn.NUMBERVALUE(B50,".",","),0)))</f>
        <v/>
      </c>
      <c r="O50">
        <f>IF(M50="","",IF(ISNUMBER(C50),C50,IFERROR(_xlfn.NUMBERVALUE(C50,".",","),0)))</f>
        <v/>
      </c>
    </row>
    <row r="51">
      <c r="K51">
        <f>IF(OR(LEFT(B51,9)="DOANH THU",LEFT(B51,8)="SỐ LƯỢNG"),A51,IF(A51="","",K50))</f>
        <v/>
      </c>
      <c r="L51">
        <f>IF(A51="","",IF(ISNUMBER(--LEFT(A51,FIND(" - ",A51&amp;" - ")-1)),LEFT(A51,FIND(" - ",A51&amp;" - ")-1),TRIM(A51)))</f>
        <v/>
      </c>
      <c r="M51">
        <f>IF(OR(K51="",K51=A51,A51=""),"",K51&amp;"|"&amp;L51)</f>
        <v/>
      </c>
      <c r="N51">
        <f>IF(M51="","",IF(ISNUMBER(B51),B51,IFERROR(_xlfn.NUMBERVALUE(B51,".",","),0)))</f>
        <v/>
      </c>
      <c r="O51">
        <f>IF(M51="","",IF(ISNUMBER(C51),C51,IFERROR(_xlfn.NUMBERVALUE(C51,".",","),0)))</f>
        <v/>
      </c>
    </row>
    <row r="52">
      <c r="K52">
        <f>IF(OR(LEFT(B52,9)="DOANH THU",LEFT(B52,8)="SỐ LƯỢNG"),A52,IF(A52="","",K51))</f>
        <v/>
      </c>
      <c r="L52">
        <f>IF(A52="","",IF(ISNUMBER(--LEFT(A52,FIND(" - ",A52&amp;" - ")-1)),LEFT(A52,FIND(" - ",A52&amp;" - ")-1),TRIM(A52)))</f>
        <v/>
      </c>
      <c r="M52">
        <f>IF(OR(K52="",K52=A52,A52=""),"",K52&amp;"|"&amp;L52)</f>
        <v/>
      </c>
      <c r="N52">
        <f>IF(M52="","",IF(ISNUMBER(B52),B52,IFERROR(_xlfn.NUMBERVALUE(B52,".",","),0)))</f>
        <v/>
      </c>
      <c r="O52">
        <f>IF(M52="","",IF(ISNUMBER(C52),C52,IFERROR(_xlfn.NUMBERVALUE(C52,".",","),0)))</f>
        <v/>
      </c>
    </row>
    <row r="53">
      <c r="K53">
        <f>IF(OR(LEFT(B53,9)="DOANH THU",LEFT(B53,8)="SỐ LƯỢNG"),A53,IF(A53="","",K52))</f>
        <v/>
      </c>
      <c r="L53">
        <f>IF(A53="","",IF(ISNUMBER(--LEFT(A53,FIND(" - ",A53&amp;" - ")-1)),LEFT(A53,FIND(" - ",A53&amp;" - ")-1),TRIM(A53)))</f>
        <v/>
      </c>
      <c r="M53">
        <f>IF(OR(K53="",K53=A53,A53=""),"",K53&amp;"|"&amp;L53)</f>
        <v/>
      </c>
      <c r="N53">
        <f>IF(M53="","",IF(ISNUMBER(B53),B53,IFERROR(_xlfn.NUMBERVALUE(B53,".",","),0)))</f>
        <v/>
      </c>
      <c r="O53">
        <f>IF(M53="","",IF(ISNUMBER(C53),C53,IFERROR(_xlfn.NUMBERVALUE(C53,".",","),0)))</f>
        <v/>
      </c>
    </row>
    <row r="54">
      <c r="K54">
        <f>IF(OR(LEFT(B54,9)="DOANH THU",LEFT(B54,8)="SỐ LƯỢNG"),A54,IF(A54="","",K53))</f>
        <v/>
      </c>
      <c r="L54">
        <f>IF(A54="","",IF(ISNUMBER(--LEFT(A54,FIND(" - ",A54&amp;" - ")-1)),LEFT(A54,FIND(" - ",A54&amp;" - ")-1),TRIM(A54)))</f>
        <v/>
      </c>
      <c r="M54">
        <f>IF(OR(K54="",K54=A54,A54=""),"",K54&amp;"|"&amp;L54)</f>
        <v/>
      </c>
      <c r="N54">
        <f>IF(M54="","",IF(ISNUMBER(B54),B54,IFERROR(_xlfn.NUMBERVALUE(B54,".",","),0)))</f>
        <v/>
      </c>
      <c r="O54">
        <f>IF(M54="","",IF(ISNUMBER(C54),C54,IFERROR(_xlfn.NUMBERVALUE(C54,".",","),0)))</f>
        <v/>
      </c>
    </row>
    <row r="55">
      <c r="K55">
        <f>IF(OR(LEFT(B55,9)="DOANH THU",LEFT(B55,8)="SỐ LƯỢNG"),A55,IF(A55="","",K54))</f>
        <v/>
      </c>
      <c r="L55">
        <f>IF(A55="","",IF(ISNUMBER(--LEFT(A55,FIND(" - ",A55&amp;" - ")-1)),LEFT(A55,FIND(" - ",A55&amp;" - ")-1),TRIM(A55)))</f>
        <v/>
      </c>
      <c r="M55">
        <f>IF(OR(K55="",K55=A55,A55=""),"",K55&amp;"|"&amp;L55)</f>
        <v/>
      </c>
      <c r="N55">
        <f>IF(M55="","",IF(ISNUMBER(B55),B55,IFERROR(_xlfn.NUMBERVALUE(B55,".",","),0)))</f>
        <v/>
      </c>
      <c r="O55">
        <f>IF(M55="","",IF(ISNUMBER(C55),C55,IFERROR(_xlfn.NUMBERVALUE(C55,".",","),0)))</f>
        <v/>
      </c>
    </row>
    <row r="56">
      <c r="K56">
        <f>IF(OR(LEFT(B56,9)="DOANH THU",LEFT(B56,8)="SỐ LƯỢNG"),A56,IF(A56="","",K55))</f>
        <v/>
      </c>
      <c r="L56">
        <f>IF(A56="","",IF(ISNUMBER(--LEFT(A56,FIND(" - ",A56&amp;" - ")-1)),LEFT(A56,FIND(" - ",A56&amp;" - ")-1),TRIM(A56)))</f>
        <v/>
      </c>
      <c r="M56">
        <f>IF(OR(K56="",K56=A56,A56=""),"",K56&amp;"|"&amp;L56)</f>
        <v/>
      </c>
      <c r="N56">
        <f>IF(M56="","",IF(ISNUMBER(B56),B56,IFERROR(_xlfn.NUMBERVALUE(B56,".",","),0)))</f>
        <v/>
      </c>
      <c r="O56">
        <f>IF(M56="","",IF(ISNUMBER(C56),C56,IFERROR(_xlfn.NUMBERVALUE(C56,".",","),0)))</f>
        <v/>
      </c>
    </row>
    <row r="57">
      <c r="K57">
        <f>IF(OR(LEFT(B57,9)="DOANH THU",LEFT(B57,8)="SỐ LƯỢNG"),A57,IF(A57="","",K56))</f>
        <v/>
      </c>
      <c r="L57">
        <f>IF(A57="","",IF(ISNUMBER(--LEFT(A57,FIND(" - ",A57&amp;" - ")-1)),LEFT(A57,FIND(" - ",A57&amp;" - ")-1),TRIM(A57)))</f>
        <v/>
      </c>
      <c r="M57">
        <f>IF(OR(K57="",K57=A57,A57=""),"",K57&amp;"|"&amp;L57)</f>
        <v/>
      </c>
      <c r="N57">
        <f>IF(M57="","",IF(ISNUMBER(B57),B57,IFERROR(_xlfn.NUMBERVALUE(B57,".",","),0)))</f>
        <v/>
      </c>
      <c r="O57">
        <f>IF(M57="","",IF(ISNUMBER(C57),C57,IFERROR(_xlfn.NUMBERVALUE(C57,".",","),0)))</f>
        <v/>
      </c>
    </row>
    <row r="58">
      <c r="K58">
        <f>IF(OR(LEFT(B58,9)="DOANH THU",LEFT(B58,8)="SỐ LƯỢNG"),A58,IF(A58="","",K57))</f>
        <v/>
      </c>
      <c r="L58">
        <f>IF(A58="","",IF(ISNUMBER(--LEFT(A58,FIND(" - ",A58&amp;" - ")-1)),LEFT(A58,FIND(" - ",A58&amp;" - ")-1),TRIM(A58)))</f>
        <v/>
      </c>
      <c r="M58">
        <f>IF(OR(K58="",K58=A58,A58=""),"",K58&amp;"|"&amp;L58)</f>
        <v/>
      </c>
      <c r="N58">
        <f>IF(M58="","",IF(ISNUMBER(B58),B58,IFERROR(_xlfn.NUMBERVALUE(B58,".",","),0)))</f>
        <v/>
      </c>
      <c r="O58">
        <f>IF(M58="","",IF(ISNUMBER(C58),C58,IFERROR(_xlfn.NUMBERVALUE(C58,".",","),0)))</f>
        <v/>
      </c>
    </row>
    <row r="59">
      <c r="K59">
        <f>IF(OR(LEFT(B59,9)="DOANH THU",LEFT(B59,8)="SỐ LƯỢNG"),A59,IF(A59="","",K58))</f>
        <v/>
      </c>
      <c r="L59">
        <f>IF(A59="","",IF(ISNUMBER(--LEFT(A59,FIND(" - ",A59&amp;" - ")-1)),LEFT(A59,FIND(" - ",A59&amp;" - ")-1),TRIM(A59)))</f>
        <v/>
      </c>
      <c r="M59">
        <f>IF(OR(K59="",K59=A59,A59=""),"",K59&amp;"|"&amp;L59)</f>
        <v/>
      </c>
      <c r="N59">
        <f>IF(M59="","",IF(ISNUMBER(B59),B59,IFERROR(_xlfn.NUMBERVALUE(B59,".",","),0)))</f>
        <v/>
      </c>
      <c r="O59">
        <f>IF(M59="","",IF(ISNUMBER(C59),C59,IFERROR(_xlfn.NUMBERVALUE(C59,".",","),0)))</f>
        <v/>
      </c>
    </row>
    <row r="60">
      <c r="K60">
        <f>IF(OR(LEFT(B60,9)="DOANH THU",LEFT(B60,8)="SỐ LƯỢNG"),A60,IF(A60="","",K59))</f>
        <v/>
      </c>
      <c r="L60">
        <f>IF(A60="","",IF(ISNUMBER(--LEFT(A60,FIND(" - ",A60&amp;" - ")-1)),LEFT(A60,FIND(" - ",A60&amp;" - ")-1),TRIM(A60)))</f>
        <v/>
      </c>
      <c r="M60">
        <f>IF(OR(K60="",K60=A60,A60=""),"",K60&amp;"|"&amp;L60)</f>
        <v/>
      </c>
      <c r="N60">
        <f>IF(M60="","",IF(ISNUMBER(B60),B60,IFERROR(_xlfn.NUMBERVALUE(B60,".",","),0)))</f>
        <v/>
      </c>
      <c r="O60">
        <f>IF(M60="","",IF(ISNUMBER(C60),C60,IFERROR(_xlfn.NUMBERVALUE(C60,".",","),0)))</f>
        <v/>
      </c>
    </row>
    <row r="61">
      <c r="K61">
        <f>IF(OR(LEFT(B61,9)="DOANH THU",LEFT(B61,8)="SỐ LƯỢNG"),A61,IF(A61="","",K60))</f>
        <v/>
      </c>
      <c r="L61">
        <f>IF(A61="","",IF(ISNUMBER(--LEFT(A61,FIND(" - ",A61&amp;" - ")-1)),LEFT(A61,FIND(" - ",A61&amp;" - ")-1),TRIM(A61)))</f>
        <v/>
      </c>
      <c r="M61">
        <f>IF(OR(K61="",K61=A61,A61=""),"",K61&amp;"|"&amp;L61)</f>
        <v/>
      </c>
      <c r="N61">
        <f>IF(M61="","",IF(ISNUMBER(B61),B61,IFERROR(_xlfn.NUMBERVALUE(B61,".",","),0)))</f>
        <v/>
      </c>
      <c r="O61">
        <f>IF(M61="","",IF(ISNUMBER(C61),C61,IFERROR(_xlfn.NUMBERVALUE(C61,".",","),0)))</f>
        <v/>
      </c>
    </row>
    <row r="62">
      <c r="K62">
        <f>IF(OR(LEFT(B62,9)="DOANH THU",LEFT(B62,8)="SỐ LƯỢNG"),A62,IF(A62="","",K61))</f>
        <v/>
      </c>
      <c r="L62">
        <f>IF(A62="","",IF(ISNUMBER(--LEFT(A62,FIND(" - ",A62&amp;" - ")-1)),LEFT(A62,FIND(" - ",A62&amp;" - ")-1),TRIM(A62)))</f>
        <v/>
      </c>
      <c r="M62">
        <f>IF(OR(K62="",K62=A62,A62=""),"",K62&amp;"|"&amp;L62)</f>
        <v/>
      </c>
      <c r="N62">
        <f>IF(M62="","",IF(ISNUMBER(B62),B62,IFERROR(_xlfn.NUMBERVALUE(B62,".",","),0)))</f>
        <v/>
      </c>
      <c r="O62">
        <f>IF(M62="","",IF(ISNUMBER(C62),C62,IFERROR(_xlfn.NUMBERVALUE(C62,".",","),0)))</f>
        <v/>
      </c>
    </row>
    <row r="63">
      <c r="K63">
        <f>IF(OR(LEFT(B63,9)="DOANH THU",LEFT(B63,8)="SỐ LƯỢNG"),A63,IF(A63="","",K62))</f>
        <v/>
      </c>
      <c r="L63">
        <f>IF(A63="","",IF(ISNUMBER(--LEFT(A63,FIND(" - ",A63&amp;" - ")-1)),LEFT(A63,FIND(" - ",A63&amp;" - ")-1),TRIM(A63)))</f>
        <v/>
      </c>
      <c r="M63">
        <f>IF(OR(K63="",K63=A63,A63=""),"",K63&amp;"|"&amp;L63)</f>
        <v/>
      </c>
      <c r="N63">
        <f>IF(M63="","",IF(ISNUMBER(B63),B63,IFERROR(_xlfn.NUMBERVALUE(B63,".",","),0)))</f>
        <v/>
      </c>
      <c r="O63">
        <f>IF(M63="","",IF(ISNUMBER(C63),C63,IFERROR(_xlfn.NUMBERVALUE(C63,".",","),0)))</f>
        <v/>
      </c>
    </row>
    <row r="64">
      <c r="K64">
        <f>IF(OR(LEFT(B64,9)="DOANH THU",LEFT(B64,8)="SỐ LƯỢNG"),A64,IF(A64="","",K63))</f>
        <v/>
      </c>
      <c r="L64">
        <f>IF(A64="","",IF(ISNUMBER(--LEFT(A64,FIND(" - ",A64&amp;" - ")-1)),LEFT(A64,FIND(" - ",A64&amp;" - ")-1),TRIM(A64)))</f>
        <v/>
      </c>
      <c r="M64">
        <f>IF(OR(K64="",K64=A64,A64=""),"",K64&amp;"|"&amp;L64)</f>
        <v/>
      </c>
      <c r="N64">
        <f>IF(M64="","",IF(ISNUMBER(B64),B64,IFERROR(_xlfn.NUMBERVALUE(B64,".",","),0)))</f>
        <v/>
      </c>
      <c r="O64">
        <f>IF(M64="","",IF(ISNUMBER(C64),C64,IFERROR(_xlfn.NUMBERVALUE(C64,".",","),0)))</f>
        <v/>
      </c>
    </row>
    <row r="65">
      <c r="K65">
        <f>IF(OR(LEFT(B65,9)="DOANH THU",LEFT(B65,8)="SỐ LƯỢNG"),A65,IF(A65="","",K64))</f>
        <v/>
      </c>
      <c r="L65">
        <f>IF(A65="","",IF(ISNUMBER(--LEFT(A65,FIND(" - ",A65&amp;" - ")-1)),LEFT(A65,FIND(" - ",A65&amp;" - ")-1),TRIM(A65)))</f>
        <v/>
      </c>
      <c r="M65">
        <f>IF(OR(K65="",K65=A65,A65=""),"",K65&amp;"|"&amp;L65)</f>
        <v/>
      </c>
      <c r="N65">
        <f>IF(M65="","",IF(ISNUMBER(B65),B65,IFERROR(_xlfn.NUMBERVALUE(B65,".",","),0)))</f>
        <v/>
      </c>
      <c r="O65">
        <f>IF(M65="","",IF(ISNUMBER(C65),C65,IFERROR(_xlfn.NUMBERVALUE(C65,".",","),0)))</f>
        <v/>
      </c>
    </row>
    <row r="66">
      <c r="K66">
        <f>IF(OR(LEFT(B66,9)="DOANH THU",LEFT(B66,8)="SỐ LƯỢNG"),A66,IF(A66="","",K65))</f>
        <v/>
      </c>
      <c r="L66">
        <f>IF(A66="","",IF(ISNUMBER(--LEFT(A66,FIND(" - ",A66&amp;" - ")-1)),LEFT(A66,FIND(" - ",A66&amp;" - ")-1),TRIM(A66)))</f>
        <v/>
      </c>
      <c r="M66">
        <f>IF(OR(K66="",K66=A66,A66=""),"",K66&amp;"|"&amp;L66)</f>
        <v/>
      </c>
      <c r="N66">
        <f>IF(M66="","",IF(ISNUMBER(B66),B66,IFERROR(_xlfn.NUMBERVALUE(B66,".",","),0)))</f>
        <v/>
      </c>
      <c r="O66">
        <f>IF(M66="","",IF(ISNUMBER(C66),C66,IFERROR(_xlfn.NUMBERVALUE(C66,".",","),0)))</f>
        <v/>
      </c>
    </row>
    <row r="67">
      <c r="K67">
        <f>IF(OR(LEFT(B67,9)="DOANH THU",LEFT(B67,8)="SỐ LƯỢNG"),A67,IF(A67="","",K66))</f>
        <v/>
      </c>
      <c r="L67">
        <f>IF(A67="","",IF(ISNUMBER(--LEFT(A67,FIND(" - ",A67&amp;" - ")-1)),LEFT(A67,FIND(" - ",A67&amp;" - ")-1),TRIM(A67)))</f>
        <v/>
      </c>
      <c r="M67">
        <f>IF(OR(K67="",K67=A67,A67=""),"",K67&amp;"|"&amp;L67)</f>
        <v/>
      </c>
      <c r="N67">
        <f>IF(M67="","",IF(ISNUMBER(B67),B67,IFERROR(_xlfn.NUMBERVALUE(B67,".",","),0)))</f>
        <v/>
      </c>
      <c r="O67">
        <f>IF(M67="","",IF(ISNUMBER(C67),C67,IFERROR(_xlfn.NUMBERVALUE(C67,".",","),0)))</f>
        <v/>
      </c>
    </row>
    <row r="68">
      <c r="K68">
        <f>IF(OR(LEFT(B68,9)="DOANH THU",LEFT(B68,8)="SỐ LƯỢNG"),A68,IF(A68="","",K67))</f>
        <v/>
      </c>
      <c r="L68">
        <f>IF(A68="","",IF(ISNUMBER(--LEFT(A68,FIND(" - ",A68&amp;" - ")-1)),LEFT(A68,FIND(" - ",A68&amp;" - ")-1),TRIM(A68)))</f>
        <v/>
      </c>
      <c r="M68">
        <f>IF(OR(K68="",K68=A68,A68=""),"",K68&amp;"|"&amp;L68)</f>
        <v/>
      </c>
      <c r="N68">
        <f>IF(M68="","",IF(ISNUMBER(B68),B68,IFERROR(_xlfn.NUMBERVALUE(B68,".",","),0)))</f>
        <v/>
      </c>
      <c r="O68">
        <f>IF(M68="","",IF(ISNUMBER(C68),C68,IFERROR(_xlfn.NUMBERVALUE(C68,".",","),0)))</f>
        <v/>
      </c>
    </row>
    <row r="69">
      <c r="K69">
        <f>IF(OR(LEFT(B69,9)="DOANH THU",LEFT(B69,8)="SỐ LƯỢNG"),A69,IF(A69="","",K68))</f>
        <v/>
      </c>
      <c r="L69">
        <f>IF(A69="","",IF(ISNUMBER(--LEFT(A69,FIND(" - ",A69&amp;" - ")-1)),LEFT(A69,FIND(" - ",A69&amp;" - ")-1),TRIM(A69)))</f>
        <v/>
      </c>
      <c r="M69">
        <f>IF(OR(K69="",K69=A69,A69=""),"",K69&amp;"|"&amp;L69)</f>
        <v/>
      </c>
      <c r="N69">
        <f>IF(M69="","",IF(ISNUMBER(B69),B69,IFERROR(_xlfn.NUMBERVALUE(B69,".",","),0)))</f>
        <v/>
      </c>
      <c r="O69">
        <f>IF(M69="","",IF(ISNUMBER(C69),C69,IFERROR(_xlfn.NUMBERVALUE(C69,".",","),0)))</f>
        <v/>
      </c>
    </row>
    <row r="70">
      <c r="K70">
        <f>IF(OR(LEFT(B70,9)="DOANH THU",LEFT(B70,8)="SỐ LƯỢNG"),A70,IF(A70="","",K69))</f>
        <v/>
      </c>
      <c r="L70">
        <f>IF(A70="","",IF(ISNUMBER(--LEFT(A70,FIND(" - ",A70&amp;" - ")-1)),LEFT(A70,FIND(" - ",A70&amp;" - ")-1),TRIM(A70)))</f>
        <v/>
      </c>
      <c r="M70">
        <f>IF(OR(K70="",K70=A70,A70=""),"",K70&amp;"|"&amp;L70)</f>
        <v/>
      </c>
      <c r="N70">
        <f>IF(M70="","",IF(ISNUMBER(B70),B70,IFERROR(_xlfn.NUMBERVALUE(B70,".",","),0)))</f>
        <v/>
      </c>
      <c r="O70">
        <f>IF(M70="","",IF(ISNUMBER(C70),C70,IFERROR(_xlfn.NUMBERVALUE(C70,".",","),0)))</f>
        <v/>
      </c>
    </row>
    <row r="71">
      <c r="K71">
        <f>IF(OR(LEFT(B71,9)="DOANH THU",LEFT(B71,8)="SỐ LƯỢNG"),A71,IF(A71="","",K70))</f>
        <v/>
      </c>
      <c r="L71">
        <f>IF(A71="","",IF(ISNUMBER(--LEFT(A71,FIND(" - ",A71&amp;" - ")-1)),LEFT(A71,FIND(" - ",A71&amp;" - ")-1),TRIM(A71)))</f>
        <v/>
      </c>
      <c r="M71">
        <f>IF(OR(K71="",K71=A71,A71=""),"",K71&amp;"|"&amp;L71)</f>
        <v/>
      </c>
      <c r="N71">
        <f>IF(M71="","",IF(ISNUMBER(B71),B71,IFERROR(_xlfn.NUMBERVALUE(B71,".",","),0)))</f>
        <v/>
      </c>
      <c r="O71">
        <f>IF(M71="","",IF(ISNUMBER(C71),C71,IFERROR(_xlfn.NUMBERVALUE(C71,".",","),0)))</f>
        <v/>
      </c>
    </row>
    <row r="72">
      <c r="K72">
        <f>IF(OR(LEFT(B72,9)="DOANH THU",LEFT(B72,8)="SỐ LƯỢNG"),A72,IF(A72="","",K71))</f>
        <v/>
      </c>
      <c r="L72">
        <f>IF(A72="","",IF(ISNUMBER(--LEFT(A72,FIND(" - ",A72&amp;" - ")-1)),LEFT(A72,FIND(" - ",A72&amp;" - ")-1),TRIM(A72)))</f>
        <v/>
      </c>
      <c r="M72">
        <f>IF(OR(K72="",K72=A72,A72=""),"",K72&amp;"|"&amp;L72)</f>
        <v/>
      </c>
      <c r="N72">
        <f>IF(M72="","",IF(ISNUMBER(B72),B72,IFERROR(_xlfn.NUMBERVALUE(B72,".",","),0)))</f>
        <v/>
      </c>
      <c r="O72">
        <f>IF(M72="","",IF(ISNUMBER(C72),C72,IFERROR(_xlfn.NUMBERVALUE(C72,".",","),0)))</f>
        <v/>
      </c>
    </row>
    <row r="73">
      <c r="K73">
        <f>IF(OR(LEFT(B73,9)="DOANH THU",LEFT(B73,8)="SỐ LƯỢNG"),A73,IF(A73="","",K72))</f>
        <v/>
      </c>
      <c r="L73">
        <f>IF(A73="","",IF(ISNUMBER(--LEFT(A73,FIND(" - ",A73&amp;" - ")-1)),LEFT(A73,FIND(" - ",A73&amp;" - ")-1),TRIM(A73)))</f>
        <v/>
      </c>
      <c r="M73">
        <f>IF(OR(K73="",K73=A73,A73=""),"",K73&amp;"|"&amp;L73)</f>
        <v/>
      </c>
      <c r="N73">
        <f>IF(M73="","",IF(ISNUMBER(B73),B73,IFERROR(_xlfn.NUMBERVALUE(B73,".",","),0)))</f>
        <v/>
      </c>
      <c r="O73">
        <f>IF(M73="","",IF(ISNUMBER(C73),C73,IFERROR(_xlfn.NUMBERVALUE(C73,".",","),0)))</f>
        <v/>
      </c>
    </row>
    <row r="74">
      <c r="K74">
        <f>IF(OR(LEFT(B74,9)="DOANH THU",LEFT(B74,8)="SỐ LƯỢNG"),A74,IF(A74="","",K73))</f>
        <v/>
      </c>
      <c r="L74">
        <f>IF(A74="","",IF(ISNUMBER(--LEFT(A74,FIND(" - ",A74&amp;" - ")-1)),LEFT(A74,FIND(" - ",A74&amp;" - ")-1),TRIM(A74)))</f>
        <v/>
      </c>
      <c r="M74">
        <f>IF(OR(K74="",K74=A74,A74=""),"",K74&amp;"|"&amp;L74)</f>
        <v/>
      </c>
      <c r="N74">
        <f>IF(M74="","",IF(ISNUMBER(B74),B74,IFERROR(_xlfn.NUMBERVALUE(B74,".",","),0)))</f>
        <v/>
      </c>
      <c r="O74">
        <f>IF(M74="","",IF(ISNUMBER(C74),C74,IFERROR(_xlfn.NUMBERVALUE(C74,".",","),0)))</f>
        <v/>
      </c>
    </row>
    <row r="75">
      <c r="K75">
        <f>IF(OR(LEFT(B75,9)="DOANH THU",LEFT(B75,8)="SỐ LƯỢNG"),A75,IF(A75="","",K74))</f>
        <v/>
      </c>
      <c r="L75">
        <f>IF(A75="","",IF(ISNUMBER(--LEFT(A75,FIND(" - ",A75&amp;" - ")-1)),LEFT(A75,FIND(" - ",A75&amp;" - ")-1),TRIM(A75)))</f>
        <v/>
      </c>
      <c r="M75">
        <f>IF(OR(K75="",K75=A75,A75=""),"",K75&amp;"|"&amp;L75)</f>
        <v/>
      </c>
      <c r="N75">
        <f>IF(M75="","",IF(ISNUMBER(B75),B75,IFERROR(_xlfn.NUMBERVALUE(B75,".",","),0)))</f>
        <v/>
      </c>
      <c r="O75">
        <f>IF(M75="","",IF(ISNUMBER(C75),C75,IFERROR(_xlfn.NUMBERVALUE(C75,".",","),0)))</f>
        <v/>
      </c>
    </row>
    <row r="76">
      <c r="K76">
        <f>IF(OR(LEFT(B76,9)="DOANH THU",LEFT(B76,8)="SỐ LƯỢNG"),A76,IF(A76="","",K75))</f>
        <v/>
      </c>
      <c r="L76">
        <f>IF(A76="","",IF(ISNUMBER(--LEFT(A76,FIND(" - ",A76&amp;" - ")-1)),LEFT(A76,FIND(" - ",A76&amp;" - ")-1),TRIM(A76)))</f>
        <v/>
      </c>
      <c r="M76">
        <f>IF(OR(K76="",K76=A76,A76=""),"",K76&amp;"|"&amp;L76)</f>
        <v/>
      </c>
      <c r="N76">
        <f>IF(M76="","",IF(ISNUMBER(B76),B76,IFERROR(_xlfn.NUMBERVALUE(B76,".",","),0)))</f>
        <v/>
      </c>
      <c r="O76">
        <f>IF(M76="","",IF(ISNUMBER(C76),C76,IFERROR(_xlfn.NUMBERVALUE(C76,".",","),0)))</f>
        <v/>
      </c>
    </row>
    <row r="77">
      <c r="K77">
        <f>IF(OR(LEFT(B77,9)="DOANH THU",LEFT(B77,8)="SỐ LƯỢNG"),A77,IF(A77="","",K76))</f>
        <v/>
      </c>
      <c r="L77">
        <f>IF(A77="","",IF(ISNUMBER(--LEFT(A77,FIND(" - ",A77&amp;" - ")-1)),LEFT(A77,FIND(" - ",A77&amp;" - ")-1),TRIM(A77)))</f>
        <v/>
      </c>
      <c r="M77">
        <f>IF(OR(K77="",K77=A77,A77=""),"",K77&amp;"|"&amp;L77)</f>
        <v/>
      </c>
      <c r="N77">
        <f>IF(M77="","",IF(ISNUMBER(B77),B77,IFERROR(_xlfn.NUMBERVALUE(B77,".",","),0)))</f>
        <v/>
      </c>
      <c r="O77">
        <f>IF(M77="","",IF(ISNUMBER(C77),C77,IFERROR(_xlfn.NUMBERVALUE(C77,".",","),0)))</f>
        <v/>
      </c>
    </row>
    <row r="78">
      <c r="K78">
        <f>IF(OR(LEFT(B78,9)="DOANH THU",LEFT(B78,8)="SỐ LƯỢNG"),A78,IF(A78="","",K77))</f>
        <v/>
      </c>
      <c r="L78">
        <f>IF(A78="","",IF(ISNUMBER(--LEFT(A78,FIND(" - ",A78&amp;" - ")-1)),LEFT(A78,FIND(" - ",A78&amp;" - ")-1),TRIM(A78)))</f>
        <v/>
      </c>
      <c r="M78">
        <f>IF(OR(K78="",K78=A78,A78=""),"",K78&amp;"|"&amp;L78)</f>
        <v/>
      </c>
      <c r="N78">
        <f>IF(M78="","",IF(ISNUMBER(B78),B78,IFERROR(_xlfn.NUMBERVALUE(B78,".",","),0)))</f>
        <v/>
      </c>
      <c r="O78">
        <f>IF(M78="","",IF(ISNUMBER(C78),C78,IFERROR(_xlfn.NUMBERVALUE(C78,".",","),0)))</f>
        <v/>
      </c>
    </row>
    <row r="79">
      <c r="K79">
        <f>IF(OR(LEFT(B79,9)="DOANH THU",LEFT(B79,8)="SỐ LƯỢNG"),A79,IF(A79="","",K78))</f>
        <v/>
      </c>
      <c r="L79">
        <f>IF(A79="","",IF(ISNUMBER(--LEFT(A79,FIND(" - ",A79&amp;" - ")-1)),LEFT(A79,FIND(" - ",A79&amp;" - ")-1),TRIM(A79)))</f>
        <v/>
      </c>
      <c r="M79">
        <f>IF(OR(K79="",K79=A79,A79=""),"",K79&amp;"|"&amp;L79)</f>
        <v/>
      </c>
      <c r="N79">
        <f>IF(M79="","",IF(ISNUMBER(B79),B79,IFERROR(_xlfn.NUMBERVALUE(B79,".",","),0)))</f>
        <v/>
      </c>
      <c r="O79">
        <f>IF(M79="","",IF(ISNUMBER(C79),C79,IFERROR(_xlfn.NUMBERVALUE(C79,".",","),0)))</f>
        <v/>
      </c>
    </row>
    <row r="80">
      <c r="K80">
        <f>IF(OR(LEFT(B80,9)="DOANH THU",LEFT(B80,8)="SỐ LƯỢNG"),A80,IF(A80="","",K79))</f>
        <v/>
      </c>
      <c r="L80">
        <f>IF(A80="","",IF(ISNUMBER(--LEFT(A80,FIND(" - ",A80&amp;" - ")-1)),LEFT(A80,FIND(" - ",A80&amp;" - ")-1),TRIM(A80)))</f>
        <v/>
      </c>
      <c r="M80">
        <f>IF(OR(K80="",K80=A80,A80=""),"",K80&amp;"|"&amp;L80)</f>
        <v/>
      </c>
      <c r="N80">
        <f>IF(M80="","",IF(ISNUMBER(B80),B80,IFERROR(_xlfn.NUMBERVALUE(B80,".",","),0)))</f>
        <v/>
      </c>
      <c r="O80">
        <f>IF(M80="","",IF(ISNUMBER(C80),C80,IFERROR(_xlfn.NUMBERVALUE(C80,".",","),0)))</f>
        <v/>
      </c>
    </row>
    <row r="81">
      <c r="K81">
        <f>IF(OR(LEFT(B81,9)="DOANH THU",LEFT(B81,8)="SỐ LƯỢNG"),A81,IF(A81="","",K80))</f>
        <v/>
      </c>
      <c r="L81">
        <f>IF(A81="","",IF(ISNUMBER(--LEFT(A81,FIND(" - ",A81&amp;" - ")-1)),LEFT(A81,FIND(" - ",A81&amp;" - ")-1),TRIM(A81)))</f>
        <v/>
      </c>
      <c r="M81">
        <f>IF(OR(K81="",K81=A81,A81=""),"",K81&amp;"|"&amp;L81)</f>
        <v/>
      </c>
      <c r="N81">
        <f>IF(M81="","",IF(ISNUMBER(B81),B81,IFERROR(_xlfn.NUMBERVALUE(B81,".",","),0)))</f>
        <v/>
      </c>
      <c r="O81">
        <f>IF(M81="","",IF(ISNUMBER(C81),C81,IFERROR(_xlfn.NUMBERVALUE(C81,".",","),0)))</f>
        <v/>
      </c>
    </row>
    <row r="82">
      <c r="K82">
        <f>IF(OR(LEFT(B82,9)="DOANH THU",LEFT(B82,8)="SỐ LƯỢNG"),A82,IF(A82="","",K81))</f>
        <v/>
      </c>
      <c r="L82">
        <f>IF(A82="","",IF(ISNUMBER(--LEFT(A82,FIND(" - ",A82&amp;" - ")-1)),LEFT(A82,FIND(" - ",A82&amp;" - ")-1),TRIM(A82)))</f>
        <v/>
      </c>
      <c r="M82">
        <f>IF(OR(K82="",K82=A82,A82=""),"",K82&amp;"|"&amp;L82)</f>
        <v/>
      </c>
      <c r="N82">
        <f>IF(M82="","",IF(ISNUMBER(B82),B82,IFERROR(_xlfn.NUMBERVALUE(B82,".",","),0)))</f>
        <v/>
      </c>
      <c r="O82">
        <f>IF(M82="","",IF(ISNUMBER(C82),C82,IFERROR(_xlfn.NUMBERVALUE(C82,".",","),0)))</f>
        <v/>
      </c>
    </row>
    <row r="83">
      <c r="K83">
        <f>IF(OR(LEFT(B83,9)="DOANH THU",LEFT(B83,8)="SỐ LƯỢNG"),A83,IF(A83="","",K82))</f>
        <v/>
      </c>
      <c r="L83">
        <f>IF(A83="","",IF(ISNUMBER(--LEFT(A83,FIND(" - ",A83&amp;" - ")-1)),LEFT(A83,FIND(" - ",A83&amp;" - ")-1),TRIM(A83)))</f>
        <v/>
      </c>
      <c r="M83">
        <f>IF(OR(K83="",K83=A83,A83=""),"",K83&amp;"|"&amp;L83)</f>
        <v/>
      </c>
      <c r="N83">
        <f>IF(M83="","",IF(ISNUMBER(B83),B83,IFERROR(_xlfn.NUMBERVALUE(B83,".",","),0)))</f>
        <v/>
      </c>
      <c r="O83">
        <f>IF(M83="","",IF(ISNUMBER(C83),C83,IFERROR(_xlfn.NUMBERVALUE(C83,".",","),0)))</f>
        <v/>
      </c>
    </row>
    <row r="84">
      <c r="K84">
        <f>IF(OR(LEFT(B84,9)="DOANH THU",LEFT(B84,8)="SỐ LƯỢNG"),A84,IF(A84="","",K83))</f>
        <v/>
      </c>
      <c r="L84">
        <f>IF(A84="","",IF(ISNUMBER(--LEFT(A84,FIND(" - ",A84&amp;" - ")-1)),LEFT(A84,FIND(" - ",A84&amp;" - ")-1),TRIM(A84)))</f>
        <v/>
      </c>
      <c r="M84">
        <f>IF(OR(K84="",K84=A84,A84=""),"",K84&amp;"|"&amp;L84)</f>
        <v/>
      </c>
      <c r="N84">
        <f>IF(M84="","",IF(ISNUMBER(B84),B84,IFERROR(_xlfn.NUMBERVALUE(B84,".",","),0)))</f>
        <v/>
      </c>
      <c r="O84">
        <f>IF(M84="","",IF(ISNUMBER(C84),C84,IFERROR(_xlfn.NUMBERVALUE(C84,".",","),0)))</f>
        <v/>
      </c>
    </row>
    <row r="85">
      <c r="K85">
        <f>IF(OR(LEFT(B85,9)="DOANH THU",LEFT(B85,8)="SỐ LƯỢNG"),A85,IF(A85="","",K84))</f>
        <v/>
      </c>
      <c r="L85">
        <f>IF(A85="","",IF(ISNUMBER(--LEFT(A85,FIND(" - ",A85&amp;" - ")-1)),LEFT(A85,FIND(" - ",A85&amp;" - ")-1),TRIM(A85)))</f>
        <v/>
      </c>
      <c r="M85">
        <f>IF(OR(K85="",K85=A85,A85=""),"",K85&amp;"|"&amp;L85)</f>
        <v/>
      </c>
      <c r="N85">
        <f>IF(M85="","",IF(ISNUMBER(B85),B85,IFERROR(_xlfn.NUMBERVALUE(B85,".",","),0)))</f>
        <v/>
      </c>
      <c r="O85">
        <f>IF(M85="","",IF(ISNUMBER(C85),C85,IFERROR(_xlfn.NUMBERVALUE(C85,".",","),0)))</f>
        <v/>
      </c>
    </row>
    <row r="86">
      <c r="K86">
        <f>IF(OR(LEFT(B86,9)="DOANH THU",LEFT(B86,8)="SỐ LƯỢNG"),A86,IF(A86="","",K85))</f>
        <v/>
      </c>
      <c r="L86">
        <f>IF(A86="","",IF(ISNUMBER(--LEFT(A86,FIND(" - ",A86&amp;" - ")-1)),LEFT(A86,FIND(" - ",A86&amp;" - ")-1),TRIM(A86)))</f>
        <v/>
      </c>
      <c r="M86">
        <f>IF(OR(K86="",K86=A86,A86=""),"",K86&amp;"|"&amp;L86)</f>
        <v/>
      </c>
      <c r="N86">
        <f>IF(M86="","",IF(ISNUMBER(B86),B86,IFERROR(_xlfn.NUMBERVALUE(B86,".",","),0)))</f>
        <v/>
      </c>
      <c r="O86">
        <f>IF(M86="","",IF(ISNUMBER(C86),C86,IFERROR(_xlfn.NUMBERVALUE(C86,".",","),0)))</f>
        <v/>
      </c>
    </row>
    <row r="87">
      <c r="K87">
        <f>IF(OR(LEFT(B87,9)="DOANH THU",LEFT(B87,8)="SỐ LƯỢNG"),A87,IF(A87="","",K86))</f>
        <v/>
      </c>
      <c r="L87">
        <f>IF(A87="","",IF(ISNUMBER(--LEFT(A87,FIND(" - ",A87&amp;" - ")-1)),LEFT(A87,FIND(" - ",A87&amp;" - ")-1),TRIM(A87)))</f>
        <v/>
      </c>
      <c r="M87">
        <f>IF(OR(K87="",K87=A87,A87=""),"",K87&amp;"|"&amp;L87)</f>
        <v/>
      </c>
      <c r="N87">
        <f>IF(M87="","",IF(ISNUMBER(B87),B87,IFERROR(_xlfn.NUMBERVALUE(B87,".",","),0)))</f>
        <v/>
      </c>
      <c r="O87">
        <f>IF(M87="","",IF(ISNUMBER(C87),C87,IFERROR(_xlfn.NUMBERVALUE(C87,".",","),0)))</f>
        <v/>
      </c>
    </row>
    <row r="88">
      <c r="K88">
        <f>IF(OR(LEFT(B88,9)="DOANH THU",LEFT(B88,8)="SỐ LƯỢNG"),A88,IF(A88="","",K87))</f>
        <v/>
      </c>
      <c r="L88">
        <f>IF(A88="","",IF(ISNUMBER(--LEFT(A88,FIND(" - ",A88&amp;" - ")-1)),LEFT(A88,FIND(" - ",A88&amp;" - ")-1),TRIM(A88)))</f>
        <v/>
      </c>
      <c r="M88">
        <f>IF(OR(K88="",K88=A88,A88=""),"",K88&amp;"|"&amp;L88)</f>
        <v/>
      </c>
      <c r="N88">
        <f>IF(M88="","",IF(ISNUMBER(B88),B88,IFERROR(_xlfn.NUMBERVALUE(B88,".",","),0)))</f>
        <v/>
      </c>
      <c r="O88">
        <f>IF(M88="","",IF(ISNUMBER(C88),C88,IFERROR(_xlfn.NUMBERVALUE(C88,".",","),0)))</f>
        <v/>
      </c>
    </row>
    <row r="89">
      <c r="K89">
        <f>IF(OR(LEFT(B89,9)="DOANH THU",LEFT(B89,8)="SỐ LƯỢNG"),A89,IF(A89="","",K88))</f>
        <v/>
      </c>
      <c r="L89">
        <f>IF(A89="","",IF(ISNUMBER(--LEFT(A89,FIND(" - ",A89&amp;" - ")-1)),LEFT(A89,FIND(" - ",A89&amp;" - ")-1),TRIM(A89)))</f>
        <v/>
      </c>
      <c r="M89">
        <f>IF(OR(K89="",K89=A89,A89=""),"",K89&amp;"|"&amp;L89)</f>
        <v/>
      </c>
      <c r="N89">
        <f>IF(M89="","",IF(ISNUMBER(B89),B89,IFERROR(_xlfn.NUMBERVALUE(B89,".",","),0)))</f>
        <v/>
      </c>
      <c r="O89">
        <f>IF(M89="","",IF(ISNUMBER(C89),C89,IFERROR(_xlfn.NUMBERVALUE(C89,".",","),0)))</f>
        <v/>
      </c>
    </row>
    <row r="90">
      <c r="K90">
        <f>IF(OR(LEFT(B90,9)="DOANH THU",LEFT(B90,8)="SỐ LƯỢNG"),A90,IF(A90="","",K89))</f>
        <v/>
      </c>
      <c r="L90">
        <f>IF(A90="","",IF(ISNUMBER(--LEFT(A90,FIND(" - ",A90&amp;" - ")-1)),LEFT(A90,FIND(" - ",A90&amp;" - ")-1),TRIM(A90)))</f>
        <v/>
      </c>
      <c r="M90">
        <f>IF(OR(K90="",K90=A90,A90=""),"",K90&amp;"|"&amp;L90)</f>
        <v/>
      </c>
      <c r="N90">
        <f>IF(M90="","",IF(ISNUMBER(B90),B90,IFERROR(_xlfn.NUMBERVALUE(B90,".",","),0)))</f>
        <v/>
      </c>
      <c r="O90">
        <f>IF(M90="","",IF(ISNUMBER(C90),C90,IFERROR(_xlfn.NUMBERVALUE(C90,".",","),0)))</f>
        <v/>
      </c>
    </row>
    <row r="91">
      <c r="K91">
        <f>IF(OR(LEFT(B91,9)="DOANH THU",LEFT(B91,8)="SỐ LƯỢNG"),A91,IF(A91="","",K90))</f>
        <v/>
      </c>
      <c r="L91">
        <f>IF(A91="","",IF(ISNUMBER(--LEFT(A91,FIND(" - ",A91&amp;" - ")-1)),LEFT(A91,FIND(" - ",A91&amp;" - ")-1),TRIM(A91)))</f>
        <v/>
      </c>
      <c r="M91">
        <f>IF(OR(K91="",K91=A91,A91=""),"",K91&amp;"|"&amp;L91)</f>
        <v/>
      </c>
      <c r="N91">
        <f>IF(M91="","",IF(ISNUMBER(B91),B91,IFERROR(_xlfn.NUMBERVALUE(B91,".",","),0)))</f>
        <v/>
      </c>
      <c r="O91">
        <f>IF(M91="","",IF(ISNUMBER(C91),C91,IFERROR(_xlfn.NUMBERVALUE(C91,".",","),0)))</f>
        <v/>
      </c>
    </row>
    <row r="92">
      <c r="K92">
        <f>IF(OR(LEFT(B92,9)="DOANH THU",LEFT(B92,8)="SỐ LƯỢNG"),A92,IF(A92="","",K91))</f>
        <v/>
      </c>
      <c r="L92">
        <f>IF(A92="","",IF(ISNUMBER(--LEFT(A92,FIND(" - ",A92&amp;" - ")-1)),LEFT(A92,FIND(" - ",A92&amp;" - ")-1),TRIM(A92)))</f>
        <v/>
      </c>
      <c r="M92">
        <f>IF(OR(K92="",K92=A92,A92=""),"",K92&amp;"|"&amp;L92)</f>
        <v/>
      </c>
      <c r="N92">
        <f>IF(M92="","",IF(ISNUMBER(B92),B92,IFERROR(_xlfn.NUMBERVALUE(B92,".",","),0)))</f>
        <v/>
      </c>
      <c r="O92">
        <f>IF(M92="","",IF(ISNUMBER(C92),C92,IFERROR(_xlfn.NUMBERVALUE(C92,".",","),0)))</f>
        <v/>
      </c>
    </row>
    <row r="93">
      <c r="K93">
        <f>IF(OR(LEFT(B93,9)="DOANH THU",LEFT(B93,8)="SỐ LƯỢNG"),A93,IF(A93="","",K92))</f>
        <v/>
      </c>
      <c r="L93">
        <f>IF(A93="","",IF(ISNUMBER(--LEFT(A93,FIND(" - ",A93&amp;" - ")-1)),LEFT(A93,FIND(" - ",A93&amp;" - ")-1),TRIM(A93)))</f>
        <v/>
      </c>
      <c r="M93">
        <f>IF(OR(K93="",K93=A93,A93=""),"",K93&amp;"|"&amp;L93)</f>
        <v/>
      </c>
      <c r="N93">
        <f>IF(M93="","",IF(ISNUMBER(B93),B93,IFERROR(_xlfn.NUMBERVALUE(B93,".",","),0)))</f>
        <v/>
      </c>
      <c r="O93">
        <f>IF(M93="","",IF(ISNUMBER(C93),C93,IFERROR(_xlfn.NUMBERVALUE(C93,".",","),0)))</f>
        <v/>
      </c>
    </row>
    <row r="94">
      <c r="K94">
        <f>IF(OR(LEFT(B94,9)="DOANH THU",LEFT(B94,8)="SỐ LƯỢNG"),A94,IF(A94="","",K93))</f>
        <v/>
      </c>
      <c r="L94">
        <f>IF(A94="","",IF(ISNUMBER(--LEFT(A94,FIND(" - ",A94&amp;" - ")-1)),LEFT(A94,FIND(" - ",A94&amp;" - ")-1),TRIM(A94)))</f>
        <v/>
      </c>
      <c r="M94">
        <f>IF(OR(K94="",K94=A94,A94=""),"",K94&amp;"|"&amp;L94)</f>
        <v/>
      </c>
      <c r="N94">
        <f>IF(M94="","",IF(ISNUMBER(B94),B94,IFERROR(_xlfn.NUMBERVALUE(B94,".",","),0)))</f>
        <v/>
      </c>
      <c r="O94">
        <f>IF(M94="","",IF(ISNUMBER(C94),C94,IFERROR(_xlfn.NUMBERVALUE(C94,".",","),0)))</f>
        <v/>
      </c>
    </row>
    <row r="95">
      <c r="K95">
        <f>IF(OR(LEFT(B95,9)="DOANH THU",LEFT(B95,8)="SỐ LƯỢNG"),A95,IF(A95="","",K94))</f>
        <v/>
      </c>
      <c r="L95">
        <f>IF(A95="","",IF(ISNUMBER(--LEFT(A95,FIND(" - ",A95&amp;" - ")-1)),LEFT(A95,FIND(" - ",A95&amp;" - ")-1),TRIM(A95)))</f>
        <v/>
      </c>
      <c r="M95">
        <f>IF(OR(K95="",K95=A95,A95=""),"",K95&amp;"|"&amp;L95)</f>
        <v/>
      </c>
      <c r="N95">
        <f>IF(M95="","",IF(ISNUMBER(B95),B95,IFERROR(_xlfn.NUMBERVALUE(B95,".",","),0)))</f>
        <v/>
      </c>
      <c r="O95">
        <f>IF(M95="","",IF(ISNUMBER(C95),C95,IFERROR(_xlfn.NUMBERVALUE(C95,".",","),0)))</f>
        <v/>
      </c>
    </row>
    <row r="96">
      <c r="K96">
        <f>IF(OR(LEFT(B96,9)="DOANH THU",LEFT(B96,8)="SỐ LƯỢNG"),A96,IF(A96="","",K95))</f>
        <v/>
      </c>
      <c r="L96">
        <f>IF(A96="","",IF(ISNUMBER(--LEFT(A96,FIND(" - ",A96&amp;" - ")-1)),LEFT(A96,FIND(" - ",A96&amp;" - ")-1),TRIM(A96)))</f>
        <v/>
      </c>
      <c r="M96">
        <f>IF(OR(K96="",K96=A96,A96=""),"",K96&amp;"|"&amp;L96)</f>
        <v/>
      </c>
      <c r="N96">
        <f>IF(M96="","",IF(ISNUMBER(B96),B96,IFERROR(_xlfn.NUMBERVALUE(B96,".",","),0)))</f>
        <v/>
      </c>
      <c r="O96">
        <f>IF(M96="","",IF(ISNUMBER(C96),C96,IFERROR(_xlfn.NUMBERVALUE(C96,".",","),0)))</f>
        <v/>
      </c>
    </row>
    <row r="97">
      <c r="K97">
        <f>IF(OR(LEFT(B97,9)="DOANH THU",LEFT(B97,8)="SỐ LƯỢNG"),A97,IF(A97="","",K96))</f>
        <v/>
      </c>
      <c r="L97">
        <f>IF(A97="","",IF(ISNUMBER(--LEFT(A97,FIND(" - ",A97&amp;" - ")-1)),LEFT(A97,FIND(" - ",A97&amp;" - ")-1),TRIM(A97)))</f>
        <v/>
      </c>
      <c r="M97">
        <f>IF(OR(K97="",K97=A97,A97=""),"",K97&amp;"|"&amp;L97)</f>
        <v/>
      </c>
      <c r="N97">
        <f>IF(M97="","",IF(ISNUMBER(B97),B97,IFERROR(_xlfn.NUMBERVALUE(B97,".",","),0)))</f>
        <v/>
      </c>
      <c r="O97">
        <f>IF(M97="","",IF(ISNUMBER(C97),C97,IFERROR(_xlfn.NUMBERVALUE(C97,".",","),0)))</f>
        <v/>
      </c>
    </row>
    <row r="98">
      <c r="K98">
        <f>IF(OR(LEFT(B98,9)="DOANH THU",LEFT(B98,8)="SỐ LƯỢNG"),A98,IF(A98="","",K97))</f>
        <v/>
      </c>
      <c r="L98">
        <f>IF(A98="","",IF(ISNUMBER(--LEFT(A98,FIND(" - ",A98&amp;" - ")-1)),LEFT(A98,FIND(" - ",A98&amp;" - ")-1),TRIM(A98)))</f>
        <v/>
      </c>
      <c r="M98">
        <f>IF(OR(K98="",K98=A98,A98=""),"",K98&amp;"|"&amp;L98)</f>
        <v/>
      </c>
      <c r="N98">
        <f>IF(M98="","",IF(ISNUMBER(B98),B98,IFERROR(_xlfn.NUMBERVALUE(B98,".",","),0)))</f>
        <v/>
      </c>
      <c r="O98">
        <f>IF(M98="","",IF(ISNUMBER(C98),C98,IFERROR(_xlfn.NUMBERVALUE(C98,".",","),0)))</f>
        <v/>
      </c>
    </row>
    <row r="99">
      <c r="K99">
        <f>IF(OR(LEFT(B99,9)="DOANH THU",LEFT(B99,8)="SỐ LƯỢNG"),A99,IF(A99="","",K98))</f>
        <v/>
      </c>
      <c r="L99">
        <f>IF(A99="","",IF(ISNUMBER(--LEFT(A99,FIND(" - ",A99&amp;" - ")-1)),LEFT(A99,FIND(" - ",A99&amp;" - ")-1),TRIM(A99)))</f>
        <v/>
      </c>
      <c r="M99">
        <f>IF(OR(K99="",K99=A99,A99=""),"",K99&amp;"|"&amp;L99)</f>
        <v/>
      </c>
      <c r="N99">
        <f>IF(M99="","",IF(ISNUMBER(B99),B99,IFERROR(_xlfn.NUMBERVALUE(B99,".",","),0)))</f>
        <v/>
      </c>
      <c r="O99">
        <f>IF(M99="","",IF(ISNUMBER(C99),C99,IFERROR(_xlfn.NUMBERVALUE(C99,".",","),0)))</f>
        <v/>
      </c>
    </row>
    <row r="100">
      <c r="K100">
        <f>IF(OR(LEFT(B100,9)="DOANH THU",LEFT(B100,8)="SỐ LƯỢNG"),A100,IF(A100="","",K99))</f>
        <v/>
      </c>
      <c r="L100">
        <f>IF(A100="","",IF(ISNUMBER(--LEFT(A100,FIND(" - ",A100&amp;" - ")-1)),LEFT(A100,FIND(" - ",A100&amp;" - ")-1),TRIM(A100)))</f>
        <v/>
      </c>
      <c r="M100">
        <f>IF(OR(K100="",K100=A100,A100=""),"",K100&amp;"|"&amp;L100)</f>
        <v/>
      </c>
      <c r="N100">
        <f>IF(M100="","",IF(ISNUMBER(B100),B100,IFERROR(_xlfn.NUMBERVALUE(B100,".",","),0)))</f>
        <v/>
      </c>
      <c r="O100">
        <f>IF(M100="","",IF(ISNUMBER(C100),C100,IFERROR(_xlfn.NUMBERVALUE(C100,".",","),0)))</f>
        <v/>
      </c>
    </row>
    <row r="101">
      <c r="K101">
        <f>IF(OR(LEFT(B101,9)="DOANH THU",LEFT(B101,8)="SỐ LƯỢNG"),A101,IF(A101="","",K100))</f>
        <v/>
      </c>
      <c r="L101">
        <f>IF(A101="","",IF(ISNUMBER(--LEFT(A101,FIND(" - ",A101&amp;" - ")-1)),LEFT(A101,FIND(" - ",A101&amp;" - ")-1),TRIM(A101)))</f>
        <v/>
      </c>
      <c r="M101">
        <f>IF(OR(K101="",K101=A101,A101=""),"",K101&amp;"|"&amp;L101)</f>
        <v/>
      </c>
      <c r="N101">
        <f>IF(M101="","",IF(ISNUMBER(B101),B101,IFERROR(_xlfn.NUMBERVALUE(B101,".",","),0)))</f>
        <v/>
      </c>
      <c r="O101">
        <f>IF(M101="","",IF(ISNUMBER(C101),C101,IFERROR(_xlfn.NUMBERVALUE(C101,".",","),0)))</f>
        <v/>
      </c>
    </row>
    <row r="102">
      <c r="K102">
        <f>IF(OR(LEFT(B102,9)="DOANH THU",LEFT(B102,8)="SỐ LƯỢNG"),A102,IF(A102="","",K101))</f>
        <v/>
      </c>
      <c r="L102">
        <f>IF(A102="","",IF(ISNUMBER(--LEFT(A102,FIND(" - ",A102&amp;" - ")-1)),LEFT(A102,FIND(" - ",A102&amp;" - ")-1),TRIM(A102)))</f>
        <v/>
      </c>
      <c r="M102">
        <f>IF(OR(K102="",K102=A102,A102=""),"",K102&amp;"|"&amp;L102)</f>
        <v/>
      </c>
      <c r="N102">
        <f>IF(M102="","",IF(ISNUMBER(B102),B102,IFERROR(_xlfn.NUMBERVALUE(B102,".",","),0)))</f>
        <v/>
      </c>
      <c r="O102">
        <f>IF(M102="","",IF(ISNUMBER(C102),C102,IFERROR(_xlfn.NUMBERVALUE(C102,".",","),0)))</f>
        <v/>
      </c>
    </row>
    <row r="103">
      <c r="K103">
        <f>IF(OR(LEFT(B103,9)="DOANH THU",LEFT(B103,8)="SỐ LƯỢNG"),A103,IF(A103="","",K102))</f>
        <v/>
      </c>
      <c r="L103">
        <f>IF(A103="","",IF(ISNUMBER(--LEFT(A103,FIND(" - ",A103&amp;" - ")-1)),LEFT(A103,FIND(" - ",A103&amp;" - ")-1),TRIM(A103)))</f>
        <v/>
      </c>
      <c r="M103">
        <f>IF(OR(K103="",K103=A103,A103=""),"",K103&amp;"|"&amp;L103)</f>
        <v/>
      </c>
      <c r="N103">
        <f>IF(M103="","",IF(ISNUMBER(B103),B103,IFERROR(_xlfn.NUMBERVALUE(B103,".",","),0)))</f>
        <v/>
      </c>
      <c r="O103">
        <f>IF(M103="","",IF(ISNUMBER(C103),C103,IFERROR(_xlfn.NUMBERVALUE(C103,".",","),0)))</f>
        <v/>
      </c>
    </row>
    <row r="104">
      <c r="K104">
        <f>IF(OR(LEFT(B104,9)="DOANH THU",LEFT(B104,8)="SỐ LƯỢNG"),A104,IF(A104="","",K103))</f>
        <v/>
      </c>
      <c r="L104">
        <f>IF(A104="","",IF(ISNUMBER(--LEFT(A104,FIND(" - ",A104&amp;" - ")-1)),LEFT(A104,FIND(" - ",A104&amp;" - ")-1),TRIM(A104)))</f>
        <v/>
      </c>
      <c r="M104">
        <f>IF(OR(K104="",K104=A104,A104=""),"",K104&amp;"|"&amp;L104)</f>
        <v/>
      </c>
      <c r="N104">
        <f>IF(M104="","",IF(ISNUMBER(B104),B104,IFERROR(_xlfn.NUMBERVALUE(B104,".",","),0)))</f>
        <v/>
      </c>
      <c r="O104">
        <f>IF(M104="","",IF(ISNUMBER(C104),C104,IFERROR(_xlfn.NUMBERVALUE(C104,".",","),0)))</f>
        <v/>
      </c>
    </row>
    <row r="105">
      <c r="K105">
        <f>IF(OR(LEFT(B105,9)="DOANH THU",LEFT(B105,8)="SỐ LƯỢNG"),A105,IF(A105="","",K104))</f>
        <v/>
      </c>
      <c r="L105">
        <f>IF(A105="","",IF(ISNUMBER(--LEFT(A105,FIND(" - ",A105&amp;" - ")-1)),LEFT(A105,FIND(" - ",A105&amp;" - ")-1),TRIM(A105)))</f>
        <v/>
      </c>
      <c r="M105">
        <f>IF(OR(K105="",K105=A105,A105=""),"",K105&amp;"|"&amp;L105)</f>
        <v/>
      </c>
      <c r="N105">
        <f>IF(M105="","",IF(ISNUMBER(B105),B105,IFERROR(_xlfn.NUMBERVALUE(B105,".",","),0)))</f>
        <v/>
      </c>
      <c r="O105">
        <f>IF(M105="","",IF(ISNUMBER(C105),C105,IFERROR(_xlfn.NUMBERVALUE(C105,".",","),0)))</f>
        <v/>
      </c>
    </row>
    <row r="106">
      <c r="K106">
        <f>IF(OR(LEFT(B106,9)="DOANH THU",LEFT(B106,8)="SỐ LƯỢNG"),A106,IF(A106="","",K105))</f>
        <v/>
      </c>
      <c r="L106">
        <f>IF(A106="","",IF(ISNUMBER(--LEFT(A106,FIND(" - ",A106&amp;" - ")-1)),LEFT(A106,FIND(" - ",A106&amp;" - ")-1),TRIM(A106)))</f>
        <v/>
      </c>
      <c r="M106">
        <f>IF(OR(K106="",K106=A106,A106=""),"",K106&amp;"|"&amp;L106)</f>
        <v/>
      </c>
      <c r="N106">
        <f>IF(M106="","",IF(ISNUMBER(B106),B106,IFERROR(_xlfn.NUMBERVALUE(B106,".",","),0)))</f>
        <v/>
      </c>
      <c r="O106">
        <f>IF(M106="","",IF(ISNUMBER(C106),C106,IFERROR(_xlfn.NUMBERVALUE(C106,".",","),0)))</f>
        <v/>
      </c>
    </row>
    <row r="107">
      <c r="K107">
        <f>IF(OR(LEFT(B107,9)="DOANH THU",LEFT(B107,8)="SỐ LƯỢNG"),A107,IF(A107="","",K106))</f>
        <v/>
      </c>
      <c r="L107">
        <f>IF(A107="","",IF(ISNUMBER(--LEFT(A107,FIND(" - ",A107&amp;" - ")-1)),LEFT(A107,FIND(" - ",A107&amp;" - ")-1),TRIM(A107)))</f>
        <v/>
      </c>
      <c r="M107">
        <f>IF(OR(K107="",K107=A107,A107=""),"",K107&amp;"|"&amp;L107)</f>
        <v/>
      </c>
      <c r="N107">
        <f>IF(M107="","",IF(ISNUMBER(B107),B107,IFERROR(_xlfn.NUMBERVALUE(B107,".",","),0)))</f>
        <v/>
      </c>
      <c r="O107">
        <f>IF(M107="","",IF(ISNUMBER(C107),C107,IFERROR(_xlfn.NUMBERVALUE(C107,".",","),0)))</f>
        <v/>
      </c>
    </row>
    <row r="108">
      <c r="K108">
        <f>IF(OR(LEFT(B108,9)="DOANH THU",LEFT(B108,8)="SỐ LƯỢNG"),A108,IF(A108="","",K107))</f>
        <v/>
      </c>
      <c r="L108">
        <f>IF(A108="","",IF(ISNUMBER(--LEFT(A108,FIND(" - ",A108&amp;" - ")-1)),LEFT(A108,FIND(" - ",A108&amp;" - ")-1),TRIM(A108)))</f>
        <v/>
      </c>
      <c r="M108">
        <f>IF(OR(K108="",K108=A108,A108=""),"",K108&amp;"|"&amp;L108)</f>
        <v/>
      </c>
      <c r="N108">
        <f>IF(M108="","",IF(ISNUMBER(B108),B108,IFERROR(_xlfn.NUMBERVALUE(B108,".",","),0)))</f>
        <v/>
      </c>
      <c r="O108">
        <f>IF(M108="","",IF(ISNUMBER(C108),C108,IFERROR(_xlfn.NUMBERVALUE(C108,".",","),0)))</f>
        <v/>
      </c>
    </row>
    <row r="109">
      <c r="K109">
        <f>IF(OR(LEFT(B109,9)="DOANH THU",LEFT(B109,8)="SỐ LƯỢNG"),A109,IF(A109="","",K108))</f>
        <v/>
      </c>
      <c r="L109">
        <f>IF(A109="","",IF(ISNUMBER(--LEFT(A109,FIND(" - ",A109&amp;" - ")-1)),LEFT(A109,FIND(" - ",A109&amp;" - ")-1),TRIM(A109)))</f>
        <v/>
      </c>
      <c r="M109">
        <f>IF(OR(K109="",K109=A109,A109=""),"",K109&amp;"|"&amp;L109)</f>
        <v/>
      </c>
      <c r="N109">
        <f>IF(M109="","",IF(ISNUMBER(B109),B109,IFERROR(_xlfn.NUMBERVALUE(B109,".",","),0)))</f>
        <v/>
      </c>
      <c r="O109">
        <f>IF(M109="","",IF(ISNUMBER(C109),C109,IFERROR(_xlfn.NUMBERVALUE(C109,".",","),0)))</f>
        <v/>
      </c>
    </row>
    <row r="110">
      <c r="K110">
        <f>IF(OR(LEFT(B110,9)="DOANH THU",LEFT(B110,8)="SỐ LƯỢNG"),A110,IF(A110="","",K109))</f>
        <v/>
      </c>
      <c r="L110">
        <f>IF(A110="","",IF(ISNUMBER(--LEFT(A110,FIND(" - ",A110&amp;" - ")-1)),LEFT(A110,FIND(" - ",A110&amp;" - ")-1),TRIM(A110)))</f>
        <v/>
      </c>
      <c r="M110">
        <f>IF(OR(K110="",K110=A110,A110=""),"",K110&amp;"|"&amp;L110)</f>
        <v/>
      </c>
      <c r="N110">
        <f>IF(M110="","",IF(ISNUMBER(B110),B110,IFERROR(_xlfn.NUMBERVALUE(B110,".",","),0)))</f>
        <v/>
      </c>
      <c r="O110">
        <f>IF(M110="","",IF(ISNUMBER(C110),C110,IFERROR(_xlfn.NUMBERVALUE(C110,".",","),0)))</f>
        <v/>
      </c>
    </row>
    <row r="111">
      <c r="K111">
        <f>IF(OR(LEFT(B111,9)="DOANH THU",LEFT(B111,8)="SỐ LƯỢNG"),A111,IF(A111="","",K110))</f>
        <v/>
      </c>
      <c r="L111">
        <f>IF(A111="","",IF(ISNUMBER(--LEFT(A111,FIND(" - ",A111&amp;" - ")-1)),LEFT(A111,FIND(" - ",A111&amp;" - ")-1),TRIM(A111)))</f>
        <v/>
      </c>
      <c r="M111">
        <f>IF(OR(K111="",K111=A111,A111=""),"",K111&amp;"|"&amp;L111)</f>
        <v/>
      </c>
      <c r="N111">
        <f>IF(M111="","",IF(ISNUMBER(B111),B111,IFERROR(_xlfn.NUMBERVALUE(B111,".",","),0)))</f>
        <v/>
      </c>
      <c r="O111">
        <f>IF(M111="","",IF(ISNUMBER(C111),C111,IFERROR(_xlfn.NUMBERVALUE(C111,".",","),0)))</f>
        <v/>
      </c>
    </row>
    <row r="112">
      <c r="K112">
        <f>IF(OR(LEFT(B112,9)="DOANH THU",LEFT(B112,8)="SỐ LƯỢNG"),A112,IF(A112="","",K111))</f>
        <v/>
      </c>
      <c r="L112">
        <f>IF(A112="","",IF(ISNUMBER(--LEFT(A112,FIND(" - ",A112&amp;" - ")-1)),LEFT(A112,FIND(" - ",A112&amp;" - ")-1),TRIM(A112)))</f>
        <v/>
      </c>
      <c r="M112">
        <f>IF(OR(K112="",K112=A112,A112=""),"",K112&amp;"|"&amp;L112)</f>
        <v/>
      </c>
      <c r="N112">
        <f>IF(M112="","",IF(ISNUMBER(B112),B112,IFERROR(_xlfn.NUMBERVALUE(B112,".",","),0)))</f>
        <v/>
      </c>
      <c r="O112">
        <f>IF(M112="","",IF(ISNUMBER(C112),C112,IFERROR(_xlfn.NUMBERVALUE(C112,".",","),0)))</f>
        <v/>
      </c>
    </row>
    <row r="113">
      <c r="K113">
        <f>IF(OR(LEFT(B113,9)="DOANH THU",LEFT(B113,8)="SỐ LƯỢNG"),A113,IF(A113="","",K112))</f>
        <v/>
      </c>
      <c r="L113">
        <f>IF(A113="","",IF(ISNUMBER(--LEFT(A113,FIND(" - ",A113&amp;" - ")-1)),LEFT(A113,FIND(" - ",A113&amp;" - ")-1),TRIM(A113)))</f>
        <v/>
      </c>
      <c r="M113">
        <f>IF(OR(K113="",K113=A113,A113=""),"",K113&amp;"|"&amp;L113)</f>
        <v/>
      </c>
      <c r="N113">
        <f>IF(M113="","",IF(ISNUMBER(B113),B113,IFERROR(_xlfn.NUMBERVALUE(B113,".",","),0)))</f>
        <v/>
      </c>
      <c r="O113">
        <f>IF(M113="","",IF(ISNUMBER(C113),C113,IFERROR(_xlfn.NUMBERVALUE(C113,".",","),0)))</f>
        <v/>
      </c>
    </row>
    <row r="114">
      <c r="K114">
        <f>IF(OR(LEFT(B114,9)="DOANH THU",LEFT(B114,8)="SỐ LƯỢNG"),A114,IF(A114="","",K113))</f>
        <v/>
      </c>
      <c r="L114">
        <f>IF(A114="","",IF(ISNUMBER(--LEFT(A114,FIND(" - ",A114&amp;" - ")-1)),LEFT(A114,FIND(" - ",A114&amp;" - ")-1),TRIM(A114)))</f>
        <v/>
      </c>
      <c r="M114">
        <f>IF(OR(K114="",K114=A114,A114=""),"",K114&amp;"|"&amp;L114)</f>
        <v/>
      </c>
      <c r="N114">
        <f>IF(M114="","",IF(ISNUMBER(B114),B114,IFERROR(_xlfn.NUMBERVALUE(B114,".",","),0)))</f>
        <v/>
      </c>
      <c r="O114">
        <f>IF(M114="","",IF(ISNUMBER(C114),C114,IFERROR(_xlfn.NUMBERVALUE(C114,".",","),0)))</f>
        <v/>
      </c>
    </row>
    <row r="115">
      <c r="K115">
        <f>IF(OR(LEFT(B115,9)="DOANH THU",LEFT(B115,8)="SỐ LƯỢNG"),A115,IF(A115="","",K114))</f>
        <v/>
      </c>
      <c r="L115">
        <f>IF(A115="","",IF(ISNUMBER(--LEFT(A115,FIND(" - ",A115&amp;" - ")-1)),LEFT(A115,FIND(" - ",A115&amp;" - ")-1),TRIM(A115)))</f>
        <v/>
      </c>
      <c r="M115">
        <f>IF(OR(K115="",K115=A115,A115=""),"",K115&amp;"|"&amp;L115)</f>
        <v/>
      </c>
      <c r="N115">
        <f>IF(M115="","",IF(ISNUMBER(B115),B115,IFERROR(_xlfn.NUMBERVALUE(B115,".",","),0)))</f>
        <v/>
      </c>
      <c r="O115">
        <f>IF(M115="","",IF(ISNUMBER(C115),C115,IFERROR(_xlfn.NUMBERVALUE(C115,".",","),0)))</f>
        <v/>
      </c>
    </row>
    <row r="116">
      <c r="K116">
        <f>IF(OR(LEFT(B116,9)="DOANH THU",LEFT(B116,8)="SỐ LƯỢNG"),A116,IF(A116="","",K115))</f>
        <v/>
      </c>
      <c r="L116">
        <f>IF(A116="","",IF(ISNUMBER(--LEFT(A116,FIND(" - ",A116&amp;" - ")-1)),LEFT(A116,FIND(" - ",A116&amp;" - ")-1),TRIM(A116)))</f>
        <v/>
      </c>
      <c r="M116">
        <f>IF(OR(K116="",K116=A116,A116=""),"",K116&amp;"|"&amp;L116)</f>
        <v/>
      </c>
      <c r="N116">
        <f>IF(M116="","",IF(ISNUMBER(B116),B116,IFERROR(_xlfn.NUMBERVALUE(B116,".",","),0)))</f>
        <v/>
      </c>
      <c r="O116">
        <f>IF(M116="","",IF(ISNUMBER(C116),C116,IFERROR(_xlfn.NUMBERVALUE(C116,".",","),0)))</f>
        <v/>
      </c>
    </row>
    <row r="117">
      <c r="K117">
        <f>IF(OR(LEFT(B117,9)="DOANH THU",LEFT(B117,8)="SỐ LƯỢNG"),A117,IF(A117="","",K116))</f>
        <v/>
      </c>
      <c r="L117">
        <f>IF(A117="","",IF(ISNUMBER(--LEFT(A117,FIND(" - ",A117&amp;" - ")-1)),LEFT(A117,FIND(" - ",A117&amp;" - ")-1),TRIM(A117)))</f>
        <v/>
      </c>
      <c r="M117">
        <f>IF(OR(K117="",K117=A117,A117=""),"",K117&amp;"|"&amp;L117)</f>
        <v/>
      </c>
      <c r="N117">
        <f>IF(M117="","",IF(ISNUMBER(B117),B117,IFERROR(_xlfn.NUMBERVALUE(B117,".",","),0)))</f>
        <v/>
      </c>
      <c r="O117">
        <f>IF(M117="","",IF(ISNUMBER(C117),C117,IFERROR(_xlfn.NUMBERVALUE(C117,".",","),0)))</f>
        <v/>
      </c>
    </row>
    <row r="118">
      <c r="K118">
        <f>IF(OR(LEFT(B118,9)="DOANH THU",LEFT(B118,8)="SỐ LƯỢNG"),A118,IF(A118="","",K117))</f>
        <v/>
      </c>
      <c r="L118">
        <f>IF(A118="","",IF(ISNUMBER(--LEFT(A118,FIND(" - ",A118&amp;" - ")-1)),LEFT(A118,FIND(" - ",A118&amp;" - ")-1),TRIM(A118)))</f>
        <v/>
      </c>
      <c r="M118">
        <f>IF(OR(K118="",K118=A118,A118=""),"",K118&amp;"|"&amp;L118)</f>
        <v/>
      </c>
      <c r="N118">
        <f>IF(M118="","",IF(ISNUMBER(B118),B118,IFERROR(_xlfn.NUMBERVALUE(B118,".",","),0)))</f>
        <v/>
      </c>
      <c r="O118">
        <f>IF(M118="","",IF(ISNUMBER(C118),C118,IFERROR(_xlfn.NUMBERVALUE(C118,".",","),0)))</f>
        <v/>
      </c>
    </row>
    <row r="119">
      <c r="K119">
        <f>IF(OR(LEFT(B119,9)="DOANH THU",LEFT(B119,8)="SỐ LƯỢNG"),A119,IF(A119="","",K118))</f>
        <v/>
      </c>
      <c r="L119">
        <f>IF(A119="","",IF(ISNUMBER(--LEFT(A119,FIND(" - ",A119&amp;" - ")-1)),LEFT(A119,FIND(" - ",A119&amp;" - ")-1),TRIM(A119)))</f>
        <v/>
      </c>
      <c r="M119">
        <f>IF(OR(K119="",K119=A119,A119=""),"",K119&amp;"|"&amp;L119)</f>
        <v/>
      </c>
      <c r="N119">
        <f>IF(M119="","",IF(ISNUMBER(B119),B119,IFERROR(_xlfn.NUMBERVALUE(B119,".",","),0)))</f>
        <v/>
      </c>
      <c r="O119">
        <f>IF(M119="","",IF(ISNUMBER(C119),C119,IFERROR(_xlfn.NUMBERVALUE(C119,".",","),0)))</f>
        <v/>
      </c>
    </row>
    <row r="120">
      <c r="K120">
        <f>IF(OR(LEFT(B120,9)="DOANH THU",LEFT(B120,8)="SỐ LƯỢNG"),A120,IF(A120="","",K119))</f>
        <v/>
      </c>
      <c r="L120">
        <f>IF(A120="","",IF(ISNUMBER(--LEFT(A120,FIND(" - ",A120&amp;" - ")-1)),LEFT(A120,FIND(" - ",A120&amp;" - ")-1),TRIM(A120)))</f>
        <v/>
      </c>
      <c r="M120">
        <f>IF(OR(K120="",K120=A120,A120=""),"",K120&amp;"|"&amp;L120)</f>
        <v/>
      </c>
      <c r="N120">
        <f>IF(M120="","",IF(ISNUMBER(B120),B120,IFERROR(_xlfn.NUMBERVALUE(B120,".",","),0)))</f>
        <v/>
      </c>
      <c r="O120">
        <f>IF(M120="","",IF(ISNUMBER(C120),C120,IFERROR(_xlfn.NUMBERVALUE(C120,".",","),0)))</f>
        <v/>
      </c>
    </row>
    <row r="121">
      <c r="K121">
        <f>IF(OR(LEFT(B121,9)="DOANH THU",LEFT(B121,8)="SỐ LƯỢNG"),A121,IF(A121="","",K120))</f>
        <v/>
      </c>
      <c r="L121">
        <f>IF(A121="","",IF(ISNUMBER(--LEFT(A121,FIND(" - ",A121&amp;" - ")-1)),LEFT(A121,FIND(" - ",A121&amp;" - ")-1),TRIM(A121)))</f>
        <v/>
      </c>
      <c r="M121">
        <f>IF(OR(K121="",K121=A121,A121=""),"",K121&amp;"|"&amp;L121)</f>
        <v/>
      </c>
      <c r="N121">
        <f>IF(M121="","",IF(ISNUMBER(B121),B121,IFERROR(_xlfn.NUMBERVALUE(B121,".",","),0)))</f>
        <v/>
      </c>
      <c r="O121">
        <f>IF(M121="","",IF(ISNUMBER(C121),C121,IFERROR(_xlfn.NUMBERVALUE(C121,".",","),0)))</f>
        <v/>
      </c>
    </row>
    <row r="122">
      <c r="K122">
        <f>IF(OR(LEFT(B122,9)="DOANH THU",LEFT(B122,8)="SỐ LƯỢNG"),A122,IF(A122="","",K121))</f>
        <v/>
      </c>
      <c r="L122">
        <f>IF(A122="","",IF(ISNUMBER(--LEFT(A122,FIND(" - ",A122&amp;" - ")-1)),LEFT(A122,FIND(" - ",A122&amp;" - ")-1),TRIM(A122)))</f>
        <v/>
      </c>
      <c r="M122">
        <f>IF(OR(K122="",K122=A122,A122=""),"",K122&amp;"|"&amp;L122)</f>
        <v/>
      </c>
      <c r="N122">
        <f>IF(M122="","",IF(ISNUMBER(B122),B122,IFERROR(_xlfn.NUMBERVALUE(B122,".",","),0)))</f>
        <v/>
      </c>
      <c r="O122">
        <f>IF(M122="","",IF(ISNUMBER(C122),C122,IFERROR(_xlfn.NUMBERVALUE(C122,".",","),0)))</f>
        <v/>
      </c>
    </row>
    <row r="123">
      <c r="K123">
        <f>IF(OR(LEFT(B123,9)="DOANH THU",LEFT(B123,8)="SỐ LƯỢNG"),A123,IF(A123="","",K122))</f>
        <v/>
      </c>
      <c r="L123">
        <f>IF(A123="","",IF(ISNUMBER(--LEFT(A123,FIND(" - ",A123&amp;" - ")-1)),LEFT(A123,FIND(" - ",A123&amp;" - ")-1),TRIM(A123)))</f>
        <v/>
      </c>
      <c r="M123">
        <f>IF(OR(K123="",K123=A123,A123=""),"",K123&amp;"|"&amp;L123)</f>
        <v/>
      </c>
      <c r="N123">
        <f>IF(M123="","",IF(ISNUMBER(B123),B123,IFERROR(_xlfn.NUMBERVALUE(B123,".",","),0)))</f>
        <v/>
      </c>
      <c r="O123">
        <f>IF(M123="","",IF(ISNUMBER(C123),C123,IFERROR(_xlfn.NUMBERVALUE(C123,".",","),0)))</f>
        <v/>
      </c>
    </row>
    <row r="124">
      <c r="K124">
        <f>IF(OR(LEFT(B124,9)="DOANH THU",LEFT(B124,8)="SỐ LƯỢNG"),A124,IF(A124="","",K123))</f>
        <v/>
      </c>
      <c r="L124">
        <f>IF(A124="","",IF(ISNUMBER(--LEFT(A124,FIND(" - ",A124&amp;" - ")-1)),LEFT(A124,FIND(" - ",A124&amp;" - ")-1),TRIM(A124)))</f>
        <v/>
      </c>
      <c r="M124">
        <f>IF(OR(K124="",K124=A124,A124=""),"",K124&amp;"|"&amp;L124)</f>
        <v/>
      </c>
      <c r="N124">
        <f>IF(M124="","",IF(ISNUMBER(B124),B124,IFERROR(_xlfn.NUMBERVALUE(B124,".",","),0)))</f>
        <v/>
      </c>
      <c r="O124">
        <f>IF(M124="","",IF(ISNUMBER(C124),C124,IFERROR(_xlfn.NUMBERVALUE(C124,".",","),0)))</f>
        <v/>
      </c>
    </row>
    <row r="125">
      <c r="K125">
        <f>IF(OR(LEFT(B125,9)="DOANH THU",LEFT(B125,8)="SỐ LƯỢNG"),A125,IF(A125="","",K124))</f>
        <v/>
      </c>
      <c r="L125">
        <f>IF(A125="","",IF(ISNUMBER(--LEFT(A125,FIND(" - ",A125&amp;" - ")-1)),LEFT(A125,FIND(" - ",A125&amp;" - ")-1),TRIM(A125)))</f>
        <v/>
      </c>
      <c r="M125">
        <f>IF(OR(K125="",K125=A125,A125=""),"",K125&amp;"|"&amp;L125)</f>
        <v/>
      </c>
      <c r="N125">
        <f>IF(M125="","",IF(ISNUMBER(B125),B125,IFERROR(_xlfn.NUMBERVALUE(B125,".",","),0)))</f>
        <v/>
      </c>
      <c r="O125">
        <f>IF(M125="","",IF(ISNUMBER(C125),C125,IFERROR(_xlfn.NUMBERVALUE(C125,".",","),0)))</f>
        <v/>
      </c>
    </row>
    <row r="126">
      <c r="K126">
        <f>IF(OR(LEFT(B126,9)="DOANH THU",LEFT(B126,8)="SỐ LƯỢNG"),A126,IF(A126="","",K125))</f>
        <v/>
      </c>
      <c r="L126">
        <f>IF(A126="","",IF(ISNUMBER(--LEFT(A126,FIND(" - ",A126&amp;" - ")-1)),LEFT(A126,FIND(" - ",A126&amp;" - ")-1),TRIM(A126)))</f>
        <v/>
      </c>
      <c r="M126">
        <f>IF(OR(K126="",K126=A126,A126=""),"",K126&amp;"|"&amp;L126)</f>
        <v/>
      </c>
      <c r="N126">
        <f>IF(M126="","",IF(ISNUMBER(B126),B126,IFERROR(_xlfn.NUMBERVALUE(B126,".",","),0)))</f>
        <v/>
      </c>
      <c r="O126">
        <f>IF(M126="","",IF(ISNUMBER(C126),C126,IFERROR(_xlfn.NUMBERVALUE(C126,".",","),0)))</f>
        <v/>
      </c>
    </row>
    <row r="127">
      <c r="K127">
        <f>IF(OR(LEFT(B127,9)="DOANH THU",LEFT(B127,8)="SỐ LƯỢNG"),A127,IF(A127="","",K126))</f>
        <v/>
      </c>
      <c r="L127">
        <f>IF(A127="","",IF(ISNUMBER(--LEFT(A127,FIND(" - ",A127&amp;" - ")-1)),LEFT(A127,FIND(" - ",A127&amp;" - ")-1),TRIM(A127)))</f>
        <v/>
      </c>
      <c r="M127">
        <f>IF(OR(K127="",K127=A127,A127=""),"",K127&amp;"|"&amp;L127)</f>
        <v/>
      </c>
      <c r="N127">
        <f>IF(M127="","",IF(ISNUMBER(B127),B127,IFERROR(_xlfn.NUMBERVALUE(B127,".",","),0)))</f>
        <v/>
      </c>
      <c r="O127">
        <f>IF(M127="","",IF(ISNUMBER(C127),C127,IFERROR(_xlfn.NUMBERVALUE(C127,".",","),0)))</f>
        <v/>
      </c>
    </row>
    <row r="128">
      <c r="K128">
        <f>IF(OR(LEFT(B128,9)="DOANH THU",LEFT(B128,8)="SỐ LƯỢNG"),A128,IF(A128="","",K127))</f>
        <v/>
      </c>
      <c r="L128">
        <f>IF(A128="","",IF(ISNUMBER(--LEFT(A128,FIND(" - ",A128&amp;" - ")-1)),LEFT(A128,FIND(" - ",A128&amp;" - ")-1),TRIM(A128)))</f>
        <v/>
      </c>
      <c r="M128">
        <f>IF(OR(K128="",K128=A128,A128=""),"",K128&amp;"|"&amp;L128)</f>
        <v/>
      </c>
      <c r="N128">
        <f>IF(M128="","",IF(ISNUMBER(B128),B128,IFERROR(_xlfn.NUMBERVALUE(B128,".",","),0)))</f>
        <v/>
      </c>
      <c r="O128">
        <f>IF(M128="","",IF(ISNUMBER(C128),C128,IFERROR(_xlfn.NUMBERVALUE(C128,".",","),0)))</f>
        <v/>
      </c>
    </row>
    <row r="129">
      <c r="K129">
        <f>IF(OR(LEFT(B129,9)="DOANH THU",LEFT(B129,8)="SỐ LƯỢNG"),A129,IF(A129="","",K128))</f>
        <v/>
      </c>
      <c r="L129">
        <f>IF(A129="","",IF(ISNUMBER(--LEFT(A129,FIND(" - ",A129&amp;" - ")-1)),LEFT(A129,FIND(" - ",A129&amp;" - ")-1),TRIM(A129)))</f>
        <v/>
      </c>
      <c r="M129">
        <f>IF(OR(K129="",K129=A129,A129=""),"",K129&amp;"|"&amp;L129)</f>
        <v/>
      </c>
      <c r="N129">
        <f>IF(M129="","",IF(ISNUMBER(B129),B129,IFERROR(_xlfn.NUMBERVALUE(B129,".",","),0)))</f>
        <v/>
      </c>
      <c r="O129">
        <f>IF(M129="","",IF(ISNUMBER(C129),C129,IFERROR(_xlfn.NUMBERVALUE(C129,".",","),0)))</f>
        <v/>
      </c>
    </row>
    <row r="130">
      <c r="K130">
        <f>IF(OR(LEFT(B130,9)="DOANH THU",LEFT(B130,8)="SỐ LƯỢNG"),A130,IF(A130="","",K129))</f>
        <v/>
      </c>
      <c r="L130">
        <f>IF(A130="","",IF(ISNUMBER(--LEFT(A130,FIND(" - ",A130&amp;" - ")-1)),LEFT(A130,FIND(" - ",A130&amp;" - ")-1),TRIM(A130)))</f>
        <v/>
      </c>
      <c r="M130">
        <f>IF(OR(K130="",K130=A130,A130=""),"",K130&amp;"|"&amp;L130)</f>
        <v/>
      </c>
      <c r="N130">
        <f>IF(M130="","",IF(ISNUMBER(B130),B130,IFERROR(_xlfn.NUMBERVALUE(B130,".",","),0)))</f>
        <v/>
      </c>
      <c r="O130">
        <f>IF(M130="","",IF(ISNUMBER(C130),C130,IFERROR(_xlfn.NUMBERVALUE(C130,".",","),0)))</f>
        <v/>
      </c>
    </row>
    <row r="131">
      <c r="K131">
        <f>IF(OR(LEFT(B131,9)="DOANH THU",LEFT(B131,8)="SỐ LƯỢNG"),A131,IF(A131="","",K130))</f>
        <v/>
      </c>
      <c r="L131">
        <f>IF(A131="","",IF(ISNUMBER(--LEFT(A131,FIND(" - ",A131&amp;" - ")-1)),LEFT(A131,FIND(" - ",A131&amp;" - ")-1),TRIM(A131)))</f>
        <v/>
      </c>
      <c r="M131">
        <f>IF(OR(K131="",K131=A131,A131=""),"",K131&amp;"|"&amp;L131)</f>
        <v/>
      </c>
      <c r="N131">
        <f>IF(M131="","",IF(ISNUMBER(B131),B131,IFERROR(_xlfn.NUMBERVALUE(B131,".",","),0)))</f>
        <v/>
      </c>
      <c r="O131">
        <f>IF(M131="","",IF(ISNUMBER(C131),C131,IFERROR(_xlfn.NUMBERVALUE(C131,".",","),0)))</f>
        <v/>
      </c>
    </row>
    <row r="132">
      <c r="K132">
        <f>IF(OR(LEFT(B132,9)="DOANH THU",LEFT(B132,8)="SỐ LƯỢNG"),A132,IF(A132="","",K131))</f>
        <v/>
      </c>
      <c r="L132">
        <f>IF(A132="","",IF(ISNUMBER(--LEFT(A132,FIND(" - ",A132&amp;" - ")-1)),LEFT(A132,FIND(" - ",A132&amp;" - ")-1),TRIM(A132)))</f>
        <v/>
      </c>
      <c r="M132">
        <f>IF(OR(K132="",K132=A132,A132=""),"",K132&amp;"|"&amp;L132)</f>
        <v/>
      </c>
      <c r="N132">
        <f>IF(M132="","",IF(ISNUMBER(B132),B132,IFERROR(_xlfn.NUMBERVALUE(B132,".",","),0)))</f>
        <v/>
      </c>
      <c r="O132">
        <f>IF(M132="","",IF(ISNUMBER(C132),C132,IFERROR(_xlfn.NUMBERVALUE(C132,".",","),0)))</f>
        <v/>
      </c>
    </row>
    <row r="133">
      <c r="K133">
        <f>IF(OR(LEFT(B133,9)="DOANH THU",LEFT(B133,8)="SỐ LƯỢNG"),A133,IF(A133="","",K132))</f>
        <v/>
      </c>
      <c r="L133">
        <f>IF(A133="","",IF(ISNUMBER(--LEFT(A133,FIND(" - ",A133&amp;" - ")-1)),LEFT(A133,FIND(" - ",A133&amp;" - ")-1),TRIM(A133)))</f>
        <v/>
      </c>
      <c r="M133">
        <f>IF(OR(K133="",K133=A133,A133=""),"",K133&amp;"|"&amp;L133)</f>
        <v/>
      </c>
      <c r="N133">
        <f>IF(M133="","",IF(ISNUMBER(B133),B133,IFERROR(_xlfn.NUMBERVALUE(B133,".",","),0)))</f>
        <v/>
      </c>
      <c r="O133">
        <f>IF(M133="","",IF(ISNUMBER(C133),C133,IFERROR(_xlfn.NUMBERVALUE(C133,".",","),0)))</f>
        <v/>
      </c>
    </row>
    <row r="134">
      <c r="K134">
        <f>IF(OR(LEFT(B134,9)="DOANH THU",LEFT(B134,8)="SỐ LƯỢNG"),A134,IF(A134="","",K133))</f>
        <v/>
      </c>
      <c r="L134">
        <f>IF(A134="","",IF(ISNUMBER(--LEFT(A134,FIND(" - ",A134&amp;" - ")-1)),LEFT(A134,FIND(" - ",A134&amp;" - ")-1),TRIM(A134)))</f>
        <v/>
      </c>
      <c r="M134">
        <f>IF(OR(K134="",K134=A134,A134=""),"",K134&amp;"|"&amp;L134)</f>
        <v/>
      </c>
      <c r="N134">
        <f>IF(M134="","",IF(ISNUMBER(B134),B134,IFERROR(_xlfn.NUMBERVALUE(B134,".",","),0)))</f>
        <v/>
      </c>
      <c r="O134">
        <f>IF(M134="","",IF(ISNUMBER(C134),C134,IFERROR(_xlfn.NUMBERVALUE(C134,".",","),0)))</f>
        <v/>
      </c>
    </row>
    <row r="135">
      <c r="K135">
        <f>IF(OR(LEFT(B135,9)="DOANH THU",LEFT(B135,8)="SỐ LƯỢNG"),A135,IF(A135="","",K134))</f>
        <v/>
      </c>
      <c r="L135">
        <f>IF(A135="","",IF(ISNUMBER(--LEFT(A135,FIND(" - ",A135&amp;" - ")-1)),LEFT(A135,FIND(" - ",A135&amp;" - ")-1),TRIM(A135)))</f>
        <v/>
      </c>
      <c r="M135">
        <f>IF(OR(K135="",K135=A135,A135=""),"",K135&amp;"|"&amp;L135)</f>
        <v/>
      </c>
      <c r="N135">
        <f>IF(M135="","",IF(ISNUMBER(B135),B135,IFERROR(_xlfn.NUMBERVALUE(B135,".",","),0)))</f>
        <v/>
      </c>
      <c r="O135">
        <f>IF(M135="","",IF(ISNUMBER(C135),C135,IFERROR(_xlfn.NUMBERVALUE(C135,".",","),0)))</f>
        <v/>
      </c>
    </row>
    <row r="136">
      <c r="K136">
        <f>IF(OR(LEFT(B136,9)="DOANH THU",LEFT(B136,8)="SỐ LƯỢNG"),A136,IF(A136="","",K135))</f>
        <v/>
      </c>
      <c r="L136">
        <f>IF(A136="","",IF(ISNUMBER(--LEFT(A136,FIND(" - ",A136&amp;" - ")-1)),LEFT(A136,FIND(" - ",A136&amp;" - ")-1),TRIM(A136)))</f>
        <v/>
      </c>
      <c r="M136">
        <f>IF(OR(K136="",K136=A136,A136=""),"",K136&amp;"|"&amp;L136)</f>
        <v/>
      </c>
      <c r="N136">
        <f>IF(M136="","",IF(ISNUMBER(B136),B136,IFERROR(_xlfn.NUMBERVALUE(B136,".",","),0)))</f>
        <v/>
      </c>
      <c r="O136">
        <f>IF(M136="","",IF(ISNUMBER(C136),C136,IFERROR(_xlfn.NUMBERVALUE(C136,".",","),0)))</f>
        <v/>
      </c>
    </row>
    <row r="137">
      <c r="K137">
        <f>IF(OR(LEFT(B137,9)="DOANH THU",LEFT(B137,8)="SỐ LƯỢNG"),A137,IF(A137="","",K136))</f>
        <v/>
      </c>
      <c r="L137">
        <f>IF(A137="","",IF(ISNUMBER(--LEFT(A137,FIND(" - ",A137&amp;" - ")-1)),LEFT(A137,FIND(" - ",A137&amp;" - ")-1),TRIM(A137)))</f>
        <v/>
      </c>
      <c r="M137">
        <f>IF(OR(K137="",K137=A137,A137=""),"",K137&amp;"|"&amp;L137)</f>
        <v/>
      </c>
      <c r="N137">
        <f>IF(M137="","",IF(ISNUMBER(B137),B137,IFERROR(_xlfn.NUMBERVALUE(B137,".",","),0)))</f>
        <v/>
      </c>
      <c r="O137">
        <f>IF(M137="","",IF(ISNUMBER(C137),C137,IFERROR(_xlfn.NUMBERVALUE(C137,".",","),0)))</f>
        <v/>
      </c>
    </row>
    <row r="138">
      <c r="K138">
        <f>IF(OR(LEFT(B138,9)="DOANH THU",LEFT(B138,8)="SỐ LƯỢNG"),A138,IF(A138="","",K137))</f>
        <v/>
      </c>
      <c r="L138">
        <f>IF(A138="","",IF(ISNUMBER(--LEFT(A138,FIND(" - ",A138&amp;" - ")-1)),LEFT(A138,FIND(" - ",A138&amp;" - ")-1),TRIM(A138)))</f>
        <v/>
      </c>
      <c r="M138">
        <f>IF(OR(K138="",K138=A138,A138=""),"",K138&amp;"|"&amp;L138)</f>
        <v/>
      </c>
      <c r="N138">
        <f>IF(M138="","",IF(ISNUMBER(B138),B138,IFERROR(_xlfn.NUMBERVALUE(B138,".",","),0)))</f>
        <v/>
      </c>
      <c r="O138">
        <f>IF(M138="","",IF(ISNUMBER(C138),C138,IFERROR(_xlfn.NUMBERVALUE(C138,".",","),0)))</f>
        <v/>
      </c>
    </row>
    <row r="139">
      <c r="K139">
        <f>IF(OR(LEFT(B139,9)="DOANH THU",LEFT(B139,8)="SỐ LƯỢNG"),A139,IF(A139="","",K138))</f>
        <v/>
      </c>
      <c r="L139">
        <f>IF(A139="","",IF(ISNUMBER(--LEFT(A139,FIND(" - ",A139&amp;" - ")-1)),LEFT(A139,FIND(" - ",A139&amp;" - ")-1),TRIM(A139)))</f>
        <v/>
      </c>
      <c r="M139">
        <f>IF(OR(K139="",K139=A139,A139=""),"",K139&amp;"|"&amp;L139)</f>
        <v/>
      </c>
      <c r="N139">
        <f>IF(M139="","",IF(ISNUMBER(B139),B139,IFERROR(_xlfn.NUMBERVALUE(B139,".",","),0)))</f>
        <v/>
      </c>
      <c r="O139">
        <f>IF(M139="","",IF(ISNUMBER(C139),C139,IFERROR(_xlfn.NUMBERVALUE(C139,".",","),0)))</f>
        <v/>
      </c>
    </row>
    <row r="140">
      <c r="K140">
        <f>IF(OR(LEFT(B140,9)="DOANH THU",LEFT(B140,8)="SỐ LƯỢNG"),A140,IF(A140="","",K139))</f>
        <v/>
      </c>
      <c r="L140">
        <f>IF(A140="","",IF(ISNUMBER(--LEFT(A140,FIND(" - ",A140&amp;" - ")-1)),LEFT(A140,FIND(" - ",A140&amp;" - ")-1),TRIM(A140)))</f>
        <v/>
      </c>
      <c r="M140">
        <f>IF(OR(K140="",K140=A140,A140=""),"",K140&amp;"|"&amp;L140)</f>
        <v/>
      </c>
      <c r="N140">
        <f>IF(M140="","",IF(ISNUMBER(B140),B140,IFERROR(_xlfn.NUMBERVALUE(B140,".",","),0)))</f>
        <v/>
      </c>
      <c r="O140">
        <f>IF(M140="","",IF(ISNUMBER(C140),C140,IFERROR(_xlfn.NUMBERVALUE(C140,".",","),0)))</f>
        <v/>
      </c>
    </row>
    <row r="141">
      <c r="K141">
        <f>IF(OR(LEFT(B141,9)="DOANH THU",LEFT(B141,8)="SỐ LƯỢNG"),A141,IF(A141="","",K140))</f>
        <v/>
      </c>
      <c r="L141">
        <f>IF(A141="","",IF(ISNUMBER(--LEFT(A141,FIND(" - ",A141&amp;" - ")-1)),LEFT(A141,FIND(" - ",A141&amp;" - ")-1),TRIM(A141)))</f>
        <v/>
      </c>
      <c r="M141">
        <f>IF(OR(K141="",K141=A141,A141=""),"",K141&amp;"|"&amp;L141)</f>
        <v/>
      </c>
      <c r="N141">
        <f>IF(M141="","",IF(ISNUMBER(B141),B141,IFERROR(_xlfn.NUMBERVALUE(B141,".",","),0)))</f>
        <v/>
      </c>
      <c r="O141">
        <f>IF(M141="","",IF(ISNUMBER(C141),C141,IFERROR(_xlfn.NUMBERVALUE(C141,".",","),0)))</f>
        <v/>
      </c>
    </row>
    <row r="142">
      <c r="K142">
        <f>IF(OR(LEFT(B142,9)="DOANH THU",LEFT(B142,8)="SỐ LƯỢNG"),A142,IF(A142="","",K141))</f>
        <v/>
      </c>
      <c r="L142">
        <f>IF(A142="","",IF(ISNUMBER(--LEFT(A142,FIND(" - ",A142&amp;" - ")-1)),LEFT(A142,FIND(" - ",A142&amp;" - ")-1),TRIM(A142)))</f>
        <v/>
      </c>
      <c r="M142">
        <f>IF(OR(K142="",K142=A142,A142=""),"",K142&amp;"|"&amp;L142)</f>
        <v/>
      </c>
      <c r="N142">
        <f>IF(M142="","",IF(ISNUMBER(B142),B142,IFERROR(_xlfn.NUMBERVALUE(B142,".",","),0)))</f>
        <v/>
      </c>
      <c r="O142">
        <f>IF(M142="","",IF(ISNUMBER(C142),C142,IFERROR(_xlfn.NUMBERVALUE(C142,".",","),0)))</f>
        <v/>
      </c>
    </row>
    <row r="143">
      <c r="K143">
        <f>IF(OR(LEFT(B143,9)="DOANH THU",LEFT(B143,8)="SỐ LƯỢNG"),A143,IF(A143="","",K142))</f>
        <v/>
      </c>
      <c r="L143">
        <f>IF(A143="","",IF(ISNUMBER(--LEFT(A143,FIND(" - ",A143&amp;" - ")-1)),LEFT(A143,FIND(" - ",A143&amp;" - ")-1),TRIM(A143)))</f>
        <v/>
      </c>
      <c r="M143">
        <f>IF(OR(K143="",K143=A143,A143=""),"",K143&amp;"|"&amp;L143)</f>
        <v/>
      </c>
      <c r="N143">
        <f>IF(M143="","",IF(ISNUMBER(B143),B143,IFERROR(_xlfn.NUMBERVALUE(B143,".",","),0)))</f>
        <v/>
      </c>
      <c r="O143">
        <f>IF(M143="","",IF(ISNUMBER(C143),C143,IFERROR(_xlfn.NUMBERVALUE(C143,".",","),0)))</f>
        <v/>
      </c>
    </row>
    <row r="144">
      <c r="K144">
        <f>IF(OR(LEFT(B144,9)="DOANH THU",LEFT(B144,8)="SỐ LƯỢNG"),A144,IF(A144="","",K143))</f>
        <v/>
      </c>
      <c r="L144">
        <f>IF(A144="","",IF(ISNUMBER(--LEFT(A144,FIND(" - ",A144&amp;" - ")-1)),LEFT(A144,FIND(" - ",A144&amp;" - ")-1),TRIM(A144)))</f>
        <v/>
      </c>
      <c r="M144">
        <f>IF(OR(K144="",K144=A144,A144=""),"",K144&amp;"|"&amp;L144)</f>
        <v/>
      </c>
      <c r="N144">
        <f>IF(M144="","",IF(ISNUMBER(B144),B144,IFERROR(_xlfn.NUMBERVALUE(B144,".",","),0)))</f>
        <v/>
      </c>
      <c r="O144">
        <f>IF(M144="","",IF(ISNUMBER(C144),C144,IFERROR(_xlfn.NUMBERVALUE(C144,".",","),0)))</f>
        <v/>
      </c>
    </row>
    <row r="145">
      <c r="K145">
        <f>IF(OR(LEFT(B145,9)="DOANH THU",LEFT(B145,8)="SỐ LƯỢNG"),A145,IF(A145="","",K144))</f>
        <v/>
      </c>
      <c r="L145">
        <f>IF(A145="","",IF(ISNUMBER(--LEFT(A145,FIND(" - ",A145&amp;" - ")-1)),LEFT(A145,FIND(" - ",A145&amp;" - ")-1),TRIM(A145)))</f>
        <v/>
      </c>
      <c r="M145">
        <f>IF(OR(K145="",K145=A145,A145=""),"",K145&amp;"|"&amp;L145)</f>
        <v/>
      </c>
      <c r="N145">
        <f>IF(M145="","",IF(ISNUMBER(B145),B145,IFERROR(_xlfn.NUMBERVALUE(B145,".",","),0)))</f>
        <v/>
      </c>
      <c r="O145">
        <f>IF(M145="","",IF(ISNUMBER(C145),C145,IFERROR(_xlfn.NUMBERVALUE(C145,".",","),0)))</f>
        <v/>
      </c>
    </row>
    <row r="146">
      <c r="K146">
        <f>IF(OR(LEFT(B146,9)="DOANH THU",LEFT(B146,8)="SỐ LƯỢNG"),A146,IF(A146="","",K145))</f>
        <v/>
      </c>
      <c r="L146">
        <f>IF(A146="","",IF(ISNUMBER(--LEFT(A146,FIND(" - ",A146&amp;" - ")-1)),LEFT(A146,FIND(" - ",A146&amp;" - ")-1),TRIM(A146)))</f>
        <v/>
      </c>
      <c r="M146">
        <f>IF(OR(K146="",K146=A146,A146=""),"",K146&amp;"|"&amp;L146)</f>
        <v/>
      </c>
      <c r="N146">
        <f>IF(M146="","",IF(ISNUMBER(B146),B146,IFERROR(_xlfn.NUMBERVALUE(B146,".",","),0)))</f>
        <v/>
      </c>
      <c r="O146">
        <f>IF(M146="","",IF(ISNUMBER(C146),C146,IFERROR(_xlfn.NUMBERVALUE(C146,".",","),0)))</f>
        <v/>
      </c>
    </row>
    <row r="147">
      <c r="K147">
        <f>IF(OR(LEFT(B147,9)="DOANH THU",LEFT(B147,8)="SỐ LƯỢNG"),A147,IF(A147="","",K146))</f>
        <v/>
      </c>
      <c r="L147">
        <f>IF(A147="","",IF(ISNUMBER(--LEFT(A147,FIND(" - ",A147&amp;" - ")-1)),LEFT(A147,FIND(" - ",A147&amp;" - ")-1),TRIM(A147)))</f>
        <v/>
      </c>
      <c r="M147">
        <f>IF(OR(K147="",K147=A147,A147=""),"",K147&amp;"|"&amp;L147)</f>
        <v/>
      </c>
      <c r="N147">
        <f>IF(M147="","",IF(ISNUMBER(B147),B147,IFERROR(_xlfn.NUMBERVALUE(B147,".",","),0)))</f>
        <v/>
      </c>
      <c r="O147">
        <f>IF(M147="","",IF(ISNUMBER(C147),C147,IFERROR(_xlfn.NUMBERVALUE(C147,".",","),0)))</f>
        <v/>
      </c>
    </row>
    <row r="148">
      <c r="K148">
        <f>IF(OR(LEFT(B148,9)="DOANH THU",LEFT(B148,8)="SỐ LƯỢNG"),A148,IF(A148="","",K147))</f>
        <v/>
      </c>
      <c r="L148">
        <f>IF(A148="","",IF(ISNUMBER(--LEFT(A148,FIND(" - ",A148&amp;" - ")-1)),LEFT(A148,FIND(" - ",A148&amp;" - ")-1),TRIM(A148)))</f>
        <v/>
      </c>
      <c r="M148">
        <f>IF(OR(K148="",K148=A148,A148=""),"",K148&amp;"|"&amp;L148)</f>
        <v/>
      </c>
      <c r="N148">
        <f>IF(M148="","",IF(ISNUMBER(B148),B148,IFERROR(_xlfn.NUMBERVALUE(B148,".",","),0)))</f>
        <v/>
      </c>
      <c r="O148">
        <f>IF(M148="","",IF(ISNUMBER(C148),C148,IFERROR(_xlfn.NUMBERVALUE(C148,".",","),0)))</f>
        <v/>
      </c>
    </row>
    <row r="149">
      <c r="K149">
        <f>IF(OR(LEFT(B149,9)="DOANH THU",LEFT(B149,8)="SỐ LƯỢNG"),A149,IF(A149="","",K148))</f>
        <v/>
      </c>
      <c r="L149">
        <f>IF(A149="","",IF(ISNUMBER(--LEFT(A149,FIND(" - ",A149&amp;" - ")-1)),LEFT(A149,FIND(" - ",A149&amp;" - ")-1),TRIM(A149)))</f>
        <v/>
      </c>
      <c r="M149">
        <f>IF(OR(K149="",K149=A149,A149=""),"",K149&amp;"|"&amp;L149)</f>
        <v/>
      </c>
      <c r="N149">
        <f>IF(M149="","",IF(ISNUMBER(B149),B149,IFERROR(_xlfn.NUMBERVALUE(B149,".",","),0)))</f>
        <v/>
      </c>
      <c r="O149">
        <f>IF(M149="","",IF(ISNUMBER(C149),C149,IFERROR(_xlfn.NUMBERVALUE(C149,".",","),0)))</f>
        <v/>
      </c>
    </row>
    <row r="150">
      <c r="K150">
        <f>IF(OR(LEFT(B150,9)="DOANH THU",LEFT(B150,8)="SỐ LƯỢNG"),A150,IF(A150="","",K149))</f>
        <v/>
      </c>
      <c r="L150">
        <f>IF(A150="","",IF(ISNUMBER(--LEFT(A150,FIND(" - ",A150&amp;" - ")-1)),LEFT(A150,FIND(" - ",A150&amp;" - ")-1),TRIM(A150)))</f>
        <v/>
      </c>
      <c r="M150">
        <f>IF(OR(K150="",K150=A150,A150=""),"",K150&amp;"|"&amp;L150)</f>
        <v/>
      </c>
      <c r="N150">
        <f>IF(M150="","",IF(ISNUMBER(B150),B150,IFERROR(_xlfn.NUMBERVALUE(B150,".",","),0)))</f>
        <v/>
      </c>
      <c r="O150">
        <f>IF(M150="","",IF(ISNUMBER(C150),C150,IFERROR(_xlfn.NUMBERVALUE(C150,".",","),0)))</f>
        <v/>
      </c>
    </row>
    <row r="151">
      <c r="K151">
        <f>IF(OR(LEFT(B151,9)="DOANH THU",LEFT(B151,8)="SỐ LƯỢNG"),A151,IF(A151="","",K150))</f>
        <v/>
      </c>
      <c r="L151">
        <f>IF(A151="","",IF(ISNUMBER(--LEFT(A151,FIND(" - ",A151&amp;" - ")-1)),LEFT(A151,FIND(" - ",A151&amp;" - ")-1),TRIM(A151)))</f>
        <v/>
      </c>
      <c r="M151">
        <f>IF(OR(K151="",K151=A151,A151=""),"",K151&amp;"|"&amp;L151)</f>
        <v/>
      </c>
      <c r="N151">
        <f>IF(M151="","",IF(ISNUMBER(B151),B151,IFERROR(_xlfn.NUMBERVALUE(B151,".",","),0)))</f>
        <v/>
      </c>
      <c r="O151">
        <f>IF(M151="","",IF(ISNUMBER(C151),C151,IFERROR(_xlfn.NUMBERVALUE(C151,".",","),0)))</f>
        <v/>
      </c>
    </row>
    <row r="152">
      <c r="K152">
        <f>IF(OR(LEFT(B152,9)="DOANH THU",LEFT(B152,8)="SỐ LƯỢNG"),A152,IF(A152="","",K151))</f>
        <v/>
      </c>
      <c r="L152">
        <f>IF(A152="","",IF(ISNUMBER(--LEFT(A152,FIND(" - ",A152&amp;" - ")-1)),LEFT(A152,FIND(" - ",A152&amp;" - ")-1),TRIM(A152)))</f>
        <v/>
      </c>
      <c r="M152">
        <f>IF(OR(K152="",K152=A152,A152=""),"",K152&amp;"|"&amp;L152)</f>
        <v/>
      </c>
      <c r="N152">
        <f>IF(M152="","",IF(ISNUMBER(B152),B152,IFERROR(_xlfn.NUMBERVALUE(B152,".",","),0)))</f>
        <v/>
      </c>
      <c r="O152">
        <f>IF(M152="","",IF(ISNUMBER(C152),C152,IFERROR(_xlfn.NUMBERVALUE(C152,".",","),0)))</f>
        <v/>
      </c>
    </row>
    <row r="153">
      <c r="K153">
        <f>IF(OR(LEFT(B153,9)="DOANH THU",LEFT(B153,8)="SỐ LƯỢNG"),A153,IF(A153="","",K152))</f>
        <v/>
      </c>
      <c r="L153">
        <f>IF(A153="","",IF(ISNUMBER(--LEFT(A153,FIND(" - ",A153&amp;" - ")-1)),LEFT(A153,FIND(" - ",A153&amp;" - ")-1),TRIM(A153)))</f>
        <v/>
      </c>
      <c r="M153">
        <f>IF(OR(K153="",K153=A153,A153=""),"",K153&amp;"|"&amp;L153)</f>
        <v/>
      </c>
      <c r="N153">
        <f>IF(M153="","",IF(ISNUMBER(B153),B153,IFERROR(_xlfn.NUMBERVALUE(B153,".",","),0)))</f>
        <v/>
      </c>
      <c r="O153">
        <f>IF(M153="","",IF(ISNUMBER(C153),C153,IFERROR(_xlfn.NUMBERVALUE(C153,".",","),0)))</f>
        <v/>
      </c>
    </row>
    <row r="154">
      <c r="K154">
        <f>IF(OR(LEFT(B154,9)="DOANH THU",LEFT(B154,8)="SỐ LƯỢNG"),A154,IF(A154="","",K153))</f>
        <v/>
      </c>
      <c r="L154">
        <f>IF(A154="","",IF(ISNUMBER(--LEFT(A154,FIND(" - ",A154&amp;" - ")-1)),LEFT(A154,FIND(" - ",A154&amp;" - ")-1),TRIM(A154)))</f>
        <v/>
      </c>
      <c r="M154">
        <f>IF(OR(K154="",K154=A154,A154=""),"",K154&amp;"|"&amp;L154)</f>
        <v/>
      </c>
      <c r="N154">
        <f>IF(M154="","",IF(ISNUMBER(B154),B154,IFERROR(_xlfn.NUMBERVALUE(B154,".",","),0)))</f>
        <v/>
      </c>
      <c r="O154">
        <f>IF(M154="","",IF(ISNUMBER(C154),C154,IFERROR(_xlfn.NUMBERVALUE(C154,".",","),0)))</f>
        <v/>
      </c>
    </row>
    <row r="155">
      <c r="K155">
        <f>IF(OR(LEFT(B155,9)="DOANH THU",LEFT(B155,8)="SỐ LƯỢNG"),A155,IF(A155="","",K154))</f>
        <v/>
      </c>
      <c r="L155">
        <f>IF(A155="","",IF(ISNUMBER(--LEFT(A155,FIND(" - ",A155&amp;" - ")-1)),LEFT(A155,FIND(" - ",A155&amp;" - ")-1),TRIM(A155)))</f>
        <v/>
      </c>
      <c r="M155">
        <f>IF(OR(K155="",K155=A155,A155=""),"",K155&amp;"|"&amp;L155)</f>
        <v/>
      </c>
      <c r="N155">
        <f>IF(M155="","",IF(ISNUMBER(B155),B155,IFERROR(_xlfn.NUMBERVALUE(B155,".",","),0)))</f>
        <v/>
      </c>
      <c r="O155">
        <f>IF(M155="","",IF(ISNUMBER(C155),C155,IFERROR(_xlfn.NUMBERVALUE(C155,".",","),0)))</f>
        <v/>
      </c>
    </row>
    <row r="156">
      <c r="K156">
        <f>IF(OR(LEFT(B156,9)="DOANH THU",LEFT(B156,8)="SỐ LƯỢNG"),A156,IF(A156="","",K155))</f>
        <v/>
      </c>
      <c r="L156">
        <f>IF(A156="","",IF(ISNUMBER(--LEFT(A156,FIND(" - ",A156&amp;" - ")-1)),LEFT(A156,FIND(" - ",A156&amp;" - ")-1),TRIM(A156)))</f>
        <v/>
      </c>
      <c r="M156">
        <f>IF(OR(K156="",K156=A156,A156=""),"",K156&amp;"|"&amp;L156)</f>
        <v/>
      </c>
      <c r="N156">
        <f>IF(M156="","",IF(ISNUMBER(B156),B156,IFERROR(_xlfn.NUMBERVALUE(B156,".",","),0)))</f>
        <v/>
      </c>
      <c r="O156">
        <f>IF(M156="","",IF(ISNUMBER(C156),C156,IFERROR(_xlfn.NUMBERVALUE(C156,".",","),0)))</f>
        <v/>
      </c>
    </row>
    <row r="157">
      <c r="K157">
        <f>IF(OR(LEFT(B157,9)="DOANH THU",LEFT(B157,8)="SỐ LƯỢNG"),A157,IF(A157="","",K156))</f>
        <v/>
      </c>
      <c r="L157">
        <f>IF(A157="","",IF(ISNUMBER(--LEFT(A157,FIND(" - ",A157&amp;" - ")-1)),LEFT(A157,FIND(" - ",A157&amp;" - ")-1),TRIM(A157)))</f>
        <v/>
      </c>
      <c r="M157">
        <f>IF(OR(K157="",K157=A157,A157=""),"",K157&amp;"|"&amp;L157)</f>
        <v/>
      </c>
      <c r="N157">
        <f>IF(M157="","",IF(ISNUMBER(B157),B157,IFERROR(_xlfn.NUMBERVALUE(B157,".",","),0)))</f>
        <v/>
      </c>
      <c r="O157">
        <f>IF(M157="","",IF(ISNUMBER(C157),C157,IFERROR(_xlfn.NUMBERVALUE(C157,".",","),0)))</f>
        <v/>
      </c>
    </row>
    <row r="158">
      <c r="K158">
        <f>IF(OR(LEFT(B158,9)="DOANH THU",LEFT(B158,8)="SỐ LƯỢNG"),A158,IF(A158="","",K157))</f>
        <v/>
      </c>
      <c r="L158">
        <f>IF(A158="","",IF(ISNUMBER(--LEFT(A158,FIND(" - ",A158&amp;" - ")-1)),LEFT(A158,FIND(" - ",A158&amp;" - ")-1),TRIM(A158)))</f>
        <v/>
      </c>
      <c r="M158">
        <f>IF(OR(K158="",K158=A158,A158=""),"",K158&amp;"|"&amp;L158)</f>
        <v/>
      </c>
      <c r="N158">
        <f>IF(M158="","",IF(ISNUMBER(B158),B158,IFERROR(_xlfn.NUMBERVALUE(B158,".",","),0)))</f>
        <v/>
      </c>
      <c r="O158">
        <f>IF(M158="","",IF(ISNUMBER(C158),C158,IFERROR(_xlfn.NUMBERVALUE(C158,".",","),0)))</f>
        <v/>
      </c>
    </row>
    <row r="159">
      <c r="K159">
        <f>IF(OR(LEFT(B159,9)="DOANH THU",LEFT(B159,8)="SỐ LƯỢNG"),A159,IF(A159="","",K158))</f>
        <v/>
      </c>
      <c r="L159">
        <f>IF(A159="","",IF(ISNUMBER(--LEFT(A159,FIND(" - ",A159&amp;" - ")-1)),LEFT(A159,FIND(" - ",A159&amp;" - ")-1),TRIM(A159)))</f>
        <v/>
      </c>
      <c r="M159">
        <f>IF(OR(K159="",K159=A159,A159=""),"",K159&amp;"|"&amp;L159)</f>
        <v/>
      </c>
      <c r="N159">
        <f>IF(M159="","",IF(ISNUMBER(B159),B159,IFERROR(_xlfn.NUMBERVALUE(B159,".",","),0)))</f>
        <v/>
      </c>
      <c r="O159">
        <f>IF(M159="","",IF(ISNUMBER(C159),C159,IFERROR(_xlfn.NUMBERVALUE(C159,".",","),0)))</f>
        <v/>
      </c>
    </row>
    <row r="160">
      <c r="K160">
        <f>IF(OR(LEFT(B160,9)="DOANH THU",LEFT(B160,8)="SỐ LƯỢNG"),A160,IF(A160="","",K159))</f>
        <v/>
      </c>
      <c r="L160">
        <f>IF(A160="","",IF(ISNUMBER(--LEFT(A160,FIND(" - ",A160&amp;" - ")-1)),LEFT(A160,FIND(" - ",A160&amp;" - ")-1),TRIM(A160)))</f>
        <v/>
      </c>
      <c r="M160">
        <f>IF(OR(K160="",K160=A160,A160=""),"",K160&amp;"|"&amp;L160)</f>
        <v/>
      </c>
      <c r="N160">
        <f>IF(M160="","",IF(ISNUMBER(B160),B160,IFERROR(_xlfn.NUMBERVALUE(B160,".",","),0)))</f>
        <v/>
      </c>
      <c r="O160">
        <f>IF(M160="","",IF(ISNUMBER(C160),C160,IFERROR(_xlfn.NUMBERVALUE(C160,".",","),0)))</f>
        <v/>
      </c>
    </row>
    <row r="161">
      <c r="K161">
        <f>IF(OR(LEFT(B161,9)="DOANH THU",LEFT(B161,8)="SỐ LƯỢNG"),A161,IF(A161="","",K160))</f>
        <v/>
      </c>
      <c r="L161">
        <f>IF(A161="","",IF(ISNUMBER(--LEFT(A161,FIND(" - ",A161&amp;" - ")-1)),LEFT(A161,FIND(" - ",A161&amp;" - ")-1),TRIM(A161)))</f>
        <v/>
      </c>
      <c r="M161">
        <f>IF(OR(K161="",K161=A161,A161=""),"",K161&amp;"|"&amp;L161)</f>
        <v/>
      </c>
      <c r="N161">
        <f>IF(M161="","",IF(ISNUMBER(B161),B161,IFERROR(_xlfn.NUMBERVALUE(B161,".",","),0)))</f>
        <v/>
      </c>
      <c r="O161">
        <f>IF(M161="","",IF(ISNUMBER(C161),C161,IFERROR(_xlfn.NUMBERVALUE(C161,".",","),0)))</f>
        <v/>
      </c>
    </row>
    <row r="162">
      <c r="K162">
        <f>IF(OR(LEFT(B162,9)="DOANH THU",LEFT(B162,8)="SỐ LƯỢNG"),A162,IF(A162="","",K161))</f>
        <v/>
      </c>
      <c r="L162">
        <f>IF(A162="","",IF(ISNUMBER(--LEFT(A162,FIND(" - ",A162&amp;" - ")-1)),LEFT(A162,FIND(" - ",A162&amp;" - ")-1),TRIM(A162)))</f>
        <v/>
      </c>
      <c r="M162">
        <f>IF(OR(K162="",K162=A162,A162=""),"",K162&amp;"|"&amp;L162)</f>
        <v/>
      </c>
      <c r="N162">
        <f>IF(M162="","",IF(ISNUMBER(B162),B162,IFERROR(_xlfn.NUMBERVALUE(B162,".",","),0)))</f>
        <v/>
      </c>
      <c r="O162">
        <f>IF(M162="","",IF(ISNUMBER(C162),C162,IFERROR(_xlfn.NUMBERVALUE(C162,".",","),0)))</f>
        <v/>
      </c>
    </row>
    <row r="163">
      <c r="K163">
        <f>IF(OR(LEFT(B163,9)="DOANH THU",LEFT(B163,8)="SỐ LƯỢNG"),A163,IF(A163="","",K162))</f>
        <v/>
      </c>
      <c r="L163">
        <f>IF(A163="","",IF(ISNUMBER(--LEFT(A163,FIND(" - ",A163&amp;" - ")-1)),LEFT(A163,FIND(" - ",A163&amp;" - ")-1),TRIM(A163)))</f>
        <v/>
      </c>
      <c r="M163">
        <f>IF(OR(K163="",K163=A163,A163=""),"",K163&amp;"|"&amp;L163)</f>
        <v/>
      </c>
      <c r="N163">
        <f>IF(M163="","",IF(ISNUMBER(B163),B163,IFERROR(_xlfn.NUMBERVALUE(B163,".",","),0)))</f>
        <v/>
      </c>
      <c r="O163">
        <f>IF(M163="","",IF(ISNUMBER(C163),C163,IFERROR(_xlfn.NUMBERVALUE(C163,".",","),0)))</f>
        <v/>
      </c>
    </row>
    <row r="164">
      <c r="K164">
        <f>IF(OR(LEFT(B164,9)="DOANH THU",LEFT(B164,8)="SỐ LƯỢNG"),A164,IF(A164="","",K163))</f>
        <v/>
      </c>
      <c r="L164">
        <f>IF(A164="","",IF(ISNUMBER(--LEFT(A164,FIND(" - ",A164&amp;" - ")-1)),LEFT(A164,FIND(" - ",A164&amp;" - ")-1),TRIM(A164)))</f>
        <v/>
      </c>
      <c r="M164">
        <f>IF(OR(K164="",K164=A164,A164=""),"",K164&amp;"|"&amp;L164)</f>
        <v/>
      </c>
      <c r="N164">
        <f>IF(M164="","",IF(ISNUMBER(B164),B164,IFERROR(_xlfn.NUMBERVALUE(B164,".",","),0)))</f>
        <v/>
      </c>
      <c r="O164">
        <f>IF(M164="","",IF(ISNUMBER(C164),C164,IFERROR(_xlfn.NUMBERVALUE(C164,".",","),0)))</f>
        <v/>
      </c>
    </row>
    <row r="165">
      <c r="K165">
        <f>IF(OR(LEFT(B165,9)="DOANH THU",LEFT(B165,8)="SỐ LƯỢNG"),A165,IF(A165="","",K164))</f>
        <v/>
      </c>
      <c r="L165">
        <f>IF(A165="","",IF(ISNUMBER(--LEFT(A165,FIND(" - ",A165&amp;" - ")-1)),LEFT(A165,FIND(" - ",A165&amp;" - ")-1),TRIM(A165)))</f>
        <v/>
      </c>
      <c r="M165">
        <f>IF(OR(K165="",K165=A165,A165=""),"",K165&amp;"|"&amp;L165)</f>
        <v/>
      </c>
      <c r="N165">
        <f>IF(M165="","",IF(ISNUMBER(B165),B165,IFERROR(_xlfn.NUMBERVALUE(B165,".",","),0)))</f>
        <v/>
      </c>
      <c r="O165">
        <f>IF(M165="","",IF(ISNUMBER(C165),C165,IFERROR(_xlfn.NUMBERVALUE(C165,".",","),0)))</f>
        <v/>
      </c>
    </row>
    <row r="166">
      <c r="K166">
        <f>IF(OR(LEFT(B166,9)="DOANH THU",LEFT(B166,8)="SỐ LƯỢNG"),A166,IF(A166="","",K165))</f>
        <v/>
      </c>
      <c r="L166">
        <f>IF(A166="","",IF(ISNUMBER(--LEFT(A166,FIND(" - ",A166&amp;" - ")-1)),LEFT(A166,FIND(" - ",A166&amp;" - ")-1),TRIM(A166)))</f>
        <v/>
      </c>
      <c r="M166">
        <f>IF(OR(K166="",K166=A166,A166=""),"",K166&amp;"|"&amp;L166)</f>
        <v/>
      </c>
      <c r="N166">
        <f>IF(M166="","",IF(ISNUMBER(B166),B166,IFERROR(_xlfn.NUMBERVALUE(B166,".",","),0)))</f>
        <v/>
      </c>
      <c r="O166">
        <f>IF(M166="","",IF(ISNUMBER(C166),C166,IFERROR(_xlfn.NUMBERVALUE(C166,".",","),0)))</f>
        <v/>
      </c>
    </row>
    <row r="167">
      <c r="K167">
        <f>IF(OR(LEFT(B167,9)="DOANH THU",LEFT(B167,8)="SỐ LƯỢNG"),A167,IF(A167="","",K166))</f>
        <v/>
      </c>
      <c r="L167">
        <f>IF(A167="","",IF(ISNUMBER(--LEFT(A167,FIND(" - ",A167&amp;" - ")-1)),LEFT(A167,FIND(" - ",A167&amp;" - ")-1),TRIM(A167)))</f>
        <v/>
      </c>
      <c r="M167">
        <f>IF(OR(K167="",K167=A167,A167=""),"",K167&amp;"|"&amp;L167)</f>
        <v/>
      </c>
      <c r="N167">
        <f>IF(M167="","",IF(ISNUMBER(B167),B167,IFERROR(_xlfn.NUMBERVALUE(B167,".",","),0)))</f>
        <v/>
      </c>
      <c r="O167">
        <f>IF(M167="","",IF(ISNUMBER(C167),C167,IFERROR(_xlfn.NUMBERVALUE(C167,".",","),0)))</f>
        <v/>
      </c>
    </row>
    <row r="168">
      <c r="K168">
        <f>IF(OR(LEFT(B168,9)="DOANH THU",LEFT(B168,8)="SỐ LƯỢNG"),A168,IF(A168="","",K167))</f>
        <v/>
      </c>
      <c r="L168">
        <f>IF(A168="","",IF(ISNUMBER(--LEFT(A168,FIND(" - ",A168&amp;" - ")-1)),LEFT(A168,FIND(" - ",A168&amp;" - ")-1),TRIM(A168)))</f>
        <v/>
      </c>
      <c r="M168">
        <f>IF(OR(K168="",K168=A168,A168=""),"",K168&amp;"|"&amp;L168)</f>
        <v/>
      </c>
      <c r="N168">
        <f>IF(M168="","",IF(ISNUMBER(B168),B168,IFERROR(_xlfn.NUMBERVALUE(B168,".",","),0)))</f>
        <v/>
      </c>
      <c r="O168">
        <f>IF(M168="","",IF(ISNUMBER(C168),C168,IFERROR(_xlfn.NUMBERVALUE(C168,".",","),0)))</f>
        <v/>
      </c>
    </row>
    <row r="169">
      <c r="K169">
        <f>IF(OR(LEFT(B169,9)="DOANH THU",LEFT(B169,8)="SỐ LƯỢNG"),A169,IF(A169="","",K168))</f>
        <v/>
      </c>
      <c r="L169">
        <f>IF(A169="","",IF(ISNUMBER(--LEFT(A169,FIND(" - ",A169&amp;" - ")-1)),LEFT(A169,FIND(" - ",A169&amp;" - ")-1),TRIM(A169)))</f>
        <v/>
      </c>
      <c r="M169">
        <f>IF(OR(K169="",K169=A169,A169=""),"",K169&amp;"|"&amp;L169)</f>
        <v/>
      </c>
      <c r="N169">
        <f>IF(M169="","",IF(ISNUMBER(B169),B169,IFERROR(_xlfn.NUMBERVALUE(B169,".",","),0)))</f>
        <v/>
      </c>
      <c r="O169">
        <f>IF(M169="","",IF(ISNUMBER(C169),C169,IFERROR(_xlfn.NUMBERVALUE(C169,".",","),0)))</f>
        <v/>
      </c>
    </row>
    <row r="170">
      <c r="K170">
        <f>IF(OR(LEFT(B170,9)="DOANH THU",LEFT(B170,8)="SỐ LƯỢNG"),A170,IF(A170="","",K169))</f>
        <v/>
      </c>
      <c r="L170">
        <f>IF(A170="","",IF(ISNUMBER(--LEFT(A170,FIND(" - ",A170&amp;" - ")-1)),LEFT(A170,FIND(" - ",A170&amp;" - ")-1),TRIM(A170)))</f>
        <v/>
      </c>
      <c r="M170">
        <f>IF(OR(K170="",K170=A170,A170=""),"",K170&amp;"|"&amp;L170)</f>
        <v/>
      </c>
      <c r="N170">
        <f>IF(M170="","",IF(ISNUMBER(B170),B170,IFERROR(_xlfn.NUMBERVALUE(B170,".",","),0)))</f>
        <v/>
      </c>
      <c r="O170">
        <f>IF(M170="","",IF(ISNUMBER(C170),C170,IFERROR(_xlfn.NUMBERVALUE(C170,".",","),0)))</f>
        <v/>
      </c>
    </row>
    <row r="171">
      <c r="K171">
        <f>IF(OR(LEFT(B171,9)="DOANH THU",LEFT(B171,8)="SỐ LƯỢNG"),A171,IF(A171="","",K170))</f>
        <v/>
      </c>
      <c r="L171">
        <f>IF(A171="","",IF(ISNUMBER(--LEFT(A171,FIND(" - ",A171&amp;" - ")-1)),LEFT(A171,FIND(" - ",A171&amp;" - ")-1),TRIM(A171)))</f>
        <v/>
      </c>
      <c r="M171">
        <f>IF(OR(K171="",K171=A171,A171=""),"",K171&amp;"|"&amp;L171)</f>
        <v/>
      </c>
      <c r="N171">
        <f>IF(M171="","",IF(ISNUMBER(B171),B171,IFERROR(_xlfn.NUMBERVALUE(B171,".",","),0)))</f>
        <v/>
      </c>
      <c r="O171">
        <f>IF(M171="","",IF(ISNUMBER(C171),C171,IFERROR(_xlfn.NUMBERVALUE(C171,".",","),0)))</f>
        <v/>
      </c>
    </row>
    <row r="172">
      <c r="K172">
        <f>IF(OR(LEFT(B172,9)="DOANH THU",LEFT(B172,8)="SỐ LƯỢNG"),A172,IF(A172="","",K171))</f>
        <v/>
      </c>
      <c r="L172">
        <f>IF(A172="","",IF(ISNUMBER(--LEFT(A172,FIND(" - ",A172&amp;" - ")-1)),LEFT(A172,FIND(" - ",A172&amp;" - ")-1),TRIM(A172)))</f>
        <v/>
      </c>
      <c r="M172">
        <f>IF(OR(K172="",K172=A172,A172=""),"",K172&amp;"|"&amp;L172)</f>
        <v/>
      </c>
      <c r="N172">
        <f>IF(M172="","",IF(ISNUMBER(B172),B172,IFERROR(_xlfn.NUMBERVALUE(B172,".",","),0)))</f>
        <v/>
      </c>
      <c r="O172">
        <f>IF(M172="","",IF(ISNUMBER(C172),C172,IFERROR(_xlfn.NUMBERVALUE(C172,".",","),0)))</f>
        <v/>
      </c>
    </row>
    <row r="173">
      <c r="K173">
        <f>IF(OR(LEFT(B173,9)="DOANH THU",LEFT(B173,8)="SỐ LƯỢNG"),A173,IF(A173="","",K172))</f>
        <v/>
      </c>
      <c r="L173">
        <f>IF(A173="","",IF(ISNUMBER(--LEFT(A173,FIND(" - ",A173&amp;" - ")-1)),LEFT(A173,FIND(" - ",A173&amp;" - ")-1),TRIM(A173)))</f>
        <v/>
      </c>
      <c r="M173">
        <f>IF(OR(K173="",K173=A173,A173=""),"",K173&amp;"|"&amp;L173)</f>
        <v/>
      </c>
      <c r="N173">
        <f>IF(M173="","",IF(ISNUMBER(B173),B173,IFERROR(_xlfn.NUMBERVALUE(B173,".",","),0)))</f>
        <v/>
      </c>
      <c r="O173">
        <f>IF(M173="","",IF(ISNUMBER(C173),C173,IFERROR(_xlfn.NUMBERVALUE(C173,".",","),0)))</f>
        <v/>
      </c>
    </row>
    <row r="174">
      <c r="K174">
        <f>IF(OR(LEFT(B174,9)="DOANH THU",LEFT(B174,8)="SỐ LƯỢNG"),A174,IF(A174="","",K173))</f>
        <v/>
      </c>
      <c r="L174">
        <f>IF(A174="","",IF(ISNUMBER(--LEFT(A174,FIND(" - ",A174&amp;" - ")-1)),LEFT(A174,FIND(" - ",A174&amp;" - ")-1),TRIM(A174)))</f>
        <v/>
      </c>
      <c r="M174">
        <f>IF(OR(K174="",K174=A174,A174=""),"",K174&amp;"|"&amp;L174)</f>
        <v/>
      </c>
      <c r="N174">
        <f>IF(M174="","",IF(ISNUMBER(B174),B174,IFERROR(_xlfn.NUMBERVALUE(B174,".",","),0)))</f>
        <v/>
      </c>
      <c r="O174">
        <f>IF(M174="","",IF(ISNUMBER(C174),C174,IFERROR(_xlfn.NUMBERVALUE(C174,".",","),0)))</f>
        <v/>
      </c>
    </row>
    <row r="175">
      <c r="K175">
        <f>IF(OR(LEFT(B175,9)="DOANH THU",LEFT(B175,8)="SỐ LƯỢNG"),A175,IF(A175="","",K174))</f>
        <v/>
      </c>
      <c r="L175">
        <f>IF(A175="","",IF(ISNUMBER(--LEFT(A175,FIND(" - ",A175&amp;" - ")-1)),LEFT(A175,FIND(" - ",A175&amp;" - ")-1),TRIM(A175)))</f>
        <v/>
      </c>
      <c r="M175">
        <f>IF(OR(K175="",K175=A175,A175=""),"",K175&amp;"|"&amp;L175)</f>
        <v/>
      </c>
      <c r="N175">
        <f>IF(M175="","",IF(ISNUMBER(B175),B175,IFERROR(_xlfn.NUMBERVALUE(B175,".",","),0)))</f>
        <v/>
      </c>
      <c r="O175">
        <f>IF(M175="","",IF(ISNUMBER(C175),C175,IFERROR(_xlfn.NUMBERVALUE(C175,".",","),0)))</f>
        <v/>
      </c>
    </row>
    <row r="176">
      <c r="K176">
        <f>IF(OR(LEFT(B176,9)="DOANH THU",LEFT(B176,8)="SỐ LƯỢNG"),A176,IF(A176="","",K175))</f>
        <v/>
      </c>
      <c r="L176">
        <f>IF(A176="","",IF(ISNUMBER(--LEFT(A176,FIND(" - ",A176&amp;" - ")-1)),LEFT(A176,FIND(" - ",A176&amp;" - ")-1),TRIM(A176)))</f>
        <v/>
      </c>
      <c r="M176">
        <f>IF(OR(K176="",K176=A176,A176=""),"",K176&amp;"|"&amp;L176)</f>
        <v/>
      </c>
      <c r="N176">
        <f>IF(M176="","",IF(ISNUMBER(B176),B176,IFERROR(_xlfn.NUMBERVALUE(B176,".",","),0)))</f>
        <v/>
      </c>
      <c r="O176">
        <f>IF(M176="","",IF(ISNUMBER(C176),C176,IFERROR(_xlfn.NUMBERVALUE(C176,".",","),0)))</f>
        <v/>
      </c>
    </row>
    <row r="177">
      <c r="K177">
        <f>IF(OR(LEFT(B177,9)="DOANH THU",LEFT(B177,8)="SỐ LƯỢNG"),A177,IF(A177="","",K176))</f>
        <v/>
      </c>
      <c r="L177">
        <f>IF(A177="","",IF(ISNUMBER(--LEFT(A177,FIND(" - ",A177&amp;" - ")-1)),LEFT(A177,FIND(" - ",A177&amp;" - ")-1),TRIM(A177)))</f>
        <v/>
      </c>
      <c r="M177">
        <f>IF(OR(K177="",K177=A177,A177=""),"",K177&amp;"|"&amp;L177)</f>
        <v/>
      </c>
      <c r="N177">
        <f>IF(M177="","",IF(ISNUMBER(B177),B177,IFERROR(_xlfn.NUMBERVALUE(B177,".",","),0)))</f>
        <v/>
      </c>
      <c r="O177">
        <f>IF(M177="","",IF(ISNUMBER(C177),C177,IFERROR(_xlfn.NUMBERVALUE(C177,".",","),0)))</f>
        <v/>
      </c>
    </row>
    <row r="178">
      <c r="K178">
        <f>IF(OR(LEFT(B178,9)="DOANH THU",LEFT(B178,8)="SỐ LƯỢNG"),A178,IF(A178="","",K177))</f>
        <v/>
      </c>
      <c r="L178">
        <f>IF(A178="","",IF(ISNUMBER(--LEFT(A178,FIND(" - ",A178&amp;" - ")-1)),LEFT(A178,FIND(" - ",A178&amp;" - ")-1),TRIM(A178)))</f>
        <v/>
      </c>
      <c r="M178">
        <f>IF(OR(K178="",K178=A178,A178=""),"",K178&amp;"|"&amp;L178)</f>
        <v/>
      </c>
      <c r="N178">
        <f>IF(M178="","",IF(ISNUMBER(B178),B178,IFERROR(_xlfn.NUMBERVALUE(B178,".",","),0)))</f>
        <v/>
      </c>
      <c r="O178">
        <f>IF(M178="","",IF(ISNUMBER(C178),C178,IFERROR(_xlfn.NUMBERVALUE(C178,".",","),0)))</f>
        <v/>
      </c>
    </row>
    <row r="179">
      <c r="K179">
        <f>IF(OR(LEFT(B179,9)="DOANH THU",LEFT(B179,8)="SỐ LƯỢNG"),A179,IF(A179="","",K178))</f>
        <v/>
      </c>
      <c r="L179">
        <f>IF(A179="","",IF(ISNUMBER(--LEFT(A179,FIND(" - ",A179&amp;" - ")-1)),LEFT(A179,FIND(" - ",A179&amp;" - ")-1),TRIM(A179)))</f>
        <v/>
      </c>
      <c r="M179">
        <f>IF(OR(K179="",K179=A179,A179=""),"",K179&amp;"|"&amp;L179)</f>
        <v/>
      </c>
      <c r="N179">
        <f>IF(M179="","",IF(ISNUMBER(B179),B179,IFERROR(_xlfn.NUMBERVALUE(B179,".",","),0)))</f>
        <v/>
      </c>
      <c r="O179">
        <f>IF(M179="","",IF(ISNUMBER(C179),C179,IFERROR(_xlfn.NUMBERVALUE(C179,".",","),0)))</f>
        <v/>
      </c>
    </row>
    <row r="180">
      <c r="K180">
        <f>IF(OR(LEFT(B180,9)="DOANH THU",LEFT(B180,8)="SỐ LƯỢNG"),A180,IF(A180="","",K179))</f>
        <v/>
      </c>
      <c r="L180">
        <f>IF(A180="","",IF(ISNUMBER(--LEFT(A180,FIND(" - ",A180&amp;" - ")-1)),LEFT(A180,FIND(" - ",A180&amp;" - ")-1),TRIM(A180)))</f>
        <v/>
      </c>
      <c r="M180">
        <f>IF(OR(K180="",K180=A180,A180=""),"",K180&amp;"|"&amp;L180)</f>
        <v/>
      </c>
      <c r="N180">
        <f>IF(M180="","",IF(ISNUMBER(B180),B180,IFERROR(_xlfn.NUMBERVALUE(B180,".",","),0)))</f>
        <v/>
      </c>
      <c r="O180">
        <f>IF(M180="","",IF(ISNUMBER(C180),C180,IFERROR(_xlfn.NUMBERVALUE(C180,".",","),0)))</f>
        <v/>
      </c>
    </row>
    <row r="181">
      <c r="K181">
        <f>IF(OR(LEFT(B181,9)="DOANH THU",LEFT(B181,8)="SỐ LƯỢNG"),A181,IF(A181="","",K180))</f>
        <v/>
      </c>
      <c r="L181">
        <f>IF(A181="","",IF(ISNUMBER(--LEFT(A181,FIND(" - ",A181&amp;" - ")-1)),LEFT(A181,FIND(" - ",A181&amp;" - ")-1),TRIM(A181)))</f>
        <v/>
      </c>
      <c r="M181">
        <f>IF(OR(K181="",K181=A181,A181=""),"",K181&amp;"|"&amp;L181)</f>
        <v/>
      </c>
      <c r="N181">
        <f>IF(M181="","",IF(ISNUMBER(B181),B181,IFERROR(_xlfn.NUMBERVALUE(B181,".",","),0)))</f>
        <v/>
      </c>
      <c r="O181">
        <f>IF(M181="","",IF(ISNUMBER(C181),C181,IFERROR(_xlfn.NUMBERVALUE(C181,".",","),0)))</f>
        <v/>
      </c>
    </row>
    <row r="182">
      <c r="K182">
        <f>IF(OR(LEFT(B182,9)="DOANH THU",LEFT(B182,8)="SỐ LƯỢNG"),A182,IF(A182="","",K181))</f>
        <v/>
      </c>
      <c r="L182">
        <f>IF(A182="","",IF(ISNUMBER(--LEFT(A182,FIND(" - ",A182&amp;" - ")-1)),LEFT(A182,FIND(" - ",A182&amp;" - ")-1),TRIM(A182)))</f>
        <v/>
      </c>
      <c r="M182">
        <f>IF(OR(K182="",K182=A182,A182=""),"",K182&amp;"|"&amp;L182)</f>
        <v/>
      </c>
      <c r="N182">
        <f>IF(M182="","",IF(ISNUMBER(B182),B182,IFERROR(_xlfn.NUMBERVALUE(B182,".",","),0)))</f>
        <v/>
      </c>
      <c r="O182">
        <f>IF(M182="","",IF(ISNUMBER(C182),C182,IFERROR(_xlfn.NUMBERVALUE(C182,".",","),0)))</f>
        <v/>
      </c>
    </row>
    <row r="183">
      <c r="K183">
        <f>IF(OR(LEFT(B183,9)="DOANH THU",LEFT(B183,8)="SỐ LƯỢNG"),A183,IF(A183="","",K182))</f>
        <v/>
      </c>
      <c r="L183">
        <f>IF(A183="","",IF(ISNUMBER(--LEFT(A183,FIND(" - ",A183&amp;" - ")-1)),LEFT(A183,FIND(" - ",A183&amp;" - ")-1),TRIM(A183)))</f>
        <v/>
      </c>
      <c r="M183">
        <f>IF(OR(K183="",K183=A183,A183=""),"",K183&amp;"|"&amp;L183)</f>
        <v/>
      </c>
      <c r="N183">
        <f>IF(M183="","",IF(ISNUMBER(B183),B183,IFERROR(_xlfn.NUMBERVALUE(B183,".",","),0)))</f>
        <v/>
      </c>
      <c r="O183">
        <f>IF(M183="","",IF(ISNUMBER(C183),C183,IFERROR(_xlfn.NUMBERVALUE(C183,".",","),0)))</f>
        <v/>
      </c>
    </row>
    <row r="184">
      <c r="K184">
        <f>IF(OR(LEFT(B184,9)="DOANH THU",LEFT(B184,8)="SỐ LƯỢNG"),A184,IF(A184="","",K183))</f>
        <v/>
      </c>
      <c r="L184">
        <f>IF(A184="","",IF(ISNUMBER(--LEFT(A184,FIND(" - ",A184&amp;" - ")-1)),LEFT(A184,FIND(" - ",A184&amp;" - ")-1),TRIM(A184)))</f>
        <v/>
      </c>
      <c r="M184">
        <f>IF(OR(K184="",K184=A184,A184=""),"",K184&amp;"|"&amp;L184)</f>
        <v/>
      </c>
      <c r="N184">
        <f>IF(M184="","",IF(ISNUMBER(B184),B184,IFERROR(_xlfn.NUMBERVALUE(B184,".",","),0)))</f>
        <v/>
      </c>
      <c r="O184">
        <f>IF(M184="","",IF(ISNUMBER(C184),C184,IFERROR(_xlfn.NUMBERVALUE(C184,".",","),0)))</f>
        <v/>
      </c>
    </row>
    <row r="185">
      <c r="K185">
        <f>IF(OR(LEFT(B185,9)="DOANH THU",LEFT(B185,8)="SỐ LƯỢNG"),A185,IF(A185="","",K184))</f>
        <v/>
      </c>
      <c r="L185">
        <f>IF(A185="","",IF(ISNUMBER(--LEFT(A185,FIND(" - ",A185&amp;" - ")-1)),LEFT(A185,FIND(" - ",A185&amp;" - ")-1),TRIM(A185)))</f>
        <v/>
      </c>
      <c r="M185">
        <f>IF(OR(K185="",K185=A185,A185=""),"",K185&amp;"|"&amp;L185)</f>
        <v/>
      </c>
      <c r="N185">
        <f>IF(M185="","",IF(ISNUMBER(B185),B185,IFERROR(_xlfn.NUMBERVALUE(B185,".",","),0)))</f>
        <v/>
      </c>
      <c r="O185">
        <f>IF(M185="","",IF(ISNUMBER(C185),C185,IFERROR(_xlfn.NUMBERVALUE(C185,".",","),0)))</f>
        <v/>
      </c>
    </row>
    <row r="186">
      <c r="K186">
        <f>IF(OR(LEFT(B186,9)="DOANH THU",LEFT(B186,8)="SỐ LƯỢNG"),A186,IF(A186="","",K185))</f>
        <v/>
      </c>
      <c r="L186">
        <f>IF(A186="","",IF(ISNUMBER(--LEFT(A186,FIND(" - ",A186&amp;" - ")-1)),LEFT(A186,FIND(" - ",A186&amp;" - ")-1),TRIM(A186)))</f>
        <v/>
      </c>
      <c r="M186">
        <f>IF(OR(K186="",K186=A186,A186=""),"",K186&amp;"|"&amp;L186)</f>
        <v/>
      </c>
      <c r="N186">
        <f>IF(M186="","",IF(ISNUMBER(B186),B186,IFERROR(_xlfn.NUMBERVALUE(B186,".",","),0)))</f>
        <v/>
      </c>
      <c r="O186">
        <f>IF(M186="","",IF(ISNUMBER(C186),C186,IFERROR(_xlfn.NUMBERVALUE(C186,".",","),0)))</f>
        <v/>
      </c>
    </row>
    <row r="187">
      <c r="K187">
        <f>IF(OR(LEFT(B187,9)="DOANH THU",LEFT(B187,8)="SỐ LƯỢNG"),A187,IF(A187="","",K186))</f>
        <v/>
      </c>
      <c r="L187">
        <f>IF(A187="","",IF(ISNUMBER(--LEFT(A187,FIND(" - ",A187&amp;" - ")-1)),LEFT(A187,FIND(" - ",A187&amp;" - ")-1),TRIM(A187)))</f>
        <v/>
      </c>
      <c r="M187">
        <f>IF(OR(K187="",K187=A187,A187=""),"",K187&amp;"|"&amp;L187)</f>
        <v/>
      </c>
      <c r="N187">
        <f>IF(M187="","",IF(ISNUMBER(B187),B187,IFERROR(_xlfn.NUMBERVALUE(B187,".",","),0)))</f>
        <v/>
      </c>
      <c r="O187">
        <f>IF(M187="","",IF(ISNUMBER(C187),C187,IFERROR(_xlfn.NUMBERVALUE(C187,".",","),0)))</f>
        <v/>
      </c>
    </row>
    <row r="188">
      <c r="K188">
        <f>IF(OR(LEFT(B188,9)="DOANH THU",LEFT(B188,8)="SỐ LƯỢNG"),A188,IF(A188="","",K187))</f>
        <v/>
      </c>
      <c r="L188">
        <f>IF(A188="","",IF(ISNUMBER(--LEFT(A188,FIND(" - ",A188&amp;" - ")-1)),LEFT(A188,FIND(" - ",A188&amp;" - ")-1),TRIM(A188)))</f>
        <v/>
      </c>
      <c r="M188">
        <f>IF(OR(K188="",K188=A188,A188=""),"",K188&amp;"|"&amp;L188)</f>
        <v/>
      </c>
      <c r="N188">
        <f>IF(M188="","",IF(ISNUMBER(B188),B188,IFERROR(_xlfn.NUMBERVALUE(B188,".",","),0)))</f>
        <v/>
      </c>
      <c r="O188">
        <f>IF(M188="","",IF(ISNUMBER(C188),C188,IFERROR(_xlfn.NUMBERVALUE(C188,".",","),0)))</f>
        <v/>
      </c>
    </row>
    <row r="189">
      <c r="K189">
        <f>IF(OR(LEFT(B189,9)="DOANH THU",LEFT(B189,8)="SỐ LƯỢNG"),A189,IF(A189="","",K188))</f>
        <v/>
      </c>
      <c r="L189">
        <f>IF(A189="","",IF(ISNUMBER(--LEFT(A189,FIND(" - ",A189&amp;" - ")-1)),LEFT(A189,FIND(" - ",A189&amp;" - ")-1),TRIM(A189)))</f>
        <v/>
      </c>
      <c r="M189">
        <f>IF(OR(K189="",K189=A189,A189=""),"",K189&amp;"|"&amp;L189)</f>
        <v/>
      </c>
      <c r="N189">
        <f>IF(M189="","",IF(ISNUMBER(B189),B189,IFERROR(_xlfn.NUMBERVALUE(B189,".",","),0)))</f>
        <v/>
      </c>
      <c r="O189">
        <f>IF(M189="","",IF(ISNUMBER(C189),C189,IFERROR(_xlfn.NUMBERVALUE(C189,".",","),0)))</f>
        <v/>
      </c>
    </row>
    <row r="190">
      <c r="K190">
        <f>IF(OR(LEFT(B190,9)="DOANH THU",LEFT(B190,8)="SỐ LƯỢNG"),A190,IF(A190="","",K189))</f>
        <v/>
      </c>
      <c r="L190">
        <f>IF(A190="","",IF(ISNUMBER(--LEFT(A190,FIND(" - ",A190&amp;" - ")-1)),LEFT(A190,FIND(" - ",A190&amp;" - ")-1),TRIM(A190)))</f>
        <v/>
      </c>
      <c r="M190">
        <f>IF(OR(K190="",K190=A190,A190=""),"",K190&amp;"|"&amp;L190)</f>
        <v/>
      </c>
      <c r="N190">
        <f>IF(M190="","",IF(ISNUMBER(B190),B190,IFERROR(_xlfn.NUMBERVALUE(B190,".",","),0)))</f>
        <v/>
      </c>
      <c r="O190">
        <f>IF(M190="","",IF(ISNUMBER(C190),C190,IFERROR(_xlfn.NUMBERVALUE(C190,".",","),0)))</f>
        <v/>
      </c>
    </row>
    <row r="191">
      <c r="K191">
        <f>IF(OR(LEFT(B191,9)="DOANH THU",LEFT(B191,8)="SỐ LƯỢNG"),A191,IF(A191="","",K190))</f>
        <v/>
      </c>
      <c r="L191">
        <f>IF(A191="","",IF(ISNUMBER(--LEFT(A191,FIND(" - ",A191&amp;" - ")-1)),LEFT(A191,FIND(" - ",A191&amp;" - ")-1),TRIM(A191)))</f>
        <v/>
      </c>
      <c r="M191">
        <f>IF(OR(K191="",K191=A191,A191=""),"",K191&amp;"|"&amp;L191)</f>
        <v/>
      </c>
      <c r="N191">
        <f>IF(M191="","",IF(ISNUMBER(B191),B191,IFERROR(_xlfn.NUMBERVALUE(B191,".",","),0)))</f>
        <v/>
      </c>
      <c r="O191">
        <f>IF(M191="","",IF(ISNUMBER(C191),C191,IFERROR(_xlfn.NUMBERVALUE(C191,".",","),0)))</f>
        <v/>
      </c>
    </row>
    <row r="192">
      <c r="K192">
        <f>IF(OR(LEFT(B192,9)="DOANH THU",LEFT(B192,8)="SỐ LƯỢNG"),A192,IF(A192="","",K191))</f>
        <v/>
      </c>
      <c r="L192">
        <f>IF(A192="","",IF(ISNUMBER(--LEFT(A192,FIND(" - ",A192&amp;" - ")-1)),LEFT(A192,FIND(" - ",A192&amp;" - ")-1),TRIM(A192)))</f>
        <v/>
      </c>
      <c r="M192">
        <f>IF(OR(K192="",K192=A192,A192=""),"",K192&amp;"|"&amp;L192)</f>
        <v/>
      </c>
      <c r="N192">
        <f>IF(M192="","",IF(ISNUMBER(B192),B192,IFERROR(_xlfn.NUMBERVALUE(B192,".",","),0)))</f>
        <v/>
      </c>
      <c r="O192">
        <f>IF(M192="","",IF(ISNUMBER(C192),C192,IFERROR(_xlfn.NUMBERVALUE(C192,".",","),0)))</f>
        <v/>
      </c>
    </row>
    <row r="193">
      <c r="K193">
        <f>IF(OR(LEFT(B193,9)="DOANH THU",LEFT(B193,8)="SỐ LƯỢNG"),A193,IF(A193="","",K192))</f>
        <v/>
      </c>
      <c r="L193">
        <f>IF(A193="","",IF(ISNUMBER(--LEFT(A193,FIND(" - ",A193&amp;" - ")-1)),LEFT(A193,FIND(" - ",A193&amp;" - ")-1),TRIM(A193)))</f>
        <v/>
      </c>
      <c r="M193">
        <f>IF(OR(K193="",K193=A193,A193=""),"",K193&amp;"|"&amp;L193)</f>
        <v/>
      </c>
      <c r="N193">
        <f>IF(M193="","",IF(ISNUMBER(B193),B193,IFERROR(_xlfn.NUMBERVALUE(B193,".",","),0)))</f>
        <v/>
      </c>
      <c r="O193">
        <f>IF(M193="","",IF(ISNUMBER(C193),C193,IFERROR(_xlfn.NUMBERVALUE(C193,".",","),0)))</f>
        <v/>
      </c>
    </row>
    <row r="194">
      <c r="K194">
        <f>IF(OR(LEFT(B194,9)="DOANH THU",LEFT(B194,8)="SỐ LƯỢNG"),A194,IF(A194="","",K193))</f>
        <v/>
      </c>
      <c r="L194">
        <f>IF(A194="","",IF(ISNUMBER(--LEFT(A194,FIND(" - ",A194&amp;" - ")-1)),LEFT(A194,FIND(" - ",A194&amp;" - ")-1),TRIM(A194)))</f>
        <v/>
      </c>
      <c r="M194">
        <f>IF(OR(K194="",K194=A194,A194=""),"",K194&amp;"|"&amp;L194)</f>
        <v/>
      </c>
      <c r="N194">
        <f>IF(M194="","",IF(ISNUMBER(B194),B194,IFERROR(_xlfn.NUMBERVALUE(B194,".",","),0)))</f>
        <v/>
      </c>
      <c r="O194">
        <f>IF(M194="","",IF(ISNUMBER(C194),C194,IFERROR(_xlfn.NUMBERVALUE(C194,".",","),0)))</f>
        <v/>
      </c>
    </row>
    <row r="195">
      <c r="K195">
        <f>IF(OR(LEFT(B195,9)="DOANH THU",LEFT(B195,8)="SỐ LƯỢNG"),A195,IF(A195="","",K194))</f>
        <v/>
      </c>
      <c r="L195">
        <f>IF(A195="","",IF(ISNUMBER(--LEFT(A195,FIND(" - ",A195&amp;" - ")-1)),LEFT(A195,FIND(" - ",A195&amp;" - ")-1),TRIM(A195)))</f>
        <v/>
      </c>
      <c r="M195">
        <f>IF(OR(K195="",K195=A195,A195=""),"",K195&amp;"|"&amp;L195)</f>
        <v/>
      </c>
      <c r="N195">
        <f>IF(M195="","",IF(ISNUMBER(B195),B195,IFERROR(_xlfn.NUMBERVALUE(B195,".",","),0)))</f>
        <v/>
      </c>
      <c r="O195">
        <f>IF(M195="","",IF(ISNUMBER(C195),C195,IFERROR(_xlfn.NUMBERVALUE(C195,".",","),0)))</f>
        <v/>
      </c>
    </row>
    <row r="196">
      <c r="K196">
        <f>IF(OR(LEFT(B196,9)="DOANH THU",LEFT(B196,8)="SỐ LƯỢNG"),A196,IF(A196="","",K195))</f>
        <v/>
      </c>
      <c r="L196">
        <f>IF(A196="","",IF(ISNUMBER(--LEFT(A196,FIND(" - ",A196&amp;" - ")-1)),LEFT(A196,FIND(" - ",A196&amp;" - ")-1),TRIM(A196)))</f>
        <v/>
      </c>
      <c r="M196">
        <f>IF(OR(K196="",K196=A196,A196=""),"",K196&amp;"|"&amp;L196)</f>
        <v/>
      </c>
      <c r="N196">
        <f>IF(M196="","",IF(ISNUMBER(B196),B196,IFERROR(_xlfn.NUMBERVALUE(B196,".",","),0)))</f>
        <v/>
      </c>
      <c r="O196">
        <f>IF(M196="","",IF(ISNUMBER(C196),C196,IFERROR(_xlfn.NUMBERVALUE(C196,".",","),0)))</f>
        <v/>
      </c>
    </row>
    <row r="197">
      <c r="K197">
        <f>IF(OR(LEFT(B197,9)="DOANH THU",LEFT(B197,8)="SỐ LƯỢNG"),A197,IF(A197="","",K196))</f>
        <v/>
      </c>
      <c r="L197">
        <f>IF(A197="","",IF(ISNUMBER(--LEFT(A197,FIND(" - ",A197&amp;" - ")-1)),LEFT(A197,FIND(" - ",A197&amp;" - ")-1),TRIM(A197)))</f>
        <v/>
      </c>
      <c r="M197">
        <f>IF(OR(K197="",K197=A197,A197=""),"",K197&amp;"|"&amp;L197)</f>
        <v/>
      </c>
      <c r="N197">
        <f>IF(M197="","",IF(ISNUMBER(B197),B197,IFERROR(_xlfn.NUMBERVALUE(B197,".",","),0)))</f>
        <v/>
      </c>
      <c r="O197">
        <f>IF(M197="","",IF(ISNUMBER(C197),C197,IFERROR(_xlfn.NUMBERVALUE(C197,".",","),0)))</f>
        <v/>
      </c>
    </row>
    <row r="198">
      <c r="K198">
        <f>IF(OR(LEFT(B198,9)="DOANH THU",LEFT(B198,8)="SỐ LƯỢNG"),A198,IF(A198="","",K197))</f>
        <v/>
      </c>
      <c r="L198">
        <f>IF(A198="","",IF(ISNUMBER(--LEFT(A198,FIND(" - ",A198&amp;" - ")-1)),LEFT(A198,FIND(" - ",A198&amp;" - ")-1),TRIM(A198)))</f>
        <v/>
      </c>
      <c r="M198">
        <f>IF(OR(K198="",K198=A198,A198=""),"",K198&amp;"|"&amp;L198)</f>
        <v/>
      </c>
      <c r="N198">
        <f>IF(M198="","",IF(ISNUMBER(B198),B198,IFERROR(_xlfn.NUMBERVALUE(B198,".",","),0)))</f>
        <v/>
      </c>
      <c r="O198">
        <f>IF(M198="","",IF(ISNUMBER(C198),C198,IFERROR(_xlfn.NUMBERVALUE(C198,".",","),0)))</f>
        <v/>
      </c>
    </row>
    <row r="199">
      <c r="K199">
        <f>IF(OR(LEFT(B199,9)="DOANH THU",LEFT(B199,8)="SỐ LƯỢNG"),A199,IF(A199="","",K198))</f>
        <v/>
      </c>
      <c r="L199">
        <f>IF(A199="","",IF(ISNUMBER(--LEFT(A199,FIND(" - ",A199&amp;" - ")-1)),LEFT(A199,FIND(" - ",A199&amp;" - ")-1),TRIM(A199)))</f>
        <v/>
      </c>
      <c r="M199">
        <f>IF(OR(K199="",K199=A199,A199=""),"",K199&amp;"|"&amp;L199)</f>
        <v/>
      </c>
      <c r="N199">
        <f>IF(M199="","",IF(ISNUMBER(B199),B199,IFERROR(_xlfn.NUMBERVALUE(B199,".",","),0)))</f>
        <v/>
      </c>
      <c r="O199">
        <f>IF(M199="","",IF(ISNUMBER(C199),C199,IFERROR(_xlfn.NUMBERVALUE(C199,".",","),0)))</f>
        <v/>
      </c>
    </row>
    <row r="200">
      <c r="K200">
        <f>IF(OR(LEFT(B200,9)="DOANH THU",LEFT(B200,8)="SỐ LƯỢNG"),A200,IF(A200="","",K199))</f>
        <v/>
      </c>
      <c r="L200">
        <f>IF(A200="","",IF(ISNUMBER(--LEFT(A200,FIND(" - ",A200&amp;" - ")-1)),LEFT(A200,FIND(" - ",A200&amp;" - ")-1),TRIM(A200)))</f>
        <v/>
      </c>
      <c r="M200">
        <f>IF(OR(K200="",K200=A200,A200=""),"",K200&amp;"|"&amp;L200)</f>
        <v/>
      </c>
      <c r="N200">
        <f>IF(M200="","",IF(ISNUMBER(B200),B200,IFERROR(_xlfn.NUMBERVALUE(B200,".",","),0)))</f>
        <v/>
      </c>
      <c r="O200">
        <f>IF(M200="","",IF(ISNUMBER(C200),C200,IFERROR(_xlfn.NUMBERVALUE(C200,".",","),0)))</f>
        <v/>
      </c>
    </row>
    <row r="201">
      <c r="K201">
        <f>IF(OR(LEFT(B201,9)="DOANH THU",LEFT(B201,8)="SỐ LƯỢNG"),A201,IF(A201="","",K200))</f>
        <v/>
      </c>
      <c r="L201">
        <f>IF(A201="","",IF(ISNUMBER(--LEFT(A201,FIND(" - ",A201&amp;" - ")-1)),LEFT(A201,FIND(" - ",A201&amp;" - ")-1),TRIM(A201)))</f>
        <v/>
      </c>
      <c r="M201">
        <f>IF(OR(K201="",K201=A201,A201=""),"",K201&amp;"|"&amp;L201)</f>
        <v/>
      </c>
      <c r="N201">
        <f>IF(M201="","",IF(ISNUMBER(B201),B201,IFERROR(_xlfn.NUMBERVALUE(B201,".",","),0)))</f>
        <v/>
      </c>
      <c r="O201">
        <f>IF(M201="","",IF(ISNUMBER(C201),C201,IFERROR(_xlfn.NUMBERVALUE(C201,".",","),0)))</f>
        <v/>
      </c>
    </row>
    <row r="202">
      <c r="K202">
        <f>IF(OR(LEFT(B202,9)="DOANH THU",LEFT(B202,8)="SỐ LƯỢNG"),A202,IF(A202="","",K201))</f>
        <v/>
      </c>
      <c r="L202">
        <f>IF(A202="","",IF(ISNUMBER(--LEFT(A202,FIND(" - ",A202&amp;" - ")-1)),LEFT(A202,FIND(" - ",A202&amp;" - ")-1),TRIM(A202)))</f>
        <v/>
      </c>
      <c r="M202">
        <f>IF(OR(K202="",K202=A202,A202=""),"",K202&amp;"|"&amp;L202)</f>
        <v/>
      </c>
      <c r="N202">
        <f>IF(M202="","",IF(ISNUMBER(B202),B202,IFERROR(_xlfn.NUMBERVALUE(B202,".",","),0)))</f>
        <v/>
      </c>
      <c r="O202">
        <f>IF(M202="","",IF(ISNUMBER(C202),C202,IFERROR(_xlfn.NUMBERVALUE(C202,".",","),0)))</f>
        <v/>
      </c>
    </row>
    <row r="203">
      <c r="K203">
        <f>IF(OR(LEFT(B203,9)="DOANH THU",LEFT(B203,8)="SỐ LƯỢNG"),A203,IF(A203="","",K202))</f>
        <v/>
      </c>
      <c r="L203">
        <f>IF(A203="","",IF(ISNUMBER(--LEFT(A203,FIND(" - ",A203&amp;" - ")-1)),LEFT(A203,FIND(" - ",A203&amp;" - ")-1),TRIM(A203)))</f>
        <v/>
      </c>
      <c r="M203">
        <f>IF(OR(K203="",K203=A203,A203=""),"",K203&amp;"|"&amp;L203)</f>
        <v/>
      </c>
      <c r="N203">
        <f>IF(M203="","",IF(ISNUMBER(B203),B203,IFERROR(_xlfn.NUMBERVALUE(B203,".",","),0)))</f>
        <v/>
      </c>
      <c r="O203">
        <f>IF(M203="","",IF(ISNUMBER(C203),C203,IFERROR(_xlfn.NUMBERVALUE(C203,".",","),0)))</f>
        <v/>
      </c>
    </row>
    <row r="204">
      <c r="K204">
        <f>IF(OR(LEFT(B204,9)="DOANH THU",LEFT(B204,8)="SỐ LƯỢNG"),A204,IF(A204="","",K203))</f>
        <v/>
      </c>
      <c r="L204">
        <f>IF(A204="","",IF(ISNUMBER(--LEFT(A204,FIND(" - ",A204&amp;" - ")-1)),LEFT(A204,FIND(" - ",A204&amp;" - ")-1),TRIM(A204)))</f>
        <v/>
      </c>
      <c r="M204">
        <f>IF(OR(K204="",K204=A204,A204=""),"",K204&amp;"|"&amp;L204)</f>
        <v/>
      </c>
      <c r="N204">
        <f>IF(M204="","",IF(ISNUMBER(B204),B204,IFERROR(_xlfn.NUMBERVALUE(B204,".",","),0)))</f>
        <v/>
      </c>
      <c r="O204">
        <f>IF(M204="","",IF(ISNUMBER(C204),C204,IFERROR(_xlfn.NUMBERVALUE(C204,".",","),0)))</f>
        <v/>
      </c>
    </row>
    <row r="205">
      <c r="K205">
        <f>IF(OR(LEFT(B205,9)="DOANH THU",LEFT(B205,8)="SỐ LƯỢNG"),A205,IF(A205="","",K204))</f>
        <v/>
      </c>
      <c r="L205">
        <f>IF(A205="","",IF(ISNUMBER(--LEFT(A205,FIND(" - ",A205&amp;" - ")-1)),LEFT(A205,FIND(" - ",A205&amp;" - ")-1),TRIM(A205)))</f>
        <v/>
      </c>
      <c r="M205">
        <f>IF(OR(K205="",K205=A205,A205=""),"",K205&amp;"|"&amp;L205)</f>
        <v/>
      </c>
      <c r="N205">
        <f>IF(M205="","",IF(ISNUMBER(B205),B205,IFERROR(_xlfn.NUMBERVALUE(B205,".",","),0)))</f>
        <v/>
      </c>
      <c r="O205">
        <f>IF(M205="","",IF(ISNUMBER(C205),C205,IFERROR(_xlfn.NUMBERVALUE(C205,".",","),0)))</f>
        <v/>
      </c>
    </row>
    <row r="206">
      <c r="K206">
        <f>IF(OR(LEFT(B206,9)="DOANH THU",LEFT(B206,8)="SỐ LƯỢNG"),A206,IF(A206="","",K205))</f>
        <v/>
      </c>
      <c r="L206">
        <f>IF(A206="","",IF(ISNUMBER(--LEFT(A206,FIND(" - ",A206&amp;" - ")-1)),LEFT(A206,FIND(" - ",A206&amp;" - ")-1),TRIM(A206)))</f>
        <v/>
      </c>
      <c r="M206">
        <f>IF(OR(K206="",K206=A206,A206=""),"",K206&amp;"|"&amp;L206)</f>
        <v/>
      </c>
      <c r="N206">
        <f>IF(M206="","",IF(ISNUMBER(B206),B206,IFERROR(_xlfn.NUMBERVALUE(B206,".",","),0)))</f>
        <v/>
      </c>
      <c r="O206">
        <f>IF(M206="","",IF(ISNUMBER(C206),C206,IFERROR(_xlfn.NUMBERVALUE(C206,".",","),0)))</f>
        <v/>
      </c>
    </row>
    <row r="207">
      <c r="K207">
        <f>IF(OR(LEFT(B207,9)="DOANH THU",LEFT(B207,8)="SỐ LƯỢNG"),A207,IF(A207="","",K206))</f>
        <v/>
      </c>
      <c r="L207">
        <f>IF(A207="","",IF(ISNUMBER(--LEFT(A207,FIND(" - ",A207&amp;" - ")-1)),LEFT(A207,FIND(" - ",A207&amp;" - ")-1),TRIM(A207)))</f>
        <v/>
      </c>
      <c r="M207">
        <f>IF(OR(K207="",K207=A207,A207=""),"",K207&amp;"|"&amp;L207)</f>
        <v/>
      </c>
      <c r="N207">
        <f>IF(M207="","",IF(ISNUMBER(B207),B207,IFERROR(_xlfn.NUMBERVALUE(B207,".",","),0)))</f>
        <v/>
      </c>
      <c r="O207">
        <f>IF(M207="","",IF(ISNUMBER(C207),C207,IFERROR(_xlfn.NUMBERVALUE(C207,".",","),0)))</f>
        <v/>
      </c>
    </row>
    <row r="208">
      <c r="K208">
        <f>IF(OR(LEFT(B208,9)="DOANH THU",LEFT(B208,8)="SỐ LƯỢNG"),A208,IF(A208="","",K207))</f>
        <v/>
      </c>
      <c r="L208">
        <f>IF(A208="","",IF(ISNUMBER(--LEFT(A208,FIND(" - ",A208&amp;" - ")-1)),LEFT(A208,FIND(" - ",A208&amp;" - ")-1),TRIM(A208)))</f>
        <v/>
      </c>
      <c r="M208">
        <f>IF(OR(K208="",K208=A208,A208=""),"",K208&amp;"|"&amp;L208)</f>
        <v/>
      </c>
      <c r="N208">
        <f>IF(M208="","",IF(ISNUMBER(B208),B208,IFERROR(_xlfn.NUMBERVALUE(B208,".",","),0)))</f>
        <v/>
      </c>
      <c r="O208">
        <f>IF(M208="","",IF(ISNUMBER(C208),C208,IFERROR(_xlfn.NUMBERVALUE(C208,".",","),0)))</f>
        <v/>
      </c>
    </row>
    <row r="209">
      <c r="K209">
        <f>IF(OR(LEFT(B209,9)="DOANH THU",LEFT(B209,8)="SỐ LƯỢNG"),A209,IF(A209="","",K208))</f>
        <v/>
      </c>
      <c r="L209">
        <f>IF(A209="","",IF(ISNUMBER(--LEFT(A209,FIND(" - ",A209&amp;" - ")-1)),LEFT(A209,FIND(" - ",A209&amp;" - ")-1),TRIM(A209)))</f>
        <v/>
      </c>
      <c r="M209">
        <f>IF(OR(K209="",K209=A209,A209=""),"",K209&amp;"|"&amp;L209)</f>
        <v/>
      </c>
      <c r="N209">
        <f>IF(M209="","",IF(ISNUMBER(B209),B209,IFERROR(_xlfn.NUMBERVALUE(B209,".",","),0)))</f>
        <v/>
      </c>
      <c r="O209">
        <f>IF(M209="","",IF(ISNUMBER(C209),C209,IFERROR(_xlfn.NUMBERVALUE(C209,".",","),0)))</f>
        <v/>
      </c>
    </row>
    <row r="210">
      <c r="K210">
        <f>IF(OR(LEFT(B210,9)="DOANH THU",LEFT(B210,8)="SỐ LƯỢNG"),A210,IF(A210="","",K209))</f>
        <v/>
      </c>
      <c r="L210">
        <f>IF(A210="","",IF(ISNUMBER(--LEFT(A210,FIND(" - ",A210&amp;" - ")-1)),LEFT(A210,FIND(" - ",A210&amp;" - ")-1),TRIM(A210)))</f>
        <v/>
      </c>
      <c r="M210">
        <f>IF(OR(K210="",K210=A210,A210=""),"",K210&amp;"|"&amp;L210)</f>
        <v/>
      </c>
      <c r="N210">
        <f>IF(M210="","",IF(ISNUMBER(B210),B210,IFERROR(_xlfn.NUMBERVALUE(B210,".",","),0)))</f>
        <v/>
      </c>
      <c r="O210">
        <f>IF(M210="","",IF(ISNUMBER(C210),C210,IFERROR(_xlfn.NUMBERVALUE(C210,".",","),0)))</f>
        <v/>
      </c>
    </row>
    <row r="211">
      <c r="K211">
        <f>IF(OR(LEFT(B211,9)="DOANH THU",LEFT(B211,8)="SỐ LƯỢNG"),A211,IF(A211="","",K210))</f>
        <v/>
      </c>
      <c r="L211">
        <f>IF(A211="","",IF(ISNUMBER(--LEFT(A211,FIND(" - ",A211&amp;" - ")-1)),LEFT(A211,FIND(" - ",A211&amp;" - ")-1),TRIM(A211)))</f>
        <v/>
      </c>
      <c r="M211">
        <f>IF(OR(K211="",K211=A211,A211=""),"",K211&amp;"|"&amp;L211)</f>
        <v/>
      </c>
      <c r="N211">
        <f>IF(M211="","",IF(ISNUMBER(B211),B211,IFERROR(_xlfn.NUMBERVALUE(B211,".",","),0)))</f>
        <v/>
      </c>
      <c r="O211">
        <f>IF(M211="","",IF(ISNUMBER(C211),C211,IFERROR(_xlfn.NUMBERVALUE(C211,".",","),0)))</f>
        <v/>
      </c>
    </row>
    <row r="212">
      <c r="K212">
        <f>IF(OR(LEFT(B212,9)="DOANH THU",LEFT(B212,8)="SỐ LƯỢNG"),A212,IF(A212="","",K211))</f>
        <v/>
      </c>
      <c r="L212">
        <f>IF(A212="","",IF(ISNUMBER(--LEFT(A212,FIND(" - ",A212&amp;" - ")-1)),LEFT(A212,FIND(" - ",A212&amp;" - ")-1),TRIM(A212)))</f>
        <v/>
      </c>
      <c r="M212">
        <f>IF(OR(K212="",K212=A212,A212=""),"",K212&amp;"|"&amp;L212)</f>
        <v/>
      </c>
      <c r="N212">
        <f>IF(M212="","",IF(ISNUMBER(B212),B212,IFERROR(_xlfn.NUMBERVALUE(B212,".",","),0)))</f>
        <v/>
      </c>
      <c r="O212">
        <f>IF(M212="","",IF(ISNUMBER(C212),C212,IFERROR(_xlfn.NUMBERVALUE(C212,".",","),0)))</f>
        <v/>
      </c>
    </row>
    <row r="213">
      <c r="K213">
        <f>IF(OR(LEFT(B213,9)="DOANH THU",LEFT(B213,8)="SỐ LƯỢNG"),A213,IF(A213="","",K212))</f>
        <v/>
      </c>
      <c r="L213">
        <f>IF(A213="","",IF(ISNUMBER(--LEFT(A213,FIND(" - ",A213&amp;" - ")-1)),LEFT(A213,FIND(" - ",A213&amp;" - ")-1),TRIM(A213)))</f>
        <v/>
      </c>
      <c r="M213">
        <f>IF(OR(K213="",K213=A213,A213=""),"",K213&amp;"|"&amp;L213)</f>
        <v/>
      </c>
      <c r="N213">
        <f>IF(M213="","",IF(ISNUMBER(B213),B213,IFERROR(_xlfn.NUMBERVALUE(B213,".",","),0)))</f>
        <v/>
      </c>
      <c r="O213">
        <f>IF(M213="","",IF(ISNUMBER(C213),C213,IFERROR(_xlfn.NUMBERVALUE(C213,".",","),0)))</f>
        <v/>
      </c>
    </row>
    <row r="214">
      <c r="K214">
        <f>IF(OR(LEFT(B214,9)="DOANH THU",LEFT(B214,8)="SỐ LƯỢNG"),A214,IF(A214="","",K213))</f>
        <v/>
      </c>
      <c r="L214">
        <f>IF(A214="","",IF(ISNUMBER(--LEFT(A214,FIND(" - ",A214&amp;" - ")-1)),LEFT(A214,FIND(" - ",A214&amp;" - ")-1),TRIM(A214)))</f>
        <v/>
      </c>
      <c r="M214">
        <f>IF(OR(K214="",K214=A214,A214=""),"",K214&amp;"|"&amp;L214)</f>
        <v/>
      </c>
      <c r="N214">
        <f>IF(M214="","",IF(ISNUMBER(B214),B214,IFERROR(_xlfn.NUMBERVALUE(B214,".",","),0)))</f>
        <v/>
      </c>
      <c r="O214">
        <f>IF(M214="","",IF(ISNUMBER(C214),C214,IFERROR(_xlfn.NUMBERVALUE(C214,".",","),0)))</f>
        <v/>
      </c>
    </row>
    <row r="215">
      <c r="K215">
        <f>IF(OR(LEFT(B215,9)="DOANH THU",LEFT(B215,8)="SỐ LƯỢNG"),A215,IF(A215="","",K214))</f>
        <v/>
      </c>
      <c r="L215">
        <f>IF(A215="","",IF(ISNUMBER(--LEFT(A215,FIND(" - ",A215&amp;" - ")-1)),LEFT(A215,FIND(" - ",A215&amp;" - ")-1),TRIM(A215)))</f>
        <v/>
      </c>
      <c r="M215">
        <f>IF(OR(K215="",K215=A215,A215=""),"",K215&amp;"|"&amp;L215)</f>
        <v/>
      </c>
      <c r="N215">
        <f>IF(M215="","",IF(ISNUMBER(B215),B215,IFERROR(_xlfn.NUMBERVALUE(B215,".",","),0)))</f>
        <v/>
      </c>
      <c r="O215">
        <f>IF(M215="","",IF(ISNUMBER(C215),C215,IFERROR(_xlfn.NUMBERVALUE(C215,".",","),0)))</f>
        <v/>
      </c>
    </row>
    <row r="216">
      <c r="K216">
        <f>IF(OR(LEFT(B216,9)="DOANH THU",LEFT(B216,8)="SỐ LƯỢNG"),A216,IF(A216="","",K215))</f>
        <v/>
      </c>
      <c r="L216">
        <f>IF(A216="","",IF(ISNUMBER(--LEFT(A216,FIND(" - ",A216&amp;" - ")-1)),LEFT(A216,FIND(" - ",A216&amp;" - ")-1),TRIM(A216)))</f>
        <v/>
      </c>
      <c r="M216">
        <f>IF(OR(K216="",K216=A216,A216=""),"",K216&amp;"|"&amp;L216)</f>
        <v/>
      </c>
      <c r="N216">
        <f>IF(M216="","",IF(ISNUMBER(B216),B216,IFERROR(_xlfn.NUMBERVALUE(B216,".",","),0)))</f>
        <v/>
      </c>
      <c r="O216">
        <f>IF(M216="","",IF(ISNUMBER(C216),C216,IFERROR(_xlfn.NUMBERVALUE(C216,".",","),0)))</f>
        <v/>
      </c>
    </row>
    <row r="217">
      <c r="K217">
        <f>IF(OR(LEFT(B217,9)="DOANH THU",LEFT(B217,8)="SỐ LƯỢNG"),A217,IF(A217="","",K216))</f>
        <v/>
      </c>
      <c r="L217">
        <f>IF(A217="","",IF(ISNUMBER(--LEFT(A217,FIND(" - ",A217&amp;" - ")-1)),LEFT(A217,FIND(" - ",A217&amp;" - ")-1),TRIM(A217)))</f>
        <v/>
      </c>
      <c r="M217">
        <f>IF(OR(K217="",K217=A217,A217=""),"",K217&amp;"|"&amp;L217)</f>
        <v/>
      </c>
      <c r="N217">
        <f>IF(M217="","",IF(ISNUMBER(B217),B217,IFERROR(_xlfn.NUMBERVALUE(B217,".",","),0)))</f>
        <v/>
      </c>
      <c r="O217">
        <f>IF(M217="","",IF(ISNUMBER(C217),C217,IFERROR(_xlfn.NUMBERVALUE(C217,".",","),0)))</f>
        <v/>
      </c>
    </row>
    <row r="218">
      <c r="K218">
        <f>IF(OR(LEFT(B218,9)="DOANH THU",LEFT(B218,8)="SỐ LƯỢNG"),A218,IF(A218="","",K217))</f>
        <v/>
      </c>
      <c r="L218">
        <f>IF(A218="","",IF(ISNUMBER(--LEFT(A218,FIND(" - ",A218&amp;" - ")-1)),LEFT(A218,FIND(" - ",A218&amp;" - ")-1),TRIM(A218)))</f>
        <v/>
      </c>
      <c r="M218">
        <f>IF(OR(K218="",K218=A218,A218=""),"",K218&amp;"|"&amp;L218)</f>
        <v/>
      </c>
      <c r="N218">
        <f>IF(M218="","",IF(ISNUMBER(B218),B218,IFERROR(_xlfn.NUMBERVALUE(B218,".",","),0)))</f>
        <v/>
      </c>
      <c r="O218">
        <f>IF(M218="","",IF(ISNUMBER(C218),C218,IFERROR(_xlfn.NUMBERVALUE(C218,".",","),0)))</f>
        <v/>
      </c>
    </row>
    <row r="219">
      <c r="K219">
        <f>IF(OR(LEFT(B219,9)="DOANH THU",LEFT(B219,8)="SỐ LƯỢNG"),A219,IF(A219="","",K218))</f>
        <v/>
      </c>
      <c r="L219">
        <f>IF(A219="","",IF(ISNUMBER(--LEFT(A219,FIND(" - ",A219&amp;" - ")-1)),LEFT(A219,FIND(" - ",A219&amp;" - ")-1),TRIM(A219)))</f>
        <v/>
      </c>
      <c r="M219">
        <f>IF(OR(K219="",K219=A219,A219=""),"",K219&amp;"|"&amp;L219)</f>
        <v/>
      </c>
      <c r="N219">
        <f>IF(M219="","",IF(ISNUMBER(B219),B219,IFERROR(_xlfn.NUMBERVALUE(B219,".",","),0)))</f>
        <v/>
      </c>
      <c r="O219">
        <f>IF(M219="","",IF(ISNUMBER(C219),C219,IFERROR(_xlfn.NUMBERVALUE(C219,".",","),0)))</f>
        <v/>
      </c>
    </row>
    <row r="220">
      <c r="K220">
        <f>IF(OR(LEFT(B220,9)="DOANH THU",LEFT(B220,8)="SỐ LƯỢNG"),A220,IF(A220="","",K219))</f>
        <v/>
      </c>
      <c r="L220">
        <f>IF(A220="","",IF(ISNUMBER(--LEFT(A220,FIND(" - ",A220&amp;" - ")-1)),LEFT(A220,FIND(" - ",A220&amp;" - ")-1),TRIM(A220)))</f>
        <v/>
      </c>
      <c r="M220">
        <f>IF(OR(K220="",K220=A220,A220=""),"",K220&amp;"|"&amp;L220)</f>
        <v/>
      </c>
      <c r="N220">
        <f>IF(M220="","",IF(ISNUMBER(B220),B220,IFERROR(_xlfn.NUMBERVALUE(B220,".",","),0)))</f>
        <v/>
      </c>
      <c r="O220">
        <f>IF(M220="","",IF(ISNUMBER(C220),C220,IFERROR(_xlfn.NUMBERVALUE(C220,".",","),0)))</f>
        <v/>
      </c>
    </row>
    <row r="221">
      <c r="K221">
        <f>IF(OR(LEFT(B221,9)="DOANH THU",LEFT(B221,8)="SỐ LƯỢNG"),A221,IF(A221="","",K220))</f>
        <v/>
      </c>
      <c r="L221">
        <f>IF(A221="","",IF(ISNUMBER(--LEFT(A221,FIND(" - ",A221&amp;" - ")-1)),LEFT(A221,FIND(" - ",A221&amp;" - ")-1),TRIM(A221)))</f>
        <v/>
      </c>
      <c r="M221">
        <f>IF(OR(K221="",K221=A221,A221=""),"",K221&amp;"|"&amp;L221)</f>
        <v/>
      </c>
      <c r="N221">
        <f>IF(M221="","",IF(ISNUMBER(B221),B221,IFERROR(_xlfn.NUMBERVALUE(B221,".",","),0)))</f>
        <v/>
      </c>
      <c r="O221">
        <f>IF(M221="","",IF(ISNUMBER(C221),C221,IFERROR(_xlfn.NUMBERVALUE(C221,".",","),0)))</f>
        <v/>
      </c>
    </row>
    <row r="222">
      <c r="K222">
        <f>IF(OR(LEFT(B222,9)="DOANH THU",LEFT(B222,8)="SỐ LƯỢNG"),A222,IF(A222="","",K221))</f>
        <v/>
      </c>
      <c r="L222">
        <f>IF(A222="","",IF(ISNUMBER(--LEFT(A222,FIND(" - ",A222&amp;" - ")-1)),LEFT(A222,FIND(" - ",A222&amp;" - ")-1),TRIM(A222)))</f>
        <v/>
      </c>
      <c r="M222">
        <f>IF(OR(K222="",K222=A222,A222=""),"",K222&amp;"|"&amp;L222)</f>
        <v/>
      </c>
      <c r="N222">
        <f>IF(M222="","",IF(ISNUMBER(B222),B222,IFERROR(_xlfn.NUMBERVALUE(B222,".",","),0)))</f>
        <v/>
      </c>
      <c r="O222">
        <f>IF(M222="","",IF(ISNUMBER(C222),C222,IFERROR(_xlfn.NUMBERVALUE(C222,".",","),0)))</f>
        <v/>
      </c>
    </row>
    <row r="223">
      <c r="K223">
        <f>IF(OR(LEFT(B223,9)="DOANH THU",LEFT(B223,8)="SỐ LƯỢNG"),A223,IF(A223="","",K222))</f>
        <v/>
      </c>
      <c r="L223">
        <f>IF(A223="","",IF(ISNUMBER(--LEFT(A223,FIND(" - ",A223&amp;" - ")-1)),LEFT(A223,FIND(" - ",A223&amp;" - ")-1),TRIM(A223)))</f>
        <v/>
      </c>
      <c r="M223">
        <f>IF(OR(K223="",K223=A223,A223=""),"",K223&amp;"|"&amp;L223)</f>
        <v/>
      </c>
      <c r="N223">
        <f>IF(M223="","",IF(ISNUMBER(B223),B223,IFERROR(_xlfn.NUMBERVALUE(B223,".",","),0)))</f>
        <v/>
      </c>
      <c r="O223">
        <f>IF(M223="","",IF(ISNUMBER(C223),C223,IFERROR(_xlfn.NUMBERVALUE(C223,".",","),0)))</f>
        <v/>
      </c>
    </row>
    <row r="224">
      <c r="K224">
        <f>IF(OR(LEFT(B224,9)="DOANH THU",LEFT(B224,8)="SỐ LƯỢNG"),A224,IF(A224="","",K223))</f>
        <v/>
      </c>
      <c r="L224">
        <f>IF(A224="","",IF(ISNUMBER(--LEFT(A224,FIND(" - ",A224&amp;" - ")-1)),LEFT(A224,FIND(" - ",A224&amp;" - ")-1),TRIM(A224)))</f>
        <v/>
      </c>
      <c r="M224">
        <f>IF(OR(K224="",K224=A224,A224=""),"",K224&amp;"|"&amp;L224)</f>
        <v/>
      </c>
      <c r="N224">
        <f>IF(M224="","",IF(ISNUMBER(B224),B224,IFERROR(_xlfn.NUMBERVALUE(B224,".",","),0)))</f>
        <v/>
      </c>
      <c r="O224">
        <f>IF(M224="","",IF(ISNUMBER(C224),C224,IFERROR(_xlfn.NUMBERVALUE(C224,".",","),0)))</f>
        <v/>
      </c>
    </row>
    <row r="225">
      <c r="K225">
        <f>IF(OR(LEFT(B225,9)="DOANH THU",LEFT(B225,8)="SỐ LƯỢNG"),A225,IF(A225="","",K224))</f>
        <v/>
      </c>
      <c r="L225">
        <f>IF(A225="","",IF(ISNUMBER(--LEFT(A225,FIND(" - ",A225&amp;" - ")-1)),LEFT(A225,FIND(" - ",A225&amp;" - ")-1),TRIM(A225)))</f>
        <v/>
      </c>
      <c r="M225">
        <f>IF(OR(K225="",K225=A225,A225=""),"",K225&amp;"|"&amp;L225)</f>
        <v/>
      </c>
      <c r="N225">
        <f>IF(M225="","",IF(ISNUMBER(B225),B225,IFERROR(_xlfn.NUMBERVALUE(B225,".",","),0)))</f>
        <v/>
      </c>
      <c r="O225">
        <f>IF(M225="","",IF(ISNUMBER(C225),C225,IFERROR(_xlfn.NUMBERVALUE(C225,".",","),0)))</f>
        <v/>
      </c>
    </row>
    <row r="226">
      <c r="K226">
        <f>IF(OR(LEFT(B226,9)="DOANH THU",LEFT(B226,8)="SỐ LƯỢNG"),A226,IF(A226="","",K225))</f>
        <v/>
      </c>
      <c r="L226">
        <f>IF(A226="","",IF(ISNUMBER(--LEFT(A226,FIND(" - ",A226&amp;" - ")-1)),LEFT(A226,FIND(" - ",A226&amp;" - ")-1),TRIM(A226)))</f>
        <v/>
      </c>
      <c r="M226">
        <f>IF(OR(K226="",K226=A226,A226=""),"",K226&amp;"|"&amp;L226)</f>
        <v/>
      </c>
      <c r="N226">
        <f>IF(M226="","",IF(ISNUMBER(B226),B226,IFERROR(_xlfn.NUMBERVALUE(B226,".",","),0)))</f>
        <v/>
      </c>
      <c r="O226">
        <f>IF(M226="","",IF(ISNUMBER(C226),C226,IFERROR(_xlfn.NUMBERVALUE(C226,".",","),0)))</f>
        <v/>
      </c>
    </row>
    <row r="227">
      <c r="K227">
        <f>IF(OR(LEFT(B227,9)="DOANH THU",LEFT(B227,8)="SỐ LƯỢNG"),A227,IF(A227="","",K226))</f>
        <v/>
      </c>
      <c r="L227">
        <f>IF(A227="","",IF(ISNUMBER(--LEFT(A227,FIND(" - ",A227&amp;" - ")-1)),LEFT(A227,FIND(" - ",A227&amp;" - ")-1),TRIM(A227)))</f>
        <v/>
      </c>
      <c r="M227">
        <f>IF(OR(K227="",K227=A227,A227=""),"",K227&amp;"|"&amp;L227)</f>
        <v/>
      </c>
      <c r="N227">
        <f>IF(M227="","",IF(ISNUMBER(B227),B227,IFERROR(_xlfn.NUMBERVALUE(B227,".",","),0)))</f>
        <v/>
      </c>
      <c r="O227">
        <f>IF(M227="","",IF(ISNUMBER(C227),C227,IFERROR(_xlfn.NUMBERVALUE(C227,".",","),0)))</f>
        <v/>
      </c>
    </row>
    <row r="228">
      <c r="K228">
        <f>IF(OR(LEFT(B228,9)="DOANH THU",LEFT(B228,8)="SỐ LƯỢNG"),A228,IF(A228="","",K227))</f>
        <v/>
      </c>
      <c r="L228">
        <f>IF(A228="","",IF(ISNUMBER(--LEFT(A228,FIND(" - ",A228&amp;" - ")-1)),LEFT(A228,FIND(" - ",A228&amp;" - ")-1),TRIM(A228)))</f>
        <v/>
      </c>
      <c r="M228">
        <f>IF(OR(K228="",K228=A228,A228=""),"",K228&amp;"|"&amp;L228)</f>
        <v/>
      </c>
      <c r="N228">
        <f>IF(M228="","",IF(ISNUMBER(B228),B228,IFERROR(_xlfn.NUMBERVALUE(B228,".",","),0)))</f>
        <v/>
      </c>
      <c r="O228">
        <f>IF(M228="","",IF(ISNUMBER(C228),C228,IFERROR(_xlfn.NUMBERVALUE(C228,".",","),0)))</f>
        <v/>
      </c>
    </row>
    <row r="229">
      <c r="K229">
        <f>IF(OR(LEFT(B229,9)="DOANH THU",LEFT(B229,8)="SỐ LƯỢNG"),A229,IF(A229="","",K228))</f>
        <v/>
      </c>
      <c r="L229">
        <f>IF(A229="","",IF(ISNUMBER(--LEFT(A229,FIND(" - ",A229&amp;" - ")-1)),LEFT(A229,FIND(" - ",A229&amp;" - ")-1),TRIM(A229)))</f>
        <v/>
      </c>
      <c r="M229">
        <f>IF(OR(K229="",K229=A229,A229=""),"",K229&amp;"|"&amp;L229)</f>
        <v/>
      </c>
      <c r="N229">
        <f>IF(M229="","",IF(ISNUMBER(B229),B229,IFERROR(_xlfn.NUMBERVALUE(B229,".",","),0)))</f>
        <v/>
      </c>
      <c r="O229">
        <f>IF(M229="","",IF(ISNUMBER(C229),C229,IFERROR(_xlfn.NUMBERVALUE(C229,".",","),0)))</f>
        <v/>
      </c>
    </row>
    <row r="230">
      <c r="K230">
        <f>IF(OR(LEFT(B230,9)="DOANH THU",LEFT(B230,8)="SỐ LƯỢNG"),A230,IF(A230="","",K229))</f>
        <v/>
      </c>
      <c r="L230">
        <f>IF(A230="","",IF(ISNUMBER(--LEFT(A230,FIND(" - ",A230&amp;" - ")-1)),LEFT(A230,FIND(" - ",A230&amp;" - ")-1),TRIM(A230)))</f>
        <v/>
      </c>
      <c r="M230">
        <f>IF(OR(K230="",K230=A230,A230=""),"",K230&amp;"|"&amp;L230)</f>
        <v/>
      </c>
      <c r="N230">
        <f>IF(M230="","",IF(ISNUMBER(B230),B230,IFERROR(_xlfn.NUMBERVALUE(B230,".",","),0)))</f>
        <v/>
      </c>
      <c r="O230">
        <f>IF(M230="","",IF(ISNUMBER(C230),C230,IFERROR(_xlfn.NUMBERVALUE(C230,".",","),0)))</f>
        <v/>
      </c>
    </row>
    <row r="231">
      <c r="K231">
        <f>IF(OR(LEFT(B231,9)="DOANH THU",LEFT(B231,8)="SỐ LƯỢNG"),A231,IF(A231="","",K230))</f>
        <v/>
      </c>
      <c r="L231">
        <f>IF(A231="","",IF(ISNUMBER(--LEFT(A231,FIND(" - ",A231&amp;" - ")-1)),LEFT(A231,FIND(" - ",A231&amp;" - ")-1),TRIM(A231)))</f>
        <v/>
      </c>
      <c r="M231">
        <f>IF(OR(K231="",K231=A231,A231=""),"",K231&amp;"|"&amp;L231)</f>
        <v/>
      </c>
      <c r="N231">
        <f>IF(M231="","",IF(ISNUMBER(B231),B231,IFERROR(_xlfn.NUMBERVALUE(B231,".",","),0)))</f>
        <v/>
      </c>
      <c r="O231">
        <f>IF(M231="","",IF(ISNUMBER(C231),C231,IFERROR(_xlfn.NUMBERVALUE(C231,".",","),0)))</f>
        <v/>
      </c>
    </row>
    <row r="232">
      <c r="K232">
        <f>IF(OR(LEFT(B232,9)="DOANH THU",LEFT(B232,8)="SỐ LƯỢNG"),A232,IF(A232="","",K231))</f>
        <v/>
      </c>
      <c r="L232">
        <f>IF(A232="","",IF(ISNUMBER(--LEFT(A232,FIND(" - ",A232&amp;" - ")-1)),LEFT(A232,FIND(" - ",A232&amp;" - ")-1),TRIM(A232)))</f>
        <v/>
      </c>
      <c r="M232">
        <f>IF(OR(K232="",K232=A232,A232=""),"",K232&amp;"|"&amp;L232)</f>
        <v/>
      </c>
      <c r="N232">
        <f>IF(M232="","",IF(ISNUMBER(B232),B232,IFERROR(_xlfn.NUMBERVALUE(B232,".",","),0)))</f>
        <v/>
      </c>
      <c r="O232">
        <f>IF(M232="","",IF(ISNUMBER(C232),C232,IFERROR(_xlfn.NUMBERVALUE(C232,".",","),0)))</f>
        <v/>
      </c>
    </row>
    <row r="233">
      <c r="K233">
        <f>IF(OR(LEFT(B233,9)="DOANH THU",LEFT(B233,8)="SỐ LƯỢNG"),A233,IF(A233="","",K232))</f>
        <v/>
      </c>
      <c r="L233">
        <f>IF(A233="","",IF(ISNUMBER(--LEFT(A233,FIND(" - ",A233&amp;" - ")-1)),LEFT(A233,FIND(" - ",A233&amp;" - ")-1),TRIM(A233)))</f>
        <v/>
      </c>
      <c r="M233">
        <f>IF(OR(K233="",K233=A233,A233=""),"",K233&amp;"|"&amp;L233)</f>
        <v/>
      </c>
      <c r="N233">
        <f>IF(M233="","",IF(ISNUMBER(B233),B233,IFERROR(_xlfn.NUMBERVALUE(B233,".",","),0)))</f>
        <v/>
      </c>
      <c r="O233">
        <f>IF(M233="","",IF(ISNUMBER(C233),C233,IFERROR(_xlfn.NUMBERVALUE(C233,".",","),0)))</f>
        <v/>
      </c>
    </row>
    <row r="234">
      <c r="K234">
        <f>IF(OR(LEFT(B234,9)="DOANH THU",LEFT(B234,8)="SỐ LƯỢNG"),A234,IF(A234="","",K233))</f>
        <v/>
      </c>
      <c r="L234">
        <f>IF(A234="","",IF(ISNUMBER(--LEFT(A234,FIND(" - ",A234&amp;" - ")-1)),LEFT(A234,FIND(" - ",A234&amp;" - ")-1),TRIM(A234)))</f>
        <v/>
      </c>
      <c r="M234">
        <f>IF(OR(K234="",K234=A234,A234=""),"",K234&amp;"|"&amp;L234)</f>
        <v/>
      </c>
      <c r="N234">
        <f>IF(M234="","",IF(ISNUMBER(B234),B234,IFERROR(_xlfn.NUMBERVALUE(B234,".",","),0)))</f>
        <v/>
      </c>
      <c r="O234">
        <f>IF(M234="","",IF(ISNUMBER(C234),C234,IFERROR(_xlfn.NUMBERVALUE(C234,".",","),0)))</f>
        <v/>
      </c>
    </row>
    <row r="235">
      <c r="K235">
        <f>IF(OR(LEFT(B235,9)="DOANH THU",LEFT(B235,8)="SỐ LƯỢNG"),A235,IF(A235="","",K234))</f>
        <v/>
      </c>
      <c r="L235">
        <f>IF(A235="","",IF(ISNUMBER(--LEFT(A235,FIND(" - ",A235&amp;" - ")-1)),LEFT(A235,FIND(" - ",A235&amp;" - ")-1),TRIM(A235)))</f>
        <v/>
      </c>
      <c r="M235">
        <f>IF(OR(K235="",K235=A235,A235=""),"",K235&amp;"|"&amp;L235)</f>
        <v/>
      </c>
      <c r="N235">
        <f>IF(M235="","",IF(ISNUMBER(B235),B235,IFERROR(_xlfn.NUMBERVALUE(B235,".",","),0)))</f>
        <v/>
      </c>
      <c r="O235">
        <f>IF(M235="","",IF(ISNUMBER(C235),C235,IFERROR(_xlfn.NUMBERVALUE(C235,".",","),0)))</f>
        <v/>
      </c>
    </row>
    <row r="236">
      <c r="K236">
        <f>IF(OR(LEFT(B236,9)="DOANH THU",LEFT(B236,8)="SỐ LƯỢNG"),A236,IF(A236="","",K235))</f>
        <v/>
      </c>
      <c r="L236">
        <f>IF(A236="","",IF(ISNUMBER(--LEFT(A236,FIND(" - ",A236&amp;" - ")-1)),LEFT(A236,FIND(" - ",A236&amp;" - ")-1),TRIM(A236)))</f>
        <v/>
      </c>
      <c r="M236">
        <f>IF(OR(K236="",K236=A236,A236=""),"",K236&amp;"|"&amp;L236)</f>
        <v/>
      </c>
      <c r="N236">
        <f>IF(M236="","",IF(ISNUMBER(B236),B236,IFERROR(_xlfn.NUMBERVALUE(B236,".",","),0)))</f>
        <v/>
      </c>
      <c r="O236">
        <f>IF(M236="","",IF(ISNUMBER(C236),C236,IFERROR(_xlfn.NUMBERVALUE(C236,".",","),0)))</f>
        <v/>
      </c>
    </row>
    <row r="237">
      <c r="K237">
        <f>IF(OR(LEFT(B237,9)="DOANH THU",LEFT(B237,8)="SỐ LƯỢNG"),A237,IF(A237="","",K236))</f>
        <v/>
      </c>
      <c r="L237">
        <f>IF(A237="","",IF(ISNUMBER(--LEFT(A237,FIND(" - ",A237&amp;" - ")-1)),LEFT(A237,FIND(" - ",A237&amp;" - ")-1),TRIM(A237)))</f>
        <v/>
      </c>
      <c r="M237">
        <f>IF(OR(K237="",K237=A237,A237=""),"",K237&amp;"|"&amp;L237)</f>
        <v/>
      </c>
      <c r="N237">
        <f>IF(M237="","",IF(ISNUMBER(B237),B237,IFERROR(_xlfn.NUMBERVALUE(B237,".",","),0)))</f>
        <v/>
      </c>
      <c r="O237">
        <f>IF(M237="","",IF(ISNUMBER(C237),C237,IFERROR(_xlfn.NUMBERVALUE(C237,".",","),0)))</f>
        <v/>
      </c>
    </row>
    <row r="238">
      <c r="K238">
        <f>IF(OR(LEFT(B238,9)="DOANH THU",LEFT(B238,8)="SỐ LƯỢNG"),A238,IF(A238="","",K237))</f>
        <v/>
      </c>
      <c r="L238">
        <f>IF(A238="","",IF(ISNUMBER(--LEFT(A238,FIND(" - ",A238&amp;" - ")-1)),LEFT(A238,FIND(" - ",A238&amp;" - ")-1),TRIM(A238)))</f>
        <v/>
      </c>
      <c r="M238">
        <f>IF(OR(K238="",K238=A238,A238=""),"",K238&amp;"|"&amp;L238)</f>
        <v/>
      </c>
      <c r="N238">
        <f>IF(M238="","",IF(ISNUMBER(B238),B238,IFERROR(_xlfn.NUMBERVALUE(B238,".",","),0)))</f>
        <v/>
      </c>
      <c r="O238">
        <f>IF(M238="","",IF(ISNUMBER(C238),C238,IFERROR(_xlfn.NUMBERVALUE(C238,".",","),0)))</f>
        <v/>
      </c>
    </row>
    <row r="239">
      <c r="K239">
        <f>IF(OR(LEFT(B239,9)="DOANH THU",LEFT(B239,8)="SỐ LƯỢNG"),A239,IF(A239="","",K238))</f>
        <v/>
      </c>
      <c r="L239">
        <f>IF(A239="","",IF(ISNUMBER(--LEFT(A239,FIND(" - ",A239&amp;" - ")-1)),LEFT(A239,FIND(" - ",A239&amp;" - ")-1),TRIM(A239)))</f>
        <v/>
      </c>
      <c r="M239">
        <f>IF(OR(K239="",K239=A239,A239=""),"",K239&amp;"|"&amp;L239)</f>
        <v/>
      </c>
      <c r="N239">
        <f>IF(M239="","",IF(ISNUMBER(B239),B239,IFERROR(_xlfn.NUMBERVALUE(B239,".",","),0)))</f>
        <v/>
      </c>
      <c r="O239">
        <f>IF(M239="","",IF(ISNUMBER(C239),C239,IFERROR(_xlfn.NUMBERVALUE(C239,".",","),0)))</f>
        <v/>
      </c>
    </row>
    <row r="240">
      <c r="K240">
        <f>IF(OR(LEFT(B240,9)="DOANH THU",LEFT(B240,8)="SỐ LƯỢNG"),A240,IF(A240="","",K239))</f>
        <v/>
      </c>
      <c r="L240">
        <f>IF(A240="","",IF(ISNUMBER(--LEFT(A240,FIND(" - ",A240&amp;" - ")-1)),LEFT(A240,FIND(" - ",A240&amp;" - ")-1),TRIM(A240)))</f>
        <v/>
      </c>
      <c r="M240">
        <f>IF(OR(K240="",K240=A240,A240=""),"",K240&amp;"|"&amp;L240)</f>
        <v/>
      </c>
      <c r="N240">
        <f>IF(M240="","",IF(ISNUMBER(B240),B240,IFERROR(_xlfn.NUMBERVALUE(B240,".",","),0)))</f>
        <v/>
      </c>
      <c r="O240">
        <f>IF(M240="","",IF(ISNUMBER(C240),C240,IFERROR(_xlfn.NUMBERVALUE(C240,".",","),0)))</f>
        <v/>
      </c>
    </row>
    <row r="241">
      <c r="K241">
        <f>IF(OR(LEFT(B241,9)="DOANH THU",LEFT(B241,8)="SỐ LƯỢNG"),A241,IF(A241="","",K240))</f>
        <v/>
      </c>
      <c r="L241">
        <f>IF(A241="","",IF(ISNUMBER(--LEFT(A241,FIND(" - ",A241&amp;" - ")-1)),LEFT(A241,FIND(" - ",A241&amp;" - ")-1),TRIM(A241)))</f>
        <v/>
      </c>
      <c r="M241">
        <f>IF(OR(K241="",K241=A241,A241=""),"",K241&amp;"|"&amp;L241)</f>
        <v/>
      </c>
      <c r="N241">
        <f>IF(M241="","",IF(ISNUMBER(B241),B241,IFERROR(_xlfn.NUMBERVALUE(B241,".",","),0)))</f>
        <v/>
      </c>
      <c r="O241">
        <f>IF(M241="","",IF(ISNUMBER(C241),C241,IFERROR(_xlfn.NUMBERVALUE(C241,".",","),0)))</f>
        <v/>
      </c>
    </row>
    <row r="242">
      <c r="K242">
        <f>IF(OR(LEFT(B242,9)="DOANH THU",LEFT(B242,8)="SỐ LƯỢNG"),A242,IF(A242="","",K241))</f>
        <v/>
      </c>
      <c r="L242">
        <f>IF(A242="","",IF(ISNUMBER(--LEFT(A242,FIND(" - ",A242&amp;" - ")-1)),LEFT(A242,FIND(" - ",A242&amp;" - ")-1),TRIM(A242)))</f>
        <v/>
      </c>
      <c r="M242">
        <f>IF(OR(K242="",K242=A242,A242=""),"",K242&amp;"|"&amp;L242)</f>
        <v/>
      </c>
      <c r="N242">
        <f>IF(M242="","",IF(ISNUMBER(B242),B242,IFERROR(_xlfn.NUMBERVALUE(B242,".",","),0)))</f>
        <v/>
      </c>
      <c r="O242">
        <f>IF(M242="","",IF(ISNUMBER(C242),C242,IFERROR(_xlfn.NUMBERVALUE(C242,".",","),0)))</f>
        <v/>
      </c>
    </row>
    <row r="243">
      <c r="K243">
        <f>IF(OR(LEFT(B243,9)="DOANH THU",LEFT(B243,8)="SỐ LƯỢNG"),A243,IF(A243="","",K242))</f>
        <v/>
      </c>
      <c r="L243">
        <f>IF(A243="","",IF(ISNUMBER(--LEFT(A243,FIND(" - ",A243&amp;" - ")-1)),LEFT(A243,FIND(" - ",A243&amp;" - ")-1),TRIM(A243)))</f>
        <v/>
      </c>
      <c r="M243">
        <f>IF(OR(K243="",K243=A243,A243=""),"",K243&amp;"|"&amp;L243)</f>
        <v/>
      </c>
      <c r="N243">
        <f>IF(M243="","",IF(ISNUMBER(B243),B243,IFERROR(_xlfn.NUMBERVALUE(B243,".",","),0)))</f>
        <v/>
      </c>
      <c r="O243">
        <f>IF(M243="","",IF(ISNUMBER(C243),C243,IFERROR(_xlfn.NUMBERVALUE(C243,".",","),0)))</f>
        <v/>
      </c>
    </row>
    <row r="244">
      <c r="K244">
        <f>IF(OR(LEFT(B244,9)="DOANH THU",LEFT(B244,8)="SỐ LƯỢNG"),A244,IF(A244="","",K243))</f>
        <v/>
      </c>
      <c r="L244">
        <f>IF(A244="","",IF(ISNUMBER(--LEFT(A244,FIND(" - ",A244&amp;" - ")-1)),LEFT(A244,FIND(" - ",A244&amp;" - ")-1),TRIM(A244)))</f>
        <v/>
      </c>
      <c r="M244">
        <f>IF(OR(K244="",K244=A244,A244=""),"",K244&amp;"|"&amp;L244)</f>
        <v/>
      </c>
      <c r="N244">
        <f>IF(M244="","",IF(ISNUMBER(B244),B244,IFERROR(_xlfn.NUMBERVALUE(B244,".",","),0)))</f>
        <v/>
      </c>
      <c r="O244">
        <f>IF(M244="","",IF(ISNUMBER(C244),C244,IFERROR(_xlfn.NUMBERVALUE(C244,".",","),0)))</f>
        <v/>
      </c>
    </row>
    <row r="245">
      <c r="K245">
        <f>IF(OR(LEFT(B245,9)="DOANH THU",LEFT(B245,8)="SỐ LƯỢNG"),A245,IF(A245="","",K244))</f>
        <v/>
      </c>
      <c r="L245">
        <f>IF(A245="","",IF(ISNUMBER(--LEFT(A245,FIND(" - ",A245&amp;" - ")-1)),LEFT(A245,FIND(" - ",A245&amp;" - ")-1),TRIM(A245)))</f>
        <v/>
      </c>
      <c r="M245">
        <f>IF(OR(K245="",K245=A245,A245=""),"",K245&amp;"|"&amp;L245)</f>
        <v/>
      </c>
      <c r="N245">
        <f>IF(M245="","",IF(ISNUMBER(B245),B245,IFERROR(_xlfn.NUMBERVALUE(B245,".",","),0)))</f>
        <v/>
      </c>
      <c r="O245">
        <f>IF(M245="","",IF(ISNUMBER(C245),C245,IFERROR(_xlfn.NUMBERVALUE(C245,".",","),0)))</f>
        <v/>
      </c>
    </row>
    <row r="246">
      <c r="K246">
        <f>IF(OR(LEFT(B246,9)="DOANH THU",LEFT(B246,8)="SỐ LƯỢNG"),A246,IF(A246="","",K245))</f>
        <v/>
      </c>
      <c r="L246">
        <f>IF(A246="","",IF(ISNUMBER(--LEFT(A246,FIND(" - ",A246&amp;" - ")-1)),LEFT(A246,FIND(" - ",A246&amp;" - ")-1),TRIM(A246)))</f>
        <v/>
      </c>
      <c r="M246">
        <f>IF(OR(K246="",K246=A246,A246=""),"",K246&amp;"|"&amp;L246)</f>
        <v/>
      </c>
      <c r="N246">
        <f>IF(M246="","",IF(ISNUMBER(B246),B246,IFERROR(_xlfn.NUMBERVALUE(B246,".",","),0)))</f>
        <v/>
      </c>
      <c r="O246">
        <f>IF(M246="","",IF(ISNUMBER(C246),C246,IFERROR(_xlfn.NUMBERVALUE(C246,".",","),0)))</f>
        <v/>
      </c>
    </row>
    <row r="247">
      <c r="K247">
        <f>IF(OR(LEFT(B247,9)="DOANH THU",LEFT(B247,8)="SỐ LƯỢNG"),A247,IF(A247="","",K246))</f>
        <v/>
      </c>
      <c r="L247">
        <f>IF(A247="","",IF(ISNUMBER(--LEFT(A247,FIND(" - ",A247&amp;" - ")-1)),LEFT(A247,FIND(" - ",A247&amp;" - ")-1),TRIM(A247)))</f>
        <v/>
      </c>
      <c r="M247">
        <f>IF(OR(K247="",K247=A247,A247=""),"",K247&amp;"|"&amp;L247)</f>
        <v/>
      </c>
      <c r="N247">
        <f>IF(M247="","",IF(ISNUMBER(B247),B247,IFERROR(_xlfn.NUMBERVALUE(B247,".",","),0)))</f>
        <v/>
      </c>
      <c r="O247">
        <f>IF(M247="","",IF(ISNUMBER(C247),C247,IFERROR(_xlfn.NUMBERVALUE(C247,".",","),0)))</f>
        <v/>
      </c>
    </row>
    <row r="248">
      <c r="K248">
        <f>IF(OR(LEFT(B248,9)="DOANH THU",LEFT(B248,8)="SỐ LƯỢNG"),A248,IF(A248="","",K247))</f>
        <v/>
      </c>
      <c r="L248">
        <f>IF(A248="","",IF(ISNUMBER(--LEFT(A248,FIND(" - ",A248&amp;" - ")-1)),LEFT(A248,FIND(" - ",A248&amp;" - ")-1),TRIM(A248)))</f>
        <v/>
      </c>
      <c r="M248">
        <f>IF(OR(K248="",K248=A248,A248=""),"",K248&amp;"|"&amp;L248)</f>
        <v/>
      </c>
      <c r="N248">
        <f>IF(M248="","",IF(ISNUMBER(B248),B248,IFERROR(_xlfn.NUMBERVALUE(B248,".",","),0)))</f>
        <v/>
      </c>
      <c r="O248">
        <f>IF(M248="","",IF(ISNUMBER(C248),C248,IFERROR(_xlfn.NUMBERVALUE(C248,".",","),0)))</f>
        <v/>
      </c>
    </row>
    <row r="249">
      <c r="K249">
        <f>IF(OR(LEFT(B249,9)="DOANH THU",LEFT(B249,8)="SỐ LƯỢNG"),A249,IF(A249="","",K248))</f>
        <v/>
      </c>
      <c r="L249">
        <f>IF(A249="","",IF(ISNUMBER(--LEFT(A249,FIND(" - ",A249&amp;" - ")-1)),LEFT(A249,FIND(" - ",A249&amp;" - ")-1),TRIM(A249)))</f>
        <v/>
      </c>
      <c r="M249">
        <f>IF(OR(K249="",K249=A249,A249=""),"",K249&amp;"|"&amp;L249)</f>
        <v/>
      </c>
      <c r="N249">
        <f>IF(M249="","",IF(ISNUMBER(B249),B249,IFERROR(_xlfn.NUMBERVALUE(B249,".",","),0)))</f>
        <v/>
      </c>
      <c r="O249">
        <f>IF(M249="","",IF(ISNUMBER(C249),C249,IFERROR(_xlfn.NUMBERVALUE(C249,".",","),0)))</f>
        <v/>
      </c>
    </row>
    <row r="250">
      <c r="K250">
        <f>IF(OR(LEFT(B250,9)="DOANH THU",LEFT(B250,8)="SỐ LƯỢNG"),A250,IF(A250="","",K249))</f>
        <v/>
      </c>
      <c r="L250">
        <f>IF(A250="","",IF(ISNUMBER(--LEFT(A250,FIND(" - ",A250&amp;" - ")-1)),LEFT(A250,FIND(" - ",A250&amp;" - ")-1),TRIM(A250)))</f>
        <v/>
      </c>
      <c r="M250">
        <f>IF(OR(K250="",K250=A250,A250=""),"",K250&amp;"|"&amp;L250)</f>
        <v/>
      </c>
      <c r="N250">
        <f>IF(M250="","",IF(ISNUMBER(B250),B250,IFERROR(_xlfn.NUMBERVALUE(B250,".",","),0)))</f>
        <v/>
      </c>
      <c r="O250">
        <f>IF(M250="","",IF(ISNUMBER(C250),C250,IFERROR(_xlfn.NUMBERVALUE(C250,".",","),0)))</f>
        <v/>
      </c>
    </row>
    <row r="251">
      <c r="K251">
        <f>IF(OR(LEFT(B251,9)="DOANH THU",LEFT(B251,8)="SỐ LƯỢNG"),A251,IF(A251="","",K250))</f>
        <v/>
      </c>
      <c r="L251">
        <f>IF(A251="","",IF(ISNUMBER(--LEFT(A251,FIND(" - ",A251&amp;" - ")-1)),LEFT(A251,FIND(" - ",A251&amp;" - ")-1),TRIM(A251)))</f>
        <v/>
      </c>
      <c r="M251">
        <f>IF(OR(K251="",K251=A251,A251=""),"",K251&amp;"|"&amp;L251)</f>
        <v/>
      </c>
      <c r="N251">
        <f>IF(M251="","",IF(ISNUMBER(B251),B251,IFERROR(_xlfn.NUMBERVALUE(B251,".",","),0)))</f>
        <v/>
      </c>
      <c r="O251">
        <f>IF(M251="","",IF(ISNUMBER(C251),C251,IFERROR(_xlfn.NUMBERVALUE(C251,".",","),0)))</f>
        <v/>
      </c>
    </row>
    <row r="252">
      <c r="K252">
        <f>IF(OR(LEFT(B252,9)="DOANH THU",LEFT(B252,8)="SỐ LƯỢNG"),A252,IF(A252="","",K251))</f>
        <v/>
      </c>
      <c r="L252">
        <f>IF(A252="","",IF(ISNUMBER(--LEFT(A252,FIND(" - ",A252&amp;" - ")-1)),LEFT(A252,FIND(" - ",A252&amp;" - ")-1),TRIM(A252)))</f>
        <v/>
      </c>
      <c r="M252">
        <f>IF(OR(K252="",K252=A252,A252=""),"",K252&amp;"|"&amp;L252)</f>
        <v/>
      </c>
      <c r="N252">
        <f>IF(M252="","",IF(ISNUMBER(B252),B252,IFERROR(_xlfn.NUMBERVALUE(B252,".",","),0)))</f>
        <v/>
      </c>
      <c r="O252">
        <f>IF(M252="","",IF(ISNUMBER(C252),C252,IFERROR(_xlfn.NUMBERVALUE(C252,".",","),0)))</f>
        <v/>
      </c>
    </row>
    <row r="253">
      <c r="K253">
        <f>IF(OR(LEFT(B253,9)="DOANH THU",LEFT(B253,8)="SỐ LƯỢNG"),A253,IF(A253="","",K252))</f>
        <v/>
      </c>
      <c r="L253">
        <f>IF(A253="","",IF(ISNUMBER(--LEFT(A253,FIND(" - ",A253&amp;" - ")-1)),LEFT(A253,FIND(" - ",A253&amp;" - ")-1),TRIM(A253)))</f>
        <v/>
      </c>
      <c r="M253">
        <f>IF(OR(K253="",K253=A253,A253=""),"",K253&amp;"|"&amp;L253)</f>
        <v/>
      </c>
      <c r="N253">
        <f>IF(M253="","",IF(ISNUMBER(B253),B253,IFERROR(_xlfn.NUMBERVALUE(B253,".",","),0)))</f>
        <v/>
      </c>
      <c r="O253">
        <f>IF(M253="","",IF(ISNUMBER(C253),C253,IFERROR(_xlfn.NUMBERVALUE(C253,".",","),0)))</f>
        <v/>
      </c>
    </row>
    <row r="254">
      <c r="K254">
        <f>IF(OR(LEFT(B254,9)="DOANH THU",LEFT(B254,8)="SỐ LƯỢNG"),A254,IF(A254="","",K253))</f>
        <v/>
      </c>
      <c r="L254">
        <f>IF(A254="","",IF(ISNUMBER(--LEFT(A254,FIND(" - ",A254&amp;" - ")-1)),LEFT(A254,FIND(" - ",A254&amp;" - ")-1),TRIM(A254)))</f>
        <v/>
      </c>
      <c r="M254">
        <f>IF(OR(K254="",K254=A254,A254=""),"",K254&amp;"|"&amp;L254)</f>
        <v/>
      </c>
      <c r="N254">
        <f>IF(M254="","",IF(ISNUMBER(B254),B254,IFERROR(_xlfn.NUMBERVALUE(B254,".",","),0)))</f>
        <v/>
      </c>
      <c r="O254">
        <f>IF(M254="","",IF(ISNUMBER(C254),C254,IFERROR(_xlfn.NUMBERVALUE(C254,".",","),0)))</f>
        <v/>
      </c>
    </row>
    <row r="255">
      <c r="K255">
        <f>IF(OR(LEFT(B255,9)="DOANH THU",LEFT(B255,8)="SỐ LƯỢNG"),A255,IF(A255="","",K254))</f>
        <v/>
      </c>
      <c r="L255">
        <f>IF(A255="","",IF(ISNUMBER(--LEFT(A255,FIND(" - ",A255&amp;" - ")-1)),LEFT(A255,FIND(" - ",A255&amp;" - ")-1),TRIM(A255)))</f>
        <v/>
      </c>
      <c r="M255">
        <f>IF(OR(K255="",K255=A255,A255=""),"",K255&amp;"|"&amp;L255)</f>
        <v/>
      </c>
      <c r="N255">
        <f>IF(M255="","",IF(ISNUMBER(B255),B255,IFERROR(_xlfn.NUMBERVALUE(B255,".",","),0)))</f>
        <v/>
      </c>
      <c r="O255">
        <f>IF(M255="","",IF(ISNUMBER(C255),C255,IFERROR(_xlfn.NUMBERVALUE(C255,".",","),0)))</f>
        <v/>
      </c>
    </row>
    <row r="256">
      <c r="K256">
        <f>IF(OR(LEFT(B256,9)="DOANH THU",LEFT(B256,8)="SỐ LƯỢNG"),A256,IF(A256="","",K255))</f>
        <v/>
      </c>
      <c r="L256">
        <f>IF(A256="","",IF(ISNUMBER(--LEFT(A256,FIND(" - ",A256&amp;" - ")-1)),LEFT(A256,FIND(" - ",A256&amp;" - ")-1),TRIM(A256)))</f>
        <v/>
      </c>
      <c r="M256">
        <f>IF(OR(K256="",K256=A256,A256=""),"",K256&amp;"|"&amp;L256)</f>
        <v/>
      </c>
      <c r="N256">
        <f>IF(M256="","",IF(ISNUMBER(B256),B256,IFERROR(_xlfn.NUMBERVALUE(B256,".",","),0)))</f>
        <v/>
      </c>
      <c r="O256">
        <f>IF(M256="","",IF(ISNUMBER(C256),C256,IFERROR(_xlfn.NUMBERVALUE(C256,".",","),0)))</f>
        <v/>
      </c>
    </row>
    <row r="257">
      <c r="K257">
        <f>IF(OR(LEFT(B257,9)="DOANH THU",LEFT(B257,8)="SỐ LƯỢNG"),A257,IF(A257="","",K256))</f>
        <v/>
      </c>
      <c r="L257">
        <f>IF(A257="","",IF(ISNUMBER(--LEFT(A257,FIND(" - ",A257&amp;" - ")-1)),LEFT(A257,FIND(" - ",A257&amp;" - ")-1),TRIM(A257)))</f>
        <v/>
      </c>
      <c r="M257">
        <f>IF(OR(K257="",K257=A257,A257=""),"",K257&amp;"|"&amp;L257)</f>
        <v/>
      </c>
      <c r="N257">
        <f>IF(M257="","",IF(ISNUMBER(B257),B257,IFERROR(_xlfn.NUMBERVALUE(B257,".",","),0)))</f>
        <v/>
      </c>
      <c r="O257">
        <f>IF(M257="","",IF(ISNUMBER(C257),C257,IFERROR(_xlfn.NUMBERVALUE(C257,".",","),0)))</f>
        <v/>
      </c>
    </row>
    <row r="258">
      <c r="K258">
        <f>IF(OR(LEFT(B258,9)="DOANH THU",LEFT(B258,8)="SỐ LƯỢNG"),A258,IF(A258="","",K257))</f>
        <v/>
      </c>
      <c r="L258">
        <f>IF(A258="","",IF(ISNUMBER(--LEFT(A258,FIND(" - ",A258&amp;" - ")-1)),LEFT(A258,FIND(" - ",A258&amp;" - ")-1),TRIM(A258)))</f>
        <v/>
      </c>
      <c r="M258">
        <f>IF(OR(K258="",K258=A258,A258=""),"",K258&amp;"|"&amp;L258)</f>
        <v/>
      </c>
      <c r="N258">
        <f>IF(M258="","",IF(ISNUMBER(B258),B258,IFERROR(_xlfn.NUMBERVALUE(B258,".",","),0)))</f>
        <v/>
      </c>
      <c r="O258">
        <f>IF(M258="","",IF(ISNUMBER(C258),C258,IFERROR(_xlfn.NUMBERVALUE(C258,".",","),0)))</f>
        <v/>
      </c>
    </row>
    <row r="259">
      <c r="K259">
        <f>IF(OR(LEFT(B259,9)="DOANH THU",LEFT(B259,8)="SỐ LƯỢNG"),A259,IF(A259="","",K258))</f>
        <v/>
      </c>
      <c r="L259">
        <f>IF(A259="","",IF(ISNUMBER(--LEFT(A259,FIND(" - ",A259&amp;" - ")-1)),LEFT(A259,FIND(" - ",A259&amp;" - ")-1),TRIM(A259)))</f>
        <v/>
      </c>
      <c r="M259">
        <f>IF(OR(K259="",K259=A259,A259=""),"",K259&amp;"|"&amp;L259)</f>
        <v/>
      </c>
      <c r="N259">
        <f>IF(M259="","",IF(ISNUMBER(B259),B259,IFERROR(_xlfn.NUMBERVALUE(B259,".",","),0)))</f>
        <v/>
      </c>
      <c r="O259">
        <f>IF(M259="","",IF(ISNUMBER(C259),C259,IFERROR(_xlfn.NUMBERVALUE(C259,".",","),0)))</f>
        <v/>
      </c>
    </row>
    <row r="260">
      <c r="K260">
        <f>IF(OR(LEFT(B260,9)="DOANH THU",LEFT(B260,8)="SỐ LƯỢNG"),A260,IF(A260="","",K259))</f>
        <v/>
      </c>
      <c r="L260">
        <f>IF(A260="","",IF(ISNUMBER(--LEFT(A260,FIND(" - ",A260&amp;" - ")-1)),LEFT(A260,FIND(" - ",A260&amp;" - ")-1),TRIM(A260)))</f>
        <v/>
      </c>
      <c r="M260">
        <f>IF(OR(K260="",K260=A260,A260=""),"",K260&amp;"|"&amp;L260)</f>
        <v/>
      </c>
      <c r="N260">
        <f>IF(M260="","",IF(ISNUMBER(B260),B260,IFERROR(_xlfn.NUMBERVALUE(B260,".",","),0)))</f>
        <v/>
      </c>
      <c r="O260">
        <f>IF(M260="","",IF(ISNUMBER(C260),C260,IFERROR(_xlfn.NUMBERVALUE(C260,".",","),0)))</f>
        <v/>
      </c>
    </row>
    <row r="261">
      <c r="K261">
        <f>IF(OR(LEFT(B261,9)="DOANH THU",LEFT(B261,8)="SỐ LƯỢNG"),A261,IF(A261="","",K260))</f>
        <v/>
      </c>
      <c r="L261">
        <f>IF(A261="","",IF(ISNUMBER(--LEFT(A261,FIND(" - ",A261&amp;" - ")-1)),LEFT(A261,FIND(" - ",A261&amp;" - ")-1),TRIM(A261)))</f>
        <v/>
      </c>
      <c r="M261">
        <f>IF(OR(K261="",K261=A261,A261=""),"",K261&amp;"|"&amp;L261)</f>
        <v/>
      </c>
      <c r="N261">
        <f>IF(M261="","",IF(ISNUMBER(B261),B261,IFERROR(_xlfn.NUMBERVALUE(B261,".",","),0)))</f>
        <v/>
      </c>
      <c r="O261">
        <f>IF(M261="","",IF(ISNUMBER(C261),C261,IFERROR(_xlfn.NUMBERVALUE(C261,".",","),0)))</f>
        <v/>
      </c>
    </row>
    <row r="262">
      <c r="K262">
        <f>IF(OR(LEFT(B262,9)="DOANH THU",LEFT(B262,8)="SỐ LƯỢNG"),A262,IF(A262="","",K261))</f>
        <v/>
      </c>
      <c r="L262">
        <f>IF(A262="","",IF(ISNUMBER(--LEFT(A262,FIND(" - ",A262&amp;" - ")-1)),LEFT(A262,FIND(" - ",A262&amp;" - ")-1),TRIM(A262)))</f>
        <v/>
      </c>
      <c r="M262">
        <f>IF(OR(K262="",K262=A262,A262=""),"",K262&amp;"|"&amp;L262)</f>
        <v/>
      </c>
      <c r="N262">
        <f>IF(M262="","",IF(ISNUMBER(B262),B262,IFERROR(_xlfn.NUMBERVALUE(B262,".",","),0)))</f>
        <v/>
      </c>
      <c r="O262">
        <f>IF(M262="","",IF(ISNUMBER(C262),C262,IFERROR(_xlfn.NUMBERVALUE(C262,".",","),0)))</f>
        <v/>
      </c>
    </row>
    <row r="263">
      <c r="K263">
        <f>IF(OR(LEFT(B263,9)="DOANH THU",LEFT(B263,8)="SỐ LƯỢNG"),A263,IF(A263="","",K262))</f>
        <v/>
      </c>
      <c r="L263">
        <f>IF(A263="","",IF(ISNUMBER(--LEFT(A263,FIND(" - ",A263&amp;" - ")-1)),LEFT(A263,FIND(" - ",A263&amp;" - ")-1),TRIM(A263)))</f>
        <v/>
      </c>
      <c r="M263">
        <f>IF(OR(K263="",K263=A263,A263=""),"",K263&amp;"|"&amp;L263)</f>
        <v/>
      </c>
      <c r="N263">
        <f>IF(M263="","",IF(ISNUMBER(B263),B263,IFERROR(_xlfn.NUMBERVALUE(B263,".",","),0)))</f>
        <v/>
      </c>
      <c r="O263">
        <f>IF(M263="","",IF(ISNUMBER(C263),C263,IFERROR(_xlfn.NUMBERVALUE(C263,".",","),0)))</f>
        <v/>
      </c>
    </row>
    <row r="264">
      <c r="K264">
        <f>IF(OR(LEFT(B264,9)="DOANH THU",LEFT(B264,8)="SỐ LƯỢNG"),A264,IF(A264="","",K263))</f>
        <v/>
      </c>
      <c r="L264">
        <f>IF(A264="","",IF(ISNUMBER(--LEFT(A264,FIND(" - ",A264&amp;" - ")-1)),LEFT(A264,FIND(" - ",A264&amp;" - ")-1),TRIM(A264)))</f>
        <v/>
      </c>
      <c r="M264">
        <f>IF(OR(K264="",K264=A264,A264=""),"",K264&amp;"|"&amp;L264)</f>
        <v/>
      </c>
      <c r="N264">
        <f>IF(M264="","",IF(ISNUMBER(B264),B264,IFERROR(_xlfn.NUMBERVALUE(B264,".",","),0)))</f>
        <v/>
      </c>
      <c r="O264">
        <f>IF(M264="","",IF(ISNUMBER(C264),C264,IFERROR(_xlfn.NUMBERVALUE(C264,".",","),0)))</f>
        <v/>
      </c>
    </row>
    <row r="265">
      <c r="K265">
        <f>IF(OR(LEFT(B265,9)="DOANH THU",LEFT(B265,8)="SỐ LƯỢNG"),A265,IF(A265="","",K264))</f>
        <v/>
      </c>
      <c r="L265">
        <f>IF(A265="","",IF(ISNUMBER(--LEFT(A265,FIND(" - ",A265&amp;" - ")-1)),LEFT(A265,FIND(" - ",A265&amp;" - ")-1),TRIM(A265)))</f>
        <v/>
      </c>
      <c r="M265">
        <f>IF(OR(K265="",K265=A265,A265=""),"",K265&amp;"|"&amp;L265)</f>
        <v/>
      </c>
      <c r="N265">
        <f>IF(M265="","",IF(ISNUMBER(B265),B265,IFERROR(_xlfn.NUMBERVALUE(B265,".",","),0)))</f>
        <v/>
      </c>
      <c r="O265">
        <f>IF(M265="","",IF(ISNUMBER(C265),C265,IFERROR(_xlfn.NUMBERVALUE(C265,".",","),0)))</f>
        <v/>
      </c>
    </row>
    <row r="266">
      <c r="K266">
        <f>IF(OR(LEFT(B266,9)="DOANH THU",LEFT(B266,8)="SỐ LƯỢNG"),A266,IF(A266="","",K265))</f>
        <v/>
      </c>
      <c r="L266">
        <f>IF(A266="","",IF(ISNUMBER(--LEFT(A266,FIND(" - ",A266&amp;" - ")-1)),LEFT(A266,FIND(" - ",A266&amp;" - ")-1),TRIM(A266)))</f>
        <v/>
      </c>
      <c r="M266">
        <f>IF(OR(K266="",K266=A266,A266=""),"",K266&amp;"|"&amp;L266)</f>
        <v/>
      </c>
      <c r="N266">
        <f>IF(M266="","",IF(ISNUMBER(B266),B266,IFERROR(_xlfn.NUMBERVALUE(B266,".",","),0)))</f>
        <v/>
      </c>
      <c r="O266">
        <f>IF(M266="","",IF(ISNUMBER(C266),C266,IFERROR(_xlfn.NUMBERVALUE(C266,".",","),0)))</f>
        <v/>
      </c>
    </row>
    <row r="267">
      <c r="K267">
        <f>IF(OR(LEFT(B267,9)="DOANH THU",LEFT(B267,8)="SỐ LƯỢNG"),A267,IF(A267="","",K266))</f>
        <v/>
      </c>
      <c r="L267">
        <f>IF(A267="","",IF(ISNUMBER(--LEFT(A267,FIND(" - ",A267&amp;" - ")-1)),LEFT(A267,FIND(" - ",A267&amp;" - ")-1),TRIM(A267)))</f>
        <v/>
      </c>
      <c r="M267">
        <f>IF(OR(K267="",K267=A267,A267=""),"",K267&amp;"|"&amp;L267)</f>
        <v/>
      </c>
      <c r="N267">
        <f>IF(M267="","",IF(ISNUMBER(B267),B267,IFERROR(_xlfn.NUMBERVALUE(B267,".",","),0)))</f>
        <v/>
      </c>
      <c r="O267">
        <f>IF(M267="","",IF(ISNUMBER(C267),C267,IFERROR(_xlfn.NUMBERVALUE(C267,".",","),0)))</f>
        <v/>
      </c>
    </row>
    <row r="268">
      <c r="K268">
        <f>IF(OR(LEFT(B268,9)="DOANH THU",LEFT(B268,8)="SỐ LƯỢNG"),A268,IF(A268="","",K267))</f>
        <v/>
      </c>
      <c r="L268">
        <f>IF(A268="","",IF(ISNUMBER(--LEFT(A268,FIND(" - ",A268&amp;" - ")-1)),LEFT(A268,FIND(" - ",A268&amp;" - ")-1),TRIM(A268)))</f>
        <v/>
      </c>
      <c r="M268">
        <f>IF(OR(K268="",K268=A268,A268=""),"",K268&amp;"|"&amp;L268)</f>
        <v/>
      </c>
      <c r="N268">
        <f>IF(M268="","",IF(ISNUMBER(B268),B268,IFERROR(_xlfn.NUMBERVALUE(B268,".",","),0)))</f>
        <v/>
      </c>
      <c r="O268">
        <f>IF(M268="","",IF(ISNUMBER(C268),C268,IFERROR(_xlfn.NUMBERVALUE(C268,".",","),0)))</f>
        <v/>
      </c>
    </row>
    <row r="269">
      <c r="K269">
        <f>IF(OR(LEFT(B269,9)="DOANH THU",LEFT(B269,8)="SỐ LƯỢNG"),A269,IF(A269="","",K268))</f>
        <v/>
      </c>
      <c r="L269">
        <f>IF(A269="","",IF(ISNUMBER(--LEFT(A269,FIND(" - ",A269&amp;" - ")-1)),LEFT(A269,FIND(" - ",A269&amp;" - ")-1),TRIM(A269)))</f>
        <v/>
      </c>
      <c r="M269">
        <f>IF(OR(K269="",K269=A269,A269=""),"",K269&amp;"|"&amp;L269)</f>
        <v/>
      </c>
      <c r="N269">
        <f>IF(M269="","",IF(ISNUMBER(B269),B269,IFERROR(_xlfn.NUMBERVALUE(B269,".",","),0)))</f>
        <v/>
      </c>
      <c r="O269">
        <f>IF(M269="","",IF(ISNUMBER(C269),C269,IFERROR(_xlfn.NUMBERVALUE(C269,".",","),0)))</f>
        <v/>
      </c>
    </row>
    <row r="270">
      <c r="K270">
        <f>IF(OR(LEFT(B270,9)="DOANH THU",LEFT(B270,8)="SỐ LƯỢNG"),A270,IF(A270="","",K269))</f>
        <v/>
      </c>
      <c r="L270">
        <f>IF(A270="","",IF(ISNUMBER(--LEFT(A270,FIND(" - ",A270&amp;" - ")-1)),LEFT(A270,FIND(" - ",A270&amp;" - ")-1),TRIM(A270)))</f>
        <v/>
      </c>
      <c r="M270">
        <f>IF(OR(K270="",K270=A270,A270=""),"",K270&amp;"|"&amp;L270)</f>
        <v/>
      </c>
      <c r="N270">
        <f>IF(M270="","",IF(ISNUMBER(B270),B270,IFERROR(_xlfn.NUMBERVALUE(B270,".",","),0)))</f>
        <v/>
      </c>
      <c r="O270">
        <f>IF(M270="","",IF(ISNUMBER(C270),C270,IFERROR(_xlfn.NUMBERVALUE(C270,".",","),0)))</f>
        <v/>
      </c>
    </row>
    <row r="271">
      <c r="K271">
        <f>IF(OR(LEFT(B271,9)="DOANH THU",LEFT(B271,8)="SỐ LƯỢNG"),A271,IF(A271="","",K270))</f>
        <v/>
      </c>
      <c r="L271">
        <f>IF(A271="","",IF(ISNUMBER(--LEFT(A271,FIND(" - ",A271&amp;" - ")-1)),LEFT(A271,FIND(" - ",A271&amp;" - ")-1),TRIM(A271)))</f>
        <v/>
      </c>
      <c r="M271">
        <f>IF(OR(K271="",K271=A271,A271=""),"",K271&amp;"|"&amp;L271)</f>
        <v/>
      </c>
      <c r="N271">
        <f>IF(M271="","",IF(ISNUMBER(B271),B271,IFERROR(_xlfn.NUMBERVALUE(B271,".",","),0)))</f>
        <v/>
      </c>
      <c r="O271">
        <f>IF(M271="","",IF(ISNUMBER(C271),C271,IFERROR(_xlfn.NUMBERVALUE(C271,".",","),0)))</f>
        <v/>
      </c>
    </row>
    <row r="272">
      <c r="K272">
        <f>IF(OR(LEFT(B272,9)="DOANH THU",LEFT(B272,8)="SỐ LƯỢNG"),A272,IF(A272="","",K271))</f>
        <v/>
      </c>
      <c r="L272">
        <f>IF(A272="","",IF(ISNUMBER(--LEFT(A272,FIND(" - ",A272&amp;" - ")-1)),LEFT(A272,FIND(" - ",A272&amp;" - ")-1),TRIM(A272)))</f>
        <v/>
      </c>
      <c r="M272">
        <f>IF(OR(K272="",K272=A272,A272=""),"",K272&amp;"|"&amp;L272)</f>
        <v/>
      </c>
      <c r="N272">
        <f>IF(M272="","",IF(ISNUMBER(B272),B272,IFERROR(_xlfn.NUMBERVALUE(B272,".",","),0)))</f>
        <v/>
      </c>
      <c r="O272">
        <f>IF(M272="","",IF(ISNUMBER(C272),C272,IFERROR(_xlfn.NUMBERVALUE(C272,".",","),0)))</f>
        <v/>
      </c>
    </row>
    <row r="273">
      <c r="K273">
        <f>IF(OR(LEFT(B273,9)="DOANH THU",LEFT(B273,8)="SỐ LƯỢNG"),A273,IF(A273="","",K272))</f>
        <v/>
      </c>
      <c r="L273">
        <f>IF(A273="","",IF(ISNUMBER(--LEFT(A273,FIND(" - ",A273&amp;" - ")-1)),LEFT(A273,FIND(" - ",A273&amp;" - ")-1),TRIM(A273)))</f>
        <v/>
      </c>
      <c r="M273">
        <f>IF(OR(K273="",K273=A273,A273=""),"",K273&amp;"|"&amp;L273)</f>
        <v/>
      </c>
      <c r="N273">
        <f>IF(M273="","",IF(ISNUMBER(B273),B273,IFERROR(_xlfn.NUMBERVALUE(B273,".",","),0)))</f>
        <v/>
      </c>
      <c r="O273">
        <f>IF(M273="","",IF(ISNUMBER(C273),C273,IFERROR(_xlfn.NUMBERVALUE(C273,".",","),0)))</f>
        <v/>
      </c>
    </row>
    <row r="274">
      <c r="K274">
        <f>IF(OR(LEFT(B274,9)="DOANH THU",LEFT(B274,8)="SỐ LƯỢNG"),A274,IF(A274="","",K273))</f>
        <v/>
      </c>
      <c r="L274">
        <f>IF(A274="","",IF(ISNUMBER(--LEFT(A274,FIND(" - ",A274&amp;" - ")-1)),LEFT(A274,FIND(" - ",A274&amp;" - ")-1),TRIM(A274)))</f>
        <v/>
      </c>
      <c r="M274">
        <f>IF(OR(K274="",K274=A274,A274=""),"",K274&amp;"|"&amp;L274)</f>
        <v/>
      </c>
      <c r="N274">
        <f>IF(M274="","",IF(ISNUMBER(B274),B274,IFERROR(_xlfn.NUMBERVALUE(B274,".",","),0)))</f>
        <v/>
      </c>
      <c r="O274">
        <f>IF(M274="","",IF(ISNUMBER(C274),C274,IFERROR(_xlfn.NUMBERVALUE(C274,".",","),0)))</f>
        <v/>
      </c>
    </row>
    <row r="275">
      <c r="K275">
        <f>IF(OR(LEFT(B275,9)="DOANH THU",LEFT(B275,8)="SỐ LƯỢNG"),A275,IF(A275="","",K274))</f>
        <v/>
      </c>
      <c r="L275">
        <f>IF(A275="","",IF(ISNUMBER(--LEFT(A275,FIND(" - ",A275&amp;" - ")-1)),LEFT(A275,FIND(" - ",A275&amp;" - ")-1),TRIM(A275)))</f>
        <v/>
      </c>
      <c r="M275">
        <f>IF(OR(K275="",K275=A275,A275=""),"",K275&amp;"|"&amp;L275)</f>
        <v/>
      </c>
      <c r="N275">
        <f>IF(M275="","",IF(ISNUMBER(B275),B275,IFERROR(_xlfn.NUMBERVALUE(B275,".",","),0)))</f>
        <v/>
      </c>
      <c r="O275">
        <f>IF(M275="","",IF(ISNUMBER(C275),C275,IFERROR(_xlfn.NUMBERVALUE(C275,".",","),0)))</f>
        <v/>
      </c>
    </row>
    <row r="276">
      <c r="K276">
        <f>IF(OR(LEFT(B276,9)="DOANH THU",LEFT(B276,8)="SỐ LƯỢNG"),A276,IF(A276="","",K275))</f>
        <v/>
      </c>
      <c r="L276">
        <f>IF(A276="","",IF(ISNUMBER(--LEFT(A276,FIND(" - ",A276&amp;" - ")-1)),LEFT(A276,FIND(" - ",A276&amp;" - ")-1),TRIM(A276)))</f>
        <v/>
      </c>
      <c r="M276">
        <f>IF(OR(K276="",K276=A276,A276=""),"",K276&amp;"|"&amp;L276)</f>
        <v/>
      </c>
      <c r="N276">
        <f>IF(M276="","",IF(ISNUMBER(B276),B276,IFERROR(_xlfn.NUMBERVALUE(B276,".",","),0)))</f>
        <v/>
      </c>
      <c r="O276">
        <f>IF(M276="","",IF(ISNUMBER(C276),C276,IFERROR(_xlfn.NUMBERVALUE(C276,".",","),0)))</f>
        <v/>
      </c>
    </row>
    <row r="277">
      <c r="K277">
        <f>IF(OR(LEFT(B277,9)="DOANH THU",LEFT(B277,8)="SỐ LƯỢNG"),A277,IF(A277="","",K276))</f>
        <v/>
      </c>
      <c r="L277">
        <f>IF(A277="","",IF(ISNUMBER(--LEFT(A277,FIND(" - ",A277&amp;" - ")-1)),LEFT(A277,FIND(" - ",A277&amp;" - ")-1),TRIM(A277)))</f>
        <v/>
      </c>
      <c r="M277">
        <f>IF(OR(K277="",K277=A277,A277=""),"",K277&amp;"|"&amp;L277)</f>
        <v/>
      </c>
      <c r="N277">
        <f>IF(M277="","",IF(ISNUMBER(B277),B277,IFERROR(_xlfn.NUMBERVALUE(B277,".",","),0)))</f>
        <v/>
      </c>
      <c r="O277">
        <f>IF(M277="","",IF(ISNUMBER(C277),C277,IFERROR(_xlfn.NUMBERVALUE(C277,".",","),0)))</f>
        <v/>
      </c>
    </row>
    <row r="278">
      <c r="K278">
        <f>IF(OR(LEFT(B278,9)="DOANH THU",LEFT(B278,8)="SỐ LƯỢNG"),A278,IF(A278="","",K277))</f>
        <v/>
      </c>
      <c r="L278">
        <f>IF(A278="","",IF(ISNUMBER(--LEFT(A278,FIND(" - ",A278&amp;" - ")-1)),LEFT(A278,FIND(" - ",A278&amp;" - ")-1),TRIM(A278)))</f>
        <v/>
      </c>
      <c r="M278">
        <f>IF(OR(K278="",K278=A278,A278=""),"",K278&amp;"|"&amp;L278)</f>
        <v/>
      </c>
      <c r="N278">
        <f>IF(M278="","",IF(ISNUMBER(B278),B278,IFERROR(_xlfn.NUMBERVALUE(B278,".",","),0)))</f>
        <v/>
      </c>
      <c r="O278">
        <f>IF(M278="","",IF(ISNUMBER(C278),C278,IFERROR(_xlfn.NUMBERVALUE(C278,".",","),0)))</f>
        <v/>
      </c>
    </row>
    <row r="279">
      <c r="K279">
        <f>IF(OR(LEFT(B279,9)="DOANH THU",LEFT(B279,8)="SỐ LƯỢNG"),A279,IF(A279="","",K278))</f>
        <v/>
      </c>
      <c r="L279">
        <f>IF(A279="","",IF(ISNUMBER(--LEFT(A279,FIND(" - ",A279&amp;" - ")-1)),LEFT(A279,FIND(" - ",A279&amp;" - ")-1),TRIM(A279)))</f>
        <v/>
      </c>
      <c r="M279">
        <f>IF(OR(K279="",K279=A279,A279=""),"",K279&amp;"|"&amp;L279)</f>
        <v/>
      </c>
      <c r="N279">
        <f>IF(M279="","",IF(ISNUMBER(B279),B279,IFERROR(_xlfn.NUMBERVALUE(B279,".",","),0)))</f>
        <v/>
      </c>
      <c r="O279">
        <f>IF(M279="","",IF(ISNUMBER(C279),C279,IFERROR(_xlfn.NUMBERVALUE(C279,".",","),0)))</f>
        <v/>
      </c>
    </row>
    <row r="280">
      <c r="K280">
        <f>IF(OR(LEFT(B280,9)="DOANH THU",LEFT(B280,8)="SỐ LƯỢNG"),A280,IF(A280="","",K279))</f>
        <v/>
      </c>
      <c r="L280">
        <f>IF(A280="","",IF(ISNUMBER(--LEFT(A280,FIND(" - ",A280&amp;" - ")-1)),LEFT(A280,FIND(" - ",A280&amp;" - ")-1),TRIM(A280)))</f>
        <v/>
      </c>
      <c r="M280">
        <f>IF(OR(K280="",K280=A280,A280=""),"",K280&amp;"|"&amp;L280)</f>
        <v/>
      </c>
      <c r="N280">
        <f>IF(M280="","",IF(ISNUMBER(B280),B280,IFERROR(_xlfn.NUMBERVALUE(B280,".",","),0)))</f>
        <v/>
      </c>
      <c r="O280">
        <f>IF(M280="","",IF(ISNUMBER(C280),C280,IFERROR(_xlfn.NUMBERVALUE(C280,".",","),0)))</f>
        <v/>
      </c>
    </row>
    <row r="281">
      <c r="K281">
        <f>IF(OR(LEFT(B281,9)="DOANH THU",LEFT(B281,8)="SỐ LƯỢNG"),A281,IF(A281="","",K280))</f>
        <v/>
      </c>
      <c r="L281">
        <f>IF(A281="","",IF(ISNUMBER(--LEFT(A281,FIND(" - ",A281&amp;" - ")-1)),LEFT(A281,FIND(" - ",A281&amp;" - ")-1),TRIM(A281)))</f>
        <v/>
      </c>
      <c r="M281">
        <f>IF(OR(K281="",K281=A281,A281=""),"",K281&amp;"|"&amp;L281)</f>
        <v/>
      </c>
      <c r="N281">
        <f>IF(M281="","",IF(ISNUMBER(B281),B281,IFERROR(_xlfn.NUMBERVALUE(B281,".",","),0)))</f>
        <v/>
      </c>
      <c r="O281">
        <f>IF(M281="","",IF(ISNUMBER(C281),C281,IFERROR(_xlfn.NUMBERVALUE(C281,".",","),0)))</f>
        <v/>
      </c>
    </row>
    <row r="282">
      <c r="K282">
        <f>IF(OR(LEFT(B282,9)="DOANH THU",LEFT(B282,8)="SỐ LƯỢNG"),A282,IF(A282="","",K281))</f>
        <v/>
      </c>
      <c r="L282">
        <f>IF(A282="","",IF(ISNUMBER(--LEFT(A282,FIND(" - ",A282&amp;" - ")-1)),LEFT(A282,FIND(" - ",A282&amp;" - ")-1),TRIM(A282)))</f>
        <v/>
      </c>
      <c r="M282">
        <f>IF(OR(K282="",K282=A282,A282=""),"",K282&amp;"|"&amp;L282)</f>
        <v/>
      </c>
      <c r="N282">
        <f>IF(M282="","",IF(ISNUMBER(B282),B282,IFERROR(_xlfn.NUMBERVALUE(B282,".",","),0)))</f>
        <v/>
      </c>
      <c r="O282">
        <f>IF(M282="","",IF(ISNUMBER(C282),C282,IFERROR(_xlfn.NUMBERVALUE(C282,".",","),0)))</f>
        <v/>
      </c>
    </row>
    <row r="283">
      <c r="K283">
        <f>IF(OR(LEFT(B283,9)="DOANH THU",LEFT(B283,8)="SỐ LƯỢNG"),A283,IF(A283="","",K282))</f>
        <v/>
      </c>
      <c r="L283">
        <f>IF(A283="","",IF(ISNUMBER(--LEFT(A283,FIND(" - ",A283&amp;" - ")-1)),LEFT(A283,FIND(" - ",A283&amp;" - ")-1),TRIM(A283)))</f>
        <v/>
      </c>
      <c r="M283">
        <f>IF(OR(K283="",K283=A283,A283=""),"",K283&amp;"|"&amp;L283)</f>
        <v/>
      </c>
      <c r="N283">
        <f>IF(M283="","",IF(ISNUMBER(B283),B283,IFERROR(_xlfn.NUMBERVALUE(B283,".",","),0)))</f>
        <v/>
      </c>
      <c r="O283">
        <f>IF(M283="","",IF(ISNUMBER(C283),C283,IFERROR(_xlfn.NUMBERVALUE(C283,".",","),0)))</f>
        <v/>
      </c>
    </row>
    <row r="284">
      <c r="K284">
        <f>IF(OR(LEFT(B284,9)="DOANH THU",LEFT(B284,8)="SỐ LƯỢNG"),A284,IF(A284="","",K283))</f>
        <v/>
      </c>
      <c r="L284">
        <f>IF(A284="","",IF(ISNUMBER(--LEFT(A284,FIND(" - ",A284&amp;" - ")-1)),LEFT(A284,FIND(" - ",A284&amp;" - ")-1),TRIM(A284)))</f>
        <v/>
      </c>
      <c r="M284">
        <f>IF(OR(K284="",K284=A284,A284=""),"",K284&amp;"|"&amp;L284)</f>
        <v/>
      </c>
      <c r="N284">
        <f>IF(M284="","",IF(ISNUMBER(B284),B284,IFERROR(_xlfn.NUMBERVALUE(B284,".",","),0)))</f>
        <v/>
      </c>
      <c r="O284">
        <f>IF(M284="","",IF(ISNUMBER(C284),C284,IFERROR(_xlfn.NUMBERVALUE(C284,".",","),0)))</f>
        <v/>
      </c>
    </row>
    <row r="285">
      <c r="K285">
        <f>IF(OR(LEFT(B285,9)="DOANH THU",LEFT(B285,8)="SỐ LƯỢNG"),A285,IF(A285="","",K284))</f>
        <v/>
      </c>
      <c r="L285">
        <f>IF(A285="","",IF(ISNUMBER(--LEFT(A285,FIND(" - ",A285&amp;" - ")-1)),LEFT(A285,FIND(" - ",A285&amp;" - ")-1),TRIM(A285)))</f>
        <v/>
      </c>
      <c r="M285">
        <f>IF(OR(K285="",K285=A285,A285=""),"",K285&amp;"|"&amp;L285)</f>
        <v/>
      </c>
      <c r="N285">
        <f>IF(M285="","",IF(ISNUMBER(B285),B285,IFERROR(_xlfn.NUMBERVALUE(B285,".",","),0)))</f>
        <v/>
      </c>
      <c r="O285">
        <f>IF(M285="","",IF(ISNUMBER(C285),C285,IFERROR(_xlfn.NUMBERVALUE(C285,".",","),0)))</f>
        <v/>
      </c>
    </row>
    <row r="286">
      <c r="K286">
        <f>IF(OR(LEFT(B286,9)="DOANH THU",LEFT(B286,8)="SỐ LƯỢNG"),A286,IF(A286="","",K285))</f>
        <v/>
      </c>
      <c r="L286">
        <f>IF(A286="","",IF(ISNUMBER(--LEFT(A286,FIND(" - ",A286&amp;" - ")-1)),LEFT(A286,FIND(" - ",A286&amp;" - ")-1),TRIM(A286)))</f>
        <v/>
      </c>
      <c r="M286">
        <f>IF(OR(K286="",K286=A286,A286=""),"",K286&amp;"|"&amp;L286)</f>
        <v/>
      </c>
      <c r="N286">
        <f>IF(M286="","",IF(ISNUMBER(B286),B286,IFERROR(_xlfn.NUMBERVALUE(B286,".",","),0)))</f>
        <v/>
      </c>
      <c r="O286">
        <f>IF(M286="","",IF(ISNUMBER(C286),C286,IFERROR(_xlfn.NUMBERVALUE(C286,".",","),0)))</f>
        <v/>
      </c>
    </row>
    <row r="287">
      <c r="K287">
        <f>IF(OR(LEFT(B287,9)="DOANH THU",LEFT(B287,8)="SỐ LƯỢNG"),A287,IF(A287="","",K286))</f>
        <v/>
      </c>
      <c r="L287">
        <f>IF(A287="","",IF(ISNUMBER(--LEFT(A287,FIND(" - ",A287&amp;" - ")-1)),LEFT(A287,FIND(" - ",A287&amp;" - ")-1),TRIM(A287)))</f>
        <v/>
      </c>
      <c r="M287">
        <f>IF(OR(K287="",K287=A287,A287=""),"",K287&amp;"|"&amp;L287)</f>
        <v/>
      </c>
      <c r="N287">
        <f>IF(M287="","",IF(ISNUMBER(B287),B287,IFERROR(_xlfn.NUMBERVALUE(B287,".",","),0)))</f>
        <v/>
      </c>
      <c r="O287">
        <f>IF(M287="","",IF(ISNUMBER(C287),C287,IFERROR(_xlfn.NUMBERVALUE(C287,".",","),0)))</f>
        <v/>
      </c>
    </row>
    <row r="288">
      <c r="K288">
        <f>IF(OR(LEFT(B288,9)="DOANH THU",LEFT(B288,8)="SỐ LƯỢNG"),A288,IF(A288="","",K287))</f>
        <v/>
      </c>
      <c r="L288">
        <f>IF(A288="","",IF(ISNUMBER(--LEFT(A288,FIND(" - ",A288&amp;" - ")-1)),LEFT(A288,FIND(" - ",A288&amp;" - ")-1),TRIM(A288)))</f>
        <v/>
      </c>
      <c r="M288">
        <f>IF(OR(K288="",K288=A288,A288=""),"",K288&amp;"|"&amp;L288)</f>
        <v/>
      </c>
      <c r="N288">
        <f>IF(M288="","",IF(ISNUMBER(B288),B288,IFERROR(_xlfn.NUMBERVALUE(B288,".",","),0)))</f>
        <v/>
      </c>
      <c r="O288">
        <f>IF(M288="","",IF(ISNUMBER(C288),C288,IFERROR(_xlfn.NUMBERVALUE(C288,".",","),0)))</f>
        <v/>
      </c>
    </row>
    <row r="289">
      <c r="K289">
        <f>IF(OR(LEFT(B289,9)="DOANH THU",LEFT(B289,8)="SỐ LƯỢNG"),A289,IF(A289="","",K288))</f>
        <v/>
      </c>
      <c r="L289">
        <f>IF(A289="","",IF(ISNUMBER(--LEFT(A289,FIND(" - ",A289&amp;" - ")-1)),LEFT(A289,FIND(" - ",A289&amp;" - ")-1),TRIM(A289)))</f>
        <v/>
      </c>
      <c r="M289">
        <f>IF(OR(K289="",K289=A289,A289=""),"",K289&amp;"|"&amp;L289)</f>
        <v/>
      </c>
      <c r="N289">
        <f>IF(M289="","",IF(ISNUMBER(B289),B289,IFERROR(_xlfn.NUMBERVALUE(B289,".",","),0)))</f>
        <v/>
      </c>
      <c r="O289">
        <f>IF(M289="","",IF(ISNUMBER(C289),C289,IFERROR(_xlfn.NUMBERVALUE(C289,".",","),0)))</f>
        <v/>
      </c>
    </row>
    <row r="290">
      <c r="K290">
        <f>IF(OR(LEFT(B290,9)="DOANH THU",LEFT(B290,8)="SỐ LƯỢNG"),A290,IF(A290="","",K289))</f>
        <v/>
      </c>
      <c r="L290">
        <f>IF(A290="","",IF(ISNUMBER(--LEFT(A290,FIND(" - ",A290&amp;" - ")-1)),LEFT(A290,FIND(" - ",A290&amp;" - ")-1),TRIM(A290)))</f>
        <v/>
      </c>
      <c r="M290">
        <f>IF(OR(K290="",K290=A290,A290=""),"",K290&amp;"|"&amp;L290)</f>
        <v/>
      </c>
      <c r="N290">
        <f>IF(M290="","",IF(ISNUMBER(B290),B290,IFERROR(_xlfn.NUMBERVALUE(B290,".",","),0)))</f>
        <v/>
      </c>
      <c r="O290">
        <f>IF(M290="","",IF(ISNUMBER(C290),C290,IFERROR(_xlfn.NUMBERVALUE(C290,".",","),0)))</f>
        <v/>
      </c>
    </row>
    <row r="291">
      <c r="K291">
        <f>IF(OR(LEFT(B291,9)="DOANH THU",LEFT(B291,8)="SỐ LƯỢNG"),A291,IF(A291="","",K290))</f>
        <v/>
      </c>
      <c r="L291">
        <f>IF(A291="","",IF(ISNUMBER(--LEFT(A291,FIND(" - ",A291&amp;" - ")-1)),LEFT(A291,FIND(" - ",A291&amp;" - ")-1),TRIM(A291)))</f>
        <v/>
      </c>
      <c r="M291">
        <f>IF(OR(K291="",K291=A291,A291=""),"",K291&amp;"|"&amp;L291)</f>
        <v/>
      </c>
      <c r="N291">
        <f>IF(M291="","",IF(ISNUMBER(B291),B291,IFERROR(_xlfn.NUMBERVALUE(B291,".",","),0)))</f>
        <v/>
      </c>
      <c r="O291">
        <f>IF(M291="","",IF(ISNUMBER(C291),C291,IFERROR(_xlfn.NUMBERVALUE(C291,".",","),0)))</f>
        <v/>
      </c>
    </row>
    <row r="292">
      <c r="K292">
        <f>IF(OR(LEFT(B292,9)="DOANH THU",LEFT(B292,8)="SỐ LƯỢNG"),A292,IF(A292="","",K291))</f>
        <v/>
      </c>
      <c r="L292">
        <f>IF(A292="","",IF(ISNUMBER(--LEFT(A292,FIND(" - ",A292&amp;" - ")-1)),LEFT(A292,FIND(" - ",A292&amp;" - ")-1),TRIM(A292)))</f>
        <v/>
      </c>
      <c r="M292">
        <f>IF(OR(K292="",K292=A292,A292=""),"",K292&amp;"|"&amp;L292)</f>
        <v/>
      </c>
      <c r="N292">
        <f>IF(M292="","",IF(ISNUMBER(B292),B292,IFERROR(_xlfn.NUMBERVALUE(B292,".",","),0)))</f>
        <v/>
      </c>
      <c r="O292">
        <f>IF(M292="","",IF(ISNUMBER(C292),C292,IFERROR(_xlfn.NUMBERVALUE(C292,".",","),0)))</f>
        <v/>
      </c>
    </row>
    <row r="293">
      <c r="K293">
        <f>IF(OR(LEFT(B293,9)="DOANH THU",LEFT(B293,8)="SỐ LƯỢNG"),A293,IF(A293="","",K292))</f>
        <v/>
      </c>
      <c r="L293">
        <f>IF(A293="","",IF(ISNUMBER(--LEFT(A293,FIND(" - ",A293&amp;" - ")-1)),LEFT(A293,FIND(" - ",A293&amp;" - ")-1),TRIM(A293)))</f>
        <v/>
      </c>
      <c r="M293">
        <f>IF(OR(K293="",K293=A293,A293=""),"",K293&amp;"|"&amp;L293)</f>
        <v/>
      </c>
      <c r="N293">
        <f>IF(M293="","",IF(ISNUMBER(B293),B293,IFERROR(_xlfn.NUMBERVALUE(B293,".",","),0)))</f>
        <v/>
      </c>
      <c r="O293">
        <f>IF(M293="","",IF(ISNUMBER(C293),C293,IFERROR(_xlfn.NUMBERVALUE(C293,".",","),0)))</f>
        <v/>
      </c>
    </row>
    <row r="294">
      <c r="K294">
        <f>IF(OR(LEFT(B294,9)="DOANH THU",LEFT(B294,8)="SỐ LƯỢNG"),A294,IF(A294="","",K293))</f>
        <v/>
      </c>
      <c r="L294">
        <f>IF(A294="","",IF(ISNUMBER(--LEFT(A294,FIND(" - ",A294&amp;" - ")-1)),LEFT(A294,FIND(" - ",A294&amp;" - ")-1),TRIM(A294)))</f>
        <v/>
      </c>
      <c r="M294">
        <f>IF(OR(K294="",K294=A294,A294=""),"",K294&amp;"|"&amp;L294)</f>
        <v/>
      </c>
      <c r="N294">
        <f>IF(M294="","",IF(ISNUMBER(B294),B294,IFERROR(_xlfn.NUMBERVALUE(B294,".",","),0)))</f>
        <v/>
      </c>
      <c r="O294">
        <f>IF(M294="","",IF(ISNUMBER(C294),C294,IFERROR(_xlfn.NUMBERVALUE(C294,".",","),0)))</f>
        <v/>
      </c>
    </row>
    <row r="295">
      <c r="K295">
        <f>IF(OR(LEFT(B295,9)="DOANH THU",LEFT(B295,8)="SỐ LƯỢNG"),A295,IF(A295="","",K294))</f>
        <v/>
      </c>
      <c r="L295">
        <f>IF(A295="","",IF(ISNUMBER(--LEFT(A295,FIND(" - ",A295&amp;" - ")-1)),LEFT(A295,FIND(" - ",A295&amp;" - ")-1),TRIM(A295)))</f>
        <v/>
      </c>
      <c r="M295">
        <f>IF(OR(K295="",K295=A295,A295=""),"",K295&amp;"|"&amp;L295)</f>
        <v/>
      </c>
      <c r="N295">
        <f>IF(M295="","",IF(ISNUMBER(B295),B295,IFERROR(_xlfn.NUMBERVALUE(B295,".",","),0)))</f>
        <v/>
      </c>
      <c r="O295">
        <f>IF(M295="","",IF(ISNUMBER(C295),C295,IFERROR(_xlfn.NUMBERVALUE(C295,".",","),0)))</f>
        <v/>
      </c>
    </row>
    <row r="296">
      <c r="K296">
        <f>IF(OR(LEFT(B296,9)="DOANH THU",LEFT(B296,8)="SỐ LƯỢNG"),A296,IF(A296="","",K295))</f>
        <v/>
      </c>
      <c r="L296">
        <f>IF(A296="","",IF(ISNUMBER(--LEFT(A296,FIND(" - ",A296&amp;" - ")-1)),LEFT(A296,FIND(" - ",A296&amp;" - ")-1),TRIM(A296)))</f>
        <v/>
      </c>
      <c r="M296">
        <f>IF(OR(K296="",K296=A296,A296=""),"",K296&amp;"|"&amp;L296)</f>
        <v/>
      </c>
      <c r="N296">
        <f>IF(M296="","",IF(ISNUMBER(B296),B296,IFERROR(_xlfn.NUMBERVALUE(B296,".",","),0)))</f>
        <v/>
      </c>
      <c r="O296">
        <f>IF(M296="","",IF(ISNUMBER(C296),C296,IFERROR(_xlfn.NUMBERVALUE(C296,".",","),0)))</f>
        <v/>
      </c>
    </row>
    <row r="297">
      <c r="K297">
        <f>IF(OR(LEFT(B297,9)="DOANH THU",LEFT(B297,8)="SỐ LƯỢNG"),A297,IF(A297="","",K296))</f>
        <v/>
      </c>
      <c r="L297">
        <f>IF(A297="","",IF(ISNUMBER(--LEFT(A297,FIND(" - ",A297&amp;" - ")-1)),LEFT(A297,FIND(" - ",A297&amp;" - ")-1),TRIM(A297)))</f>
        <v/>
      </c>
      <c r="M297">
        <f>IF(OR(K297="",K297=A297,A297=""),"",K297&amp;"|"&amp;L297)</f>
        <v/>
      </c>
      <c r="N297">
        <f>IF(M297="","",IF(ISNUMBER(B297),B297,IFERROR(_xlfn.NUMBERVALUE(B297,".",","),0)))</f>
        <v/>
      </c>
      <c r="O297">
        <f>IF(M297="","",IF(ISNUMBER(C297),C297,IFERROR(_xlfn.NUMBERVALUE(C297,".",","),0)))</f>
        <v/>
      </c>
    </row>
    <row r="298">
      <c r="K298">
        <f>IF(OR(LEFT(B298,9)="DOANH THU",LEFT(B298,8)="SỐ LƯỢNG"),A298,IF(A298="","",K297))</f>
        <v/>
      </c>
      <c r="L298">
        <f>IF(A298="","",IF(ISNUMBER(--LEFT(A298,FIND(" - ",A298&amp;" - ")-1)),LEFT(A298,FIND(" - ",A298&amp;" - ")-1),TRIM(A298)))</f>
        <v/>
      </c>
      <c r="M298">
        <f>IF(OR(K298="",K298=A298,A298=""),"",K298&amp;"|"&amp;L298)</f>
        <v/>
      </c>
      <c r="N298">
        <f>IF(M298="","",IF(ISNUMBER(B298),B298,IFERROR(_xlfn.NUMBERVALUE(B298,".",","),0)))</f>
        <v/>
      </c>
      <c r="O298">
        <f>IF(M298="","",IF(ISNUMBER(C298),C298,IFERROR(_xlfn.NUMBERVALUE(C298,".",","),0)))</f>
        <v/>
      </c>
    </row>
    <row r="299">
      <c r="K299">
        <f>IF(OR(LEFT(B299,9)="DOANH THU",LEFT(B299,8)="SỐ LƯỢNG"),A299,IF(A299="","",K298))</f>
        <v/>
      </c>
      <c r="L299">
        <f>IF(A299="","",IF(ISNUMBER(--LEFT(A299,FIND(" - ",A299&amp;" - ")-1)),LEFT(A299,FIND(" - ",A299&amp;" - ")-1),TRIM(A299)))</f>
        <v/>
      </c>
      <c r="M299">
        <f>IF(OR(K299="",K299=A299,A299=""),"",K299&amp;"|"&amp;L299)</f>
        <v/>
      </c>
      <c r="N299">
        <f>IF(M299="","",IF(ISNUMBER(B299),B299,IFERROR(_xlfn.NUMBERVALUE(B299,".",","),0)))</f>
        <v/>
      </c>
      <c r="O299">
        <f>IF(M299="","",IF(ISNUMBER(C299),C299,IFERROR(_xlfn.NUMBERVALUE(C299,".",","),0)))</f>
        <v/>
      </c>
    </row>
    <row r="300">
      <c r="K300">
        <f>IF(OR(LEFT(B300,9)="DOANH THU",LEFT(B300,8)="SỐ LƯỢNG"),A300,IF(A300="","",K299))</f>
        <v/>
      </c>
      <c r="L300">
        <f>IF(A300="","",IF(ISNUMBER(--LEFT(A300,FIND(" - ",A300&amp;" - ")-1)),LEFT(A300,FIND(" - ",A300&amp;" - ")-1),TRIM(A300)))</f>
        <v/>
      </c>
      <c r="M300">
        <f>IF(OR(K300="",K300=A300,A300=""),"",K300&amp;"|"&amp;L300)</f>
        <v/>
      </c>
      <c r="N300">
        <f>IF(M300="","",IF(ISNUMBER(B300),B300,IFERROR(_xlfn.NUMBERVALUE(B300,".",","),0)))</f>
        <v/>
      </c>
      <c r="O300">
        <f>IF(M300="","",IF(ISNUMBER(C300),C300,IFERROR(_xlfn.NUMBERVALUE(C300,".",","),0)))</f>
        <v/>
      </c>
    </row>
    <row r="301">
      <c r="K301">
        <f>IF(OR(LEFT(B301,9)="DOANH THU",LEFT(B301,8)="SỐ LƯỢNG"),A301,IF(A301="","",K300))</f>
        <v/>
      </c>
      <c r="L301">
        <f>IF(A301="","",IF(ISNUMBER(--LEFT(A301,FIND(" - ",A301&amp;" - ")-1)),LEFT(A301,FIND(" - ",A301&amp;" - ")-1),TRIM(A301)))</f>
        <v/>
      </c>
      <c r="M301">
        <f>IF(OR(K301="",K301=A301,A301=""),"",K301&amp;"|"&amp;L301)</f>
        <v/>
      </c>
      <c r="N301">
        <f>IF(M301="","",IF(ISNUMBER(B301),B301,IFERROR(_xlfn.NUMBERVALUE(B301,".",","),0)))</f>
        <v/>
      </c>
      <c r="O301">
        <f>IF(M301="","",IF(ISNUMBER(C301),C301,IFERROR(_xlfn.NUMBERVALUE(C301,".",","),0)))</f>
        <v/>
      </c>
    </row>
    <row r="302">
      <c r="K302">
        <f>IF(OR(LEFT(B302,9)="DOANH THU",LEFT(B302,8)="SỐ LƯỢNG"),A302,IF(A302="","",K301))</f>
        <v/>
      </c>
      <c r="L302">
        <f>IF(A302="","",IF(ISNUMBER(--LEFT(A302,FIND(" - ",A302&amp;" - ")-1)),LEFT(A302,FIND(" - ",A302&amp;" - ")-1),TRIM(A302)))</f>
        <v/>
      </c>
      <c r="M302">
        <f>IF(OR(K302="",K302=A302,A302=""),"",K302&amp;"|"&amp;L302)</f>
        <v/>
      </c>
      <c r="N302">
        <f>IF(M302="","",IF(ISNUMBER(B302),B302,IFERROR(_xlfn.NUMBERVALUE(B302,".",","),0)))</f>
        <v/>
      </c>
      <c r="O302">
        <f>IF(M302="","",IF(ISNUMBER(C302),C302,IFERROR(_xlfn.NUMBERVALUE(C302,".",","),0)))</f>
        <v/>
      </c>
    </row>
    <row r="303">
      <c r="K303">
        <f>IF(OR(LEFT(B303,9)="DOANH THU",LEFT(B303,8)="SỐ LƯỢNG"),A303,IF(A303="","",K302))</f>
        <v/>
      </c>
      <c r="L303">
        <f>IF(A303="","",IF(ISNUMBER(--LEFT(A303,FIND(" - ",A303&amp;" - ")-1)),LEFT(A303,FIND(" - ",A303&amp;" - ")-1),TRIM(A303)))</f>
        <v/>
      </c>
      <c r="M303">
        <f>IF(OR(K303="",K303=A303,A303=""),"",K303&amp;"|"&amp;L303)</f>
        <v/>
      </c>
      <c r="N303">
        <f>IF(M303="","",IF(ISNUMBER(B303),B303,IFERROR(_xlfn.NUMBERVALUE(B303,".",","),0)))</f>
        <v/>
      </c>
      <c r="O303">
        <f>IF(M303="","",IF(ISNUMBER(C303),C303,IFERROR(_xlfn.NUMBERVALUE(C303,".",","),0)))</f>
        <v/>
      </c>
    </row>
    <row r="304">
      <c r="K304">
        <f>IF(OR(LEFT(B304,9)="DOANH THU",LEFT(B304,8)="SỐ LƯỢNG"),A304,IF(A304="","",K303))</f>
        <v/>
      </c>
      <c r="L304">
        <f>IF(A304="","",IF(ISNUMBER(--LEFT(A304,FIND(" - ",A304&amp;" - ")-1)),LEFT(A304,FIND(" - ",A304&amp;" - ")-1),TRIM(A304)))</f>
        <v/>
      </c>
      <c r="M304">
        <f>IF(OR(K304="",K304=A304,A304=""),"",K304&amp;"|"&amp;L304)</f>
        <v/>
      </c>
      <c r="N304">
        <f>IF(M304="","",IF(ISNUMBER(B304),B304,IFERROR(_xlfn.NUMBERVALUE(B304,".",","),0)))</f>
        <v/>
      </c>
      <c r="O304">
        <f>IF(M304="","",IF(ISNUMBER(C304),C304,IFERROR(_xlfn.NUMBERVALUE(C304,".",","),0)))</f>
        <v/>
      </c>
    </row>
    <row r="305">
      <c r="K305">
        <f>IF(OR(LEFT(B305,9)="DOANH THU",LEFT(B305,8)="SỐ LƯỢNG"),A305,IF(A305="","",K304))</f>
        <v/>
      </c>
      <c r="L305">
        <f>IF(A305="","",IF(ISNUMBER(--LEFT(A305,FIND(" - ",A305&amp;" - ")-1)),LEFT(A305,FIND(" - ",A305&amp;" - ")-1),TRIM(A305)))</f>
        <v/>
      </c>
      <c r="M305">
        <f>IF(OR(K305="",K305=A305,A305=""),"",K305&amp;"|"&amp;L305)</f>
        <v/>
      </c>
      <c r="N305">
        <f>IF(M305="","",IF(ISNUMBER(B305),B305,IFERROR(_xlfn.NUMBERVALUE(B305,".",","),0)))</f>
        <v/>
      </c>
      <c r="O305">
        <f>IF(M305="","",IF(ISNUMBER(C305),C305,IFERROR(_xlfn.NUMBERVALUE(C305,".",","),0)))</f>
        <v/>
      </c>
    </row>
    <row r="306">
      <c r="K306">
        <f>IF(OR(LEFT(B306,9)="DOANH THU",LEFT(B306,8)="SỐ LƯỢNG"),A306,IF(A306="","",K305))</f>
        <v/>
      </c>
      <c r="L306">
        <f>IF(A306="","",IF(ISNUMBER(--LEFT(A306,FIND(" - ",A306&amp;" - ")-1)),LEFT(A306,FIND(" - ",A306&amp;" - ")-1),TRIM(A306)))</f>
        <v/>
      </c>
      <c r="M306">
        <f>IF(OR(K306="",K306=A306,A306=""),"",K306&amp;"|"&amp;L306)</f>
        <v/>
      </c>
      <c r="N306">
        <f>IF(M306="","",IF(ISNUMBER(B306),B306,IFERROR(_xlfn.NUMBERVALUE(B306,".",","),0)))</f>
        <v/>
      </c>
      <c r="O306">
        <f>IF(M306="","",IF(ISNUMBER(C306),C306,IFERROR(_xlfn.NUMBERVALUE(C306,".",","),0)))</f>
        <v/>
      </c>
    </row>
    <row r="307">
      <c r="K307">
        <f>IF(OR(LEFT(B307,9)="DOANH THU",LEFT(B307,8)="SỐ LƯỢNG"),A307,IF(A307="","",K306))</f>
        <v/>
      </c>
      <c r="L307">
        <f>IF(A307="","",IF(ISNUMBER(--LEFT(A307,FIND(" - ",A307&amp;" - ")-1)),LEFT(A307,FIND(" - ",A307&amp;" - ")-1),TRIM(A307)))</f>
        <v/>
      </c>
      <c r="M307">
        <f>IF(OR(K307="",K307=A307,A307=""),"",K307&amp;"|"&amp;L307)</f>
        <v/>
      </c>
      <c r="N307">
        <f>IF(M307="","",IF(ISNUMBER(B307),B307,IFERROR(_xlfn.NUMBERVALUE(B307,".",","),0)))</f>
        <v/>
      </c>
      <c r="O307">
        <f>IF(M307="","",IF(ISNUMBER(C307),C307,IFERROR(_xlfn.NUMBERVALUE(C307,".",","),0)))</f>
        <v/>
      </c>
    </row>
    <row r="308">
      <c r="K308">
        <f>IF(OR(LEFT(B308,9)="DOANH THU",LEFT(B308,8)="SỐ LƯỢNG"),A308,IF(A308="","",K307))</f>
        <v/>
      </c>
      <c r="L308">
        <f>IF(A308="","",IF(ISNUMBER(--LEFT(A308,FIND(" - ",A308&amp;" - ")-1)),LEFT(A308,FIND(" - ",A308&amp;" - ")-1),TRIM(A308)))</f>
        <v/>
      </c>
      <c r="M308">
        <f>IF(OR(K308="",K308=A308,A308=""),"",K308&amp;"|"&amp;L308)</f>
        <v/>
      </c>
      <c r="N308">
        <f>IF(M308="","",IF(ISNUMBER(B308),B308,IFERROR(_xlfn.NUMBERVALUE(B308,".",","),0)))</f>
        <v/>
      </c>
      <c r="O308">
        <f>IF(M308="","",IF(ISNUMBER(C308),C308,IFERROR(_xlfn.NUMBERVALUE(C308,".",","),0)))</f>
        <v/>
      </c>
    </row>
    <row r="309">
      <c r="K309">
        <f>IF(OR(LEFT(B309,9)="DOANH THU",LEFT(B309,8)="SỐ LƯỢNG"),A309,IF(A309="","",K308))</f>
        <v/>
      </c>
      <c r="L309">
        <f>IF(A309="","",IF(ISNUMBER(--LEFT(A309,FIND(" - ",A309&amp;" - ")-1)),LEFT(A309,FIND(" - ",A309&amp;" - ")-1),TRIM(A309)))</f>
        <v/>
      </c>
      <c r="M309">
        <f>IF(OR(K309="",K309=A309,A309=""),"",K309&amp;"|"&amp;L309)</f>
        <v/>
      </c>
      <c r="N309">
        <f>IF(M309="","",IF(ISNUMBER(B309),B309,IFERROR(_xlfn.NUMBERVALUE(B309,".",","),0)))</f>
        <v/>
      </c>
      <c r="O309">
        <f>IF(M309="","",IF(ISNUMBER(C309),C309,IFERROR(_xlfn.NUMBERVALUE(C309,".",","),0)))</f>
        <v/>
      </c>
    </row>
    <row r="310">
      <c r="K310">
        <f>IF(OR(LEFT(B310,9)="DOANH THU",LEFT(B310,8)="SỐ LƯỢNG"),A310,IF(A310="","",K309))</f>
        <v/>
      </c>
      <c r="L310">
        <f>IF(A310="","",IF(ISNUMBER(--LEFT(A310,FIND(" - ",A310&amp;" - ")-1)),LEFT(A310,FIND(" - ",A310&amp;" - ")-1),TRIM(A310)))</f>
        <v/>
      </c>
      <c r="M310">
        <f>IF(OR(K310="",K310=A310,A310=""),"",K310&amp;"|"&amp;L310)</f>
        <v/>
      </c>
      <c r="N310">
        <f>IF(M310="","",IF(ISNUMBER(B310),B310,IFERROR(_xlfn.NUMBERVALUE(B310,".",","),0)))</f>
        <v/>
      </c>
      <c r="O310">
        <f>IF(M310="","",IF(ISNUMBER(C310),C310,IFERROR(_xlfn.NUMBERVALUE(C310,".",","),0)))</f>
        <v/>
      </c>
    </row>
    <row r="311">
      <c r="K311">
        <f>IF(OR(LEFT(B311,9)="DOANH THU",LEFT(B311,8)="SỐ LƯỢNG"),A311,IF(A311="","",K310))</f>
        <v/>
      </c>
      <c r="L311">
        <f>IF(A311="","",IF(ISNUMBER(--LEFT(A311,FIND(" - ",A311&amp;" - ")-1)),LEFT(A311,FIND(" - ",A311&amp;" - ")-1),TRIM(A311)))</f>
        <v/>
      </c>
      <c r="M311">
        <f>IF(OR(K311="",K311=A311,A311=""),"",K311&amp;"|"&amp;L311)</f>
        <v/>
      </c>
      <c r="N311">
        <f>IF(M311="","",IF(ISNUMBER(B311),B311,IFERROR(_xlfn.NUMBERVALUE(B311,".",","),0)))</f>
        <v/>
      </c>
      <c r="O311">
        <f>IF(M311="","",IF(ISNUMBER(C311),C311,IFERROR(_xlfn.NUMBERVALUE(C311,".",","),0)))</f>
        <v/>
      </c>
    </row>
    <row r="312">
      <c r="K312">
        <f>IF(OR(LEFT(B312,9)="DOANH THU",LEFT(B312,8)="SỐ LƯỢNG"),A312,IF(A312="","",K311))</f>
        <v/>
      </c>
      <c r="L312">
        <f>IF(A312="","",IF(ISNUMBER(--LEFT(A312,FIND(" - ",A312&amp;" - ")-1)),LEFT(A312,FIND(" - ",A312&amp;" - ")-1),TRIM(A312)))</f>
        <v/>
      </c>
      <c r="M312">
        <f>IF(OR(K312="",K312=A312,A312=""),"",K312&amp;"|"&amp;L312)</f>
        <v/>
      </c>
      <c r="N312">
        <f>IF(M312="","",IF(ISNUMBER(B312),B312,IFERROR(_xlfn.NUMBERVALUE(B312,".",","),0)))</f>
        <v/>
      </c>
      <c r="O312">
        <f>IF(M312="","",IF(ISNUMBER(C312),C312,IFERROR(_xlfn.NUMBERVALUE(C312,".",","),0)))</f>
        <v/>
      </c>
    </row>
    <row r="313">
      <c r="K313">
        <f>IF(OR(LEFT(B313,9)="DOANH THU",LEFT(B313,8)="SỐ LƯỢNG"),A313,IF(A313="","",K312))</f>
        <v/>
      </c>
      <c r="L313">
        <f>IF(A313="","",IF(ISNUMBER(--LEFT(A313,FIND(" - ",A313&amp;" - ")-1)),LEFT(A313,FIND(" - ",A313&amp;" - ")-1),TRIM(A313)))</f>
        <v/>
      </c>
      <c r="M313">
        <f>IF(OR(K313="",K313=A313,A313=""),"",K313&amp;"|"&amp;L313)</f>
        <v/>
      </c>
      <c r="N313">
        <f>IF(M313="","",IF(ISNUMBER(B313),B313,IFERROR(_xlfn.NUMBERVALUE(B313,".",","),0)))</f>
        <v/>
      </c>
      <c r="O313">
        <f>IF(M313="","",IF(ISNUMBER(C313),C313,IFERROR(_xlfn.NUMBERVALUE(C313,".",","),0)))</f>
        <v/>
      </c>
    </row>
    <row r="314">
      <c r="K314">
        <f>IF(OR(LEFT(B314,9)="DOANH THU",LEFT(B314,8)="SỐ LƯỢNG"),A314,IF(A314="","",K313))</f>
        <v/>
      </c>
      <c r="L314">
        <f>IF(A314="","",IF(ISNUMBER(--LEFT(A314,FIND(" - ",A314&amp;" - ")-1)),LEFT(A314,FIND(" - ",A314&amp;" - ")-1),TRIM(A314)))</f>
        <v/>
      </c>
      <c r="M314">
        <f>IF(OR(K314="",K314=A314,A314=""),"",K314&amp;"|"&amp;L314)</f>
        <v/>
      </c>
      <c r="N314">
        <f>IF(M314="","",IF(ISNUMBER(B314),B314,IFERROR(_xlfn.NUMBERVALUE(B314,".",","),0)))</f>
        <v/>
      </c>
      <c r="O314">
        <f>IF(M314="","",IF(ISNUMBER(C314),C314,IFERROR(_xlfn.NUMBERVALUE(C314,".",","),0)))</f>
        <v/>
      </c>
    </row>
    <row r="315">
      <c r="K315">
        <f>IF(OR(LEFT(B315,9)="DOANH THU",LEFT(B315,8)="SỐ LƯỢNG"),A315,IF(A315="","",K314))</f>
        <v/>
      </c>
      <c r="L315">
        <f>IF(A315="","",IF(ISNUMBER(--LEFT(A315,FIND(" - ",A315&amp;" - ")-1)),LEFT(A315,FIND(" - ",A315&amp;" - ")-1),TRIM(A315)))</f>
        <v/>
      </c>
      <c r="M315">
        <f>IF(OR(K315="",K315=A315,A315=""),"",K315&amp;"|"&amp;L315)</f>
        <v/>
      </c>
      <c r="N315">
        <f>IF(M315="","",IF(ISNUMBER(B315),B315,IFERROR(_xlfn.NUMBERVALUE(B315,".",","),0)))</f>
        <v/>
      </c>
      <c r="O315">
        <f>IF(M315="","",IF(ISNUMBER(C315),C315,IFERROR(_xlfn.NUMBERVALUE(C315,".",","),0)))</f>
        <v/>
      </c>
    </row>
    <row r="316">
      <c r="K316">
        <f>IF(OR(LEFT(B316,9)="DOANH THU",LEFT(B316,8)="SỐ LƯỢNG"),A316,IF(A316="","",K315))</f>
        <v/>
      </c>
      <c r="L316">
        <f>IF(A316="","",IF(ISNUMBER(--LEFT(A316,FIND(" - ",A316&amp;" - ")-1)),LEFT(A316,FIND(" - ",A316&amp;" - ")-1),TRIM(A316)))</f>
        <v/>
      </c>
      <c r="M316">
        <f>IF(OR(K316="",K316=A316,A316=""),"",K316&amp;"|"&amp;L316)</f>
        <v/>
      </c>
      <c r="N316">
        <f>IF(M316="","",IF(ISNUMBER(B316),B316,IFERROR(_xlfn.NUMBERVALUE(B316,".",","),0)))</f>
        <v/>
      </c>
      <c r="O316">
        <f>IF(M316="","",IF(ISNUMBER(C316),C316,IFERROR(_xlfn.NUMBERVALUE(C316,".",","),0)))</f>
        <v/>
      </c>
    </row>
    <row r="317">
      <c r="K317">
        <f>IF(OR(LEFT(B317,9)="DOANH THU",LEFT(B317,8)="SỐ LƯỢNG"),A317,IF(A317="","",K316))</f>
        <v/>
      </c>
      <c r="L317">
        <f>IF(A317="","",IF(ISNUMBER(--LEFT(A317,FIND(" - ",A317&amp;" - ")-1)),LEFT(A317,FIND(" - ",A317&amp;" - ")-1),TRIM(A317)))</f>
        <v/>
      </c>
      <c r="M317">
        <f>IF(OR(K317="",K317=A317,A317=""),"",K317&amp;"|"&amp;L317)</f>
        <v/>
      </c>
      <c r="N317">
        <f>IF(M317="","",IF(ISNUMBER(B317),B317,IFERROR(_xlfn.NUMBERVALUE(B317,".",","),0)))</f>
        <v/>
      </c>
      <c r="O317">
        <f>IF(M317="","",IF(ISNUMBER(C317),C317,IFERROR(_xlfn.NUMBERVALUE(C317,".",","),0)))</f>
        <v/>
      </c>
    </row>
    <row r="318">
      <c r="K318">
        <f>IF(OR(LEFT(B318,9)="DOANH THU",LEFT(B318,8)="SỐ LƯỢNG"),A318,IF(A318="","",K317))</f>
        <v/>
      </c>
      <c r="L318">
        <f>IF(A318="","",IF(ISNUMBER(--LEFT(A318,FIND(" - ",A318&amp;" - ")-1)),LEFT(A318,FIND(" - ",A318&amp;" - ")-1),TRIM(A318)))</f>
        <v/>
      </c>
      <c r="M318">
        <f>IF(OR(K318="",K318=A318,A318=""),"",K318&amp;"|"&amp;L318)</f>
        <v/>
      </c>
      <c r="N318">
        <f>IF(M318="","",IF(ISNUMBER(B318),B318,IFERROR(_xlfn.NUMBERVALUE(B318,".",","),0)))</f>
        <v/>
      </c>
      <c r="O318">
        <f>IF(M318="","",IF(ISNUMBER(C318),C318,IFERROR(_xlfn.NUMBERVALUE(C318,".",","),0)))</f>
        <v/>
      </c>
    </row>
    <row r="319">
      <c r="K319">
        <f>IF(OR(LEFT(B319,9)="DOANH THU",LEFT(B319,8)="SỐ LƯỢNG"),A319,IF(A319="","",K318))</f>
        <v/>
      </c>
      <c r="L319">
        <f>IF(A319="","",IF(ISNUMBER(--LEFT(A319,FIND(" - ",A319&amp;" - ")-1)),LEFT(A319,FIND(" - ",A319&amp;" - ")-1),TRIM(A319)))</f>
        <v/>
      </c>
      <c r="M319">
        <f>IF(OR(K319="",K319=A319,A319=""),"",K319&amp;"|"&amp;L319)</f>
        <v/>
      </c>
      <c r="N319">
        <f>IF(M319="","",IF(ISNUMBER(B319),B319,IFERROR(_xlfn.NUMBERVALUE(B319,".",","),0)))</f>
        <v/>
      </c>
      <c r="O319">
        <f>IF(M319="","",IF(ISNUMBER(C319),C319,IFERROR(_xlfn.NUMBERVALUE(C319,".",","),0)))</f>
        <v/>
      </c>
    </row>
    <row r="320">
      <c r="K320">
        <f>IF(OR(LEFT(B320,9)="DOANH THU",LEFT(B320,8)="SỐ LƯỢNG"),A320,IF(A320="","",K319))</f>
        <v/>
      </c>
      <c r="L320">
        <f>IF(A320="","",IF(ISNUMBER(--LEFT(A320,FIND(" - ",A320&amp;" - ")-1)),LEFT(A320,FIND(" - ",A320&amp;" - ")-1),TRIM(A320)))</f>
        <v/>
      </c>
      <c r="M320">
        <f>IF(OR(K320="",K320=A320,A320=""),"",K320&amp;"|"&amp;L320)</f>
        <v/>
      </c>
      <c r="N320">
        <f>IF(M320="","",IF(ISNUMBER(B320),B320,IFERROR(_xlfn.NUMBERVALUE(B320,".",","),0)))</f>
        <v/>
      </c>
      <c r="O320">
        <f>IF(M320="","",IF(ISNUMBER(C320),C320,IFERROR(_xlfn.NUMBERVALUE(C320,".",","),0)))</f>
        <v/>
      </c>
    </row>
    <row r="321">
      <c r="K321">
        <f>IF(OR(LEFT(B321,9)="DOANH THU",LEFT(B321,8)="SỐ LƯỢNG"),A321,IF(A321="","",K320))</f>
        <v/>
      </c>
      <c r="L321">
        <f>IF(A321="","",IF(ISNUMBER(--LEFT(A321,FIND(" - ",A321&amp;" - ")-1)),LEFT(A321,FIND(" - ",A321&amp;" - ")-1),TRIM(A321)))</f>
        <v/>
      </c>
      <c r="M321">
        <f>IF(OR(K321="",K321=A321,A321=""),"",K321&amp;"|"&amp;L321)</f>
        <v/>
      </c>
      <c r="N321">
        <f>IF(M321="","",IF(ISNUMBER(B321),B321,IFERROR(_xlfn.NUMBERVALUE(B321,".",","),0)))</f>
        <v/>
      </c>
      <c r="O321">
        <f>IF(M321="","",IF(ISNUMBER(C321),C321,IFERROR(_xlfn.NUMBERVALUE(C321,".",","),0)))</f>
        <v/>
      </c>
    </row>
    <row r="322">
      <c r="K322">
        <f>IF(OR(LEFT(B322,9)="DOANH THU",LEFT(B322,8)="SỐ LƯỢNG"),A322,IF(A322="","",K321))</f>
        <v/>
      </c>
      <c r="L322">
        <f>IF(A322="","",IF(ISNUMBER(--LEFT(A322,FIND(" - ",A322&amp;" - ")-1)),LEFT(A322,FIND(" - ",A322&amp;" - ")-1),TRIM(A322)))</f>
        <v/>
      </c>
      <c r="M322">
        <f>IF(OR(K322="",K322=A322,A322=""),"",K322&amp;"|"&amp;L322)</f>
        <v/>
      </c>
      <c r="N322">
        <f>IF(M322="","",IF(ISNUMBER(B322),B322,IFERROR(_xlfn.NUMBERVALUE(B322,".",","),0)))</f>
        <v/>
      </c>
      <c r="O322">
        <f>IF(M322="","",IF(ISNUMBER(C322),C322,IFERROR(_xlfn.NUMBERVALUE(C322,".",","),0)))</f>
        <v/>
      </c>
    </row>
    <row r="323">
      <c r="K323">
        <f>IF(OR(LEFT(B323,9)="DOANH THU",LEFT(B323,8)="SỐ LƯỢNG"),A323,IF(A323="","",K322))</f>
        <v/>
      </c>
      <c r="L323">
        <f>IF(A323="","",IF(ISNUMBER(--LEFT(A323,FIND(" - ",A323&amp;" - ")-1)),LEFT(A323,FIND(" - ",A323&amp;" - ")-1),TRIM(A323)))</f>
        <v/>
      </c>
      <c r="M323">
        <f>IF(OR(K323="",K323=A323,A323=""),"",K323&amp;"|"&amp;L323)</f>
        <v/>
      </c>
      <c r="N323">
        <f>IF(M323="","",IF(ISNUMBER(B323),B323,IFERROR(_xlfn.NUMBERVALUE(B323,".",","),0)))</f>
        <v/>
      </c>
      <c r="O323">
        <f>IF(M323="","",IF(ISNUMBER(C323),C323,IFERROR(_xlfn.NUMBERVALUE(C323,".",","),0)))</f>
        <v/>
      </c>
    </row>
    <row r="324">
      <c r="K324">
        <f>IF(OR(LEFT(B324,9)="DOANH THU",LEFT(B324,8)="SỐ LƯỢNG"),A324,IF(A324="","",K323))</f>
        <v/>
      </c>
      <c r="L324">
        <f>IF(A324="","",IF(ISNUMBER(--LEFT(A324,FIND(" - ",A324&amp;" - ")-1)),LEFT(A324,FIND(" - ",A324&amp;" - ")-1),TRIM(A324)))</f>
        <v/>
      </c>
      <c r="M324">
        <f>IF(OR(K324="",K324=A324,A324=""),"",K324&amp;"|"&amp;L324)</f>
        <v/>
      </c>
      <c r="N324">
        <f>IF(M324="","",IF(ISNUMBER(B324),B324,IFERROR(_xlfn.NUMBERVALUE(B324,".",","),0)))</f>
        <v/>
      </c>
      <c r="O324">
        <f>IF(M324="","",IF(ISNUMBER(C324),C324,IFERROR(_xlfn.NUMBERVALUE(C324,".",","),0)))</f>
        <v/>
      </c>
    </row>
    <row r="325">
      <c r="K325">
        <f>IF(OR(LEFT(B325,9)="DOANH THU",LEFT(B325,8)="SỐ LƯỢNG"),A325,IF(A325="","",K324))</f>
        <v/>
      </c>
      <c r="L325">
        <f>IF(A325="","",IF(ISNUMBER(--LEFT(A325,FIND(" - ",A325&amp;" - ")-1)),LEFT(A325,FIND(" - ",A325&amp;" - ")-1),TRIM(A325)))</f>
        <v/>
      </c>
      <c r="M325">
        <f>IF(OR(K325="",K325=A325,A325=""),"",K325&amp;"|"&amp;L325)</f>
        <v/>
      </c>
      <c r="N325">
        <f>IF(M325="","",IF(ISNUMBER(B325),B325,IFERROR(_xlfn.NUMBERVALUE(B325,".",","),0)))</f>
        <v/>
      </c>
      <c r="O325">
        <f>IF(M325="","",IF(ISNUMBER(C325),C325,IFERROR(_xlfn.NUMBERVALUE(C325,".",","),0)))</f>
        <v/>
      </c>
    </row>
    <row r="326">
      <c r="K326">
        <f>IF(OR(LEFT(B326,9)="DOANH THU",LEFT(B326,8)="SỐ LƯỢNG"),A326,IF(A326="","",K325))</f>
        <v/>
      </c>
      <c r="L326">
        <f>IF(A326="","",IF(ISNUMBER(--LEFT(A326,FIND(" - ",A326&amp;" - ")-1)),LEFT(A326,FIND(" - ",A326&amp;" - ")-1),TRIM(A326)))</f>
        <v/>
      </c>
      <c r="M326">
        <f>IF(OR(K326="",K326=A326,A326=""),"",K326&amp;"|"&amp;L326)</f>
        <v/>
      </c>
      <c r="N326">
        <f>IF(M326="","",IF(ISNUMBER(B326),B326,IFERROR(_xlfn.NUMBERVALUE(B326,".",","),0)))</f>
        <v/>
      </c>
      <c r="O326">
        <f>IF(M326="","",IF(ISNUMBER(C326),C326,IFERROR(_xlfn.NUMBERVALUE(C326,".",","),0)))</f>
        <v/>
      </c>
    </row>
    <row r="327">
      <c r="K327">
        <f>IF(OR(LEFT(B327,9)="DOANH THU",LEFT(B327,8)="SỐ LƯỢNG"),A327,IF(A327="","",K326))</f>
        <v/>
      </c>
      <c r="L327">
        <f>IF(A327="","",IF(ISNUMBER(--LEFT(A327,FIND(" - ",A327&amp;" - ")-1)),LEFT(A327,FIND(" - ",A327&amp;" - ")-1),TRIM(A327)))</f>
        <v/>
      </c>
      <c r="M327">
        <f>IF(OR(K327="",K327=A327,A327=""),"",K327&amp;"|"&amp;L327)</f>
        <v/>
      </c>
      <c r="N327">
        <f>IF(M327="","",IF(ISNUMBER(B327),B327,IFERROR(_xlfn.NUMBERVALUE(B327,".",","),0)))</f>
        <v/>
      </c>
      <c r="O327">
        <f>IF(M327="","",IF(ISNUMBER(C327),C327,IFERROR(_xlfn.NUMBERVALUE(C327,".",","),0)))</f>
        <v/>
      </c>
    </row>
    <row r="328">
      <c r="K328">
        <f>IF(OR(LEFT(B328,9)="DOANH THU",LEFT(B328,8)="SỐ LƯỢNG"),A328,IF(A328="","",K327))</f>
        <v/>
      </c>
      <c r="L328">
        <f>IF(A328="","",IF(ISNUMBER(--LEFT(A328,FIND(" - ",A328&amp;" - ")-1)),LEFT(A328,FIND(" - ",A328&amp;" - ")-1),TRIM(A328)))</f>
        <v/>
      </c>
      <c r="M328">
        <f>IF(OR(K328="",K328=A328,A328=""),"",K328&amp;"|"&amp;L328)</f>
        <v/>
      </c>
      <c r="N328">
        <f>IF(M328="","",IF(ISNUMBER(B328),B328,IFERROR(_xlfn.NUMBERVALUE(B328,".",","),0)))</f>
        <v/>
      </c>
      <c r="O328">
        <f>IF(M328="","",IF(ISNUMBER(C328),C328,IFERROR(_xlfn.NUMBERVALUE(C328,".",","),0)))</f>
        <v/>
      </c>
    </row>
    <row r="329">
      <c r="K329">
        <f>IF(OR(LEFT(B329,9)="DOANH THU",LEFT(B329,8)="SỐ LƯỢNG"),A329,IF(A329="","",K328))</f>
        <v/>
      </c>
      <c r="L329">
        <f>IF(A329="","",IF(ISNUMBER(--LEFT(A329,FIND(" - ",A329&amp;" - ")-1)),LEFT(A329,FIND(" - ",A329&amp;" - ")-1),TRIM(A329)))</f>
        <v/>
      </c>
      <c r="M329">
        <f>IF(OR(K329="",K329=A329,A329=""),"",K329&amp;"|"&amp;L329)</f>
        <v/>
      </c>
      <c r="N329">
        <f>IF(M329="","",IF(ISNUMBER(B329),B329,IFERROR(_xlfn.NUMBERVALUE(B329,".",","),0)))</f>
        <v/>
      </c>
      <c r="O329">
        <f>IF(M329="","",IF(ISNUMBER(C329),C329,IFERROR(_xlfn.NUMBERVALUE(C329,".",","),0)))</f>
        <v/>
      </c>
    </row>
    <row r="330">
      <c r="K330">
        <f>IF(OR(LEFT(B330,9)="DOANH THU",LEFT(B330,8)="SỐ LƯỢNG"),A330,IF(A330="","",K329))</f>
        <v/>
      </c>
      <c r="L330">
        <f>IF(A330="","",IF(ISNUMBER(--LEFT(A330,FIND(" - ",A330&amp;" - ")-1)),LEFT(A330,FIND(" - ",A330&amp;" - ")-1),TRIM(A330)))</f>
        <v/>
      </c>
      <c r="M330">
        <f>IF(OR(K330="",K330=A330,A330=""),"",K330&amp;"|"&amp;L330)</f>
        <v/>
      </c>
      <c r="N330">
        <f>IF(M330="","",IF(ISNUMBER(B330),B330,IFERROR(_xlfn.NUMBERVALUE(B330,".",","),0)))</f>
        <v/>
      </c>
      <c r="O330">
        <f>IF(M330="","",IF(ISNUMBER(C330),C330,IFERROR(_xlfn.NUMBERVALUE(C330,".",","),0)))</f>
        <v/>
      </c>
    </row>
    <row r="331">
      <c r="K331">
        <f>IF(OR(LEFT(B331,9)="DOANH THU",LEFT(B331,8)="SỐ LƯỢNG"),A331,IF(A331="","",K330))</f>
        <v/>
      </c>
      <c r="L331">
        <f>IF(A331="","",IF(ISNUMBER(--LEFT(A331,FIND(" - ",A331&amp;" - ")-1)),LEFT(A331,FIND(" - ",A331&amp;" - ")-1),TRIM(A331)))</f>
        <v/>
      </c>
      <c r="M331">
        <f>IF(OR(K331="",K331=A331,A331=""),"",K331&amp;"|"&amp;L331)</f>
        <v/>
      </c>
      <c r="N331">
        <f>IF(M331="","",IF(ISNUMBER(B331),B331,IFERROR(_xlfn.NUMBERVALUE(B331,".",","),0)))</f>
        <v/>
      </c>
      <c r="O331">
        <f>IF(M331="","",IF(ISNUMBER(C331),C331,IFERROR(_xlfn.NUMBERVALUE(C331,".",","),0)))</f>
        <v/>
      </c>
    </row>
    <row r="332">
      <c r="K332">
        <f>IF(OR(LEFT(B332,9)="DOANH THU",LEFT(B332,8)="SỐ LƯỢNG"),A332,IF(A332="","",K331))</f>
        <v/>
      </c>
      <c r="L332">
        <f>IF(A332="","",IF(ISNUMBER(--LEFT(A332,FIND(" - ",A332&amp;" - ")-1)),LEFT(A332,FIND(" - ",A332&amp;" - ")-1),TRIM(A332)))</f>
        <v/>
      </c>
      <c r="M332">
        <f>IF(OR(K332="",K332=A332,A332=""),"",K332&amp;"|"&amp;L332)</f>
        <v/>
      </c>
      <c r="N332">
        <f>IF(M332="","",IF(ISNUMBER(B332),B332,IFERROR(_xlfn.NUMBERVALUE(B332,".",","),0)))</f>
        <v/>
      </c>
      <c r="O332">
        <f>IF(M332="","",IF(ISNUMBER(C332),C332,IFERROR(_xlfn.NUMBERVALUE(C332,".",","),0)))</f>
        <v/>
      </c>
    </row>
    <row r="333">
      <c r="K333">
        <f>IF(OR(LEFT(B333,9)="DOANH THU",LEFT(B333,8)="SỐ LƯỢNG"),A333,IF(A333="","",K332))</f>
        <v/>
      </c>
      <c r="L333">
        <f>IF(A333="","",IF(ISNUMBER(--LEFT(A333,FIND(" - ",A333&amp;" - ")-1)),LEFT(A333,FIND(" - ",A333&amp;" - ")-1),TRIM(A333)))</f>
        <v/>
      </c>
      <c r="M333">
        <f>IF(OR(K333="",K333=A333,A333=""),"",K333&amp;"|"&amp;L333)</f>
        <v/>
      </c>
      <c r="N333">
        <f>IF(M333="","",IF(ISNUMBER(B333),B333,IFERROR(_xlfn.NUMBERVALUE(B333,".",","),0)))</f>
        <v/>
      </c>
      <c r="O333">
        <f>IF(M333="","",IF(ISNUMBER(C333),C333,IFERROR(_xlfn.NUMBERVALUE(C333,".",","),0)))</f>
        <v/>
      </c>
    </row>
    <row r="334">
      <c r="K334">
        <f>IF(OR(LEFT(B334,9)="DOANH THU",LEFT(B334,8)="SỐ LƯỢNG"),A334,IF(A334="","",K333))</f>
        <v/>
      </c>
      <c r="L334">
        <f>IF(A334="","",IF(ISNUMBER(--LEFT(A334,FIND(" - ",A334&amp;" - ")-1)),LEFT(A334,FIND(" - ",A334&amp;" - ")-1),TRIM(A334)))</f>
        <v/>
      </c>
      <c r="M334">
        <f>IF(OR(K334="",K334=A334,A334=""),"",K334&amp;"|"&amp;L334)</f>
        <v/>
      </c>
      <c r="N334">
        <f>IF(M334="","",IF(ISNUMBER(B334),B334,IFERROR(_xlfn.NUMBERVALUE(B334,".",","),0)))</f>
        <v/>
      </c>
      <c r="O334">
        <f>IF(M334="","",IF(ISNUMBER(C334),C334,IFERROR(_xlfn.NUMBERVALUE(C334,".",","),0)))</f>
        <v/>
      </c>
    </row>
    <row r="335">
      <c r="K335">
        <f>IF(OR(LEFT(B335,9)="DOANH THU",LEFT(B335,8)="SỐ LƯỢNG"),A335,IF(A335="","",K334))</f>
        <v/>
      </c>
      <c r="L335">
        <f>IF(A335="","",IF(ISNUMBER(--LEFT(A335,FIND(" - ",A335&amp;" - ")-1)),LEFT(A335,FIND(" - ",A335&amp;" - ")-1),TRIM(A335)))</f>
        <v/>
      </c>
      <c r="M335">
        <f>IF(OR(K335="",K335=A335,A335=""),"",K335&amp;"|"&amp;L335)</f>
        <v/>
      </c>
      <c r="N335">
        <f>IF(M335="","",IF(ISNUMBER(B335),B335,IFERROR(_xlfn.NUMBERVALUE(B335,".",","),0)))</f>
        <v/>
      </c>
      <c r="O335">
        <f>IF(M335="","",IF(ISNUMBER(C335),C335,IFERROR(_xlfn.NUMBERVALUE(C335,".",","),0)))</f>
        <v/>
      </c>
    </row>
    <row r="336">
      <c r="K336">
        <f>IF(OR(LEFT(B336,9)="DOANH THU",LEFT(B336,8)="SỐ LƯỢNG"),A336,IF(A336="","",K335))</f>
        <v/>
      </c>
      <c r="L336">
        <f>IF(A336="","",IF(ISNUMBER(--LEFT(A336,FIND(" - ",A336&amp;" - ")-1)),LEFT(A336,FIND(" - ",A336&amp;" - ")-1),TRIM(A336)))</f>
        <v/>
      </c>
      <c r="M336">
        <f>IF(OR(K336="",K336=A336,A336=""),"",K336&amp;"|"&amp;L336)</f>
        <v/>
      </c>
      <c r="N336">
        <f>IF(M336="","",IF(ISNUMBER(B336),B336,IFERROR(_xlfn.NUMBERVALUE(B336,".",","),0)))</f>
        <v/>
      </c>
      <c r="O336">
        <f>IF(M336="","",IF(ISNUMBER(C336),C336,IFERROR(_xlfn.NUMBERVALUE(C336,".",","),0)))</f>
        <v/>
      </c>
    </row>
    <row r="337">
      <c r="K337">
        <f>IF(OR(LEFT(B337,9)="DOANH THU",LEFT(B337,8)="SỐ LƯỢNG"),A337,IF(A337="","",K336))</f>
        <v/>
      </c>
      <c r="L337">
        <f>IF(A337="","",IF(ISNUMBER(--LEFT(A337,FIND(" - ",A337&amp;" - ")-1)),LEFT(A337,FIND(" - ",A337&amp;" - ")-1),TRIM(A337)))</f>
        <v/>
      </c>
      <c r="M337">
        <f>IF(OR(K337="",K337=A337,A337=""),"",K337&amp;"|"&amp;L337)</f>
        <v/>
      </c>
      <c r="N337">
        <f>IF(M337="","",IF(ISNUMBER(B337),B337,IFERROR(_xlfn.NUMBERVALUE(B337,".",","),0)))</f>
        <v/>
      </c>
      <c r="O337">
        <f>IF(M337="","",IF(ISNUMBER(C337),C337,IFERROR(_xlfn.NUMBERVALUE(C337,".",","),0)))</f>
        <v/>
      </c>
    </row>
    <row r="338">
      <c r="K338">
        <f>IF(OR(LEFT(B338,9)="DOANH THU",LEFT(B338,8)="SỐ LƯỢNG"),A338,IF(A338="","",K337))</f>
        <v/>
      </c>
      <c r="L338">
        <f>IF(A338="","",IF(ISNUMBER(--LEFT(A338,FIND(" - ",A338&amp;" - ")-1)),LEFT(A338,FIND(" - ",A338&amp;" - ")-1),TRIM(A338)))</f>
        <v/>
      </c>
      <c r="M338">
        <f>IF(OR(K338="",K338=A338,A338=""),"",K338&amp;"|"&amp;L338)</f>
        <v/>
      </c>
      <c r="N338">
        <f>IF(M338="","",IF(ISNUMBER(B338),B338,IFERROR(_xlfn.NUMBERVALUE(B338,".",","),0)))</f>
        <v/>
      </c>
      <c r="O338">
        <f>IF(M338="","",IF(ISNUMBER(C338),C338,IFERROR(_xlfn.NUMBERVALUE(C338,".",","),0)))</f>
        <v/>
      </c>
    </row>
    <row r="339">
      <c r="K339">
        <f>IF(OR(LEFT(B339,9)="DOANH THU",LEFT(B339,8)="SỐ LƯỢNG"),A339,IF(A339="","",K338))</f>
        <v/>
      </c>
      <c r="L339">
        <f>IF(A339="","",IF(ISNUMBER(--LEFT(A339,FIND(" - ",A339&amp;" - ")-1)),LEFT(A339,FIND(" - ",A339&amp;" - ")-1),TRIM(A339)))</f>
        <v/>
      </c>
      <c r="M339">
        <f>IF(OR(K339="",K339=A339,A339=""),"",K339&amp;"|"&amp;L339)</f>
        <v/>
      </c>
      <c r="N339">
        <f>IF(M339="","",IF(ISNUMBER(B339),B339,IFERROR(_xlfn.NUMBERVALUE(B339,".",","),0)))</f>
        <v/>
      </c>
      <c r="O339">
        <f>IF(M339="","",IF(ISNUMBER(C339),C339,IFERROR(_xlfn.NUMBERVALUE(C339,".",","),0)))</f>
        <v/>
      </c>
    </row>
    <row r="340">
      <c r="K340">
        <f>IF(OR(LEFT(B340,9)="DOANH THU",LEFT(B340,8)="SỐ LƯỢNG"),A340,IF(A340="","",K339))</f>
        <v/>
      </c>
      <c r="L340">
        <f>IF(A340="","",IF(ISNUMBER(--LEFT(A340,FIND(" - ",A340&amp;" - ")-1)),LEFT(A340,FIND(" - ",A340&amp;" - ")-1),TRIM(A340)))</f>
        <v/>
      </c>
      <c r="M340">
        <f>IF(OR(K340="",K340=A340,A340=""),"",K340&amp;"|"&amp;L340)</f>
        <v/>
      </c>
      <c r="N340">
        <f>IF(M340="","",IF(ISNUMBER(B340),B340,IFERROR(_xlfn.NUMBERVALUE(B340,".",","),0)))</f>
        <v/>
      </c>
      <c r="O340">
        <f>IF(M340="","",IF(ISNUMBER(C340),C340,IFERROR(_xlfn.NUMBERVALUE(C340,".",","),0)))</f>
        <v/>
      </c>
    </row>
    <row r="341">
      <c r="K341">
        <f>IF(OR(LEFT(B341,9)="DOANH THU",LEFT(B341,8)="SỐ LƯỢNG"),A341,IF(A341="","",K340))</f>
        <v/>
      </c>
      <c r="L341">
        <f>IF(A341="","",IF(ISNUMBER(--LEFT(A341,FIND(" - ",A341&amp;" - ")-1)),LEFT(A341,FIND(" - ",A341&amp;" - ")-1),TRIM(A341)))</f>
        <v/>
      </c>
      <c r="M341">
        <f>IF(OR(K341="",K341=A341,A341=""),"",K341&amp;"|"&amp;L341)</f>
        <v/>
      </c>
      <c r="N341">
        <f>IF(M341="","",IF(ISNUMBER(B341),B341,IFERROR(_xlfn.NUMBERVALUE(B341,".",","),0)))</f>
        <v/>
      </c>
      <c r="O341">
        <f>IF(M341="","",IF(ISNUMBER(C341),C341,IFERROR(_xlfn.NUMBERVALUE(C341,".",","),0)))</f>
        <v/>
      </c>
    </row>
    <row r="342">
      <c r="K342">
        <f>IF(OR(LEFT(B342,9)="DOANH THU",LEFT(B342,8)="SỐ LƯỢNG"),A342,IF(A342="","",K341))</f>
        <v/>
      </c>
      <c r="L342">
        <f>IF(A342="","",IF(ISNUMBER(--LEFT(A342,FIND(" - ",A342&amp;" - ")-1)),LEFT(A342,FIND(" - ",A342&amp;" - ")-1),TRIM(A342)))</f>
        <v/>
      </c>
      <c r="M342">
        <f>IF(OR(K342="",K342=A342,A342=""),"",K342&amp;"|"&amp;L342)</f>
        <v/>
      </c>
      <c r="N342">
        <f>IF(M342="","",IF(ISNUMBER(B342),B342,IFERROR(_xlfn.NUMBERVALUE(B342,".",","),0)))</f>
        <v/>
      </c>
      <c r="O342">
        <f>IF(M342="","",IF(ISNUMBER(C342),C342,IFERROR(_xlfn.NUMBERVALUE(C342,".",","),0)))</f>
        <v/>
      </c>
    </row>
    <row r="343">
      <c r="K343">
        <f>IF(OR(LEFT(B343,9)="DOANH THU",LEFT(B343,8)="SỐ LƯỢNG"),A343,IF(A343="","",K342))</f>
        <v/>
      </c>
      <c r="L343">
        <f>IF(A343="","",IF(ISNUMBER(--LEFT(A343,FIND(" - ",A343&amp;" - ")-1)),LEFT(A343,FIND(" - ",A343&amp;" - ")-1),TRIM(A343)))</f>
        <v/>
      </c>
      <c r="M343">
        <f>IF(OR(K343="",K343=A343,A343=""),"",K343&amp;"|"&amp;L343)</f>
        <v/>
      </c>
      <c r="N343">
        <f>IF(M343="","",IF(ISNUMBER(B343),B343,IFERROR(_xlfn.NUMBERVALUE(B343,".",","),0)))</f>
        <v/>
      </c>
      <c r="O343">
        <f>IF(M343="","",IF(ISNUMBER(C343),C343,IFERROR(_xlfn.NUMBERVALUE(C343,".",","),0)))</f>
        <v/>
      </c>
    </row>
    <row r="344">
      <c r="K344">
        <f>IF(OR(LEFT(B344,9)="DOANH THU",LEFT(B344,8)="SỐ LƯỢNG"),A344,IF(A344="","",K343))</f>
        <v/>
      </c>
      <c r="L344">
        <f>IF(A344="","",IF(ISNUMBER(--LEFT(A344,FIND(" - ",A344&amp;" - ")-1)),LEFT(A344,FIND(" - ",A344&amp;" - ")-1),TRIM(A344)))</f>
        <v/>
      </c>
      <c r="M344">
        <f>IF(OR(K344="",K344=A344,A344=""),"",K344&amp;"|"&amp;L344)</f>
        <v/>
      </c>
      <c r="N344">
        <f>IF(M344="","",IF(ISNUMBER(B344),B344,IFERROR(_xlfn.NUMBERVALUE(B344,".",","),0)))</f>
        <v/>
      </c>
      <c r="O344">
        <f>IF(M344="","",IF(ISNUMBER(C344),C344,IFERROR(_xlfn.NUMBERVALUE(C344,".",","),0)))</f>
        <v/>
      </c>
    </row>
    <row r="345">
      <c r="K345">
        <f>IF(OR(LEFT(B345,9)="DOANH THU",LEFT(B345,8)="SỐ LƯỢNG"),A345,IF(A345="","",K344))</f>
        <v/>
      </c>
      <c r="L345">
        <f>IF(A345="","",IF(ISNUMBER(--LEFT(A345,FIND(" - ",A345&amp;" - ")-1)),LEFT(A345,FIND(" - ",A345&amp;" - ")-1),TRIM(A345)))</f>
        <v/>
      </c>
      <c r="M345">
        <f>IF(OR(K345="",K345=A345,A345=""),"",K345&amp;"|"&amp;L345)</f>
        <v/>
      </c>
      <c r="N345">
        <f>IF(M345="","",IF(ISNUMBER(B345),B345,IFERROR(_xlfn.NUMBERVALUE(B345,".",","),0)))</f>
        <v/>
      </c>
      <c r="O345">
        <f>IF(M345="","",IF(ISNUMBER(C345),C345,IFERROR(_xlfn.NUMBERVALUE(C345,".",","),0)))</f>
        <v/>
      </c>
    </row>
    <row r="346">
      <c r="K346">
        <f>IF(OR(LEFT(B346,9)="DOANH THU",LEFT(B346,8)="SỐ LƯỢNG"),A346,IF(A346="","",K345))</f>
        <v/>
      </c>
      <c r="L346">
        <f>IF(A346="","",IF(ISNUMBER(--LEFT(A346,FIND(" - ",A346&amp;" - ")-1)),LEFT(A346,FIND(" - ",A346&amp;" - ")-1),TRIM(A346)))</f>
        <v/>
      </c>
      <c r="M346">
        <f>IF(OR(K346="",K346=A346,A346=""),"",K346&amp;"|"&amp;L346)</f>
        <v/>
      </c>
      <c r="N346">
        <f>IF(M346="","",IF(ISNUMBER(B346),B346,IFERROR(_xlfn.NUMBERVALUE(B346,".",","),0)))</f>
        <v/>
      </c>
      <c r="O346">
        <f>IF(M346="","",IF(ISNUMBER(C346),C346,IFERROR(_xlfn.NUMBERVALUE(C346,".",","),0)))</f>
        <v/>
      </c>
    </row>
    <row r="347">
      <c r="K347">
        <f>IF(OR(LEFT(B347,9)="DOANH THU",LEFT(B347,8)="SỐ LƯỢNG"),A347,IF(A347="","",K346))</f>
        <v/>
      </c>
      <c r="L347">
        <f>IF(A347="","",IF(ISNUMBER(--LEFT(A347,FIND(" - ",A347&amp;" - ")-1)),LEFT(A347,FIND(" - ",A347&amp;" - ")-1),TRIM(A347)))</f>
        <v/>
      </c>
      <c r="M347">
        <f>IF(OR(K347="",K347=A347,A347=""),"",K347&amp;"|"&amp;L347)</f>
        <v/>
      </c>
      <c r="N347">
        <f>IF(M347="","",IF(ISNUMBER(B347),B347,IFERROR(_xlfn.NUMBERVALUE(B347,".",","),0)))</f>
        <v/>
      </c>
      <c r="O347">
        <f>IF(M347="","",IF(ISNUMBER(C347),C347,IFERROR(_xlfn.NUMBERVALUE(C347,".",","),0)))</f>
        <v/>
      </c>
    </row>
    <row r="348">
      <c r="K348">
        <f>IF(OR(LEFT(B348,9)="DOANH THU",LEFT(B348,8)="SỐ LƯỢNG"),A348,IF(A348="","",K347))</f>
        <v/>
      </c>
      <c r="L348">
        <f>IF(A348="","",IF(ISNUMBER(--LEFT(A348,FIND(" - ",A348&amp;" - ")-1)),LEFT(A348,FIND(" - ",A348&amp;" - ")-1),TRIM(A348)))</f>
        <v/>
      </c>
      <c r="M348">
        <f>IF(OR(K348="",K348=A348,A348=""),"",K348&amp;"|"&amp;L348)</f>
        <v/>
      </c>
      <c r="N348">
        <f>IF(M348="","",IF(ISNUMBER(B348),B348,IFERROR(_xlfn.NUMBERVALUE(B348,".",","),0)))</f>
        <v/>
      </c>
      <c r="O348">
        <f>IF(M348="","",IF(ISNUMBER(C348),C348,IFERROR(_xlfn.NUMBERVALUE(C348,".",","),0)))</f>
        <v/>
      </c>
    </row>
    <row r="349">
      <c r="K349">
        <f>IF(OR(LEFT(B349,9)="DOANH THU",LEFT(B349,8)="SỐ LƯỢNG"),A349,IF(A349="","",K348))</f>
        <v/>
      </c>
      <c r="L349">
        <f>IF(A349="","",IF(ISNUMBER(--LEFT(A349,FIND(" - ",A349&amp;" - ")-1)),LEFT(A349,FIND(" - ",A349&amp;" - ")-1),TRIM(A349)))</f>
        <v/>
      </c>
      <c r="M349">
        <f>IF(OR(K349="",K349=A349,A349=""),"",K349&amp;"|"&amp;L349)</f>
        <v/>
      </c>
      <c r="N349">
        <f>IF(M349="","",IF(ISNUMBER(B349),B349,IFERROR(_xlfn.NUMBERVALUE(B349,".",","),0)))</f>
        <v/>
      </c>
      <c r="O349">
        <f>IF(M349="","",IF(ISNUMBER(C349),C349,IFERROR(_xlfn.NUMBERVALUE(C349,".",","),0)))</f>
        <v/>
      </c>
    </row>
    <row r="350">
      <c r="K350">
        <f>IF(OR(LEFT(B350,9)="DOANH THU",LEFT(B350,8)="SỐ LƯỢNG"),A350,IF(A350="","",K349))</f>
        <v/>
      </c>
      <c r="L350">
        <f>IF(A350="","",IF(ISNUMBER(--LEFT(A350,FIND(" - ",A350&amp;" - ")-1)),LEFT(A350,FIND(" - ",A350&amp;" - ")-1),TRIM(A350)))</f>
        <v/>
      </c>
      <c r="M350">
        <f>IF(OR(K350="",K350=A350,A350=""),"",K350&amp;"|"&amp;L350)</f>
        <v/>
      </c>
      <c r="N350">
        <f>IF(M350="","",IF(ISNUMBER(B350),B350,IFERROR(_xlfn.NUMBERVALUE(B350,".",","),0)))</f>
        <v/>
      </c>
      <c r="O350">
        <f>IF(M350="","",IF(ISNUMBER(C350),C350,IFERROR(_xlfn.NUMBERVALUE(C350,".",","),0)))</f>
        <v/>
      </c>
    </row>
    <row r="351">
      <c r="K351">
        <f>IF(OR(LEFT(B351,9)="DOANH THU",LEFT(B351,8)="SỐ LƯỢNG"),A351,IF(A351="","",K350))</f>
        <v/>
      </c>
      <c r="L351">
        <f>IF(A351="","",IF(ISNUMBER(--LEFT(A351,FIND(" - ",A351&amp;" - ")-1)),LEFT(A351,FIND(" - ",A351&amp;" - ")-1),TRIM(A351)))</f>
        <v/>
      </c>
      <c r="M351">
        <f>IF(OR(K351="",K351=A351,A351=""),"",K351&amp;"|"&amp;L351)</f>
        <v/>
      </c>
      <c r="N351">
        <f>IF(M351="","",IF(ISNUMBER(B351),B351,IFERROR(_xlfn.NUMBERVALUE(B351,".",","),0)))</f>
        <v/>
      </c>
      <c r="O351">
        <f>IF(M351="","",IF(ISNUMBER(C351),C351,IFERROR(_xlfn.NUMBERVALUE(C351,".",","),0)))</f>
        <v/>
      </c>
    </row>
    <row r="352">
      <c r="K352">
        <f>IF(OR(LEFT(B352,9)="DOANH THU",LEFT(B352,8)="SỐ LƯỢNG"),A352,IF(A352="","",K351))</f>
        <v/>
      </c>
      <c r="L352">
        <f>IF(A352="","",IF(ISNUMBER(--LEFT(A352,FIND(" - ",A352&amp;" - ")-1)),LEFT(A352,FIND(" - ",A352&amp;" - ")-1),TRIM(A352)))</f>
        <v/>
      </c>
      <c r="M352">
        <f>IF(OR(K352="",K352=A352,A352=""),"",K352&amp;"|"&amp;L352)</f>
        <v/>
      </c>
      <c r="N352">
        <f>IF(M352="","",IF(ISNUMBER(B352),B352,IFERROR(_xlfn.NUMBERVALUE(B352,".",","),0)))</f>
        <v/>
      </c>
      <c r="O352">
        <f>IF(M352="","",IF(ISNUMBER(C352),C352,IFERROR(_xlfn.NUMBERVALUE(C352,".",","),0)))</f>
        <v/>
      </c>
    </row>
    <row r="353">
      <c r="K353">
        <f>IF(OR(LEFT(B353,9)="DOANH THU",LEFT(B353,8)="SỐ LƯỢNG"),A353,IF(A353="","",K352))</f>
        <v/>
      </c>
      <c r="L353">
        <f>IF(A353="","",IF(ISNUMBER(--LEFT(A353,FIND(" - ",A353&amp;" - ")-1)),LEFT(A353,FIND(" - ",A353&amp;" - ")-1),TRIM(A353)))</f>
        <v/>
      </c>
      <c r="M353">
        <f>IF(OR(K353="",K353=A353,A353=""),"",K353&amp;"|"&amp;L353)</f>
        <v/>
      </c>
      <c r="N353">
        <f>IF(M353="","",IF(ISNUMBER(B353),B353,IFERROR(_xlfn.NUMBERVALUE(B353,".",","),0)))</f>
        <v/>
      </c>
      <c r="O353">
        <f>IF(M353="","",IF(ISNUMBER(C353),C353,IFERROR(_xlfn.NUMBERVALUE(C353,".",","),0)))</f>
        <v/>
      </c>
    </row>
    <row r="354">
      <c r="K354">
        <f>IF(OR(LEFT(B354,9)="DOANH THU",LEFT(B354,8)="SỐ LƯỢNG"),A354,IF(A354="","",K353))</f>
        <v/>
      </c>
      <c r="L354">
        <f>IF(A354="","",IF(ISNUMBER(--LEFT(A354,FIND(" - ",A354&amp;" - ")-1)),LEFT(A354,FIND(" - ",A354&amp;" - ")-1),TRIM(A354)))</f>
        <v/>
      </c>
      <c r="M354">
        <f>IF(OR(K354="",K354=A354,A354=""),"",K354&amp;"|"&amp;L354)</f>
        <v/>
      </c>
      <c r="N354">
        <f>IF(M354="","",IF(ISNUMBER(B354),B354,IFERROR(_xlfn.NUMBERVALUE(B354,".",","),0)))</f>
        <v/>
      </c>
      <c r="O354">
        <f>IF(M354="","",IF(ISNUMBER(C354),C354,IFERROR(_xlfn.NUMBERVALUE(C354,".",","),0)))</f>
        <v/>
      </c>
    </row>
    <row r="355">
      <c r="K355">
        <f>IF(OR(LEFT(B355,9)="DOANH THU",LEFT(B355,8)="SỐ LƯỢNG"),A355,IF(A355="","",K354))</f>
        <v/>
      </c>
      <c r="L355">
        <f>IF(A355="","",IF(ISNUMBER(--LEFT(A355,FIND(" - ",A355&amp;" - ")-1)),LEFT(A355,FIND(" - ",A355&amp;" - ")-1),TRIM(A355)))</f>
        <v/>
      </c>
      <c r="M355">
        <f>IF(OR(K355="",K355=A355,A355=""),"",K355&amp;"|"&amp;L355)</f>
        <v/>
      </c>
      <c r="N355">
        <f>IF(M355="","",IF(ISNUMBER(B355),B355,IFERROR(_xlfn.NUMBERVALUE(B355,".",","),0)))</f>
        <v/>
      </c>
      <c r="O355">
        <f>IF(M355="","",IF(ISNUMBER(C355),C355,IFERROR(_xlfn.NUMBERVALUE(C355,".",","),0)))</f>
        <v/>
      </c>
    </row>
    <row r="356">
      <c r="K356">
        <f>IF(OR(LEFT(B356,9)="DOANH THU",LEFT(B356,8)="SỐ LƯỢNG"),A356,IF(A356="","",K355))</f>
        <v/>
      </c>
      <c r="L356">
        <f>IF(A356="","",IF(ISNUMBER(--LEFT(A356,FIND(" - ",A356&amp;" - ")-1)),LEFT(A356,FIND(" - ",A356&amp;" - ")-1),TRIM(A356)))</f>
        <v/>
      </c>
      <c r="M356">
        <f>IF(OR(K356="",K356=A356,A356=""),"",K356&amp;"|"&amp;L356)</f>
        <v/>
      </c>
      <c r="N356">
        <f>IF(M356="","",IF(ISNUMBER(B356),B356,IFERROR(_xlfn.NUMBERVALUE(B356,".",","),0)))</f>
        <v/>
      </c>
      <c r="O356">
        <f>IF(M356="","",IF(ISNUMBER(C356),C356,IFERROR(_xlfn.NUMBERVALUE(C356,".",","),0)))</f>
        <v/>
      </c>
    </row>
    <row r="357">
      <c r="K357">
        <f>IF(OR(LEFT(B357,9)="DOANH THU",LEFT(B357,8)="SỐ LƯỢNG"),A357,IF(A357="","",K356))</f>
        <v/>
      </c>
      <c r="L357">
        <f>IF(A357="","",IF(ISNUMBER(--LEFT(A357,FIND(" - ",A357&amp;" - ")-1)),LEFT(A357,FIND(" - ",A357&amp;" - ")-1),TRIM(A357)))</f>
        <v/>
      </c>
      <c r="M357">
        <f>IF(OR(K357="",K357=A357,A357=""),"",K357&amp;"|"&amp;L357)</f>
        <v/>
      </c>
      <c r="N357">
        <f>IF(M357="","",IF(ISNUMBER(B357),B357,IFERROR(_xlfn.NUMBERVALUE(B357,".",","),0)))</f>
        <v/>
      </c>
      <c r="O357">
        <f>IF(M357="","",IF(ISNUMBER(C357),C357,IFERROR(_xlfn.NUMBERVALUE(C357,".",","),0)))</f>
        <v/>
      </c>
    </row>
    <row r="358">
      <c r="K358">
        <f>IF(OR(LEFT(B358,9)="DOANH THU",LEFT(B358,8)="SỐ LƯỢNG"),A358,IF(A358="","",K357))</f>
        <v/>
      </c>
      <c r="L358">
        <f>IF(A358="","",IF(ISNUMBER(--LEFT(A358,FIND(" - ",A358&amp;" - ")-1)),LEFT(A358,FIND(" - ",A358&amp;" - ")-1),TRIM(A358)))</f>
        <v/>
      </c>
      <c r="M358">
        <f>IF(OR(K358="",K358=A358,A358=""),"",K358&amp;"|"&amp;L358)</f>
        <v/>
      </c>
      <c r="N358">
        <f>IF(M358="","",IF(ISNUMBER(B358),B358,IFERROR(_xlfn.NUMBERVALUE(B358,".",","),0)))</f>
        <v/>
      </c>
      <c r="O358">
        <f>IF(M358="","",IF(ISNUMBER(C358),C358,IFERROR(_xlfn.NUMBERVALUE(C358,".",","),0)))</f>
        <v/>
      </c>
    </row>
    <row r="359">
      <c r="K359">
        <f>IF(OR(LEFT(B359,9)="DOANH THU",LEFT(B359,8)="SỐ LƯỢNG"),A359,IF(A359="","",K358))</f>
        <v/>
      </c>
      <c r="L359">
        <f>IF(A359="","",IF(ISNUMBER(--LEFT(A359,FIND(" - ",A359&amp;" - ")-1)),LEFT(A359,FIND(" - ",A359&amp;" - ")-1),TRIM(A359)))</f>
        <v/>
      </c>
      <c r="M359">
        <f>IF(OR(K359="",K359=A359,A359=""),"",K359&amp;"|"&amp;L359)</f>
        <v/>
      </c>
      <c r="N359">
        <f>IF(M359="","",IF(ISNUMBER(B359),B359,IFERROR(_xlfn.NUMBERVALUE(B359,".",","),0)))</f>
        <v/>
      </c>
      <c r="O359">
        <f>IF(M359="","",IF(ISNUMBER(C359),C359,IFERROR(_xlfn.NUMBERVALUE(C359,".",","),0)))</f>
        <v/>
      </c>
    </row>
    <row r="360">
      <c r="K360">
        <f>IF(OR(LEFT(B360,9)="DOANH THU",LEFT(B360,8)="SỐ LƯỢNG"),A360,IF(A360="","",K359))</f>
        <v/>
      </c>
      <c r="L360">
        <f>IF(A360="","",IF(ISNUMBER(--LEFT(A360,FIND(" - ",A360&amp;" - ")-1)),LEFT(A360,FIND(" - ",A360&amp;" - ")-1),TRIM(A360)))</f>
        <v/>
      </c>
      <c r="M360">
        <f>IF(OR(K360="",K360=A360,A360=""),"",K360&amp;"|"&amp;L360)</f>
        <v/>
      </c>
      <c r="N360">
        <f>IF(M360="","",IF(ISNUMBER(B360),B360,IFERROR(_xlfn.NUMBERVALUE(B360,".",","),0)))</f>
        <v/>
      </c>
      <c r="O360">
        <f>IF(M360="","",IF(ISNUMBER(C360),C360,IFERROR(_xlfn.NUMBERVALUE(C360,".",","),0)))</f>
        <v/>
      </c>
    </row>
    <row r="361">
      <c r="K361">
        <f>IF(OR(LEFT(B361,9)="DOANH THU",LEFT(B361,8)="SỐ LƯỢNG"),A361,IF(A361="","",K360))</f>
        <v/>
      </c>
      <c r="L361">
        <f>IF(A361="","",IF(ISNUMBER(--LEFT(A361,FIND(" - ",A361&amp;" - ")-1)),LEFT(A361,FIND(" - ",A361&amp;" - ")-1),TRIM(A361)))</f>
        <v/>
      </c>
      <c r="M361">
        <f>IF(OR(K361="",K361=A361,A361=""),"",K361&amp;"|"&amp;L361)</f>
        <v/>
      </c>
      <c r="N361">
        <f>IF(M361="","",IF(ISNUMBER(B361),B361,IFERROR(_xlfn.NUMBERVALUE(B361,".",","),0)))</f>
        <v/>
      </c>
      <c r="O361">
        <f>IF(M361="","",IF(ISNUMBER(C361),C361,IFERROR(_xlfn.NUMBERVALUE(C361,".",","),0)))</f>
        <v/>
      </c>
    </row>
    <row r="362">
      <c r="K362">
        <f>IF(OR(LEFT(B362,9)="DOANH THU",LEFT(B362,8)="SỐ LƯỢNG"),A362,IF(A362="","",K361))</f>
        <v/>
      </c>
      <c r="L362">
        <f>IF(A362="","",IF(ISNUMBER(--LEFT(A362,FIND(" - ",A362&amp;" - ")-1)),LEFT(A362,FIND(" - ",A362&amp;" - ")-1),TRIM(A362)))</f>
        <v/>
      </c>
      <c r="M362">
        <f>IF(OR(K362="",K362=A362,A362=""),"",K362&amp;"|"&amp;L362)</f>
        <v/>
      </c>
      <c r="N362">
        <f>IF(M362="","",IF(ISNUMBER(B362),B362,IFERROR(_xlfn.NUMBERVALUE(B362,".",","),0)))</f>
        <v/>
      </c>
      <c r="O362">
        <f>IF(M362="","",IF(ISNUMBER(C362),C362,IFERROR(_xlfn.NUMBERVALUE(C362,".",","),0)))</f>
        <v/>
      </c>
    </row>
    <row r="363">
      <c r="K363">
        <f>IF(OR(LEFT(B363,9)="DOANH THU",LEFT(B363,8)="SỐ LƯỢNG"),A363,IF(A363="","",K362))</f>
        <v/>
      </c>
      <c r="L363">
        <f>IF(A363="","",IF(ISNUMBER(--LEFT(A363,FIND(" - ",A363&amp;" - ")-1)),LEFT(A363,FIND(" - ",A363&amp;" - ")-1),TRIM(A363)))</f>
        <v/>
      </c>
      <c r="M363">
        <f>IF(OR(K363="",K363=A363,A363=""),"",K363&amp;"|"&amp;L363)</f>
        <v/>
      </c>
      <c r="N363">
        <f>IF(M363="","",IF(ISNUMBER(B363),B363,IFERROR(_xlfn.NUMBERVALUE(B363,".",","),0)))</f>
        <v/>
      </c>
      <c r="O363">
        <f>IF(M363="","",IF(ISNUMBER(C363),C363,IFERROR(_xlfn.NUMBERVALUE(C363,".",","),0)))</f>
        <v/>
      </c>
    </row>
    <row r="364">
      <c r="K364">
        <f>IF(OR(LEFT(B364,9)="DOANH THU",LEFT(B364,8)="SỐ LƯỢNG"),A364,IF(A364="","",K363))</f>
        <v/>
      </c>
      <c r="L364">
        <f>IF(A364="","",IF(ISNUMBER(--LEFT(A364,FIND(" - ",A364&amp;" - ")-1)),LEFT(A364,FIND(" - ",A364&amp;" - ")-1),TRIM(A364)))</f>
        <v/>
      </c>
      <c r="M364">
        <f>IF(OR(K364="",K364=A364,A364=""),"",K364&amp;"|"&amp;L364)</f>
        <v/>
      </c>
      <c r="N364">
        <f>IF(M364="","",IF(ISNUMBER(B364),B364,IFERROR(_xlfn.NUMBERVALUE(B364,".",","),0)))</f>
        <v/>
      </c>
      <c r="O364">
        <f>IF(M364="","",IF(ISNUMBER(C364),C364,IFERROR(_xlfn.NUMBERVALUE(C364,".",","),0)))</f>
        <v/>
      </c>
    </row>
    <row r="365">
      <c r="K365">
        <f>IF(OR(LEFT(B365,9)="DOANH THU",LEFT(B365,8)="SỐ LƯỢNG"),A365,IF(A365="","",K364))</f>
        <v/>
      </c>
      <c r="L365">
        <f>IF(A365="","",IF(ISNUMBER(--LEFT(A365,FIND(" - ",A365&amp;" - ")-1)),LEFT(A365,FIND(" - ",A365&amp;" - ")-1),TRIM(A365)))</f>
        <v/>
      </c>
      <c r="M365">
        <f>IF(OR(K365="",K365=A365,A365=""),"",K365&amp;"|"&amp;L365)</f>
        <v/>
      </c>
      <c r="N365">
        <f>IF(M365="","",IF(ISNUMBER(B365),B365,IFERROR(_xlfn.NUMBERVALUE(B365,".",","),0)))</f>
        <v/>
      </c>
      <c r="O365">
        <f>IF(M365="","",IF(ISNUMBER(C365),C365,IFERROR(_xlfn.NUMBERVALUE(C365,".",","),0)))</f>
        <v/>
      </c>
    </row>
    <row r="366">
      <c r="K366">
        <f>IF(OR(LEFT(B366,9)="DOANH THU",LEFT(B366,8)="SỐ LƯỢNG"),A366,IF(A366="","",K365))</f>
        <v/>
      </c>
      <c r="L366">
        <f>IF(A366="","",IF(ISNUMBER(--LEFT(A366,FIND(" - ",A366&amp;" - ")-1)),LEFT(A366,FIND(" - ",A366&amp;" - ")-1),TRIM(A366)))</f>
        <v/>
      </c>
      <c r="M366">
        <f>IF(OR(K366="",K366=A366,A366=""),"",K366&amp;"|"&amp;L366)</f>
        <v/>
      </c>
      <c r="N366">
        <f>IF(M366="","",IF(ISNUMBER(B366),B366,IFERROR(_xlfn.NUMBERVALUE(B366,".",","),0)))</f>
        <v/>
      </c>
      <c r="O366">
        <f>IF(M366="","",IF(ISNUMBER(C366),C366,IFERROR(_xlfn.NUMBERVALUE(C366,".",","),0)))</f>
        <v/>
      </c>
    </row>
    <row r="367">
      <c r="K367">
        <f>IF(OR(LEFT(B367,9)="DOANH THU",LEFT(B367,8)="SỐ LƯỢNG"),A367,IF(A367="","",K366))</f>
        <v/>
      </c>
      <c r="L367">
        <f>IF(A367="","",IF(ISNUMBER(--LEFT(A367,FIND(" - ",A367&amp;" - ")-1)),LEFT(A367,FIND(" - ",A367&amp;" - ")-1),TRIM(A367)))</f>
        <v/>
      </c>
      <c r="M367">
        <f>IF(OR(K367="",K367=A367,A367=""),"",K367&amp;"|"&amp;L367)</f>
        <v/>
      </c>
      <c r="N367">
        <f>IF(M367="","",IF(ISNUMBER(B367),B367,IFERROR(_xlfn.NUMBERVALUE(B367,".",","),0)))</f>
        <v/>
      </c>
      <c r="O367">
        <f>IF(M367="","",IF(ISNUMBER(C367),C367,IFERROR(_xlfn.NUMBERVALUE(C367,".",","),0)))</f>
        <v/>
      </c>
    </row>
    <row r="368">
      <c r="K368">
        <f>IF(OR(LEFT(B368,9)="DOANH THU",LEFT(B368,8)="SỐ LƯỢNG"),A368,IF(A368="","",K367))</f>
        <v/>
      </c>
      <c r="L368">
        <f>IF(A368="","",IF(ISNUMBER(--LEFT(A368,FIND(" - ",A368&amp;" - ")-1)),LEFT(A368,FIND(" - ",A368&amp;" - ")-1),TRIM(A368)))</f>
        <v/>
      </c>
      <c r="M368">
        <f>IF(OR(K368="",K368=A368,A368=""),"",K368&amp;"|"&amp;L368)</f>
        <v/>
      </c>
      <c r="N368">
        <f>IF(M368="","",IF(ISNUMBER(B368),B368,IFERROR(_xlfn.NUMBERVALUE(B368,".",","),0)))</f>
        <v/>
      </c>
      <c r="O368">
        <f>IF(M368="","",IF(ISNUMBER(C368),C368,IFERROR(_xlfn.NUMBERVALUE(C368,".",","),0)))</f>
        <v/>
      </c>
    </row>
    <row r="369">
      <c r="K369">
        <f>IF(OR(LEFT(B369,9)="DOANH THU",LEFT(B369,8)="SỐ LƯỢNG"),A369,IF(A369="","",K368))</f>
        <v/>
      </c>
      <c r="L369">
        <f>IF(A369="","",IF(ISNUMBER(--LEFT(A369,FIND(" - ",A369&amp;" - ")-1)),LEFT(A369,FIND(" - ",A369&amp;" - ")-1),TRIM(A369)))</f>
        <v/>
      </c>
      <c r="M369">
        <f>IF(OR(K369="",K369=A369,A369=""),"",K369&amp;"|"&amp;L369)</f>
        <v/>
      </c>
      <c r="N369">
        <f>IF(M369="","",IF(ISNUMBER(B369),B369,IFERROR(_xlfn.NUMBERVALUE(B369,".",","),0)))</f>
        <v/>
      </c>
      <c r="O369">
        <f>IF(M369="","",IF(ISNUMBER(C369),C369,IFERROR(_xlfn.NUMBERVALUE(C369,".",","),0)))</f>
        <v/>
      </c>
    </row>
    <row r="370">
      <c r="K370">
        <f>IF(OR(LEFT(B370,9)="DOANH THU",LEFT(B370,8)="SỐ LƯỢNG"),A370,IF(A370="","",K369))</f>
        <v/>
      </c>
      <c r="L370">
        <f>IF(A370="","",IF(ISNUMBER(--LEFT(A370,FIND(" - ",A370&amp;" - ")-1)),LEFT(A370,FIND(" - ",A370&amp;" - ")-1),TRIM(A370)))</f>
        <v/>
      </c>
      <c r="M370">
        <f>IF(OR(K370="",K370=A370,A370=""),"",K370&amp;"|"&amp;L370)</f>
        <v/>
      </c>
      <c r="N370">
        <f>IF(M370="","",IF(ISNUMBER(B370),B370,IFERROR(_xlfn.NUMBERVALUE(B370,".",","),0)))</f>
        <v/>
      </c>
      <c r="O370">
        <f>IF(M370="","",IF(ISNUMBER(C370),C370,IFERROR(_xlfn.NUMBERVALUE(C370,".",","),0)))</f>
        <v/>
      </c>
    </row>
    <row r="371">
      <c r="K371">
        <f>IF(OR(LEFT(B371,9)="DOANH THU",LEFT(B371,8)="SỐ LƯỢNG"),A371,IF(A371="","",K370))</f>
        <v/>
      </c>
      <c r="L371">
        <f>IF(A371="","",IF(ISNUMBER(--LEFT(A371,FIND(" - ",A371&amp;" - ")-1)),LEFT(A371,FIND(" - ",A371&amp;" - ")-1),TRIM(A371)))</f>
        <v/>
      </c>
      <c r="M371">
        <f>IF(OR(K371="",K371=A371,A371=""),"",K371&amp;"|"&amp;L371)</f>
        <v/>
      </c>
      <c r="N371">
        <f>IF(M371="","",IF(ISNUMBER(B371),B371,IFERROR(_xlfn.NUMBERVALUE(B371,".",","),0)))</f>
        <v/>
      </c>
      <c r="O371">
        <f>IF(M371="","",IF(ISNUMBER(C371),C371,IFERROR(_xlfn.NUMBERVALUE(C371,".",","),0)))</f>
        <v/>
      </c>
    </row>
    <row r="372">
      <c r="K372">
        <f>IF(OR(LEFT(B372,9)="DOANH THU",LEFT(B372,8)="SỐ LƯỢNG"),A372,IF(A372="","",K371))</f>
        <v/>
      </c>
      <c r="L372">
        <f>IF(A372="","",IF(ISNUMBER(--LEFT(A372,FIND(" - ",A372&amp;" - ")-1)),LEFT(A372,FIND(" - ",A372&amp;" - ")-1),TRIM(A372)))</f>
        <v/>
      </c>
      <c r="M372">
        <f>IF(OR(K372="",K372=A372,A372=""),"",K372&amp;"|"&amp;L372)</f>
        <v/>
      </c>
      <c r="N372">
        <f>IF(M372="","",IF(ISNUMBER(B372),B372,IFERROR(_xlfn.NUMBERVALUE(B372,".",","),0)))</f>
        <v/>
      </c>
      <c r="O372">
        <f>IF(M372="","",IF(ISNUMBER(C372),C372,IFERROR(_xlfn.NUMBERVALUE(C372,".",","),0)))</f>
        <v/>
      </c>
    </row>
    <row r="373">
      <c r="K373">
        <f>IF(OR(LEFT(B373,9)="DOANH THU",LEFT(B373,8)="SỐ LƯỢNG"),A373,IF(A373="","",K372))</f>
        <v/>
      </c>
      <c r="L373">
        <f>IF(A373="","",IF(ISNUMBER(--LEFT(A373,FIND(" - ",A373&amp;" - ")-1)),LEFT(A373,FIND(" - ",A373&amp;" - ")-1),TRIM(A373)))</f>
        <v/>
      </c>
      <c r="M373">
        <f>IF(OR(K373="",K373=A373,A373=""),"",K373&amp;"|"&amp;L373)</f>
        <v/>
      </c>
      <c r="N373">
        <f>IF(M373="","",IF(ISNUMBER(B373),B373,IFERROR(_xlfn.NUMBERVALUE(B373,".",","),0)))</f>
        <v/>
      </c>
      <c r="O373">
        <f>IF(M373="","",IF(ISNUMBER(C373),C373,IFERROR(_xlfn.NUMBERVALUE(C373,".",","),0)))</f>
        <v/>
      </c>
    </row>
    <row r="374">
      <c r="K374">
        <f>IF(OR(LEFT(B374,9)="DOANH THU",LEFT(B374,8)="SỐ LƯỢNG"),A374,IF(A374="","",K373))</f>
        <v/>
      </c>
      <c r="L374">
        <f>IF(A374="","",IF(ISNUMBER(--LEFT(A374,FIND(" - ",A374&amp;" - ")-1)),LEFT(A374,FIND(" - ",A374&amp;" - ")-1),TRIM(A374)))</f>
        <v/>
      </c>
      <c r="M374">
        <f>IF(OR(K374="",K374=A374,A374=""),"",K374&amp;"|"&amp;L374)</f>
        <v/>
      </c>
      <c r="N374">
        <f>IF(M374="","",IF(ISNUMBER(B374),B374,IFERROR(_xlfn.NUMBERVALUE(B374,".",","),0)))</f>
        <v/>
      </c>
      <c r="O374">
        <f>IF(M374="","",IF(ISNUMBER(C374),C374,IFERROR(_xlfn.NUMBERVALUE(C374,".",","),0)))</f>
        <v/>
      </c>
    </row>
    <row r="375">
      <c r="K375">
        <f>IF(OR(LEFT(B375,9)="DOANH THU",LEFT(B375,8)="SỐ LƯỢNG"),A375,IF(A375="","",K374))</f>
        <v/>
      </c>
      <c r="L375">
        <f>IF(A375="","",IF(ISNUMBER(--LEFT(A375,FIND(" - ",A375&amp;" - ")-1)),LEFT(A375,FIND(" - ",A375&amp;" - ")-1),TRIM(A375)))</f>
        <v/>
      </c>
      <c r="M375">
        <f>IF(OR(K375="",K375=A375,A375=""),"",K375&amp;"|"&amp;L375)</f>
        <v/>
      </c>
      <c r="N375">
        <f>IF(M375="","",IF(ISNUMBER(B375),B375,IFERROR(_xlfn.NUMBERVALUE(B375,".",","),0)))</f>
        <v/>
      </c>
      <c r="O375">
        <f>IF(M375="","",IF(ISNUMBER(C375),C375,IFERROR(_xlfn.NUMBERVALUE(C375,".",","),0)))</f>
        <v/>
      </c>
    </row>
    <row r="376">
      <c r="K376">
        <f>IF(OR(LEFT(B376,9)="DOANH THU",LEFT(B376,8)="SỐ LƯỢNG"),A376,IF(A376="","",K375))</f>
        <v/>
      </c>
      <c r="L376">
        <f>IF(A376="","",IF(ISNUMBER(--LEFT(A376,FIND(" - ",A376&amp;" - ")-1)),LEFT(A376,FIND(" - ",A376&amp;" - ")-1),TRIM(A376)))</f>
        <v/>
      </c>
      <c r="M376">
        <f>IF(OR(K376="",K376=A376,A376=""),"",K376&amp;"|"&amp;L376)</f>
        <v/>
      </c>
      <c r="N376">
        <f>IF(M376="","",IF(ISNUMBER(B376),B376,IFERROR(_xlfn.NUMBERVALUE(B376,".",","),0)))</f>
        <v/>
      </c>
      <c r="O376">
        <f>IF(M376="","",IF(ISNUMBER(C376),C376,IFERROR(_xlfn.NUMBERVALUE(C376,".",","),0)))</f>
        <v/>
      </c>
    </row>
    <row r="377">
      <c r="K377">
        <f>IF(OR(LEFT(B377,9)="DOANH THU",LEFT(B377,8)="SỐ LƯỢNG"),A377,IF(A377="","",K376))</f>
        <v/>
      </c>
      <c r="L377">
        <f>IF(A377="","",IF(ISNUMBER(--LEFT(A377,FIND(" - ",A377&amp;" - ")-1)),LEFT(A377,FIND(" - ",A377&amp;" - ")-1),TRIM(A377)))</f>
        <v/>
      </c>
      <c r="M377">
        <f>IF(OR(K377="",K377=A377,A377=""),"",K377&amp;"|"&amp;L377)</f>
        <v/>
      </c>
      <c r="N377">
        <f>IF(M377="","",IF(ISNUMBER(B377),B377,IFERROR(_xlfn.NUMBERVALUE(B377,".",","),0)))</f>
        <v/>
      </c>
      <c r="O377">
        <f>IF(M377="","",IF(ISNUMBER(C377),C377,IFERROR(_xlfn.NUMBERVALUE(C377,".",","),0)))</f>
        <v/>
      </c>
    </row>
    <row r="378">
      <c r="K378">
        <f>IF(OR(LEFT(B378,9)="DOANH THU",LEFT(B378,8)="SỐ LƯỢNG"),A378,IF(A378="","",K377))</f>
        <v/>
      </c>
      <c r="L378">
        <f>IF(A378="","",IF(ISNUMBER(--LEFT(A378,FIND(" - ",A378&amp;" - ")-1)),LEFT(A378,FIND(" - ",A378&amp;" - ")-1),TRIM(A378)))</f>
        <v/>
      </c>
      <c r="M378">
        <f>IF(OR(K378="",K378=A378,A378=""),"",K378&amp;"|"&amp;L378)</f>
        <v/>
      </c>
      <c r="N378">
        <f>IF(M378="","",IF(ISNUMBER(B378),B378,IFERROR(_xlfn.NUMBERVALUE(B378,".",","),0)))</f>
        <v/>
      </c>
      <c r="O378">
        <f>IF(M378="","",IF(ISNUMBER(C378),C378,IFERROR(_xlfn.NUMBERVALUE(C378,".",","),0)))</f>
        <v/>
      </c>
    </row>
    <row r="379">
      <c r="K379">
        <f>IF(OR(LEFT(B379,9)="DOANH THU",LEFT(B379,8)="SỐ LƯỢNG"),A379,IF(A379="","",K378))</f>
        <v/>
      </c>
      <c r="L379">
        <f>IF(A379="","",IF(ISNUMBER(--LEFT(A379,FIND(" - ",A379&amp;" - ")-1)),LEFT(A379,FIND(" - ",A379&amp;" - ")-1),TRIM(A379)))</f>
        <v/>
      </c>
      <c r="M379">
        <f>IF(OR(K379="",K379=A379,A379=""),"",K379&amp;"|"&amp;L379)</f>
        <v/>
      </c>
      <c r="N379">
        <f>IF(M379="","",IF(ISNUMBER(B379),B379,IFERROR(_xlfn.NUMBERVALUE(B379,".",","),0)))</f>
        <v/>
      </c>
      <c r="O379">
        <f>IF(M379="","",IF(ISNUMBER(C379),C379,IFERROR(_xlfn.NUMBERVALUE(C379,".",","),0)))</f>
        <v/>
      </c>
    </row>
    <row r="380">
      <c r="K380">
        <f>IF(OR(LEFT(B380,9)="DOANH THU",LEFT(B380,8)="SỐ LƯỢNG"),A380,IF(A380="","",K379))</f>
        <v/>
      </c>
      <c r="L380">
        <f>IF(A380="","",IF(ISNUMBER(--LEFT(A380,FIND(" - ",A380&amp;" - ")-1)),LEFT(A380,FIND(" - ",A380&amp;" - ")-1),TRIM(A380)))</f>
        <v/>
      </c>
      <c r="M380">
        <f>IF(OR(K380="",K380=A380,A380=""),"",K380&amp;"|"&amp;L380)</f>
        <v/>
      </c>
      <c r="N380">
        <f>IF(M380="","",IF(ISNUMBER(B380),B380,IFERROR(_xlfn.NUMBERVALUE(B380,".",","),0)))</f>
        <v/>
      </c>
      <c r="O380">
        <f>IF(M380="","",IF(ISNUMBER(C380),C380,IFERROR(_xlfn.NUMBERVALUE(C380,".",","),0)))</f>
        <v/>
      </c>
    </row>
    <row r="381">
      <c r="K381">
        <f>IF(OR(LEFT(B381,9)="DOANH THU",LEFT(B381,8)="SỐ LƯỢNG"),A381,IF(A381="","",K380))</f>
        <v/>
      </c>
      <c r="L381">
        <f>IF(A381="","",IF(ISNUMBER(--LEFT(A381,FIND(" - ",A381&amp;" - ")-1)),LEFT(A381,FIND(" - ",A381&amp;" - ")-1),TRIM(A381)))</f>
        <v/>
      </c>
      <c r="M381">
        <f>IF(OR(K381="",K381=A381,A381=""),"",K381&amp;"|"&amp;L381)</f>
        <v/>
      </c>
      <c r="N381">
        <f>IF(M381="","",IF(ISNUMBER(B381),B381,IFERROR(_xlfn.NUMBERVALUE(B381,".",","),0)))</f>
        <v/>
      </c>
      <c r="O381">
        <f>IF(M381="","",IF(ISNUMBER(C381),C381,IFERROR(_xlfn.NUMBERVALUE(C381,".",","),0)))</f>
        <v/>
      </c>
    </row>
    <row r="382">
      <c r="K382">
        <f>IF(OR(LEFT(B382,9)="DOANH THU",LEFT(B382,8)="SỐ LƯỢNG"),A382,IF(A382="","",K381))</f>
        <v/>
      </c>
      <c r="L382">
        <f>IF(A382="","",IF(ISNUMBER(--LEFT(A382,FIND(" - ",A382&amp;" - ")-1)),LEFT(A382,FIND(" - ",A382&amp;" - ")-1),TRIM(A382)))</f>
        <v/>
      </c>
      <c r="M382">
        <f>IF(OR(K382="",K382=A382,A382=""),"",K382&amp;"|"&amp;L382)</f>
        <v/>
      </c>
      <c r="N382">
        <f>IF(M382="","",IF(ISNUMBER(B382),B382,IFERROR(_xlfn.NUMBERVALUE(B382,".",","),0)))</f>
        <v/>
      </c>
      <c r="O382">
        <f>IF(M382="","",IF(ISNUMBER(C382),C382,IFERROR(_xlfn.NUMBERVALUE(C382,".",","),0)))</f>
        <v/>
      </c>
    </row>
    <row r="383">
      <c r="K383">
        <f>IF(OR(LEFT(B383,9)="DOANH THU",LEFT(B383,8)="SỐ LƯỢNG"),A383,IF(A383="","",K382))</f>
        <v/>
      </c>
      <c r="L383">
        <f>IF(A383="","",IF(ISNUMBER(--LEFT(A383,FIND(" - ",A383&amp;" - ")-1)),LEFT(A383,FIND(" - ",A383&amp;" - ")-1),TRIM(A383)))</f>
        <v/>
      </c>
      <c r="M383">
        <f>IF(OR(K383="",K383=A383,A383=""),"",K383&amp;"|"&amp;L383)</f>
        <v/>
      </c>
      <c r="N383">
        <f>IF(M383="","",IF(ISNUMBER(B383),B383,IFERROR(_xlfn.NUMBERVALUE(B383,".",","),0)))</f>
        <v/>
      </c>
      <c r="O383">
        <f>IF(M383="","",IF(ISNUMBER(C383),C383,IFERROR(_xlfn.NUMBERVALUE(C383,".",","),0)))</f>
        <v/>
      </c>
    </row>
    <row r="384">
      <c r="K384">
        <f>IF(OR(LEFT(B384,9)="DOANH THU",LEFT(B384,8)="SỐ LƯỢNG"),A384,IF(A384="","",K383))</f>
        <v/>
      </c>
      <c r="L384">
        <f>IF(A384="","",IF(ISNUMBER(--LEFT(A384,FIND(" - ",A384&amp;" - ")-1)),LEFT(A384,FIND(" - ",A384&amp;" - ")-1),TRIM(A384)))</f>
        <v/>
      </c>
      <c r="M384">
        <f>IF(OR(K384="",K384=A384,A384=""),"",K384&amp;"|"&amp;L384)</f>
        <v/>
      </c>
      <c r="N384">
        <f>IF(M384="","",IF(ISNUMBER(B384),B384,IFERROR(_xlfn.NUMBERVALUE(B384,".",","),0)))</f>
        <v/>
      </c>
      <c r="O384">
        <f>IF(M384="","",IF(ISNUMBER(C384),C384,IFERROR(_xlfn.NUMBERVALUE(C384,".",","),0)))</f>
        <v/>
      </c>
    </row>
    <row r="385">
      <c r="K385">
        <f>IF(OR(LEFT(B385,9)="DOANH THU",LEFT(B385,8)="SỐ LƯỢNG"),A385,IF(A385="","",K384))</f>
        <v/>
      </c>
      <c r="L385">
        <f>IF(A385="","",IF(ISNUMBER(--LEFT(A385,FIND(" - ",A385&amp;" - ")-1)),LEFT(A385,FIND(" - ",A385&amp;" - ")-1),TRIM(A385)))</f>
        <v/>
      </c>
      <c r="M385">
        <f>IF(OR(K385="",K385=A385,A385=""),"",K385&amp;"|"&amp;L385)</f>
        <v/>
      </c>
      <c r="N385">
        <f>IF(M385="","",IF(ISNUMBER(B385),B385,IFERROR(_xlfn.NUMBERVALUE(B385,".",","),0)))</f>
        <v/>
      </c>
      <c r="O385">
        <f>IF(M385="","",IF(ISNUMBER(C385),C385,IFERROR(_xlfn.NUMBERVALUE(C385,".",","),0)))</f>
        <v/>
      </c>
    </row>
    <row r="386">
      <c r="K386">
        <f>IF(OR(LEFT(B386,9)="DOANH THU",LEFT(B386,8)="SỐ LƯỢNG"),A386,IF(A386="","",K385))</f>
        <v/>
      </c>
      <c r="L386">
        <f>IF(A386="","",IF(ISNUMBER(--LEFT(A386,FIND(" - ",A386&amp;" - ")-1)),LEFT(A386,FIND(" - ",A386&amp;" - ")-1),TRIM(A386)))</f>
        <v/>
      </c>
      <c r="M386">
        <f>IF(OR(K386="",K386=A386,A386=""),"",K386&amp;"|"&amp;L386)</f>
        <v/>
      </c>
      <c r="N386">
        <f>IF(M386="","",IF(ISNUMBER(B386),B386,IFERROR(_xlfn.NUMBERVALUE(B386,".",","),0)))</f>
        <v/>
      </c>
      <c r="O386">
        <f>IF(M386="","",IF(ISNUMBER(C386),C386,IFERROR(_xlfn.NUMBERVALUE(C386,".",","),0)))</f>
        <v/>
      </c>
    </row>
    <row r="387">
      <c r="K387">
        <f>IF(OR(LEFT(B387,9)="DOANH THU",LEFT(B387,8)="SỐ LƯỢNG"),A387,IF(A387="","",K386))</f>
        <v/>
      </c>
      <c r="L387">
        <f>IF(A387="","",IF(ISNUMBER(--LEFT(A387,FIND(" - ",A387&amp;" - ")-1)),LEFT(A387,FIND(" - ",A387&amp;" - ")-1),TRIM(A387)))</f>
        <v/>
      </c>
      <c r="M387">
        <f>IF(OR(K387="",K387=A387,A387=""),"",K387&amp;"|"&amp;L387)</f>
        <v/>
      </c>
      <c r="N387">
        <f>IF(M387="","",IF(ISNUMBER(B387),B387,IFERROR(_xlfn.NUMBERVALUE(B387,".",","),0)))</f>
        <v/>
      </c>
      <c r="O387">
        <f>IF(M387="","",IF(ISNUMBER(C387),C387,IFERROR(_xlfn.NUMBERVALUE(C387,".",","),0)))</f>
        <v/>
      </c>
    </row>
    <row r="388">
      <c r="K388">
        <f>IF(OR(LEFT(B388,9)="DOANH THU",LEFT(B388,8)="SỐ LƯỢNG"),A388,IF(A388="","",K387))</f>
        <v/>
      </c>
      <c r="L388">
        <f>IF(A388="","",IF(ISNUMBER(--LEFT(A388,FIND(" - ",A388&amp;" - ")-1)),LEFT(A388,FIND(" - ",A388&amp;" - ")-1),TRIM(A388)))</f>
        <v/>
      </c>
      <c r="M388">
        <f>IF(OR(K388="",K388=A388,A388=""),"",K388&amp;"|"&amp;L388)</f>
        <v/>
      </c>
      <c r="N388">
        <f>IF(M388="","",IF(ISNUMBER(B388),B388,IFERROR(_xlfn.NUMBERVALUE(B388,".",","),0)))</f>
        <v/>
      </c>
      <c r="O388">
        <f>IF(M388="","",IF(ISNUMBER(C388),C388,IFERROR(_xlfn.NUMBERVALUE(C388,".",","),0)))</f>
        <v/>
      </c>
    </row>
    <row r="389">
      <c r="K389">
        <f>IF(OR(LEFT(B389,9)="DOANH THU",LEFT(B389,8)="SỐ LƯỢNG"),A389,IF(A389="","",K388))</f>
        <v/>
      </c>
      <c r="L389">
        <f>IF(A389="","",IF(ISNUMBER(--LEFT(A389,FIND(" - ",A389&amp;" - ")-1)),LEFT(A389,FIND(" - ",A389&amp;" - ")-1),TRIM(A389)))</f>
        <v/>
      </c>
      <c r="M389">
        <f>IF(OR(K389="",K389=A389,A389=""),"",K389&amp;"|"&amp;L389)</f>
        <v/>
      </c>
      <c r="N389">
        <f>IF(M389="","",IF(ISNUMBER(B389),B389,IFERROR(_xlfn.NUMBERVALUE(B389,".",","),0)))</f>
        <v/>
      </c>
      <c r="O389">
        <f>IF(M389="","",IF(ISNUMBER(C389),C389,IFERROR(_xlfn.NUMBERVALUE(C389,".",","),0)))</f>
        <v/>
      </c>
    </row>
    <row r="390">
      <c r="K390">
        <f>IF(OR(LEFT(B390,9)="DOANH THU",LEFT(B390,8)="SỐ LƯỢNG"),A390,IF(A390="","",K389))</f>
        <v/>
      </c>
      <c r="L390">
        <f>IF(A390="","",IF(ISNUMBER(--LEFT(A390,FIND(" - ",A390&amp;" - ")-1)),LEFT(A390,FIND(" - ",A390&amp;" - ")-1),TRIM(A390)))</f>
        <v/>
      </c>
      <c r="M390">
        <f>IF(OR(K390="",K390=A390,A390=""),"",K390&amp;"|"&amp;L390)</f>
        <v/>
      </c>
      <c r="N390">
        <f>IF(M390="","",IF(ISNUMBER(B390),B390,IFERROR(_xlfn.NUMBERVALUE(B390,".",","),0)))</f>
        <v/>
      </c>
      <c r="O390">
        <f>IF(M390="","",IF(ISNUMBER(C390),C390,IFERROR(_xlfn.NUMBERVALUE(C390,".",","),0)))</f>
        <v/>
      </c>
    </row>
    <row r="391">
      <c r="K391">
        <f>IF(OR(LEFT(B391,9)="DOANH THU",LEFT(B391,8)="SỐ LƯỢNG"),A391,IF(A391="","",K390))</f>
        <v/>
      </c>
      <c r="L391">
        <f>IF(A391="","",IF(ISNUMBER(--LEFT(A391,FIND(" - ",A391&amp;" - ")-1)),LEFT(A391,FIND(" - ",A391&amp;" - ")-1),TRIM(A391)))</f>
        <v/>
      </c>
      <c r="M391">
        <f>IF(OR(K391="",K391=A391,A391=""),"",K391&amp;"|"&amp;L391)</f>
        <v/>
      </c>
      <c r="N391">
        <f>IF(M391="","",IF(ISNUMBER(B391),B391,IFERROR(_xlfn.NUMBERVALUE(B391,".",","),0)))</f>
        <v/>
      </c>
      <c r="O391">
        <f>IF(M391="","",IF(ISNUMBER(C391),C391,IFERROR(_xlfn.NUMBERVALUE(C391,".",","),0)))</f>
        <v/>
      </c>
    </row>
    <row r="392">
      <c r="K392">
        <f>IF(OR(LEFT(B392,9)="DOANH THU",LEFT(B392,8)="SỐ LƯỢNG"),A392,IF(A392="","",K391))</f>
        <v/>
      </c>
      <c r="L392">
        <f>IF(A392="","",IF(ISNUMBER(--LEFT(A392,FIND(" - ",A392&amp;" - ")-1)),LEFT(A392,FIND(" - ",A392&amp;" - ")-1),TRIM(A392)))</f>
        <v/>
      </c>
      <c r="M392">
        <f>IF(OR(K392="",K392=A392,A392=""),"",K392&amp;"|"&amp;L392)</f>
        <v/>
      </c>
      <c r="N392">
        <f>IF(M392="","",IF(ISNUMBER(B392),B392,IFERROR(_xlfn.NUMBERVALUE(B392,".",","),0)))</f>
        <v/>
      </c>
      <c r="O392">
        <f>IF(M392="","",IF(ISNUMBER(C392),C392,IFERROR(_xlfn.NUMBERVALUE(C392,".",","),0)))</f>
        <v/>
      </c>
    </row>
    <row r="393">
      <c r="K393">
        <f>IF(OR(LEFT(B393,9)="DOANH THU",LEFT(B393,8)="SỐ LƯỢNG"),A393,IF(A393="","",K392))</f>
        <v/>
      </c>
      <c r="L393">
        <f>IF(A393="","",IF(ISNUMBER(--LEFT(A393,FIND(" - ",A393&amp;" - ")-1)),LEFT(A393,FIND(" - ",A393&amp;" - ")-1),TRIM(A393)))</f>
        <v/>
      </c>
      <c r="M393">
        <f>IF(OR(K393="",K393=A393,A393=""),"",K393&amp;"|"&amp;L393)</f>
        <v/>
      </c>
      <c r="N393">
        <f>IF(M393="","",IF(ISNUMBER(B393),B393,IFERROR(_xlfn.NUMBERVALUE(B393,".",","),0)))</f>
        <v/>
      </c>
      <c r="O393">
        <f>IF(M393="","",IF(ISNUMBER(C393),C393,IFERROR(_xlfn.NUMBERVALUE(C393,".",","),0)))</f>
        <v/>
      </c>
    </row>
    <row r="394">
      <c r="K394">
        <f>IF(OR(LEFT(B394,9)="DOANH THU",LEFT(B394,8)="SỐ LƯỢNG"),A394,IF(A394="","",K393))</f>
        <v/>
      </c>
      <c r="L394">
        <f>IF(A394="","",IF(ISNUMBER(--LEFT(A394,FIND(" - ",A394&amp;" - ")-1)),LEFT(A394,FIND(" - ",A394&amp;" - ")-1),TRIM(A394)))</f>
        <v/>
      </c>
      <c r="M394">
        <f>IF(OR(K394="",K394=A394,A394=""),"",K394&amp;"|"&amp;L394)</f>
        <v/>
      </c>
      <c r="N394">
        <f>IF(M394="","",IF(ISNUMBER(B394),B394,IFERROR(_xlfn.NUMBERVALUE(B394,".",","),0)))</f>
        <v/>
      </c>
      <c r="O394">
        <f>IF(M394="","",IF(ISNUMBER(C394),C394,IFERROR(_xlfn.NUMBERVALUE(C394,".",","),0)))</f>
        <v/>
      </c>
    </row>
    <row r="395">
      <c r="K395">
        <f>IF(OR(LEFT(B395,9)="DOANH THU",LEFT(B395,8)="SỐ LƯỢNG"),A395,IF(A395="","",K394))</f>
        <v/>
      </c>
      <c r="L395">
        <f>IF(A395="","",IF(ISNUMBER(--LEFT(A395,FIND(" - ",A395&amp;" - ")-1)),LEFT(A395,FIND(" - ",A395&amp;" - ")-1),TRIM(A395)))</f>
        <v/>
      </c>
      <c r="M395">
        <f>IF(OR(K395="",K395=A395,A395=""),"",K395&amp;"|"&amp;L395)</f>
        <v/>
      </c>
      <c r="N395">
        <f>IF(M395="","",IF(ISNUMBER(B395),B395,IFERROR(_xlfn.NUMBERVALUE(B395,".",","),0)))</f>
        <v/>
      </c>
      <c r="O395">
        <f>IF(M395="","",IF(ISNUMBER(C395),C395,IFERROR(_xlfn.NUMBERVALUE(C395,".",","),0)))</f>
        <v/>
      </c>
    </row>
    <row r="396">
      <c r="K396">
        <f>IF(OR(LEFT(B396,9)="DOANH THU",LEFT(B396,8)="SỐ LƯỢNG"),A396,IF(A396="","",K395))</f>
        <v/>
      </c>
      <c r="L396">
        <f>IF(A396="","",IF(ISNUMBER(--LEFT(A396,FIND(" - ",A396&amp;" - ")-1)),LEFT(A396,FIND(" - ",A396&amp;" - ")-1),TRIM(A396)))</f>
        <v/>
      </c>
      <c r="M396">
        <f>IF(OR(K396="",K396=A396,A396=""),"",K396&amp;"|"&amp;L396)</f>
        <v/>
      </c>
      <c r="N396">
        <f>IF(M396="","",IF(ISNUMBER(B396),B396,IFERROR(_xlfn.NUMBERVALUE(B396,".",","),0)))</f>
        <v/>
      </c>
      <c r="O396">
        <f>IF(M396="","",IF(ISNUMBER(C396),C396,IFERROR(_xlfn.NUMBERVALUE(C396,".",","),0)))</f>
        <v/>
      </c>
    </row>
    <row r="397">
      <c r="K397">
        <f>IF(OR(LEFT(B397,9)="DOANH THU",LEFT(B397,8)="SỐ LƯỢNG"),A397,IF(A397="","",K396))</f>
        <v/>
      </c>
      <c r="L397">
        <f>IF(A397="","",IF(ISNUMBER(--LEFT(A397,FIND(" - ",A397&amp;" - ")-1)),LEFT(A397,FIND(" - ",A397&amp;" - ")-1),TRIM(A397)))</f>
        <v/>
      </c>
      <c r="M397">
        <f>IF(OR(K397="",K397=A397,A397=""),"",K397&amp;"|"&amp;L397)</f>
        <v/>
      </c>
      <c r="N397">
        <f>IF(M397="","",IF(ISNUMBER(B397),B397,IFERROR(_xlfn.NUMBERVALUE(B397,".",","),0)))</f>
        <v/>
      </c>
      <c r="O397">
        <f>IF(M397="","",IF(ISNUMBER(C397),C397,IFERROR(_xlfn.NUMBERVALUE(C397,".",","),0)))</f>
        <v/>
      </c>
    </row>
    <row r="398">
      <c r="K398">
        <f>IF(OR(LEFT(B398,9)="DOANH THU",LEFT(B398,8)="SỐ LƯỢNG"),A398,IF(A398="","",K397))</f>
        <v/>
      </c>
      <c r="L398">
        <f>IF(A398="","",IF(ISNUMBER(--LEFT(A398,FIND(" - ",A398&amp;" - ")-1)),LEFT(A398,FIND(" - ",A398&amp;" - ")-1),TRIM(A398)))</f>
        <v/>
      </c>
      <c r="M398">
        <f>IF(OR(K398="",K398=A398,A398=""),"",K398&amp;"|"&amp;L398)</f>
        <v/>
      </c>
      <c r="N398">
        <f>IF(M398="","",IF(ISNUMBER(B398),B398,IFERROR(_xlfn.NUMBERVALUE(B398,".",","),0)))</f>
        <v/>
      </c>
      <c r="O398">
        <f>IF(M398="","",IF(ISNUMBER(C398),C398,IFERROR(_xlfn.NUMBERVALUE(C398,".",","),0)))</f>
        <v/>
      </c>
    </row>
    <row r="399">
      <c r="K399">
        <f>IF(OR(LEFT(B399,9)="DOANH THU",LEFT(B399,8)="SỐ LƯỢNG"),A399,IF(A399="","",K398))</f>
        <v/>
      </c>
      <c r="L399">
        <f>IF(A399="","",IF(ISNUMBER(--LEFT(A399,FIND(" - ",A399&amp;" - ")-1)),LEFT(A399,FIND(" - ",A399&amp;" - ")-1),TRIM(A399)))</f>
        <v/>
      </c>
      <c r="M399">
        <f>IF(OR(K399="",K399=A399,A399=""),"",K399&amp;"|"&amp;L399)</f>
        <v/>
      </c>
      <c r="N399">
        <f>IF(M399="","",IF(ISNUMBER(B399),B399,IFERROR(_xlfn.NUMBERVALUE(B399,".",","),0)))</f>
        <v/>
      </c>
      <c r="O399">
        <f>IF(M399="","",IF(ISNUMBER(C399),C399,IFERROR(_xlfn.NUMBERVALUE(C399,".",","),0)))</f>
        <v/>
      </c>
    </row>
    <row r="400">
      <c r="K400">
        <f>IF(OR(LEFT(B400,9)="DOANH THU",LEFT(B400,8)="SỐ LƯỢNG"),A400,IF(A400="","",K399))</f>
        <v/>
      </c>
      <c r="L400">
        <f>IF(A400="","",IF(ISNUMBER(--LEFT(A400,FIND(" - ",A400&amp;" - ")-1)),LEFT(A400,FIND(" - ",A400&amp;" - ")-1),TRIM(A400)))</f>
        <v/>
      </c>
      <c r="M400">
        <f>IF(OR(K400="",K400=A400,A400=""),"",K400&amp;"|"&amp;L400)</f>
        <v/>
      </c>
      <c r="N400">
        <f>IF(M400="","",IF(ISNUMBER(B400),B400,IFERROR(_xlfn.NUMBERVALUE(B400,".",","),0)))</f>
        <v/>
      </c>
      <c r="O400">
        <f>IF(M400="","",IF(ISNUMBER(C400),C400,IFERROR(_xlfn.NUMBERVALUE(C400,".",","),0)))</f>
        <v/>
      </c>
    </row>
    <row r="401">
      <c r="K401">
        <f>IF(OR(LEFT(B401,9)="DOANH THU",LEFT(B401,8)="SỐ LƯỢNG"),A401,IF(A401="","",K400))</f>
        <v/>
      </c>
      <c r="L401">
        <f>IF(A401="","",IF(ISNUMBER(--LEFT(A401,FIND(" - ",A401&amp;" - ")-1)),LEFT(A401,FIND(" - ",A401&amp;" - ")-1),TRIM(A401)))</f>
        <v/>
      </c>
      <c r="M401">
        <f>IF(OR(K401="",K401=A401,A401=""),"",K401&amp;"|"&amp;L401)</f>
        <v/>
      </c>
      <c r="N401">
        <f>IF(M401="","",IF(ISNUMBER(B401),B401,IFERROR(_xlfn.NUMBERVALUE(B401,".",","),0)))</f>
        <v/>
      </c>
      <c r="O401">
        <f>IF(M401="","",IF(ISNUMBER(C401),C401,IFERROR(_xlfn.NUMBERVALUE(C401,".",","),0)))</f>
        <v/>
      </c>
    </row>
    <row r="402">
      <c r="K402">
        <f>IF(OR(LEFT(B402,9)="DOANH THU",LEFT(B402,8)="SỐ LƯỢNG"),A402,IF(A402="","",K401))</f>
        <v/>
      </c>
      <c r="L402">
        <f>IF(A402="","",IF(ISNUMBER(--LEFT(A402,FIND(" - ",A402&amp;" - ")-1)),LEFT(A402,FIND(" - ",A402&amp;" - ")-1),TRIM(A402)))</f>
        <v/>
      </c>
      <c r="M402">
        <f>IF(OR(K402="",K402=A402,A402=""),"",K402&amp;"|"&amp;L402)</f>
        <v/>
      </c>
      <c r="N402">
        <f>IF(M402="","",IF(ISNUMBER(B402),B402,IFERROR(_xlfn.NUMBERVALUE(B402,".",","),0)))</f>
        <v/>
      </c>
      <c r="O402">
        <f>IF(M402="","",IF(ISNUMBER(C402),C402,IFERROR(_xlfn.NUMBERVALUE(C402,".",","),0)))</f>
        <v/>
      </c>
    </row>
    <row r="403">
      <c r="K403">
        <f>IF(OR(LEFT(B403,9)="DOANH THU",LEFT(B403,8)="SỐ LƯỢNG"),A403,IF(A403="","",K402))</f>
        <v/>
      </c>
      <c r="L403">
        <f>IF(A403="","",IF(ISNUMBER(--LEFT(A403,FIND(" - ",A403&amp;" - ")-1)),LEFT(A403,FIND(" - ",A403&amp;" - ")-1),TRIM(A403)))</f>
        <v/>
      </c>
      <c r="M403">
        <f>IF(OR(K403="",K403=A403,A403=""),"",K403&amp;"|"&amp;L403)</f>
        <v/>
      </c>
      <c r="N403">
        <f>IF(M403="","",IF(ISNUMBER(B403),B403,IFERROR(_xlfn.NUMBERVALUE(B403,".",","),0)))</f>
        <v/>
      </c>
      <c r="O403">
        <f>IF(M403="","",IF(ISNUMBER(C403),C403,IFERROR(_xlfn.NUMBERVALUE(C403,".",","),0)))</f>
        <v/>
      </c>
    </row>
    <row r="404">
      <c r="K404">
        <f>IF(OR(LEFT(B404,9)="DOANH THU",LEFT(B404,8)="SỐ LƯỢNG"),A404,IF(A404="","",K403))</f>
        <v/>
      </c>
      <c r="L404">
        <f>IF(A404="","",IF(ISNUMBER(--LEFT(A404,FIND(" - ",A404&amp;" - ")-1)),LEFT(A404,FIND(" - ",A404&amp;" - ")-1),TRIM(A404)))</f>
        <v/>
      </c>
      <c r="M404">
        <f>IF(OR(K404="",K404=A404,A404=""),"",K404&amp;"|"&amp;L404)</f>
        <v/>
      </c>
      <c r="N404">
        <f>IF(M404="","",IF(ISNUMBER(B404),B404,IFERROR(_xlfn.NUMBERVALUE(B404,".",","),0)))</f>
        <v/>
      </c>
      <c r="O404">
        <f>IF(M404="","",IF(ISNUMBER(C404),C404,IFERROR(_xlfn.NUMBERVALUE(C404,".",","),0)))</f>
        <v/>
      </c>
    </row>
    <row r="405">
      <c r="K405">
        <f>IF(OR(LEFT(B405,9)="DOANH THU",LEFT(B405,8)="SỐ LƯỢNG"),A405,IF(A405="","",K404))</f>
        <v/>
      </c>
      <c r="L405">
        <f>IF(A405="","",IF(ISNUMBER(--LEFT(A405,FIND(" - ",A405&amp;" - ")-1)),LEFT(A405,FIND(" - ",A405&amp;" - ")-1),TRIM(A405)))</f>
        <v/>
      </c>
      <c r="M405">
        <f>IF(OR(K405="",K405=A405,A405=""),"",K405&amp;"|"&amp;L405)</f>
        <v/>
      </c>
      <c r="N405">
        <f>IF(M405="","",IF(ISNUMBER(B405),B405,IFERROR(_xlfn.NUMBERVALUE(B405,".",","),0)))</f>
        <v/>
      </c>
      <c r="O405">
        <f>IF(M405="","",IF(ISNUMBER(C405),C405,IFERROR(_xlfn.NUMBERVALUE(C405,".",","),0)))</f>
        <v/>
      </c>
    </row>
    <row r="406">
      <c r="K406">
        <f>IF(OR(LEFT(B406,9)="DOANH THU",LEFT(B406,8)="SỐ LƯỢNG"),A406,IF(A406="","",K405))</f>
        <v/>
      </c>
      <c r="L406">
        <f>IF(A406="","",IF(ISNUMBER(--LEFT(A406,FIND(" - ",A406&amp;" - ")-1)),LEFT(A406,FIND(" - ",A406&amp;" - ")-1),TRIM(A406)))</f>
        <v/>
      </c>
      <c r="M406">
        <f>IF(OR(K406="",K406=A406,A406=""),"",K406&amp;"|"&amp;L406)</f>
        <v/>
      </c>
      <c r="N406">
        <f>IF(M406="","",IF(ISNUMBER(B406),B406,IFERROR(_xlfn.NUMBERVALUE(B406,".",","),0)))</f>
        <v/>
      </c>
      <c r="O406">
        <f>IF(M406="","",IF(ISNUMBER(C406),C406,IFERROR(_xlfn.NUMBERVALUE(C406,".",","),0)))</f>
        <v/>
      </c>
    </row>
    <row r="407">
      <c r="K407">
        <f>IF(OR(LEFT(B407,9)="DOANH THU",LEFT(B407,8)="SỐ LƯỢNG"),A407,IF(A407="","",K406))</f>
        <v/>
      </c>
      <c r="L407">
        <f>IF(A407="","",IF(ISNUMBER(--LEFT(A407,FIND(" - ",A407&amp;" - ")-1)),LEFT(A407,FIND(" - ",A407&amp;" - ")-1),TRIM(A407)))</f>
        <v/>
      </c>
      <c r="M407">
        <f>IF(OR(K407="",K407=A407,A407=""),"",K407&amp;"|"&amp;L407)</f>
        <v/>
      </c>
      <c r="N407">
        <f>IF(M407="","",IF(ISNUMBER(B407),B407,IFERROR(_xlfn.NUMBERVALUE(B407,".",","),0)))</f>
        <v/>
      </c>
      <c r="O407">
        <f>IF(M407="","",IF(ISNUMBER(C407),C407,IFERROR(_xlfn.NUMBERVALUE(C407,".",","),0)))</f>
        <v/>
      </c>
    </row>
    <row r="408">
      <c r="K408">
        <f>IF(OR(LEFT(B408,9)="DOANH THU",LEFT(B408,8)="SỐ LƯỢNG"),A408,IF(A408="","",K407))</f>
        <v/>
      </c>
      <c r="L408">
        <f>IF(A408="","",IF(ISNUMBER(--LEFT(A408,FIND(" - ",A408&amp;" - ")-1)),LEFT(A408,FIND(" - ",A408&amp;" - ")-1),TRIM(A408)))</f>
        <v/>
      </c>
      <c r="M408">
        <f>IF(OR(K408="",K408=A408,A408=""),"",K408&amp;"|"&amp;L408)</f>
        <v/>
      </c>
      <c r="N408">
        <f>IF(M408="","",IF(ISNUMBER(B408),B408,IFERROR(_xlfn.NUMBERVALUE(B408,".",","),0)))</f>
        <v/>
      </c>
      <c r="O408">
        <f>IF(M408="","",IF(ISNUMBER(C408),C408,IFERROR(_xlfn.NUMBERVALUE(C408,".",","),0)))</f>
        <v/>
      </c>
    </row>
    <row r="409">
      <c r="K409">
        <f>IF(OR(LEFT(B409,9)="DOANH THU",LEFT(B409,8)="SỐ LƯỢNG"),A409,IF(A409="","",K408))</f>
        <v/>
      </c>
      <c r="L409">
        <f>IF(A409="","",IF(ISNUMBER(--LEFT(A409,FIND(" - ",A409&amp;" - ")-1)),LEFT(A409,FIND(" - ",A409&amp;" - ")-1),TRIM(A409)))</f>
        <v/>
      </c>
      <c r="M409">
        <f>IF(OR(K409="",K409=A409,A409=""),"",K409&amp;"|"&amp;L409)</f>
        <v/>
      </c>
      <c r="N409">
        <f>IF(M409="","",IF(ISNUMBER(B409),B409,IFERROR(_xlfn.NUMBERVALUE(B409,".",","),0)))</f>
        <v/>
      </c>
      <c r="O409">
        <f>IF(M409="","",IF(ISNUMBER(C409),C409,IFERROR(_xlfn.NUMBERVALUE(C409,".",","),0)))</f>
        <v/>
      </c>
    </row>
    <row r="410">
      <c r="K410">
        <f>IF(OR(LEFT(B410,9)="DOANH THU",LEFT(B410,8)="SỐ LƯỢNG"),A410,IF(A410="","",K409))</f>
        <v/>
      </c>
      <c r="L410">
        <f>IF(A410="","",IF(ISNUMBER(--LEFT(A410,FIND(" - ",A410&amp;" - ")-1)),LEFT(A410,FIND(" - ",A410&amp;" - ")-1),TRIM(A410)))</f>
        <v/>
      </c>
      <c r="M410">
        <f>IF(OR(K410="",K410=A410,A410=""),"",K410&amp;"|"&amp;L410)</f>
        <v/>
      </c>
      <c r="N410">
        <f>IF(M410="","",IF(ISNUMBER(B410),B410,IFERROR(_xlfn.NUMBERVALUE(B410,".",","),0)))</f>
        <v/>
      </c>
      <c r="O410">
        <f>IF(M410="","",IF(ISNUMBER(C410),C410,IFERROR(_xlfn.NUMBERVALUE(C410,".",","),0)))</f>
        <v/>
      </c>
    </row>
    <row r="411">
      <c r="K411">
        <f>IF(OR(LEFT(B411,9)="DOANH THU",LEFT(B411,8)="SỐ LƯỢNG"),A411,IF(A411="","",K410))</f>
        <v/>
      </c>
      <c r="L411">
        <f>IF(A411="","",IF(ISNUMBER(--LEFT(A411,FIND(" - ",A411&amp;" - ")-1)),LEFT(A411,FIND(" - ",A411&amp;" - ")-1),TRIM(A411)))</f>
        <v/>
      </c>
      <c r="M411">
        <f>IF(OR(K411="",K411=A411,A411=""),"",K411&amp;"|"&amp;L411)</f>
        <v/>
      </c>
      <c r="N411">
        <f>IF(M411="","",IF(ISNUMBER(B411),B411,IFERROR(_xlfn.NUMBERVALUE(B411,".",","),0)))</f>
        <v/>
      </c>
      <c r="O411">
        <f>IF(M411="","",IF(ISNUMBER(C411),C411,IFERROR(_xlfn.NUMBERVALUE(C411,".",","),0)))</f>
        <v/>
      </c>
    </row>
    <row r="412">
      <c r="K412">
        <f>IF(OR(LEFT(B412,9)="DOANH THU",LEFT(B412,8)="SỐ LƯỢNG"),A412,IF(A412="","",K411))</f>
        <v/>
      </c>
      <c r="L412">
        <f>IF(A412="","",IF(ISNUMBER(--LEFT(A412,FIND(" - ",A412&amp;" - ")-1)),LEFT(A412,FIND(" - ",A412&amp;" - ")-1),TRIM(A412)))</f>
        <v/>
      </c>
      <c r="M412">
        <f>IF(OR(K412="",K412=A412,A412=""),"",K412&amp;"|"&amp;L412)</f>
        <v/>
      </c>
      <c r="N412">
        <f>IF(M412="","",IF(ISNUMBER(B412),B412,IFERROR(_xlfn.NUMBERVALUE(B412,".",","),0)))</f>
        <v/>
      </c>
      <c r="O412">
        <f>IF(M412="","",IF(ISNUMBER(C412),C412,IFERROR(_xlfn.NUMBERVALUE(C412,".",","),0)))</f>
        <v/>
      </c>
    </row>
    <row r="413">
      <c r="K413">
        <f>IF(OR(LEFT(B413,9)="DOANH THU",LEFT(B413,8)="SỐ LƯỢNG"),A413,IF(A413="","",K412))</f>
        <v/>
      </c>
      <c r="L413">
        <f>IF(A413="","",IF(ISNUMBER(--LEFT(A413,FIND(" - ",A413&amp;" - ")-1)),LEFT(A413,FIND(" - ",A413&amp;" - ")-1),TRIM(A413)))</f>
        <v/>
      </c>
      <c r="M413">
        <f>IF(OR(K413="",K413=A413,A413=""),"",K413&amp;"|"&amp;L413)</f>
        <v/>
      </c>
      <c r="N413">
        <f>IF(M413="","",IF(ISNUMBER(B413),B413,IFERROR(_xlfn.NUMBERVALUE(B413,".",","),0)))</f>
        <v/>
      </c>
      <c r="O413">
        <f>IF(M413="","",IF(ISNUMBER(C413),C413,IFERROR(_xlfn.NUMBERVALUE(C413,".",","),0)))</f>
        <v/>
      </c>
    </row>
    <row r="414">
      <c r="K414">
        <f>IF(OR(LEFT(B414,9)="DOANH THU",LEFT(B414,8)="SỐ LƯỢNG"),A414,IF(A414="","",K413))</f>
        <v/>
      </c>
      <c r="L414">
        <f>IF(A414="","",IF(ISNUMBER(--LEFT(A414,FIND(" - ",A414&amp;" - ")-1)),LEFT(A414,FIND(" - ",A414&amp;" - ")-1),TRIM(A414)))</f>
        <v/>
      </c>
      <c r="M414">
        <f>IF(OR(K414="",K414=A414,A414=""),"",K414&amp;"|"&amp;L414)</f>
        <v/>
      </c>
      <c r="N414">
        <f>IF(M414="","",IF(ISNUMBER(B414),B414,IFERROR(_xlfn.NUMBERVALUE(B414,".",","),0)))</f>
        <v/>
      </c>
      <c r="O414">
        <f>IF(M414="","",IF(ISNUMBER(C414),C414,IFERROR(_xlfn.NUMBERVALUE(C414,".",","),0)))</f>
        <v/>
      </c>
    </row>
    <row r="415">
      <c r="K415">
        <f>IF(OR(LEFT(B415,9)="DOANH THU",LEFT(B415,8)="SỐ LƯỢNG"),A415,IF(A415="","",K414))</f>
        <v/>
      </c>
      <c r="L415">
        <f>IF(A415="","",IF(ISNUMBER(--LEFT(A415,FIND(" - ",A415&amp;" - ")-1)),LEFT(A415,FIND(" - ",A415&amp;" - ")-1),TRIM(A415)))</f>
        <v/>
      </c>
      <c r="M415">
        <f>IF(OR(K415="",K415=A415,A415=""),"",K415&amp;"|"&amp;L415)</f>
        <v/>
      </c>
      <c r="N415">
        <f>IF(M415="","",IF(ISNUMBER(B415),B415,IFERROR(_xlfn.NUMBERVALUE(B415,".",","),0)))</f>
        <v/>
      </c>
      <c r="O415">
        <f>IF(M415="","",IF(ISNUMBER(C415),C415,IFERROR(_xlfn.NUMBERVALUE(C415,".",","),0)))</f>
        <v/>
      </c>
    </row>
    <row r="416">
      <c r="K416">
        <f>IF(OR(LEFT(B416,9)="DOANH THU",LEFT(B416,8)="SỐ LƯỢNG"),A416,IF(A416="","",K415))</f>
        <v/>
      </c>
      <c r="L416">
        <f>IF(A416="","",IF(ISNUMBER(--LEFT(A416,FIND(" - ",A416&amp;" - ")-1)),LEFT(A416,FIND(" - ",A416&amp;" - ")-1),TRIM(A416)))</f>
        <v/>
      </c>
      <c r="M416">
        <f>IF(OR(K416="",K416=A416,A416=""),"",K416&amp;"|"&amp;L416)</f>
        <v/>
      </c>
      <c r="N416">
        <f>IF(M416="","",IF(ISNUMBER(B416),B416,IFERROR(_xlfn.NUMBERVALUE(B416,".",","),0)))</f>
        <v/>
      </c>
      <c r="O416">
        <f>IF(M416="","",IF(ISNUMBER(C416),C416,IFERROR(_xlfn.NUMBERVALUE(C416,".",","),0)))</f>
        <v/>
      </c>
    </row>
    <row r="417">
      <c r="K417">
        <f>IF(OR(LEFT(B417,9)="DOANH THU",LEFT(B417,8)="SỐ LƯỢNG"),A417,IF(A417="","",K416))</f>
        <v/>
      </c>
      <c r="L417">
        <f>IF(A417="","",IF(ISNUMBER(--LEFT(A417,FIND(" - ",A417&amp;" - ")-1)),LEFT(A417,FIND(" - ",A417&amp;" - ")-1),TRIM(A417)))</f>
        <v/>
      </c>
      <c r="M417">
        <f>IF(OR(K417="",K417=A417,A417=""),"",K417&amp;"|"&amp;L417)</f>
        <v/>
      </c>
      <c r="N417">
        <f>IF(M417="","",IF(ISNUMBER(B417),B417,IFERROR(_xlfn.NUMBERVALUE(B417,".",","),0)))</f>
        <v/>
      </c>
      <c r="O417">
        <f>IF(M417="","",IF(ISNUMBER(C417),C417,IFERROR(_xlfn.NUMBERVALUE(C417,".",","),0)))</f>
        <v/>
      </c>
    </row>
    <row r="418">
      <c r="K418">
        <f>IF(OR(LEFT(B418,9)="DOANH THU",LEFT(B418,8)="SỐ LƯỢNG"),A418,IF(A418="","",K417))</f>
        <v/>
      </c>
      <c r="L418">
        <f>IF(A418="","",IF(ISNUMBER(--LEFT(A418,FIND(" - ",A418&amp;" - ")-1)),LEFT(A418,FIND(" - ",A418&amp;" - ")-1),TRIM(A418)))</f>
        <v/>
      </c>
      <c r="M418">
        <f>IF(OR(K418="",K418=A418,A418=""),"",K418&amp;"|"&amp;L418)</f>
        <v/>
      </c>
      <c r="N418">
        <f>IF(M418="","",IF(ISNUMBER(B418),B418,IFERROR(_xlfn.NUMBERVALUE(B418,".",","),0)))</f>
        <v/>
      </c>
      <c r="O418">
        <f>IF(M418="","",IF(ISNUMBER(C418),C418,IFERROR(_xlfn.NUMBERVALUE(C418,".",","),0)))</f>
        <v/>
      </c>
    </row>
    <row r="419">
      <c r="K419">
        <f>IF(OR(LEFT(B419,9)="DOANH THU",LEFT(B419,8)="SỐ LƯỢNG"),A419,IF(A419="","",K418))</f>
        <v/>
      </c>
      <c r="L419">
        <f>IF(A419="","",IF(ISNUMBER(--LEFT(A419,FIND(" - ",A419&amp;" - ")-1)),LEFT(A419,FIND(" - ",A419&amp;" - ")-1),TRIM(A419)))</f>
        <v/>
      </c>
      <c r="M419">
        <f>IF(OR(K419="",K419=A419,A419=""),"",K419&amp;"|"&amp;L419)</f>
        <v/>
      </c>
      <c r="N419">
        <f>IF(M419="","",IF(ISNUMBER(B419),B419,IFERROR(_xlfn.NUMBERVALUE(B419,".",","),0)))</f>
        <v/>
      </c>
      <c r="O419">
        <f>IF(M419="","",IF(ISNUMBER(C419),C419,IFERROR(_xlfn.NUMBERVALUE(C419,".",","),0)))</f>
        <v/>
      </c>
    </row>
    <row r="420">
      <c r="K420">
        <f>IF(OR(LEFT(B420,9)="DOANH THU",LEFT(B420,8)="SỐ LƯỢNG"),A420,IF(A420="","",K419))</f>
        <v/>
      </c>
      <c r="L420">
        <f>IF(A420="","",IF(ISNUMBER(--LEFT(A420,FIND(" - ",A420&amp;" - ")-1)),LEFT(A420,FIND(" - ",A420&amp;" - ")-1),TRIM(A420)))</f>
        <v/>
      </c>
      <c r="M420">
        <f>IF(OR(K420="",K420=A420,A420=""),"",K420&amp;"|"&amp;L420)</f>
        <v/>
      </c>
      <c r="N420">
        <f>IF(M420="","",IF(ISNUMBER(B420),B420,IFERROR(_xlfn.NUMBERVALUE(B420,".",","),0)))</f>
        <v/>
      </c>
      <c r="O420">
        <f>IF(M420="","",IF(ISNUMBER(C420),C420,IFERROR(_xlfn.NUMBERVALUE(C420,".",","),0)))</f>
        <v/>
      </c>
    </row>
    <row r="421">
      <c r="K421">
        <f>IF(OR(LEFT(B421,9)="DOANH THU",LEFT(B421,8)="SỐ LƯỢNG"),A421,IF(A421="","",K420))</f>
        <v/>
      </c>
      <c r="L421">
        <f>IF(A421="","",IF(ISNUMBER(--LEFT(A421,FIND(" - ",A421&amp;" - ")-1)),LEFT(A421,FIND(" - ",A421&amp;" - ")-1),TRIM(A421)))</f>
        <v/>
      </c>
      <c r="M421">
        <f>IF(OR(K421="",K421=A421,A421=""),"",K421&amp;"|"&amp;L421)</f>
        <v/>
      </c>
      <c r="N421">
        <f>IF(M421="","",IF(ISNUMBER(B421),B421,IFERROR(_xlfn.NUMBERVALUE(B421,".",","),0)))</f>
        <v/>
      </c>
      <c r="O421">
        <f>IF(M421="","",IF(ISNUMBER(C421),C421,IFERROR(_xlfn.NUMBERVALUE(C421,".",","),0)))</f>
        <v/>
      </c>
    </row>
    <row r="422">
      <c r="K422">
        <f>IF(OR(LEFT(B422,9)="DOANH THU",LEFT(B422,8)="SỐ LƯỢNG"),A422,IF(A422="","",K421))</f>
        <v/>
      </c>
      <c r="L422">
        <f>IF(A422="","",IF(ISNUMBER(--LEFT(A422,FIND(" - ",A422&amp;" - ")-1)),LEFT(A422,FIND(" - ",A422&amp;" - ")-1),TRIM(A422)))</f>
        <v/>
      </c>
      <c r="M422">
        <f>IF(OR(K422="",K422=A422,A422=""),"",K422&amp;"|"&amp;L422)</f>
        <v/>
      </c>
      <c r="N422">
        <f>IF(M422="","",IF(ISNUMBER(B422),B422,IFERROR(_xlfn.NUMBERVALUE(B422,".",","),0)))</f>
        <v/>
      </c>
      <c r="O422">
        <f>IF(M422="","",IF(ISNUMBER(C422),C422,IFERROR(_xlfn.NUMBERVALUE(C422,".",","),0)))</f>
        <v/>
      </c>
    </row>
    <row r="423">
      <c r="K423">
        <f>IF(OR(LEFT(B423,9)="DOANH THU",LEFT(B423,8)="SỐ LƯỢNG"),A423,IF(A423="","",K422))</f>
        <v/>
      </c>
      <c r="L423">
        <f>IF(A423="","",IF(ISNUMBER(--LEFT(A423,FIND(" - ",A423&amp;" - ")-1)),LEFT(A423,FIND(" - ",A423&amp;" - ")-1),TRIM(A423)))</f>
        <v/>
      </c>
      <c r="M423">
        <f>IF(OR(K423="",K423=A423,A423=""),"",K423&amp;"|"&amp;L423)</f>
        <v/>
      </c>
      <c r="N423">
        <f>IF(M423="","",IF(ISNUMBER(B423),B423,IFERROR(_xlfn.NUMBERVALUE(B423,".",","),0)))</f>
        <v/>
      </c>
      <c r="O423">
        <f>IF(M423="","",IF(ISNUMBER(C423),C423,IFERROR(_xlfn.NUMBERVALUE(C423,".",","),0)))</f>
        <v/>
      </c>
    </row>
    <row r="424">
      <c r="K424">
        <f>IF(OR(LEFT(B424,9)="DOANH THU",LEFT(B424,8)="SỐ LƯỢNG"),A424,IF(A424="","",K423))</f>
        <v/>
      </c>
      <c r="L424">
        <f>IF(A424="","",IF(ISNUMBER(--LEFT(A424,FIND(" - ",A424&amp;" - ")-1)),LEFT(A424,FIND(" - ",A424&amp;" - ")-1),TRIM(A424)))</f>
        <v/>
      </c>
      <c r="M424">
        <f>IF(OR(K424="",K424=A424,A424=""),"",K424&amp;"|"&amp;L424)</f>
        <v/>
      </c>
      <c r="N424">
        <f>IF(M424="","",IF(ISNUMBER(B424),B424,IFERROR(_xlfn.NUMBERVALUE(B424,".",","),0)))</f>
        <v/>
      </c>
      <c r="O424">
        <f>IF(M424="","",IF(ISNUMBER(C424),C424,IFERROR(_xlfn.NUMBERVALUE(C424,".",","),0)))</f>
        <v/>
      </c>
    </row>
    <row r="425">
      <c r="K425">
        <f>IF(OR(LEFT(B425,9)="DOANH THU",LEFT(B425,8)="SỐ LƯỢNG"),A425,IF(A425="","",K424))</f>
        <v/>
      </c>
      <c r="L425">
        <f>IF(A425="","",IF(ISNUMBER(--LEFT(A425,FIND(" - ",A425&amp;" - ")-1)),LEFT(A425,FIND(" - ",A425&amp;" - ")-1),TRIM(A425)))</f>
        <v/>
      </c>
      <c r="M425">
        <f>IF(OR(K425="",K425=A425,A425=""),"",K425&amp;"|"&amp;L425)</f>
        <v/>
      </c>
      <c r="N425">
        <f>IF(M425="","",IF(ISNUMBER(B425),B425,IFERROR(_xlfn.NUMBERVALUE(B425,".",","),0)))</f>
        <v/>
      </c>
      <c r="O425">
        <f>IF(M425="","",IF(ISNUMBER(C425),C425,IFERROR(_xlfn.NUMBERVALUE(C425,".",","),0)))</f>
        <v/>
      </c>
    </row>
    <row r="426">
      <c r="K426">
        <f>IF(OR(LEFT(B426,9)="DOANH THU",LEFT(B426,8)="SỐ LƯỢNG"),A426,IF(A426="","",K425))</f>
        <v/>
      </c>
      <c r="L426">
        <f>IF(A426="","",IF(ISNUMBER(--LEFT(A426,FIND(" - ",A426&amp;" - ")-1)),LEFT(A426,FIND(" - ",A426&amp;" - ")-1),TRIM(A426)))</f>
        <v/>
      </c>
      <c r="M426">
        <f>IF(OR(K426="",K426=A426,A426=""),"",K426&amp;"|"&amp;L426)</f>
        <v/>
      </c>
      <c r="N426">
        <f>IF(M426="","",IF(ISNUMBER(B426),B426,IFERROR(_xlfn.NUMBERVALUE(B426,".",","),0)))</f>
        <v/>
      </c>
      <c r="O426">
        <f>IF(M426="","",IF(ISNUMBER(C426),C426,IFERROR(_xlfn.NUMBERVALUE(C426,".",","),0)))</f>
        <v/>
      </c>
    </row>
    <row r="427">
      <c r="K427">
        <f>IF(OR(LEFT(B427,9)="DOANH THU",LEFT(B427,8)="SỐ LƯỢNG"),A427,IF(A427="","",K426))</f>
        <v/>
      </c>
      <c r="L427">
        <f>IF(A427="","",IF(ISNUMBER(--LEFT(A427,FIND(" - ",A427&amp;" - ")-1)),LEFT(A427,FIND(" - ",A427&amp;" - ")-1),TRIM(A427)))</f>
        <v/>
      </c>
      <c r="M427">
        <f>IF(OR(K427="",K427=A427,A427=""),"",K427&amp;"|"&amp;L427)</f>
        <v/>
      </c>
      <c r="N427">
        <f>IF(M427="","",IF(ISNUMBER(B427),B427,IFERROR(_xlfn.NUMBERVALUE(B427,".",","),0)))</f>
        <v/>
      </c>
      <c r="O427">
        <f>IF(M427="","",IF(ISNUMBER(C427),C427,IFERROR(_xlfn.NUMBERVALUE(C427,".",","),0)))</f>
        <v/>
      </c>
    </row>
    <row r="428">
      <c r="K428">
        <f>IF(OR(LEFT(B428,9)="DOANH THU",LEFT(B428,8)="SỐ LƯỢNG"),A428,IF(A428="","",K427))</f>
        <v/>
      </c>
      <c r="L428">
        <f>IF(A428="","",IF(ISNUMBER(--LEFT(A428,FIND(" - ",A428&amp;" - ")-1)),LEFT(A428,FIND(" - ",A428&amp;" - ")-1),TRIM(A428)))</f>
        <v/>
      </c>
      <c r="M428">
        <f>IF(OR(K428="",K428=A428,A428=""),"",K428&amp;"|"&amp;L428)</f>
        <v/>
      </c>
      <c r="N428">
        <f>IF(M428="","",IF(ISNUMBER(B428),B428,IFERROR(_xlfn.NUMBERVALUE(B428,".",","),0)))</f>
        <v/>
      </c>
      <c r="O428">
        <f>IF(M428="","",IF(ISNUMBER(C428),C428,IFERROR(_xlfn.NUMBERVALUE(C428,".",","),0)))</f>
        <v/>
      </c>
    </row>
    <row r="429">
      <c r="K429">
        <f>IF(OR(LEFT(B429,9)="DOANH THU",LEFT(B429,8)="SỐ LƯỢNG"),A429,IF(A429="","",K428))</f>
        <v/>
      </c>
      <c r="L429">
        <f>IF(A429="","",IF(ISNUMBER(--LEFT(A429,FIND(" - ",A429&amp;" - ")-1)),LEFT(A429,FIND(" - ",A429&amp;" - ")-1),TRIM(A429)))</f>
        <v/>
      </c>
      <c r="M429">
        <f>IF(OR(K429="",K429=A429,A429=""),"",K429&amp;"|"&amp;L429)</f>
        <v/>
      </c>
      <c r="N429">
        <f>IF(M429="","",IF(ISNUMBER(B429),B429,IFERROR(_xlfn.NUMBERVALUE(B429,".",","),0)))</f>
        <v/>
      </c>
      <c r="O429">
        <f>IF(M429="","",IF(ISNUMBER(C429),C429,IFERROR(_xlfn.NUMBERVALUE(C429,".",","),0)))</f>
        <v/>
      </c>
    </row>
    <row r="430">
      <c r="K430">
        <f>IF(OR(LEFT(B430,9)="DOANH THU",LEFT(B430,8)="SỐ LƯỢNG"),A430,IF(A430="","",K429))</f>
        <v/>
      </c>
      <c r="L430">
        <f>IF(A430="","",IF(ISNUMBER(--LEFT(A430,FIND(" - ",A430&amp;" - ")-1)),LEFT(A430,FIND(" - ",A430&amp;" - ")-1),TRIM(A430)))</f>
        <v/>
      </c>
      <c r="M430">
        <f>IF(OR(K430="",K430=A430,A430=""),"",K430&amp;"|"&amp;L430)</f>
        <v/>
      </c>
      <c r="N430">
        <f>IF(M430="","",IF(ISNUMBER(B430),B430,IFERROR(_xlfn.NUMBERVALUE(B430,".",","),0)))</f>
        <v/>
      </c>
      <c r="O430">
        <f>IF(M430="","",IF(ISNUMBER(C430),C430,IFERROR(_xlfn.NUMBERVALUE(C430,".",","),0)))</f>
        <v/>
      </c>
    </row>
    <row r="431">
      <c r="K431">
        <f>IF(OR(LEFT(B431,9)="DOANH THU",LEFT(B431,8)="SỐ LƯỢNG"),A431,IF(A431="","",K430))</f>
        <v/>
      </c>
      <c r="L431">
        <f>IF(A431="","",IF(ISNUMBER(--LEFT(A431,FIND(" - ",A431&amp;" - ")-1)),LEFT(A431,FIND(" - ",A431&amp;" - ")-1),TRIM(A431)))</f>
        <v/>
      </c>
      <c r="M431">
        <f>IF(OR(K431="",K431=A431,A431=""),"",K431&amp;"|"&amp;L431)</f>
        <v/>
      </c>
      <c r="N431">
        <f>IF(M431="","",IF(ISNUMBER(B431),B431,IFERROR(_xlfn.NUMBERVALUE(B431,".",","),0)))</f>
        <v/>
      </c>
      <c r="O431">
        <f>IF(M431="","",IF(ISNUMBER(C431),C431,IFERROR(_xlfn.NUMBERVALUE(C431,".",","),0)))</f>
        <v/>
      </c>
    </row>
    <row r="432">
      <c r="K432">
        <f>IF(OR(LEFT(B432,9)="DOANH THU",LEFT(B432,8)="SỐ LƯỢNG"),A432,IF(A432="","",K431))</f>
        <v/>
      </c>
      <c r="L432">
        <f>IF(A432="","",IF(ISNUMBER(--LEFT(A432,FIND(" - ",A432&amp;" - ")-1)),LEFT(A432,FIND(" - ",A432&amp;" - ")-1),TRIM(A432)))</f>
        <v/>
      </c>
      <c r="M432">
        <f>IF(OR(K432="",K432=A432,A432=""),"",K432&amp;"|"&amp;L432)</f>
        <v/>
      </c>
      <c r="N432">
        <f>IF(M432="","",IF(ISNUMBER(B432),B432,IFERROR(_xlfn.NUMBERVALUE(B432,".",","),0)))</f>
        <v/>
      </c>
      <c r="O432">
        <f>IF(M432="","",IF(ISNUMBER(C432),C432,IFERROR(_xlfn.NUMBERVALUE(C432,".",","),0)))</f>
        <v/>
      </c>
    </row>
    <row r="433">
      <c r="K433">
        <f>IF(OR(LEFT(B433,9)="DOANH THU",LEFT(B433,8)="SỐ LƯỢNG"),A433,IF(A433="","",K432))</f>
        <v/>
      </c>
      <c r="L433">
        <f>IF(A433="","",IF(ISNUMBER(--LEFT(A433,FIND(" - ",A433&amp;" - ")-1)),LEFT(A433,FIND(" - ",A433&amp;" - ")-1),TRIM(A433)))</f>
        <v/>
      </c>
      <c r="M433">
        <f>IF(OR(K433="",K433=A433,A433=""),"",K433&amp;"|"&amp;L433)</f>
        <v/>
      </c>
      <c r="N433">
        <f>IF(M433="","",IF(ISNUMBER(B433),B433,IFERROR(_xlfn.NUMBERVALUE(B433,".",","),0)))</f>
        <v/>
      </c>
      <c r="O433">
        <f>IF(M433="","",IF(ISNUMBER(C433),C433,IFERROR(_xlfn.NUMBERVALUE(C433,".",","),0)))</f>
        <v/>
      </c>
    </row>
    <row r="434">
      <c r="K434">
        <f>IF(OR(LEFT(B434,9)="DOANH THU",LEFT(B434,8)="SỐ LƯỢNG"),A434,IF(A434="","",K433))</f>
        <v/>
      </c>
      <c r="L434">
        <f>IF(A434="","",IF(ISNUMBER(--LEFT(A434,FIND(" - ",A434&amp;" - ")-1)),LEFT(A434,FIND(" - ",A434&amp;" - ")-1),TRIM(A434)))</f>
        <v/>
      </c>
      <c r="M434">
        <f>IF(OR(K434="",K434=A434,A434=""),"",K434&amp;"|"&amp;L434)</f>
        <v/>
      </c>
      <c r="N434">
        <f>IF(M434="","",IF(ISNUMBER(B434),B434,IFERROR(_xlfn.NUMBERVALUE(B434,".",","),0)))</f>
        <v/>
      </c>
      <c r="O434">
        <f>IF(M434="","",IF(ISNUMBER(C434),C434,IFERROR(_xlfn.NUMBERVALUE(C434,".",","),0)))</f>
        <v/>
      </c>
    </row>
    <row r="435">
      <c r="K435">
        <f>IF(OR(LEFT(B435,9)="DOANH THU",LEFT(B435,8)="SỐ LƯỢNG"),A435,IF(A435="","",K434))</f>
        <v/>
      </c>
      <c r="L435">
        <f>IF(A435="","",IF(ISNUMBER(--LEFT(A435,FIND(" - ",A435&amp;" - ")-1)),LEFT(A435,FIND(" - ",A435&amp;" - ")-1),TRIM(A435)))</f>
        <v/>
      </c>
      <c r="M435">
        <f>IF(OR(K435="",K435=A435,A435=""),"",K435&amp;"|"&amp;L435)</f>
        <v/>
      </c>
      <c r="N435">
        <f>IF(M435="","",IF(ISNUMBER(B435),B435,IFERROR(_xlfn.NUMBERVALUE(B435,".",","),0)))</f>
        <v/>
      </c>
      <c r="O435">
        <f>IF(M435="","",IF(ISNUMBER(C435),C435,IFERROR(_xlfn.NUMBERVALUE(C435,".",","),0)))</f>
        <v/>
      </c>
    </row>
    <row r="436">
      <c r="K436">
        <f>IF(OR(LEFT(B436,9)="DOANH THU",LEFT(B436,8)="SỐ LƯỢNG"),A436,IF(A436="","",K435))</f>
        <v/>
      </c>
      <c r="L436">
        <f>IF(A436="","",IF(ISNUMBER(--LEFT(A436,FIND(" - ",A436&amp;" - ")-1)),LEFT(A436,FIND(" - ",A436&amp;" - ")-1),TRIM(A436)))</f>
        <v/>
      </c>
      <c r="M436">
        <f>IF(OR(K436="",K436=A436,A436=""),"",K436&amp;"|"&amp;L436)</f>
        <v/>
      </c>
      <c r="N436">
        <f>IF(M436="","",IF(ISNUMBER(B436),B436,IFERROR(_xlfn.NUMBERVALUE(B436,".",","),0)))</f>
        <v/>
      </c>
      <c r="O436">
        <f>IF(M436="","",IF(ISNUMBER(C436),C436,IFERROR(_xlfn.NUMBERVALUE(C436,".",","),0)))</f>
        <v/>
      </c>
    </row>
    <row r="437">
      <c r="K437">
        <f>IF(OR(LEFT(B437,9)="DOANH THU",LEFT(B437,8)="SỐ LƯỢNG"),A437,IF(A437="","",K436))</f>
        <v/>
      </c>
      <c r="L437">
        <f>IF(A437="","",IF(ISNUMBER(--LEFT(A437,FIND(" - ",A437&amp;" - ")-1)),LEFT(A437,FIND(" - ",A437&amp;" - ")-1),TRIM(A437)))</f>
        <v/>
      </c>
      <c r="M437">
        <f>IF(OR(K437="",K437=A437,A437=""),"",K437&amp;"|"&amp;L437)</f>
        <v/>
      </c>
      <c r="N437">
        <f>IF(M437="","",IF(ISNUMBER(B437),B437,IFERROR(_xlfn.NUMBERVALUE(B437,".",","),0)))</f>
        <v/>
      </c>
      <c r="O437">
        <f>IF(M437="","",IF(ISNUMBER(C437),C437,IFERROR(_xlfn.NUMBERVALUE(C437,".",","),0)))</f>
        <v/>
      </c>
    </row>
    <row r="438">
      <c r="K438">
        <f>IF(OR(LEFT(B438,9)="DOANH THU",LEFT(B438,8)="SỐ LƯỢNG"),A438,IF(A438="","",K437))</f>
        <v/>
      </c>
      <c r="L438">
        <f>IF(A438="","",IF(ISNUMBER(--LEFT(A438,FIND(" - ",A438&amp;" - ")-1)),LEFT(A438,FIND(" - ",A438&amp;" - ")-1),TRIM(A438)))</f>
        <v/>
      </c>
      <c r="M438">
        <f>IF(OR(K438="",K438=A438,A438=""),"",K438&amp;"|"&amp;L438)</f>
        <v/>
      </c>
      <c r="N438">
        <f>IF(M438="","",IF(ISNUMBER(B438),B438,IFERROR(_xlfn.NUMBERVALUE(B438,".",","),0)))</f>
        <v/>
      </c>
      <c r="O438">
        <f>IF(M438="","",IF(ISNUMBER(C438),C438,IFERROR(_xlfn.NUMBERVALUE(C438,".",","),0)))</f>
        <v/>
      </c>
    </row>
    <row r="439">
      <c r="K439">
        <f>IF(OR(LEFT(B439,9)="DOANH THU",LEFT(B439,8)="SỐ LƯỢNG"),A439,IF(A439="","",K438))</f>
        <v/>
      </c>
      <c r="L439">
        <f>IF(A439="","",IF(ISNUMBER(--LEFT(A439,FIND(" - ",A439&amp;" - ")-1)),LEFT(A439,FIND(" - ",A439&amp;" - ")-1),TRIM(A439)))</f>
        <v/>
      </c>
      <c r="M439">
        <f>IF(OR(K439="",K439=A439,A439=""),"",K439&amp;"|"&amp;L439)</f>
        <v/>
      </c>
      <c r="N439">
        <f>IF(M439="","",IF(ISNUMBER(B439),B439,IFERROR(_xlfn.NUMBERVALUE(B439,".",","),0)))</f>
        <v/>
      </c>
      <c r="O439">
        <f>IF(M439="","",IF(ISNUMBER(C439),C439,IFERROR(_xlfn.NUMBERVALUE(C439,".",","),0)))</f>
        <v/>
      </c>
    </row>
    <row r="440">
      <c r="K440">
        <f>IF(OR(LEFT(B440,9)="DOANH THU",LEFT(B440,8)="SỐ LƯỢNG"),A440,IF(A440="","",K439))</f>
        <v/>
      </c>
      <c r="L440">
        <f>IF(A440="","",IF(ISNUMBER(--LEFT(A440,FIND(" - ",A440&amp;" - ")-1)),LEFT(A440,FIND(" - ",A440&amp;" - ")-1),TRIM(A440)))</f>
        <v/>
      </c>
      <c r="M440">
        <f>IF(OR(K440="",K440=A440,A440=""),"",K440&amp;"|"&amp;L440)</f>
        <v/>
      </c>
      <c r="N440">
        <f>IF(M440="","",IF(ISNUMBER(B440),B440,IFERROR(_xlfn.NUMBERVALUE(B440,".",","),0)))</f>
        <v/>
      </c>
      <c r="O440">
        <f>IF(M440="","",IF(ISNUMBER(C440),C440,IFERROR(_xlfn.NUMBERVALUE(C440,".",","),0)))</f>
        <v/>
      </c>
    </row>
    <row r="441">
      <c r="K441">
        <f>IF(OR(LEFT(B441,9)="DOANH THU",LEFT(B441,8)="SỐ LƯỢNG"),A441,IF(A441="","",K440))</f>
        <v/>
      </c>
      <c r="L441">
        <f>IF(A441="","",IF(ISNUMBER(--LEFT(A441,FIND(" - ",A441&amp;" - ")-1)),LEFT(A441,FIND(" - ",A441&amp;" - ")-1),TRIM(A441)))</f>
        <v/>
      </c>
      <c r="M441">
        <f>IF(OR(K441="",K441=A441,A441=""),"",K441&amp;"|"&amp;L441)</f>
        <v/>
      </c>
      <c r="N441">
        <f>IF(M441="","",IF(ISNUMBER(B441),B441,IFERROR(_xlfn.NUMBERVALUE(B441,".",","),0)))</f>
        <v/>
      </c>
      <c r="O441">
        <f>IF(M441="","",IF(ISNUMBER(C441),C441,IFERROR(_xlfn.NUMBERVALUE(C441,".",","),0)))</f>
        <v/>
      </c>
    </row>
    <row r="442">
      <c r="K442">
        <f>IF(OR(LEFT(B442,9)="DOANH THU",LEFT(B442,8)="SỐ LƯỢNG"),A442,IF(A442="","",K441))</f>
        <v/>
      </c>
      <c r="L442">
        <f>IF(A442="","",IF(ISNUMBER(--LEFT(A442,FIND(" - ",A442&amp;" - ")-1)),LEFT(A442,FIND(" - ",A442&amp;" - ")-1),TRIM(A442)))</f>
        <v/>
      </c>
      <c r="M442">
        <f>IF(OR(K442="",K442=A442,A442=""),"",K442&amp;"|"&amp;L442)</f>
        <v/>
      </c>
      <c r="N442">
        <f>IF(M442="","",IF(ISNUMBER(B442),B442,IFERROR(_xlfn.NUMBERVALUE(B442,".",","),0)))</f>
        <v/>
      </c>
      <c r="O442">
        <f>IF(M442="","",IF(ISNUMBER(C442),C442,IFERROR(_xlfn.NUMBERVALUE(C442,".",","),0)))</f>
        <v/>
      </c>
    </row>
    <row r="443">
      <c r="K443">
        <f>IF(OR(LEFT(B443,9)="DOANH THU",LEFT(B443,8)="SỐ LƯỢNG"),A443,IF(A443="","",K442))</f>
        <v/>
      </c>
      <c r="L443">
        <f>IF(A443="","",IF(ISNUMBER(--LEFT(A443,FIND(" - ",A443&amp;" - ")-1)),LEFT(A443,FIND(" - ",A443&amp;" - ")-1),TRIM(A443)))</f>
        <v/>
      </c>
      <c r="M443">
        <f>IF(OR(K443="",K443=A443,A443=""),"",K443&amp;"|"&amp;L443)</f>
        <v/>
      </c>
      <c r="N443">
        <f>IF(M443="","",IF(ISNUMBER(B443),B443,IFERROR(_xlfn.NUMBERVALUE(B443,".",","),0)))</f>
        <v/>
      </c>
      <c r="O443">
        <f>IF(M443="","",IF(ISNUMBER(C443),C443,IFERROR(_xlfn.NUMBERVALUE(C443,".",","),0)))</f>
        <v/>
      </c>
    </row>
    <row r="444">
      <c r="K444">
        <f>IF(OR(LEFT(B444,9)="DOANH THU",LEFT(B444,8)="SỐ LƯỢNG"),A444,IF(A444="","",K443))</f>
        <v/>
      </c>
      <c r="L444">
        <f>IF(A444="","",IF(ISNUMBER(--LEFT(A444,FIND(" - ",A444&amp;" - ")-1)),LEFT(A444,FIND(" - ",A444&amp;" - ")-1),TRIM(A444)))</f>
        <v/>
      </c>
      <c r="M444">
        <f>IF(OR(K444="",K444=A444,A444=""),"",K444&amp;"|"&amp;L444)</f>
        <v/>
      </c>
      <c r="N444">
        <f>IF(M444="","",IF(ISNUMBER(B444),B444,IFERROR(_xlfn.NUMBERVALUE(B444,".",","),0)))</f>
        <v/>
      </c>
      <c r="O444">
        <f>IF(M444="","",IF(ISNUMBER(C444),C444,IFERROR(_xlfn.NUMBERVALUE(C444,".",","),0)))</f>
        <v/>
      </c>
    </row>
    <row r="445">
      <c r="K445">
        <f>IF(OR(LEFT(B445,9)="DOANH THU",LEFT(B445,8)="SỐ LƯỢNG"),A445,IF(A445="","",K444))</f>
        <v/>
      </c>
      <c r="L445">
        <f>IF(A445="","",IF(ISNUMBER(--LEFT(A445,FIND(" - ",A445&amp;" - ")-1)),LEFT(A445,FIND(" - ",A445&amp;" - ")-1),TRIM(A445)))</f>
        <v/>
      </c>
      <c r="M445">
        <f>IF(OR(K445="",K445=A445,A445=""),"",K445&amp;"|"&amp;L445)</f>
        <v/>
      </c>
      <c r="N445">
        <f>IF(M445="","",IF(ISNUMBER(B445),B445,IFERROR(_xlfn.NUMBERVALUE(B445,".",","),0)))</f>
        <v/>
      </c>
      <c r="O445">
        <f>IF(M445="","",IF(ISNUMBER(C445),C445,IFERROR(_xlfn.NUMBERVALUE(C445,".",","),0)))</f>
        <v/>
      </c>
    </row>
    <row r="446">
      <c r="K446">
        <f>IF(OR(LEFT(B446,9)="DOANH THU",LEFT(B446,8)="SỐ LƯỢNG"),A446,IF(A446="","",K445))</f>
        <v/>
      </c>
      <c r="L446">
        <f>IF(A446="","",IF(ISNUMBER(--LEFT(A446,FIND(" - ",A446&amp;" - ")-1)),LEFT(A446,FIND(" - ",A446&amp;" - ")-1),TRIM(A446)))</f>
        <v/>
      </c>
      <c r="M446">
        <f>IF(OR(K446="",K446=A446,A446=""),"",K446&amp;"|"&amp;L446)</f>
        <v/>
      </c>
      <c r="N446">
        <f>IF(M446="","",IF(ISNUMBER(B446),B446,IFERROR(_xlfn.NUMBERVALUE(B446,".",","),0)))</f>
        <v/>
      </c>
      <c r="O446">
        <f>IF(M446="","",IF(ISNUMBER(C446),C446,IFERROR(_xlfn.NUMBERVALUE(C446,".",","),0)))</f>
        <v/>
      </c>
    </row>
    <row r="447">
      <c r="K447">
        <f>IF(OR(LEFT(B447,9)="DOANH THU",LEFT(B447,8)="SỐ LƯỢNG"),A447,IF(A447="","",K446))</f>
        <v/>
      </c>
      <c r="L447">
        <f>IF(A447="","",IF(ISNUMBER(--LEFT(A447,FIND(" - ",A447&amp;" - ")-1)),LEFT(A447,FIND(" - ",A447&amp;" - ")-1),TRIM(A447)))</f>
        <v/>
      </c>
      <c r="M447">
        <f>IF(OR(K447="",K447=A447,A447=""),"",K447&amp;"|"&amp;L447)</f>
        <v/>
      </c>
      <c r="N447">
        <f>IF(M447="","",IF(ISNUMBER(B447),B447,IFERROR(_xlfn.NUMBERVALUE(B447,".",","),0)))</f>
        <v/>
      </c>
      <c r="O447">
        <f>IF(M447="","",IF(ISNUMBER(C447),C447,IFERROR(_xlfn.NUMBERVALUE(C447,".",","),0)))</f>
        <v/>
      </c>
    </row>
    <row r="448">
      <c r="K448">
        <f>IF(OR(LEFT(B448,9)="DOANH THU",LEFT(B448,8)="SỐ LƯỢNG"),A448,IF(A448="","",K447))</f>
        <v/>
      </c>
      <c r="L448">
        <f>IF(A448="","",IF(ISNUMBER(--LEFT(A448,FIND(" - ",A448&amp;" - ")-1)),LEFT(A448,FIND(" - ",A448&amp;" - ")-1),TRIM(A448)))</f>
        <v/>
      </c>
      <c r="M448">
        <f>IF(OR(K448="",K448=A448,A448=""),"",K448&amp;"|"&amp;L448)</f>
        <v/>
      </c>
      <c r="N448">
        <f>IF(M448="","",IF(ISNUMBER(B448),B448,IFERROR(_xlfn.NUMBERVALUE(B448,".",","),0)))</f>
        <v/>
      </c>
      <c r="O448">
        <f>IF(M448="","",IF(ISNUMBER(C448),C448,IFERROR(_xlfn.NUMBERVALUE(C448,".",","),0)))</f>
        <v/>
      </c>
    </row>
    <row r="449">
      <c r="K449">
        <f>IF(OR(LEFT(B449,9)="DOANH THU",LEFT(B449,8)="SỐ LƯỢNG"),A449,IF(A449="","",K448))</f>
        <v/>
      </c>
      <c r="L449">
        <f>IF(A449="","",IF(ISNUMBER(--LEFT(A449,FIND(" - ",A449&amp;" - ")-1)),LEFT(A449,FIND(" - ",A449&amp;" - ")-1),TRIM(A449)))</f>
        <v/>
      </c>
      <c r="M449">
        <f>IF(OR(K449="",K449=A449,A449=""),"",K449&amp;"|"&amp;L449)</f>
        <v/>
      </c>
      <c r="N449">
        <f>IF(M449="","",IF(ISNUMBER(B449),B449,IFERROR(_xlfn.NUMBERVALUE(B449,".",","),0)))</f>
        <v/>
      </c>
      <c r="O449">
        <f>IF(M449="","",IF(ISNUMBER(C449),C449,IFERROR(_xlfn.NUMBERVALUE(C449,".",","),0)))</f>
        <v/>
      </c>
    </row>
    <row r="450">
      <c r="K450">
        <f>IF(OR(LEFT(B450,9)="DOANH THU",LEFT(B450,8)="SỐ LƯỢNG"),A450,IF(A450="","",K449))</f>
        <v/>
      </c>
      <c r="L450">
        <f>IF(A450="","",IF(ISNUMBER(--LEFT(A450,FIND(" - ",A450&amp;" - ")-1)),LEFT(A450,FIND(" - ",A450&amp;" - ")-1),TRIM(A450)))</f>
        <v/>
      </c>
      <c r="M450">
        <f>IF(OR(K450="",K450=A450,A450=""),"",K450&amp;"|"&amp;L450)</f>
        <v/>
      </c>
      <c r="N450">
        <f>IF(M450="","",IF(ISNUMBER(B450),B450,IFERROR(_xlfn.NUMBERVALUE(B450,".",","),0)))</f>
        <v/>
      </c>
      <c r="O450">
        <f>IF(M450="","",IF(ISNUMBER(C450),C450,IFERROR(_xlfn.NUMBERVALUE(C450,".",","),0)))</f>
        <v/>
      </c>
    </row>
    <row r="451">
      <c r="K451">
        <f>IF(OR(LEFT(B451,9)="DOANH THU",LEFT(B451,8)="SỐ LƯỢNG"),A451,IF(A451="","",K450))</f>
        <v/>
      </c>
      <c r="L451">
        <f>IF(A451="","",IF(ISNUMBER(--LEFT(A451,FIND(" - ",A451&amp;" - ")-1)),LEFT(A451,FIND(" - ",A451&amp;" - ")-1),TRIM(A451)))</f>
        <v/>
      </c>
      <c r="M451">
        <f>IF(OR(K451="",K451=A451,A451=""),"",K451&amp;"|"&amp;L451)</f>
        <v/>
      </c>
      <c r="N451">
        <f>IF(M451="","",IF(ISNUMBER(B451),B451,IFERROR(_xlfn.NUMBERVALUE(B451,".",","),0)))</f>
        <v/>
      </c>
      <c r="O451">
        <f>IF(M451="","",IF(ISNUMBER(C451),C451,IFERROR(_xlfn.NUMBERVALUE(C451,".",","),0)))</f>
        <v/>
      </c>
    </row>
    <row r="452">
      <c r="K452">
        <f>IF(OR(LEFT(B452,9)="DOANH THU",LEFT(B452,8)="SỐ LƯỢNG"),A452,IF(A452="","",K451))</f>
        <v/>
      </c>
      <c r="L452">
        <f>IF(A452="","",IF(ISNUMBER(--LEFT(A452,FIND(" - ",A452&amp;" - ")-1)),LEFT(A452,FIND(" - ",A452&amp;" - ")-1),TRIM(A452)))</f>
        <v/>
      </c>
      <c r="M452">
        <f>IF(OR(K452="",K452=A452,A452=""),"",K452&amp;"|"&amp;L452)</f>
        <v/>
      </c>
      <c r="N452">
        <f>IF(M452="","",IF(ISNUMBER(B452),B452,IFERROR(_xlfn.NUMBERVALUE(B452,".",","),0)))</f>
        <v/>
      </c>
      <c r="O452">
        <f>IF(M452="","",IF(ISNUMBER(C452),C452,IFERROR(_xlfn.NUMBERVALUE(C452,".",","),0)))</f>
        <v/>
      </c>
    </row>
    <row r="453">
      <c r="K453">
        <f>IF(OR(LEFT(B453,9)="DOANH THU",LEFT(B453,8)="SỐ LƯỢNG"),A453,IF(A453="","",K452))</f>
        <v/>
      </c>
      <c r="L453">
        <f>IF(A453="","",IF(ISNUMBER(--LEFT(A453,FIND(" - ",A453&amp;" - ")-1)),LEFT(A453,FIND(" - ",A453&amp;" - ")-1),TRIM(A453)))</f>
        <v/>
      </c>
      <c r="M453">
        <f>IF(OR(K453="",K453=A453,A453=""),"",K453&amp;"|"&amp;L453)</f>
        <v/>
      </c>
      <c r="N453">
        <f>IF(M453="","",IF(ISNUMBER(B453),B453,IFERROR(_xlfn.NUMBERVALUE(B453,".",","),0)))</f>
        <v/>
      </c>
      <c r="O453">
        <f>IF(M453="","",IF(ISNUMBER(C453),C453,IFERROR(_xlfn.NUMBERVALUE(C453,".",","),0)))</f>
        <v/>
      </c>
    </row>
    <row r="454">
      <c r="K454">
        <f>IF(OR(LEFT(B454,9)="DOANH THU",LEFT(B454,8)="SỐ LƯỢNG"),A454,IF(A454="","",K453))</f>
        <v/>
      </c>
      <c r="L454">
        <f>IF(A454="","",IF(ISNUMBER(--LEFT(A454,FIND(" - ",A454&amp;" - ")-1)),LEFT(A454,FIND(" - ",A454&amp;" - ")-1),TRIM(A454)))</f>
        <v/>
      </c>
      <c r="M454">
        <f>IF(OR(K454="",K454=A454,A454=""),"",K454&amp;"|"&amp;L454)</f>
        <v/>
      </c>
      <c r="N454">
        <f>IF(M454="","",IF(ISNUMBER(B454),B454,IFERROR(_xlfn.NUMBERVALUE(B454,".",","),0)))</f>
        <v/>
      </c>
      <c r="O454">
        <f>IF(M454="","",IF(ISNUMBER(C454),C454,IFERROR(_xlfn.NUMBERVALUE(C454,".",","),0)))</f>
        <v/>
      </c>
    </row>
    <row r="455">
      <c r="K455">
        <f>IF(OR(LEFT(B455,9)="DOANH THU",LEFT(B455,8)="SỐ LƯỢNG"),A455,IF(A455="","",K454))</f>
        <v/>
      </c>
      <c r="L455">
        <f>IF(A455="","",IF(ISNUMBER(--LEFT(A455,FIND(" - ",A455&amp;" - ")-1)),LEFT(A455,FIND(" - ",A455&amp;" - ")-1),TRIM(A455)))</f>
        <v/>
      </c>
      <c r="M455">
        <f>IF(OR(K455="",K455=A455,A455=""),"",K455&amp;"|"&amp;L455)</f>
        <v/>
      </c>
      <c r="N455">
        <f>IF(M455="","",IF(ISNUMBER(B455),B455,IFERROR(_xlfn.NUMBERVALUE(B455,".",","),0)))</f>
        <v/>
      </c>
      <c r="O455">
        <f>IF(M455="","",IF(ISNUMBER(C455),C455,IFERROR(_xlfn.NUMBERVALUE(C455,".",","),0)))</f>
        <v/>
      </c>
    </row>
    <row r="456">
      <c r="K456">
        <f>IF(OR(LEFT(B456,9)="DOANH THU",LEFT(B456,8)="SỐ LƯỢNG"),A456,IF(A456="","",K455))</f>
        <v/>
      </c>
      <c r="L456">
        <f>IF(A456="","",IF(ISNUMBER(--LEFT(A456,FIND(" - ",A456&amp;" - ")-1)),LEFT(A456,FIND(" - ",A456&amp;" - ")-1),TRIM(A456)))</f>
        <v/>
      </c>
      <c r="M456">
        <f>IF(OR(K456="",K456=A456,A456=""),"",K456&amp;"|"&amp;L456)</f>
        <v/>
      </c>
      <c r="N456">
        <f>IF(M456="","",IF(ISNUMBER(B456),B456,IFERROR(_xlfn.NUMBERVALUE(B456,".",","),0)))</f>
        <v/>
      </c>
      <c r="O456">
        <f>IF(M456="","",IF(ISNUMBER(C456),C456,IFERROR(_xlfn.NUMBERVALUE(C456,".",","),0)))</f>
        <v/>
      </c>
    </row>
    <row r="457">
      <c r="K457">
        <f>IF(OR(LEFT(B457,9)="DOANH THU",LEFT(B457,8)="SỐ LƯỢNG"),A457,IF(A457="","",K456))</f>
        <v/>
      </c>
      <c r="L457">
        <f>IF(A457="","",IF(ISNUMBER(--LEFT(A457,FIND(" - ",A457&amp;" - ")-1)),LEFT(A457,FIND(" - ",A457&amp;" - ")-1),TRIM(A457)))</f>
        <v/>
      </c>
      <c r="M457">
        <f>IF(OR(K457="",K457=A457,A457=""),"",K457&amp;"|"&amp;L457)</f>
        <v/>
      </c>
      <c r="N457">
        <f>IF(M457="","",IF(ISNUMBER(B457),B457,IFERROR(_xlfn.NUMBERVALUE(B457,".",","),0)))</f>
        <v/>
      </c>
      <c r="O457">
        <f>IF(M457="","",IF(ISNUMBER(C457),C457,IFERROR(_xlfn.NUMBERVALUE(C457,".",","),0)))</f>
        <v/>
      </c>
    </row>
    <row r="458">
      <c r="K458">
        <f>IF(OR(LEFT(B458,9)="DOANH THU",LEFT(B458,8)="SỐ LƯỢNG"),A458,IF(A458="","",K457))</f>
        <v/>
      </c>
      <c r="L458">
        <f>IF(A458="","",IF(ISNUMBER(--LEFT(A458,FIND(" - ",A458&amp;" - ")-1)),LEFT(A458,FIND(" - ",A458&amp;" - ")-1),TRIM(A458)))</f>
        <v/>
      </c>
      <c r="M458">
        <f>IF(OR(K458="",K458=A458,A458=""),"",K458&amp;"|"&amp;L458)</f>
        <v/>
      </c>
      <c r="N458">
        <f>IF(M458="","",IF(ISNUMBER(B458),B458,IFERROR(_xlfn.NUMBERVALUE(B458,".",","),0)))</f>
        <v/>
      </c>
      <c r="O458">
        <f>IF(M458="","",IF(ISNUMBER(C458),C458,IFERROR(_xlfn.NUMBERVALUE(C458,".",","),0)))</f>
        <v/>
      </c>
    </row>
    <row r="459">
      <c r="K459">
        <f>IF(OR(LEFT(B459,9)="DOANH THU",LEFT(B459,8)="SỐ LƯỢNG"),A459,IF(A459="","",K458))</f>
        <v/>
      </c>
      <c r="L459">
        <f>IF(A459="","",IF(ISNUMBER(--LEFT(A459,FIND(" - ",A459&amp;" - ")-1)),LEFT(A459,FIND(" - ",A459&amp;" - ")-1),TRIM(A459)))</f>
        <v/>
      </c>
      <c r="M459">
        <f>IF(OR(K459="",K459=A459,A459=""),"",K459&amp;"|"&amp;L459)</f>
        <v/>
      </c>
      <c r="N459">
        <f>IF(M459="","",IF(ISNUMBER(B459),B459,IFERROR(_xlfn.NUMBERVALUE(B459,".",","),0)))</f>
        <v/>
      </c>
      <c r="O459">
        <f>IF(M459="","",IF(ISNUMBER(C459),C459,IFERROR(_xlfn.NUMBERVALUE(C459,".",","),0)))</f>
        <v/>
      </c>
    </row>
    <row r="460">
      <c r="K460">
        <f>IF(OR(LEFT(B460,9)="DOANH THU",LEFT(B460,8)="SỐ LƯỢNG"),A460,IF(A460="","",K459))</f>
        <v/>
      </c>
      <c r="L460">
        <f>IF(A460="","",IF(ISNUMBER(--LEFT(A460,FIND(" - ",A460&amp;" - ")-1)),LEFT(A460,FIND(" - ",A460&amp;" - ")-1),TRIM(A460)))</f>
        <v/>
      </c>
      <c r="M460">
        <f>IF(OR(K460="",K460=A460,A460=""),"",K460&amp;"|"&amp;L460)</f>
        <v/>
      </c>
      <c r="N460">
        <f>IF(M460="","",IF(ISNUMBER(B460),B460,IFERROR(_xlfn.NUMBERVALUE(B460,".",","),0)))</f>
        <v/>
      </c>
      <c r="O460">
        <f>IF(M460="","",IF(ISNUMBER(C460),C460,IFERROR(_xlfn.NUMBERVALUE(C460,".",","),0)))</f>
        <v/>
      </c>
    </row>
    <row r="461">
      <c r="K461">
        <f>IF(OR(LEFT(B461,9)="DOANH THU",LEFT(B461,8)="SỐ LƯỢNG"),A461,IF(A461="","",K460))</f>
        <v/>
      </c>
      <c r="L461">
        <f>IF(A461="","",IF(ISNUMBER(--LEFT(A461,FIND(" - ",A461&amp;" - ")-1)),LEFT(A461,FIND(" - ",A461&amp;" - ")-1),TRIM(A461)))</f>
        <v/>
      </c>
      <c r="M461">
        <f>IF(OR(K461="",K461=A461,A461=""),"",K461&amp;"|"&amp;L461)</f>
        <v/>
      </c>
      <c r="N461">
        <f>IF(M461="","",IF(ISNUMBER(B461),B461,IFERROR(_xlfn.NUMBERVALUE(B461,".",","),0)))</f>
        <v/>
      </c>
      <c r="O461">
        <f>IF(M461="","",IF(ISNUMBER(C461),C461,IFERROR(_xlfn.NUMBERVALUE(C461,".",","),0)))</f>
        <v/>
      </c>
    </row>
    <row r="462">
      <c r="K462">
        <f>IF(OR(LEFT(B462,9)="DOANH THU",LEFT(B462,8)="SỐ LƯỢNG"),A462,IF(A462="","",K461))</f>
        <v/>
      </c>
      <c r="L462">
        <f>IF(A462="","",IF(ISNUMBER(--LEFT(A462,FIND(" - ",A462&amp;" - ")-1)),LEFT(A462,FIND(" - ",A462&amp;" - ")-1),TRIM(A462)))</f>
        <v/>
      </c>
      <c r="M462">
        <f>IF(OR(K462="",K462=A462,A462=""),"",K462&amp;"|"&amp;L462)</f>
        <v/>
      </c>
      <c r="N462">
        <f>IF(M462="","",IF(ISNUMBER(B462),B462,IFERROR(_xlfn.NUMBERVALUE(B462,".",","),0)))</f>
        <v/>
      </c>
      <c r="O462">
        <f>IF(M462="","",IF(ISNUMBER(C462),C462,IFERROR(_xlfn.NUMBERVALUE(C462,".",","),0)))</f>
        <v/>
      </c>
    </row>
    <row r="463">
      <c r="K463">
        <f>IF(OR(LEFT(B463,9)="DOANH THU",LEFT(B463,8)="SỐ LƯỢNG"),A463,IF(A463="","",K462))</f>
        <v/>
      </c>
      <c r="L463">
        <f>IF(A463="","",IF(ISNUMBER(--LEFT(A463,FIND(" - ",A463&amp;" - ")-1)),LEFT(A463,FIND(" - ",A463&amp;" - ")-1),TRIM(A463)))</f>
        <v/>
      </c>
      <c r="M463">
        <f>IF(OR(K463="",K463=A463,A463=""),"",K463&amp;"|"&amp;L463)</f>
        <v/>
      </c>
      <c r="N463">
        <f>IF(M463="","",IF(ISNUMBER(B463),B463,IFERROR(_xlfn.NUMBERVALUE(B463,".",","),0)))</f>
        <v/>
      </c>
      <c r="O463">
        <f>IF(M463="","",IF(ISNUMBER(C463),C463,IFERROR(_xlfn.NUMBERVALUE(C463,".",","),0)))</f>
        <v/>
      </c>
    </row>
    <row r="464">
      <c r="K464">
        <f>IF(OR(LEFT(B464,9)="DOANH THU",LEFT(B464,8)="SỐ LƯỢNG"),A464,IF(A464="","",K463))</f>
        <v/>
      </c>
      <c r="L464">
        <f>IF(A464="","",IF(ISNUMBER(--LEFT(A464,FIND(" - ",A464&amp;" - ")-1)),LEFT(A464,FIND(" - ",A464&amp;" - ")-1),TRIM(A464)))</f>
        <v/>
      </c>
      <c r="M464">
        <f>IF(OR(K464="",K464=A464,A464=""),"",K464&amp;"|"&amp;L464)</f>
        <v/>
      </c>
      <c r="N464">
        <f>IF(M464="","",IF(ISNUMBER(B464),B464,IFERROR(_xlfn.NUMBERVALUE(B464,".",","),0)))</f>
        <v/>
      </c>
      <c r="O464">
        <f>IF(M464="","",IF(ISNUMBER(C464),C464,IFERROR(_xlfn.NUMBERVALUE(C464,".",","),0)))</f>
        <v/>
      </c>
    </row>
    <row r="465">
      <c r="K465">
        <f>IF(OR(LEFT(B465,9)="DOANH THU",LEFT(B465,8)="SỐ LƯỢNG"),A465,IF(A465="","",K464))</f>
        <v/>
      </c>
      <c r="L465">
        <f>IF(A465="","",IF(ISNUMBER(--LEFT(A465,FIND(" - ",A465&amp;" - ")-1)),LEFT(A465,FIND(" - ",A465&amp;" - ")-1),TRIM(A465)))</f>
        <v/>
      </c>
      <c r="M465">
        <f>IF(OR(K465="",K465=A465,A465=""),"",K465&amp;"|"&amp;L465)</f>
        <v/>
      </c>
      <c r="N465">
        <f>IF(M465="","",IF(ISNUMBER(B465),B465,IFERROR(_xlfn.NUMBERVALUE(B465,".",","),0)))</f>
        <v/>
      </c>
      <c r="O465">
        <f>IF(M465="","",IF(ISNUMBER(C465),C465,IFERROR(_xlfn.NUMBERVALUE(C465,".",","),0)))</f>
        <v/>
      </c>
    </row>
    <row r="466">
      <c r="K466">
        <f>IF(OR(LEFT(B466,9)="DOANH THU",LEFT(B466,8)="SỐ LƯỢNG"),A466,IF(A466="","",K465))</f>
        <v/>
      </c>
      <c r="L466">
        <f>IF(A466="","",IF(ISNUMBER(--LEFT(A466,FIND(" - ",A466&amp;" - ")-1)),LEFT(A466,FIND(" - ",A466&amp;" - ")-1),TRIM(A466)))</f>
        <v/>
      </c>
      <c r="M466">
        <f>IF(OR(K466="",K466=A466,A466=""),"",K466&amp;"|"&amp;L466)</f>
        <v/>
      </c>
      <c r="N466">
        <f>IF(M466="","",IF(ISNUMBER(B466),B466,IFERROR(_xlfn.NUMBERVALUE(B466,".",","),0)))</f>
        <v/>
      </c>
      <c r="O466">
        <f>IF(M466="","",IF(ISNUMBER(C466),C466,IFERROR(_xlfn.NUMBERVALUE(C466,".",","),0)))</f>
        <v/>
      </c>
    </row>
    <row r="467">
      <c r="K467">
        <f>IF(OR(LEFT(B467,9)="DOANH THU",LEFT(B467,8)="SỐ LƯỢNG"),A467,IF(A467="","",K466))</f>
        <v/>
      </c>
      <c r="L467">
        <f>IF(A467="","",IF(ISNUMBER(--LEFT(A467,FIND(" - ",A467&amp;" - ")-1)),LEFT(A467,FIND(" - ",A467&amp;" - ")-1),TRIM(A467)))</f>
        <v/>
      </c>
      <c r="M467">
        <f>IF(OR(K467="",K467=A467,A467=""),"",K467&amp;"|"&amp;L467)</f>
        <v/>
      </c>
      <c r="N467">
        <f>IF(M467="","",IF(ISNUMBER(B467),B467,IFERROR(_xlfn.NUMBERVALUE(B467,".",","),0)))</f>
        <v/>
      </c>
      <c r="O467">
        <f>IF(M467="","",IF(ISNUMBER(C467),C467,IFERROR(_xlfn.NUMBERVALUE(C467,".",","),0)))</f>
        <v/>
      </c>
    </row>
    <row r="468">
      <c r="K468">
        <f>IF(OR(LEFT(B468,9)="DOANH THU",LEFT(B468,8)="SỐ LƯỢNG"),A468,IF(A468="","",K467))</f>
        <v/>
      </c>
      <c r="L468">
        <f>IF(A468="","",IF(ISNUMBER(--LEFT(A468,FIND(" - ",A468&amp;" - ")-1)),LEFT(A468,FIND(" - ",A468&amp;" - ")-1),TRIM(A468)))</f>
        <v/>
      </c>
      <c r="M468">
        <f>IF(OR(K468="",K468=A468,A468=""),"",K468&amp;"|"&amp;L468)</f>
        <v/>
      </c>
      <c r="N468">
        <f>IF(M468="","",IF(ISNUMBER(B468),B468,IFERROR(_xlfn.NUMBERVALUE(B468,".",","),0)))</f>
        <v/>
      </c>
      <c r="O468">
        <f>IF(M468="","",IF(ISNUMBER(C468),C468,IFERROR(_xlfn.NUMBERVALUE(C468,".",","),0)))</f>
        <v/>
      </c>
    </row>
    <row r="469">
      <c r="K469">
        <f>IF(OR(LEFT(B469,9)="DOANH THU",LEFT(B469,8)="SỐ LƯỢNG"),A469,IF(A469="","",K468))</f>
        <v/>
      </c>
      <c r="L469">
        <f>IF(A469="","",IF(ISNUMBER(--LEFT(A469,FIND(" - ",A469&amp;" - ")-1)),LEFT(A469,FIND(" - ",A469&amp;" - ")-1),TRIM(A469)))</f>
        <v/>
      </c>
      <c r="M469">
        <f>IF(OR(K469="",K469=A469,A469=""),"",K469&amp;"|"&amp;L469)</f>
        <v/>
      </c>
      <c r="N469">
        <f>IF(M469="","",IF(ISNUMBER(B469),B469,IFERROR(_xlfn.NUMBERVALUE(B469,".",","),0)))</f>
        <v/>
      </c>
      <c r="O469">
        <f>IF(M469="","",IF(ISNUMBER(C469),C469,IFERROR(_xlfn.NUMBERVALUE(C469,".",","),0)))</f>
        <v/>
      </c>
    </row>
    <row r="470">
      <c r="K470">
        <f>IF(OR(LEFT(B470,9)="DOANH THU",LEFT(B470,8)="SỐ LƯỢNG"),A470,IF(A470="","",K469))</f>
        <v/>
      </c>
      <c r="L470">
        <f>IF(A470="","",IF(ISNUMBER(--LEFT(A470,FIND(" - ",A470&amp;" - ")-1)),LEFT(A470,FIND(" - ",A470&amp;" - ")-1),TRIM(A470)))</f>
        <v/>
      </c>
      <c r="M470">
        <f>IF(OR(K470="",K470=A470,A470=""),"",K470&amp;"|"&amp;L470)</f>
        <v/>
      </c>
      <c r="N470">
        <f>IF(M470="","",IF(ISNUMBER(B470),B470,IFERROR(_xlfn.NUMBERVALUE(B470,".",","),0)))</f>
        <v/>
      </c>
      <c r="O470">
        <f>IF(M470="","",IF(ISNUMBER(C470),C470,IFERROR(_xlfn.NUMBERVALUE(C470,".",","),0)))</f>
        <v/>
      </c>
    </row>
    <row r="471">
      <c r="K471">
        <f>IF(OR(LEFT(B471,9)="DOANH THU",LEFT(B471,8)="SỐ LƯỢNG"),A471,IF(A471="","",K470))</f>
        <v/>
      </c>
      <c r="L471">
        <f>IF(A471="","",IF(ISNUMBER(--LEFT(A471,FIND(" - ",A471&amp;" - ")-1)),LEFT(A471,FIND(" - ",A471&amp;" - ")-1),TRIM(A471)))</f>
        <v/>
      </c>
      <c r="M471">
        <f>IF(OR(K471="",K471=A471,A471=""),"",K471&amp;"|"&amp;L471)</f>
        <v/>
      </c>
      <c r="N471">
        <f>IF(M471="","",IF(ISNUMBER(B471),B471,IFERROR(_xlfn.NUMBERVALUE(B471,".",","),0)))</f>
        <v/>
      </c>
      <c r="O471">
        <f>IF(M471="","",IF(ISNUMBER(C471),C471,IFERROR(_xlfn.NUMBERVALUE(C471,".",","),0)))</f>
        <v/>
      </c>
    </row>
    <row r="472">
      <c r="K472">
        <f>IF(OR(LEFT(B472,9)="DOANH THU",LEFT(B472,8)="SỐ LƯỢNG"),A472,IF(A472="","",K471))</f>
        <v/>
      </c>
      <c r="L472">
        <f>IF(A472="","",IF(ISNUMBER(--LEFT(A472,FIND(" - ",A472&amp;" - ")-1)),LEFT(A472,FIND(" - ",A472&amp;" - ")-1),TRIM(A472)))</f>
        <v/>
      </c>
      <c r="M472">
        <f>IF(OR(K472="",K472=A472,A472=""),"",K472&amp;"|"&amp;L472)</f>
        <v/>
      </c>
      <c r="N472">
        <f>IF(M472="","",IF(ISNUMBER(B472),B472,IFERROR(_xlfn.NUMBERVALUE(B472,".",","),0)))</f>
        <v/>
      </c>
      <c r="O472">
        <f>IF(M472="","",IF(ISNUMBER(C472),C472,IFERROR(_xlfn.NUMBERVALUE(C472,".",","),0)))</f>
        <v/>
      </c>
    </row>
    <row r="473">
      <c r="K473">
        <f>IF(OR(LEFT(B473,9)="DOANH THU",LEFT(B473,8)="SỐ LƯỢNG"),A473,IF(A473="","",K472))</f>
        <v/>
      </c>
      <c r="L473">
        <f>IF(A473="","",IF(ISNUMBER(--LEFT(A473,FIND(" - ",A473&amp;" - ")-1)),LEFT(A473,FIND(" - ",A473&amp;" - ")-1),TRIM(A473)))</f>
        <v/>
      </c>
      <c r="M473">
        <f>IF(OR(K473="",K473=A473,A473=""),"",K473&amp;"|"&amp;L473)</f>
        <v/>
      </c>
      <c r="N473">
        <f>IF(M473="","",IF(ISNUMBER(B473),B473,IFERROR(_xlfn.NUMBERVALUE(B473,".",","),0)))</f>
        <v/>
      </c>
      <c r="O473">
        <f>IF(M473="","",IF(ISNUMBER(C473),C473,IFERROR(_xlfn.NUMBERVALUE(C473,".",","),0)))</f>
        <v/>
      </c>
    </row>
    <row r="474">
      <c r="K474">
        <f>IF(OR(LEFT(B474,9)="DOANH THU",LEFT(B474,8)="SỐ LƯỢNG"),A474,IF(A474="","",K473))</f>
        <v/>
      </c>
      <c r="L474">
        <f>IF(A474="","",IF(ISNUMBER(--LEFT(A474,FIND(" - ",A474&amp;" - ")-1)),LEFT(A474,FIND(" - ",A474&amp;" - ")-1),TRIM(A474)))</f>
        <v/>
      </c>
      <c r="M474">
        <f>IF(OR(K474="",K474=A474,A474=""),"",K474&amp;"|"&amp;L474)</f>
        <v/>
      </c>
      <c r="N474">
        <f>IF(M474="","",IF(ISNUMBER(B474),B474,IFERROR(_xlfn.NUMBERVALUE(B474,".",","),0)))</f>
        <v/>
      </c>
      <c r="O474">
        <f>IF(M474="","",IF(ISNUMBER(C474),C474,IFERROR(_xlfn.NUMBERVALUE(C474,".",","),0)))</f>
        <v/>
      </c>
    </row>
    <row r="475">
      <c r="K475">
        <f>IF(OR(LEFT(B475,9)="DOANH THU",LEFT(B475,8)="SỐ LƯỢNG"),A475,IF(A475="","",K474))</f>
        <v/>
      </c>
      <c r="L475">
        <f>IF(A475="","",IF(ISNUMBER(--LEFT(A475,FIND(" - ",A475&amp;" - ")-1)),LEFT(A475,FIND(" - ",A475&amp;" - ")-1),TRIM(A475)))</f>
        <v/>
      </c>
      <c r="M475">
        <f>IF(OR(K475="",K475=A475,A475=""),"",K475&amp;"|"&amp;L475)</f>
        <v/>
      </c>
      <c r="N475">
        <f>IF(M475="","",IF(ISNUMBER(B475),B475,IFERROR(_xlfn.NUMBERVALUE(B475,".",","),0)))</f>
        <v/>
      </c>
      <c r="O475">
        <f>IF(M475="","",IF(ISNUMBER(C475),C475,IFERROR(_xlfn.NUMBERVALUE(C475,".",","),0)))</f>
        <v/>
      </c>
    </row>
    <row r="476">
      <c r="K476">
        <f>IF(OR(LEFT(B476,9)="DOANH THU",LEFT(B476,8)="SỐ LƯỢNG"),A476,IF(A476="","",K475))</f>
        <v/>
      </c>
      <c r="L476">
        <f>IF(A476="","",IF(ISNUMBER(--LEFT(A476,FIND(" - ",A476&amp;" - ")-1)),LEFT(A476,FIND(" - ",A476&amp;" - ")-1),TRIM(A476)))</f>
        <v/>
      </c>
      <c r="M476">
        <f>IF(OR(K476="",K476=A476,A476=""),"",K476&amp;"|"&amp;L476)</f>
        <v/>
      </c>
      <c r="N476">
        <f>IF(M476="","",IF(ISNUMBER(B476),B476,IFERROR(_xlfn.NUMBERVALUE(B476,".",","),0)))</f>
        <v/>
      </c>
      <c r="O476">
        <f>IF(M476="","",IF(ISNUMBER(C476),C476,IFERROR(_xlfn.NUMBERVALUE(C476,".",","),0)))</f>
        <v/>
      </c>
    </row>
    <row r="477">
      <c r="K477">
        <f>IF(OR(LEFT(B477,9)="DOANH THU",LEFT(B477,8)="SỐ LƯỢNG"),A477,IF(A477="","",K476))</f>
        <v/>
      </c>
      <c r="L477">
        <f>IF(A477="","",IF(ISNUMBER(--LEFT(A477,FIND(" - ",A477&amp;" - ")-1)),LEFT(A477,FIND(" - ",A477&amp;" - ")-1),TRIM(A477)))</f>
        <v/>
      </c>
      <c r="M477">
        <f>IF(OR(K477="",K477=A477,A477=""),"",K477&amp;"|"&amp;L477)</f>
        <v/>
      </c>
      <c r="N477">
        <f>IF(M477="","",IF(ISNUMBER(B477),B477,IFERROR(_xlfn.NUMBERVALUE(B477,".",","),0)))</f>
        <v/>
      </c>
      <c r="O477">
        <f>IF(M477="","",IF(ISNUMBER(C477),C477,IFERROR(_xlfn.NUMBERVALUE(C477,".",","),0)))</f>
        <v/>
      </c>
    </row>
    <row r="478">
      <c r="K478">
        <f>IF(OR(LEFT(B478,9)="DOANH THU",LEFT(B478,8)="SỐ LƯỢNG"),A478,IF(A478="","",K477))</f>
        <v/>
      </c>
      <c r="L478">
        <f>IF(A478="","",IF(ISNUMBER(--LEFT(A478,FIND(" - ",A478&amp;" - ")-1)),LEFT(A478,FIND(" - ",A478&amp;" - ")-1),TRIM(A478)))</f>
        <v/>
      </c>
      <c r="M478">
        <f>IF(OR(K478="",K478=A478,A478=""),"",K478&amp;"|"&amp;L478)</f>
        <v/>
      </c>
      <c r="N478">
        <f>IF(M478="","",IF(ISNUMBER(B478),B478,IFERROR(_xlfn.NUMBERVALUE(B478,".",","),0)))</f>
        <v/>
      </c>
      <c r="O478">
        <f>IF(M478="","",IF(ISNUMBER(C478),C478,IFERROR(_xlfn.NUMBERVALUE(C478,".",","),0)))</f>
        <v/>
      </c>
    </row>
    <row r="479">
      <c r="K479">
        <f>IF(OR(LEFT(B479,9)="DOANH THU",LEFT(B479,8)="SỐ LƯỢNG"),A479,IF(A479="","",K478))</f>
        <v/>
      </c>
      <c r="L479">
        <f>IF(A479="","",IF(ISNUMBER(--LEFT(A479,FIND(" - ",A479&amp;" - ")-1)),LEFT(A479,FIND(" - ",A479&amp;" - ")-1),TRIM(A479)))</f>
        <v/>
      </c>
      <c r="M479">
        <f>IF(OR(K479="",K479=A479,A479=""),"",K479&amp;"|"&amp;L479)</f>
        <v/>
      </c>
      <c r="N479">
        <f>IF(M479="","",IF(ISNUMBER(B479),B479,IFERROR(_xlfn.NUMBERVALUE(B479,".",","),0)))</f>
        <v/>
      </c>
      <c r="O479">
        <f>IF(M479="","",IF(ISNUMBER(C479),C479,IFERROR(_xlfn.NUMBERVALUE(C479,".",","),0)))</f>
        <v/>
      </c>
    </row>
    <row r="480">
      <c r="K480">
        <f>IF(OR(LEFT(B480,9)="DOANH THU",LEFT(B480,8)="SỐ LƯỢNG"),A480,IF(A480="","",K479))</f>
        <v/>
      </c>
      <c r="L480">
        <f>IF(A480="","",IF(ISNUMBER(--LEFT(A480,FIND(" - ",A480&amp;" - ")-1)),LEFT(A480,FIND(" - ",A480&amp;" - ")-1),TRIM(A480)))</f>
        <v/>
      </c>
      <c r="M480">
        <f>IF(OR(K480="",K480=A480,A480=""),"",K480&amp;"|"&amp;L480)</f>
        <v/>
      </c>
      <c r="N480">
        <f>IF(M480="","",IF(ISNUMBER(B480),B480,IFERROR(_xlfn.NUMBERVALUE(B480,".",","),0)))</f>
        <v/>
      </c>
      <c r="O480">
        <f>IF(M480="","",IF(ISNUMBER(C480),C480,IFERROR(_xlfn.NUMBERVALUE(C480,".",","),0)))</f>
        <v/>
      </c>
    </row>
    <row r="481">
      <c r="K481">
        <f>IF(OR(LEFT(B481,9)="DOANH THU",LEFT(B481,8)="SỐ LƯỢNG"),A481,IF(A481="","",K480))</f>
        <v/>
      </c>
      <c r="L481">
        <f>IF(A481="","",IF(ISNUMBER(--LEFT(A481,FIND(" - ",A481&amp;" - ")-1)),LEFT(A481,FIND(" - ",A481&amp;" - ")-1),TRIM(A481)))</f>
        <v/>
      </c>
      <c r="M481">
        <f>IF(OR(K481="",K481=A481,A481=""),"",K481&amp;"|"&amp;L481)</f>
        <v/>
      </c>
      <c r="N481">
        <f>IF(M481="","",IF(ISNUMBER(B481),B481,IFERROR(_xlfn.NUMBERVALUE(B481,".",","),0)))</f>
        <v/>
      </c>
      <c r="O481">
        <f>IF(M481="","",IF(ISNUMBER(C481),C481,IFERROR(_xlfn.NUMBERVALUE(C481,".",","),0)))</f>
        <v/>
      </c>
    </row>
    <row r="482">
      <c r="K482">
        <f>IF(OR(LEFT(B482,9)="DOANH THU",LEFT(B482,8)="SỐ LƯỢNG"),A482,IF(A482="","",K481))</f>
        <v/>
      </c>
      <c r="L482">
        <f>IF(A482="","",IF(ISNUMBER(--LEFT(A482,FIND(" - ",A482&amp;" - ")-1)),LEFT(A482,FIND(" - ",A482&amp;" - ")-1),TRIM(A482)))</f>
        <v/>
      </c>
      <c r="M482">
        <f>IF(OR(K482="",K482=A482,A482=""),"",K482&amp;"|"&amp;L482)</f>
        <v/>
      </c>
      <c r="N482">
        <f>IF(M482="","",IF(ISNUMBER(B482),B482,IFERROR(_xlfn.NUMBERVALUE(B482,".",","),0)))</f>
        <v/>
      </c>
      <c r="O482">
        <f>IF(M482="","",IF(ISNUMBER(C482),C482,IFERROR(_xlfn.NUMBERVALUE(C482,".",","),0)))</f>
        <v/>
      </c>
    </row>
    <row r="483">
      <c r="K483">
        <f>IF(OR(LEFT(B483,9)="DOANH THU",LEFT(B483,8)="SỐ LƯỢNG"),A483,IF(A483="","",K482))</f>
        <v/>
      </c>
      <c r="L483">
        <f>IF(A483="","",IF(ISNUMBER(--LEFT(A483,FIND(" - ",A483&amp;" - ")-1)),LEFT(A483,FIND(" - ",A483&amp;" - ")-1),TRIM(A483)))</f>
        <v/>
      </c>
      <c r="M483">
        <f>IF(OR(K483="",K483=A483,A483=""),"",K483&amp;"|"&amp;L483)</f>
        <v/>
      </c>
      <c r="N483">
        <f>IF(M483="","",IF(ISNUMBER(B483),B483,IFERROR(_xlfn.NUMBERVALUE(B483,".",","),0)))</f>
        <v/>
      </c>
      <c r="O483">
        <f>IF(M483="","",IF(ISNUMBER(C483),C483,IFERROR(_xlfn.NUMBERVALUE(C483,".",","),0)))</f>
        <v/>
      </c>
    </row>
    <row r="484">
      <c r="K484">
        <f>IF(OR(LEFT(B484,9)="DOANH THU",LEFT(B484,8)="SỐ LƯỢNG"),A484,IF(A484="","",K483))</f>
        <v/>
      </c>
      <c r="L484">
        <f>IF(A484="","",IF(ISNUMBER(--LEFT(A484,FIND(" - ",A484&amp;" - ")-1)),LEFT(A484,FIND(" - ",A484&amp;" - ")-1),TRIM(A484)))</f>
        <v/>
      </c>
      <c r="M484">
        <f>IF(OR(K484="",K484=A484,A484=""),"",K484&amp;"|"&amp;L484)</f>
        <v/>
      </c>
      <c r="N484">
        <f>IF(M484="","",IF(ISNUMBER(B484),B484,IFERROR(_xlfn.NUMBERVALUE(B484,".",","),0)))</f>
        <v/>
      </c>
      <c r="O484">
        <f>IF(M484="","",IF(ISNUMBER(C484),C484,IFERROR(_xlfn.NUMBERVALUE(C484,".",","),0)))</f>
        <v/>
      </c>
    </row>
    <row r="485">
      <c r="K485">
        <f>IF(OR(LEFT(B485,9)="DOANH THU",LEFT(B485,8)="SỐ LƯỢNG"),A485,IF(A485="","",K484))</f>
        <v/>
      </c>
      <c r="L485">
        <f>IF(A485="","",IF(ISNUMBER(--LEFT(A485,FIND(" - ",A485&amp;" - ")-1)),LEFT(A485,FIND(" - ",A485&amp;" - ")-1),TRIM(A485)))</f>
        <v/>
      </c>
      <c r="M485">
        <f>IF(OR(K485="",K485=A485,A485=""),"",K485&amp;"|"&amp;L485)</f>
        <v/>
      </c>
      <c r="N485">
        <f>IF(M485="","",IF(ISNUMBER(B485),B485,IFERROR(_xlfn.NUMBERVALUE(B485,".",","),0)))</f>
        <v/>
      </c>
      <c r="O485">
        <f>IF(M485="","",IF(ISNUMBER(C485),C485,IFERROR(_xlfn.NUMBERVALUE(C485,".",","),0)))</f>
        <v/>
      </c>
    </row>
    <row r="486">
      <c r="K486">
        <f>IF(OR(LEFT(B486,9)="DOANH THU",LEFT(B486,8)="SỐ LƯỢNG"),A486,IF(A486="","",K485))</f>
        <v/>
      </c>
      <c r="L486">
        <f>IF(A486="","",IF(ISNUMBER(--LEFT(A486,FIND(" - ",A486&amp;" - ")-1)),LEFT(A486,FIND(" - ",A486&amp;" - ")-1),TRIM(A486)))</f>
        <v/>
      </c>
      <c r="M486">
        <f>IF(OR(K486="",K486=A486,A486=""),"",K486&amp;"|"&amp;L486)</f>
        <v/>
      </c>
      <c r="N486">
        <f>IF(M486="","",IF(ISNUMBER(B486),B486,IFERROR(_xlfn.NUMBERVALUE(B486,".",","),0)))</f>
        <v/>
      </c>
      <c r="O486">
        <f>IF(M486="","",IF(ISNUMBER(C486),C486,IFERROR(_xlfn.NUMBERVALUE(C486,".",","),0)))</f>
        <v/>
      </c>
    </row>
    <row r="487">
      <c r="K487">
        <f>IF(OR(LEFT(B487,9)="DOANH THU",LEFT(B487,8)="SỐ LƯỢNG"),A487,IF(A487="","",K486))</f>
        <v/>
      </c>
      <c r="L487">
        <f>IF(A487="","",IF(ISNUMBER(--LEFT(A487,FIND(" - ",A487&amp;" - ")-1)),LEFT(A487,FIND(" - ",A487&amp;" - ")-1),TRIM(A487)))</f>
        <v/>
      </c>
      <c r="M487">
        <f>IF(OR(K487="",K487=A487,A487=""),"",K487&amp;"|"&amp;L487)</f>
        <v/>
      </c>
      <c r="N487">
        <f>IF(M487="","",IF(ISNUMBER(B487),B487,IFERROR(_xlfn.NUMBERVALUE(B487,".",","),0)))</f>
        <v/>
      </c>
      <c r="O487">
        <f>IF(M487="","",IF(ISNUMBER(C487),C487,IFERROR(_xlfn.NUMBERVALUE(C487,".",","),0)))</f>
        <v/>
      </c>
    </row>
    <row r="488">
      <c r="K488">
        <f>IF(OR(LEFT(B488,9)="DOANH THU",LEFT(B488,8)="SỐ LƯỢNG"),A488,IF(A488="","",K487))</f>
        <v/>
      </c>
      <c r="L488">
        <f>IF(A488="","",IF(ISNUMBER(--LEFT(A488,FIND(" - ",A488&amp;" - ")-1)),LEFT(A488,FIND(" - ",A488&amp;" - ")-1),TRIM(A488)))</f>
        <v/>
      </c>
      <c r="M488">
        <f>IF(OR(K488="",K488=A488,A488=""),"",K488&amp;"|"&amp;L488)</f>
        <v/>
      </c>
      <c r="N488">
        <f>IF(M488="","",IF(ISNUMBER(B488),B488,IFERROR(_xlfn.NUMBERVALUE(B488,".",","),0)))</f>
        <v/>
      </c>
      <c r="O488">
        <f>IF(M488="","",IF(ISNUMBER(C488),C488,IFERROR(_xlfn.NUMBERVALUE(C488,".",","),0)))</f>
        <v/>
      </c>
    </row>
    <row r="489">
      <c r="K489">
        <f>IF(OR(LEFT(B489,9)="DOANH THU",LEFT(B489,8)="SỐ LƯỢNG"),A489,IF(A489="","",K488))</f>
        <v/>
      </c>
      <c r="L489">
        <f>IF(A489="","",IF(ISNUMBER(--LEFT(A489,FIND(" - ",A489&amp;" - ")-1)),LEFT(A489,FIND(" - ",A489&amp;" - ")-1),TRIM(A489)))</f>
        <v/>
      </c>
      <c r="M489">
        <f>IF(OR(K489="",K489=A489,A489=""),"",K489&amp;"|"&amp;L489)</f>
        <v/>
      </c>
      <c r="N489">
        <f>IF(M489="","",IF(ISNUMBER(B489),B489,IFERROR(_xlfn.NUMBERVALUE(B489,".",","),0)))</f>
        <v/>
      </c>
      <c r="O489">
        <f>IF(M489="","",IF(ISNUMBER(C489),C489,IFERROR(_xlfn.NUMBERVALUE(C489,".",","),0)))</f>
        <v/>
      </c>
    </row>
    <row r="490">
      <c r="K490">
        <f>IF(OR(LEFT(B490,9)="DOANH THU",LEFT(B490,8)="SỐ LƯỢNG"),A490,IF(A490="","",K489))</f>
        <v/>
      </c>
      <c r="L490">
        <f>IF(A490="","",IF(ISNUMBER(--LEFT(A490,FIND(" - ",A490&amp;" - ")-1)),LEFT(A490,FIND(" - ",A490&amp;" - ")-1),TRIM(A490)))</f>
        <v/>
      </c>
      <c r="M490">
        <f>IF(OR(K490="",K490=A490,A490=""),"",K490&amp;"|"&amp;L490)</f>
        <v/>
      </c>
      <c r="N490">
        <f>IF(M490="","",IF(ISNUMBER(B490),B490,IFERROR(_xlfn.NUMBERVALUE(B490,".",","),0)))</f>
        <v/>
      </c>
      <c r="O490">
        <f>IF(M490="","",IF(ISNUMBER(C490),C490,IFERROR(_xlfn.NUMBERVALUE(C490,".",","),0)))</f>
        <v/>
      </c>
    </row>
    <row r="491">
      <c r="K491">
        <f>IF(OR(LEFT(B491,9)="DOANH THU",LEFT(B491,8)="SỐ LƯỢNG"),A491,IF(A491="","",K490))</f>
        <v/>
      </c>
      <c r="L491">
        <f>IF(A491="","",IF(ISNUMBER(--LEFT(A491,FIND(" - ",A491&amp;" - ")-1)),LEFT(A491,FIND(" - ",A491&amp;" - ")-1),TRIM(A491)))</f>
        <v/>
      </c>
      <c r="M491">
        <f>IF(OR(K491="",K491=A491,A491=""),"",K491&amp;"|"&amp;L491)</f>
        <v/>
      </c>
      <c r="N491">
        <f>IF(M491="","",IF(ISNUMBER(B491),B491,IFERROR(_xlfn.NUMBERVALUE(B491,".",","),0)))</f>
        <v/>
      </c>
      <c r="O491">
        <f>IF(M491="","",IF(ISNUMBER(C491),C491,IFERROR(_xlfn.NUMBERVALUE(C491,".",","),0)))</f>
        <v/>
      </c>
    </row>
    <row r="492">
      <c r="K492">
        <f>IF(OR(LEFT(B492,9)="DOANH THU",LEFT(B492,8)="SỐ LƯỢNG"),A492,IF(A492="","",K491))</f>
        <v/>
      </c>
      <c r="L492">
        <f>IF(A492="","",IF(ISNUMBER(--LEFT(A492,FIND(" - ",A492&amp;" - ")-1)),LEFT(A492,FIND(" - ",A492&amp;" - ")-1),TRIM(A492)))</f>
        <v/>
      </c>
      <c r="M492">
        <f>IF(OR(K492="",K492=A492,A492=""),"",K492&amp;"|"&amp;L492)</f>
        <v/>
      </c>
      <c r="N492">
        <f>IF(M492="","",IF(ISNUMBER(B492),B492,IFERROR(_xlfn.NUMBERVALUE(B492,".",","),0)))</f>
        <v/>
      </c>
      <c r="O492">
        <f>IF(M492="","",IF(ISNUMBER(C492),C492,IFERROR(_xlfn.NUMBERVALUE(C492,".",","),0)))</f>
        <v/>
      </c>
    </row>
    <row r="493">
      <c r="K493">
        <f>IF(OR(LEFT(B493,9)="DOANH THU",LEFT(B493,8)="SỐ LƯỢNG"),A493,IF(A493="","",K492))</f>
        <v/>
      </c>
      <c r="L493">
        <f>IF(A493="","",IF(ISNUMBER(--LEFT(A493,FIND(" - ",A493&amp;" - ")-1)),LEFT(A493,FIND(" - ",A493&amp;" - ")-1),TRIM(A493)))</f>
        <v/>
      </c>
      <c r="M493">
        <f>IF(OR(K493="",K493=A493,A493=""),"",K493&amp;"|"&amp;L493)</f>
        <v/>
      </c>
      <c r="N493">
        <f>IF(M493="","",IF(ISNUMBER(B493),B493,IFERROR(_xlfn.NUMBERVALUE(B493,".",","),0)))</f>
        <v/>
      </c>
      <c r="O493">
        <f>IF(M493="","",IF(ISNUMBER(C493),C493,IFERROR(_xlfn.NUMBERVALUE(C493,".",","),0)))</f>
        <v/>
      </c>
    </row>
    <row r="494">
      <c r="K494">
        <f>IF(OR(LEFT(B494,9)="DOANH THU",LEFT(B494,8)="SỐ LƯỢNG"),A494,IF(A494="","",K493))</f>
        <v/>
      </c>
      <c r="L494">
        <f>IF(A494="","",IF(ISNUMBER(--LEFT(A494,FIND(" - ",A494&amp;" - ")-1)),LEFT(A494,FIND(" - ",A494&amp;" - ")-1),TRIM(A494)))</f>
        <v/>
      </c>
      <c r="M494">
        <f>IF(OR(K494="",K494=A494,A494=""),"",K494&amp;"|"&amp;L494)</f>
        <v/>
      </c>
      <c r="N494">
        <f>IF(M494="","",IF(ISNUMBER(B494),B494,IFERROR(_xlfn.NUMBERVALUE(B494,".",","),0)))</f>
        <v/>
      </c>
      <c r="O494">
        <f>IF(M494="","",IF(ISNUMBER(C494),C494,IFERROR(_xlfn.NUMBERVALUE(C494,".",","),0)))</f>
        <v/>
      </c>
    </row>
    <row r="495">
      <c r="K495">
        <f>IF(OR(LEFT(B495,9)="DOANH THU",LEFT(B495,8)="SỐ LƯỢNG"),A495,IF(A495="","",K494))</f>
        <v/>
      </c>
      <c r="L495">
        <f>IF(A495="","",IF(ISNUMBER(--LEFT(A495,FIND(" - ",A495&amp;" - ")-1)),LEFT(A495,FIND(" - ",A495&amp;" - ")-1),TRIM(A495)))</f>
        <v/>
      </c>
      <c r="M495">
        <f>IF(OR(K495="",K495=A495,A495=""),"",K495&amp;"|"&amp;L495)</f>
        <v/>
      </c>
      <c r="N495">
        <f>IF(M495="","",IF(ISNUMBER(B495),B495,IFERROR(_xlfn.NUMBERVALUE(B495,".",","),0)))</f>
        <v/>
      </c>
      <c r="O495">
        <f>IF(M495="","",IF(ISNUMBER(C495),C495,IFERROR(_xlfn.NUMBERVALUE(C495,".",","),0)))</f>
        <v/>
      </c>
    </row>
    <row r="496">
      <c r="K496">
        <f>IF(OR(LEFT(B496,9)="DOANH THU",LEFT(B496,8)="SỐ LƯỢNG"),A496,IF(A496="","",K495))</f>
        <v/>
      </c>
      <c r="L496">
        <f>IF(A496="","",IF(ISNUMBER(--LEFT(A496,FIND(" - ",A496&amp;" - ")-1)),LEFT(A496,FIND(" - ",A496&amp;" - ")-1),TRIM(A496)))</f>
        <v/>
      </c>
      <c r="M496">
        <f>IF(OR(K496="",K496=A496,A496=""),"",K496&amp;"|"&amp;L496)</f>
        <v/>
      </c>
      <c r="N496">
        <f>IF(M496="","",IF(ISNUMBER(B496),B496,IFERROR(_xlfn.NUMBERVALUE(B496,".",","),0)))</f>
        <v/>
      </c>
      <c r="O496">
        <f>IF(M496="","",IF(ISNUMBER(C496),C496,IFERROR(_xlfn.NUMBERVALUE(C496,".",","),0)))</f>
        <v/>
      </c>
    </row>
    <row r="497">
      <c r="K497">
        <f>IF(OR(LEFT(B497,9)="DOANH THU",LEFT(B497,8)="SỐ LƯỢNG"),A497,IF(A497="","",K496))</f>
        <v/>
      </c>
      <c r="L497">
        <f>IF(A497="","",IF(ISNUMBER(--LEFT(A497,FIND(" - ",A497&amp;" - ")-1)),LEFT(A497,FIND(" - ",A497&amp;" - ")-1),TRIM(A497)))</f>
        <v/>
      </c>
      <c r="M497">
        <f>IF(OR(K497="",K497=A497,A497=""),"",K497&amp;"|"&amp;L497)</f>
        <v/>
      </c>
      <c r="N497">
        <f>IF(M497="","",IF(ISNUMBER(B497),B497,IFERROR(_xlfn.NUMBERVALUE(B497,".",","),0)))</f>
        <v/>
      </c>
      <c r="O497">
        <f>IF(M497="","",IF(ISNUMBER(C497),C497,IFERROR(_xlfn.NUMBERVALUE(C497,".",","),0)))</f>
        <v/>
      </c>
    </row>
    <row r="498">
      <c r="K498">
        <f>IF(OR(LEFT(B498,9)="DOANH THU",LEFT(B498,8)="SỐ LƯỢNG"),A498,IF(A498="","",K497))</f>
        <v/>
      </c>
      <c r="L498">
        <f>IF(A498="","",IF(ISNUMBER(--LEFT(A498,FIND(" - ",A498&amp;" - ")-1)),LEFT(A498,FIND(" - ",A498&amp;" - ")-1),TRIM(A498)))</f>
        <v/>
      </c>
      <c r="M498">
        <f>IF(OR(K498="",K498=A498,A498=""),"",K498&amp;"|"&amp;L498)</f>
        <v/>
      </c>
      <c r="N498">
        <f>IF(M498="","",IF(ISNUMBER(B498),B498,IFERROR(_xlfn.NUMBERVALUE(B498,".",","),0)))</f>
        <v/>
      </c>
      <c r="O498">
        <f>IF(M498="","",IF(ISNUMBER(C498),C498,IFERROR(_xlfn.NUMBERVALUE(C498,".",","),0)))</f>
        <v/>
      </c>
    </row>
    <row r="499">
      <c r="K499">
        <f>IF(OR(LEFT(B499,9)="DOANH THU",LEFT(B499,8)="SỐ LƯỢNG"),A499,IF(A499="","",K498))</f>
        <v/>
      </c>
      <c r="L499">
        <f>IF(A499="","",IF(ISNUMBER(--LEFT(A499,FIND(" - ",A499&amp;" - ")-1)),LEFT(A499,FIND(" - ",A499&amp;" - ")-1),TRIM(A499)))</f>
        <v/>
      </c>
      <c r="M499">
        <f>IF(OR(K499="",K499=A499,A499=""),"",K499&amp;"|"&amp;L499)</f>
        <v/>
      </c>
      <c r="N499">
        <f>IF(M499="","",IF(ISNUMBER(B499),B499,IFERROR(_xlfn.NUMBERVALUE(B499,".",","),0)))</f>
        <v/>
      </c>
      <c r="O499">
        <f>IF(M499="","",IF(ISNUMBER(C499),C499,IFERROR(_xlfn.NUMBERVALUE(C499,".",","),0)))</f>
        <v/>
      </c>
    </row>
    <row r="500">
      <c r="K500">
        <f>IF(OR(LEFT(B500,9)="DOANH THU",LEFT(B500,8)="SỐ LƯỢNG"),A500,IF(A500="","",K499))</f>
        <v/>
      </c>
      <c r="L500">
        <f>IF(A500="","",IF(ISNUMBER(--LEFT(A500,FIND(" - ",A500&amp;" - ")-1)),LEFT(A500,FIND(" - ",A500&amp;" - ")-1),TRIM(A500)))</f>
        <v/>
      </c>
      <c r="M500">
        <f>IF(OR(K500="",K500=A500,A500=""),"",K500&amp;"|"&amp;L500)</f>
        <v/>
      </c>
      <c r="N500">
        <f>IF(M500="","",IF(ISNUMBER(B500),B500,IFERROR(_xlfn.NUMBERVALUE(B500,".",","),0)))</f>
        <v/>
      </c>
      <c r="O500">
        <f>IF(M500="","",IF(ISNUMBER(C500),C500,IFERROR(_xlfn.NUMBERVALUE(C500,".",","),0)))</f>
        <v/>
      </c>
    </row>
    <row r="501">
      <c r="K501">
        <f>IF(OR(LEFT(B501,9)="DOANH THU",LEFT(B501,8)="SỐ LƯỢNG"),A501,IF(A501="","",K500))</f>
        <v/>
      </c>
      <c r="L501">
        <f>IF(A501="","",IF(ISNUMBER(--LEFT(A501,FIND(" - ",A501&amp;" - ")-1)),LEFT(A501,FIND(" - ",A501&amp;" - ")-1),TRIM(A501)))</f>
        <v/>
      </c>
      <c r="M501">
        <f>IF(OR(K501="",K501=A501,A501=""),"",K501&amp;"|"&amp;L501)</f>
        <v/>
      </c>
      <c r="N501">
        <f>IF(M501="","",IF(ISNUMBER(B501),B501,IFERROR(_xlfn.NUMBERVALUE(B501,".",","),0)))</f>
        <v/>
      </c>
      <c r="O501">
        <f>IF(M501="","",IF(ISNUMBER(C501),C501,IFERROR(_xlfn.NUMBERVALUE(C501,".",","),0)))</f>
        <v/>
      </c>
    </row>
    <row r="502">
      <c r="K502">
        <f>IF(OR(LEFT(B502,9)="DOANH THU",LEFT(B502,8)="SỐ LƯỢNG"),A502,IF(A502="","",K501))</f>
        <v/>
      </c>
      <c r="L502">
        <f>IF(A502="","",IF(ISNUMBER(--LEFT(A502,FIND(" - ",A502&amp;" - ")-1)),LEFT(A502,FIND(" - ",A502&amp;" - ")-1),TRIM(A502)))</f>
        <v/>
      </c>
      <c r="M502">
        <f>IF(OR(K502="",K502=A502,A502=""),"",K502&amp;"|"&amp;L502)</f>
        <v/>
      </c>
      <c r="N502">
        <f>IF(M502="","",IF(ISNUMBER(B502),B502,IFERROR(_xlfn.NUMBERVALUE(B502,".",","),0)))</f>
        <v/>
      </c>
      <c r="O502">
        <f>IF(M502="","",IF(ISNUMBER(C502),C502,IFERROR(_xlfn.NUMBERVALUE(C502,".",","),0)))</f>
        <v/>
      </c>
    </row>
    <row r="503">
      <c r="K503">
        <f>IF(OR(LEFT(B503,9)="DOANH THU",LEFT(B503,8)="SỐ LƯỢNG"),A503,IF(A503="","",K502))</f>
        <v/>
      </c>
      <c r="L503">
        <f>IF(A503="","",IF(ISNUMBER(--LEFT(A503,FIND(" - ",A503&amp;" - ")-1)),LEFT(A503,FIND(" - ",A503&amp;" - ")-1),TRIM(A503)))</f>
        <v/>
      </c>
      <c r="M503">
        <f>IF(OR(K503="",K503=A503,A503=""),"",K503&amp;"|"&amp;L503)</f>
        <v/>
      </c>
      <c r="N503">
        <f>IF(M503="","",IF(ISNUMBER(B503),B503,IFERROR(_xlfn.NUMBERVALUE(B503,".",","),0)))</f>
        <v/>
      </c>
      <c r="O503">
        <f>IF(M503="","",IF(ISNUMBER(C503),C503,IFERROR(_xlfn.NUMBERVALUE(C503,".",","),0)))</f>
        <v/>
      </c>
    </row>
    <row r="504">
      <c r="K504">
        <f>IF(OR(LEFT(B504,9)="DOANH THU",LEFT(B504,8)="SỐ LƯỢNG"),A504,IF(A504="","",K503))</f>
        <v/>
      </c>
      <c r="L504">
        <f>IF(A504="","",IF(ISNUMBER(--LEFT(A504,FIND(" - ",A504&amp;" - ")-1)),LEFT(A504,FIND(" - ",A504&amp;" - ")-1),TRIM(A504)))</f>
        <v/>
      </c>
      <c r="M504">
        <f>IF(OR(K504="",K504=A504,A504=""),"",K504&amp;"|"&amp;L504)</f>
        <v/>
      </c>
      <c r="N504">
        <f>IF(M504="","",IF(ISNUMBER(B504),B504,IFERROR(_xlfn.NUMBERVALUE(B504,".",","),0)))</f>
        <v/>
      </c>
      <c r="O504">
        <f>IF(M504="","",IF(ISNUMBER(C504),C504,IFERROR(_xlfn.NUMBERVALUE(C504,".",","),0)))</f>
        <v/>
      </c>
    </row>
    <row r="505">
      <c r="K505">
        <f>IF(OR(LEFT(B505,9)="DOANH THU",LEFT(B505,8)="SỐ LƯỢNG"),A505,IF(A505="","",K504))</f>
        <v/>
      </c>
      <c r="L505">
        <f>IF(A505="","",IF(ISNUMBER(--LEFT(A505,FIND(" - ",A505&amp;" - ")-1)),LEFT(A505,FIND(" - ",A505&amp;" - ")-1),TRIM(A505)))</f>
        <v/>
      </c>
      <c r="M505">
        <f>IF(OR(K505="",K505=A505,A505=""),"",K505&amp;"|"&amp;L505)</f>
        <v/>
      </c>
      <c r="N505">
        <f>IF(M505="","",IF(ISNUMBER(B505),B505,IFERROR(_xlfn.NUMBERVALUE(B505,".",","),0)))</f>
        <v/>
      </c>
      <c r="O505">
        <f>IF(M505="","",IF(ISNUMBER(C505),C505,IFERROR(_xlfn.NUMBERVALUE(C505,".",","),0)))</f>
        <v/>
      </c>
    </row>
    <row r="506">
      <c r="K506">
        <f>IF(OR(LEFT(B506,9)="DOANH THU",LEFT(B506,8)="SỐ LƯỢNG"),A506,IF(A506="","",K505))</f>
        <v/>
      </c>
      <c r="L506">
        <f>IF(A506="","",IF(ISNUMBER(--LEFT(A506,FIND(" - ",A506&amp;" - ")-1)),LEFT(A506,FIND(" - ",A506&amp;" - ")-1),TRIM(A506)))</f>
        <v/>
      </c>
      <c r="M506">
        <f>IF(OR(K506="",K506=A506,A506=""),"",K506&amp;"|"&amp;L506)</f>
        <v/>
      </c>
      <c r="N506">
        <f>IF(M506="","",IF(ISNUMBER(B506),B506,IFERROR(_xlfn.NUMBERVALUE(B506,".",","),0)))</f>
        <v/>
      </c>
      <c r="O506">
        <f>IF(M506="","",IF(ISNUMBER(C506),C506,IFERROR(_xlfn.NUMBERVALUE(C506,".",","),0)))</f>
        <v/>
      </c>
    </row>
    <row r="507">
      <c r="K507">
        <f>IF(OR(LEFT(B507,9)="DOANH THU",LEFT(B507,8)="SỐ LƯỢNG"),A507,IF(A507="","",K506))</f>
        <v/>
      </c>
      <c r="L507">
        <f>IF(A507="","",IF(ISNUMBER(--LEFT(A507,FIND(" - ",A507&amp;" - ")-1)),LEFT(A507,FIND(" - ",A507&amp;" - ")-1),TRIM(A507)))</f>
        <v/>
      </c>
      <c r="M507">
        <f>IF(OR(K507="",K507=A507,A507=""),"",K507&amp;"|"&amp;L507)</f>
        <v/>
      </c>
      <c r="N507">
        <f>IF(M507="","",IF(ISNUMBER(B507),B507,IFERROR(_xlfn.NUMBERVALUE(B507,".",","),0)))</f>
        <v/>
      </c>
      <c r="O507">
        <f>IF(M507="","",IF(ISNUMBER(C507),C507,IFERROR(_xlfn.NUMBERVALUE(C507,".",","),0)))</f>
        <v/>
      </c>
    </row>
    <row r="508">
      <c r="K508">
        <f>IF(OR(LEFT(B508,9)="DOANH THU",LEFT(B508,8)="SỐ LƯỢNG"),A508,IF(A508="","",K507))</f>
        <v/>
      </c>
      <c r="L508">
        <f>IF(A508="","",IF(ISNUMBER(--LEFT(A508,FIND(" - ",A508&amp;" - ")-1)),LEFT(A508,FIND(" - ",A508&amp;" - ")-1),TRIM(A508)))</f>
        <v/>
      </c>
      <c r="M508">
        <f>IF(OR(K508="",K508=A508,A508=""),"",K508&amp;"|"&amp;L508)</f>
        <v/>
      </c>
      <c r="N508">
        <f>IF(M508="","",IF(ISNUMBER(B508),B508,IFERROR(_xlfn.NUMBERVALUE(B508,".",","),0)))</f>
        <v/>
      </c>
      <c r="O508">
        <f>IF(M508="","",IF(ISNUMBER(C508),C508,IFERROR(_xlfn.NUMBERVALUE(C508,".",","),0)))</f>
        <v/>
      </c>
    </row>
    <row r="509">
      <c r="K509">
        <f>IF(OR(LEFT(B509,9)="DOANH THU",LEFT(B509,8)="SỐ LƯỢNG"),A509,IF(A509="","",K508))</f>
        <v/>
      </c>
      <c r="L509">
        <f>IF(A509="","",IF(ISNUMBER(--LEFT(A509,FIND(" - ",A509&amp;" - ")-1)),LEFT(A509,FIND(" - ",A509&amp;" - ")-1),TRIM(A509)))</f>
        <v/>
      </c>
      <c r="M509">
        <f>IF(OR(K509="",K509=A509,A509=""),"",K509&amp;"|"&amp;L509)</f>
        <v/>
      </c>
      <c r="N509">
        <f>IF(M509="","",IF(ISNUMBER(B509),B509,IFERROR(_xlfn.NUMBERVALUE(B509,".",","),0)))</f>
        <v/>
      </c>
      <c r="O509">
        <f>IF(M509="","",IF(ISNUMBER(C509),C509,IFERROR(_xlfn.NUMBERVALUE(C509,".",","),0)))</f>
        <v/>
      </c>
    </row>
    <row r="510">
      <c r="K510">
        <f>IF(OR(LEFT(B510,9)="DOANH THU",LEFT(B510,8)="SỐ LƯỢNG"),A510,IF(A510="","",K509))</f>
        <v/>
      </c>
      <c r="L510">
        <f>IF(A510="","",IF(ISNUMBER(--LEFT(A510,FIND(" - ",A510&amp;" - ")-1)),LEFT(A510,FIND(" - ",A510&amp;" - ")-1),TRIM(A510)))</f>
        <v/>
      </c>
      <c r="M510">
        <f>IF(OR(K510="",K510=A510,A510=""),"",K510&amp;"|"&amp;L510)</f>
        <v/>
      </c>
      <c r="N510">
        <f>IF(M510="","",IF(ISNUMBER(B510),B510,IFERROR(_xlfn.NUMBERVALUE(B510,".",","),0)))</f>
        <v/>
      </c>
      <c r="O510">
        <f>IF(M510="","",IF(ISNUMBER(C510),C510,IFERROR(_xlfn.NUMBERVALUE(C510,".",","),0)))</f>
        <v/>
      </c>
    </row>
    <row r="511">
      <c r="K511">
        <f>IF(OR(LEFT(B511,9)="DOANH THU",LEFT(B511,8)="SỐ LƯỢNG"),A511,IF(A511="","",K510))</f>
        <v/>
      </c>
      <c r="L511">
        <f>IF(A511="","",IF(ISNUMBER(--LEFT(A511,FIND(" - ",A511&amp;" - ")-1)),LEFT(A511,FIND(" - ",A511&amp;" - ")-1),TRIM(A511)))</f>
        <v/>
      </c>
      <c r="M511">
        <f>IF(OR(K511="",K511=A511,A511=""),"",K511&amp;"|"&amp;L511)</f>
        <v/>
      </c>
      <c r="N511">
        <f>IF(M511="","",IF(ISNUMBER(B511),B511,IFERROR(_xlfn.NUMBERVALUE(B511,".",","),0)))</f>
        <v/>
      </c>
      <c r="O511">
        <f>IF(M511="","",IF(ISNUMBER(C511),C511,IFERROR(_xlfn.NUMBERVALUE(C511,".",","),0)))</f>
        <v/>
      </c>
    </row>
    <row r="512">
      <c r="K512">
        <f>IF(OR(LEFT(B512,9)="DOANH THU",LEFT(B512,8)="SỐ LƯỢNG"),A512,IF(A512="","",K511))</f>
        <v/>
      </c>
      <c r="L512">
        <f>IF(A512="","",IF(ISNUMBER(--LEFT(A512,FIND(" - ",A512&amp;" - ")-1)),LEFT(A512,FIND(" - ",A512&amp;" - ")-1),TRIM(A512)))</f>
        <v/>
      </c>
      <c r="M512">
        <f>IF(OR(K512="",K512=A512,A512=""),"",K512&amp;"|"&amp;L512)</f>
        <v/>
      </c>
      <c r="N512">
        <f>IF(M512="","",IF(ISNUMBER(B512),B512,IFERROR(_xlfn.NUMBERVALUE(B512,".",","),0)))</f>
        <v/>
      </c>
      <c r="O512">
        <f>IF(M512="","",IF(ISNUMBER(C512),C512,IFERROR(_xlfn.NUMBERVALUE(C512,".",","),0)))</f>
        <v/>
      </c>
    </row>
    <row r="513">
      <c r="K513">
        <f>IF(OR(LEFT(B513,9)="DOANH THU",LEFT(B513,8)="SỐ LƯỢNG"),A513,IF(A513="","",K512))</f>
        <v/>
      </c>
      <c r="L513">
        <f>IF(A513="","",IF(ISNUMBER(--LEFT(A513,FIND(" - ",A513&amp;" - ")-1)),LEFT(A513,FIND(" - ",A513&amp;" - ")-1),TRIM(A513)))</f>
        <v/>
      </c>
      <c r="M513">
        <f>IF(OR(K513="",K513=A513,A513=""),"",K513&amp;"|"&amp;L513)</f>
        <v/>
      </c>
      <c r="N513">
        <f>IF(M513="","",IF(ISNUMBER(B513),B513,IFERROR(_xlfn.NUMBERVALUE(B513,".",","),0)))</f>
        <v/>
      </c>
      <c r="O513">
        <f>IF(M513="","",IF(ISNUMBER(C513),C513,IFERROR(_xlfn.NUMBERVALUE(C513,".",","),0)))</f>
        <v/>
      </c>
    </row>
    <row r="514">
      <c r="K514">
        <f>IF(OR(LEFT(B514,9)="DOANH THU",LEFT(B514,8)="SỐ LƯỢNG"),A514,IF(A514="","",K513))</f>
        <v/>
      </c>
      <c r="L514">
        <f>IF(A514="","",IF(ISNUMBER(--LEFT(A514,FIND(" - ",A514&amp;" - ")-1)),LEFT(A514,FIND(" - ",A514&amp;" - ")-1),TRIM(A514)))</f>
        <v/>
      </c>
      <c r="M514">
        <f>IF(OR(K514="",K514=A514,A514=""),"",K514&amp;"|"&amp;L514)</f>
        <v/>
      </c>
      <c r="N514">
        <f>IF(M514="","",IF(ISNUMBER(B514),B514,IFERROR(_xlfn.NUMBERVALUE(B514,".",","),0)))</f>
        <v/>
      </c>
      <c r="O514">
        <f>IF(M514="","",IF(ISNUMBER(C514),C514,IFERROR(_xlfn.NUMBERVALUE(C514,".",","),0)))</f>
        <v/>
      </c>
    </row>
    <row r="515">
      <c r="K515">
        <f>IF(OR(LEFT(B515,9)="DOANH THU",LEFT(B515,8)="SỐ LƯỢNG"),A515,IF(A515="","",K514))</f>
        <v/>
      </c>
      <c r="L515">
        <f>IF(A515="","",IF(ISNUMBER(--LEFT(A515,FIND(" - ",A515&amp;" - ")-1)),LEFT(A515,FIND(" - ",A515&amp;" - ")-1),TRIM(A515)))</f>
        <v/>
      </c>
      <c r="M515">
        <f>IF(OR(K515="",K515=A515,A515=""),"",K515&amp;"|"&amp;L515)</f>
        <v/>
      </c>
      <c r="N515">
        <f>IF(M515="","",IF(ISNUMBER(B515),B515,IFERROR(_xlfn.NUMBERVALUE(B515,".",","),0)))</f>
        <v/>
      </c>
      <c r="O515">
        <f>IF(M515="","",IF(ISNUMBER(C515),C515,IFERROR(_xlfn.NUMBERVALUE(C515,".",","),0)))</f>
        <v/>
      </c>
    </row>
    <row r="516">
      <c r="K516">
        <f>IF(OR(LEFT(B516,9)="DOANH THU",LEFT(B516,8)="SỐ LƯỢNG"),A516,IF(A516="","",K515))</f>
        <v/>
      </c>
      <c r="L516">
        <f>IF(A516="","",IF(ISNUMBER(--LEFT(A516,FIND(" - ",A516&amp;" - ")-1)),LEFT(A516,FIND(" - ",A516&amp;" - ")-1),TRIM(A516)))</f>
        <v/>
      </c>
      <c r="M516">
        <f>IF(OR(K516="",K516=A516,A516=""),"",K516&amp;"|"&amp;L516)</f>
        <v/>
      </c>
      <c r="N516">
        <f>IF(M516="","",IF(ISNUMBER(B516),B516,IFERROR(_xlfn.NUMBERVALUE(B516,".",","),0)))</f>
        <v/>
      </c>
      <c r="O516">
        <f>IF(M516="","",IF(ISNUMBER(C516),C516,IFERROR(_xlfn.NUMBERVALUE(C516,".",","),0)))</f>
        <v/>
      </c>
    </row>
    <row r="517">
      <c r="K517">
        <f>IF(OR(LEFT(B517,9)="DOANH THU",LEFT(B517,8)="SỐ LƯỢNG"),A517,IF(A517="","",K516))</f>
        <v/>
      </c>
      <c r="L517">
        <f>IF(A517="","",IF(ISNUMBER(--LEFT(A517,FIND(" - ",A517&amp;" - ")-1)),LEFT(A517,FIND(" - ",A517&amp;" - ")-1),TRIM(A517)))</f>
        <v/>
      </c>
      <c r="M517">
        <f>IF(OR(K517="",K517=A517,A517=""),"",K517&amp;"|"&amp;L517)</f>
        <v/>
      </c>
      <c r="N517">
        <f>IF(M517="","",IF(ISNUMBER(B517),B517,IFERROR(_xlfn.NUMBERVALUE(B517,".",","),0)))</f>
        <v/>
      </c>
      <c r="O517">
        <f>IF(M517="","",IF(ISNUMBER(C517),C517,IFERROR(_xlfn.NUMBERVALUE(C517,".",","),0)))</f>
        <v/>
      </c>
    </row>
    <row r="518">
      <c r="K518">
        <f>IF(OR(LEFT(B518,9)="DOANH THU",LEFT(B518,8)="SỐ LƯỢNG"),A518,IF(A518="","",K517))</f>
        <v/>
      </c>
      <c r="L518">
        <f>IF(A518="","",IF(ISNUMBER(--LEFT(A518,FIND(" - ",A518&amp;" - ")-1)),LEFT(A518,FIND(" - ",A518&amp;" - ")-1),TRIM(A518)))</f>
        <v/>
      </c>
      <c r="M518">
        <f>IF(OR(K518="",K518=A518,A518=""),"",K518&amp;"|"&amp;L518)</f>
        <v/>
      </c>
      <c r="N518">
        <f>IF(M518="","",IF(ISNUMBER(B518),B518,IFERROR(_xlfn.NUMBERVALUE(B518,".",","),0)))</f>
        <v/>
      </c>
      <c r="O518">
        <f>IF(M518="","",IF(ISNUMBER(C518),C518,IFERROR(_xlfn.NUMBERVALUE(C518,".",","),0)))</f>
        <v/>
      </c>
    </row>
    <row r="519">
      <c r="K519">
        <f>IF(OR(LEFT(B519,9)="DOANH THU",LEFT(B519,8)="SỐ LƯỢNG"),A519,IF(A519="","",K518))</f>
        <v/>
      </c>
      <c r="L519">
        <f>IF(A519="","",IF(ISNUMBER(--LEFT(A519,FIND(" - ",A519&amp;" - ")-1)),LEFT(A519,FIND(" - ",A519&amp;" - ")-1),TRIM(A519)))</f>
        <v/>
      </c>
      <c r="M519">
        <f>IF(OR(K519="",K519=A519,A519=""),"",K519&amp;"|"&amp;L519)</f>
        <v/>
      </c>
      <c r="N519">
        <f>IF(M519="","",IF(ISNUMBER(B519),B519,IFERROR(_xlfn.NUMBERVALUE(B519,".",","),0)))</f>
        <v/>
      </c>
      <c r="O519">
        <f>IF(M519="","",IF(ISNUMBER(C519),C519,IFERROR(_xlfn.NUMBERVALUE(C519,".",","),0)))</f>
        <v/>
      </c>
    </row>
    <row r="520">
      <c r="K520">
        <f>IF(OR(LEFT(B520,9)="DOANH THU",LEFT(B520,8)="SỐ LƯỢNG"),A520,IF(A520="","",K519))</f>
        <v/>
      </c>
      <c r="L520">
        <f>IF(A520="","",IF(ISNUMBER(--LEFT(A520,FIND(" - ",A520&amp;" - ")-1)),LEFT(A520,FIND(" - ",A520&amp;" - ")-1),TRIM(A520)))</f>
        <v/>
      </c>
      <c r="M520">
        <f>IF(OR(K520="",K520=A520,A520=""),"",K520&amp;"|"&amp;L520)</f>
        <v/>
      </c>
      <c r="N520">
        <f>IF(M520="","",IF(ISNUMBER(B520),B520,IFERROR(_xlfn.NUMBERVALUE(B520,".",","),0)))</f>
        <v/>
      </c>
      <c r="O520">
        <f>IF(M520="","",IF(ISNUMBER(C520),C520,IFERROR(_xlfn.NUMBERVALUE(C520,".",","),0)))</f>
        <v/>
      </c>
    </row>
    <row r="521">
      <c r="K521">
        <f>IF(OR(LEFT(B521,9)="DOANH THU",LEFT(B521,8)="SỐ LƯỢNG"),A521,IF(A521="","",K520))</f>
        <v/>
      </c>
      <c r="L521">
        <f>IF(A521="","",IF(ISNUMBER(--LEFT(A521,FIND(" - ",A521&amp;" - ")-1)),LEFT(A521,FIND(" - ",A521&amp;" - ")-1),TRIM(A521)))</f>
        <v/>
      </c>
      <c r="M521">
        <f>IF(OR(K521="",K521=A521,A521=""),"",K521&amp;"|"&amp;L521)</f>
        <v/>
      </c>
      <c r="N521">
        <f>IF(M521="","",IF(ISNUMBER(B521),B521,IFERROR(_xlfn.NUMBERVALUE(B521,".",","),0)))</f>
        <v/>
      </c>
      <c r="O521">
        <f>IF(M521="","",IF(ISNUMBER(C521),C521,IFERROR(_xlfn.NUMBERVALUE(C521,".",","),0)))</f>
        <v/>
      </c>
    </row>
    <row r="522">
      <c r="K522">
        <f>IF(OR(LEFT(B522,9)="DOANH THU",LEFT(B522,8)="SỐ LƯỢNG"),A522,IF(A522="","",K521))</f>
        <v/>
      </c>
      <c r="L522">
        <f>IF(A522="","",IF(ISNUMBER(--LEFT(A522,FIND(" - ",A522&amp;" - ")-1)),LEFT(A522,FIND(" - ",A522&amp;" - ")-1),TRIM(A522)))</f>
        <v/>
      </c>
      <c r="M522">
        <f>IF(OR(K522="",K522=A522,A522=""),"",K522&amp;"|"&amp;L522)</f>
        <v/>
      </c>
      <c r="N522">
        <f>IF(M522="","",IF(ISNUMBER(B522),B522,IFERROR(_xlfn.NUMBERVALUE(B522,".",","),0)))</f>
        <v/>
      </c>
      <c r="O522">
        <f>IF(M522="","",IF(ISNUMBER(C522),C522,IFERROR(_xlfn.NUMBERVALUE(C522,".",","),0)))</f>
        <v/>
      </c>
    </row>
    <row r="523">
      <c r="K523">
        <f>IF(OR(LEFT(B523,9)="DOANH THU",LEFT(B523,8)="SỐ LƯỢNG"),A523,IF(A523="","",K522))</f>
        <v/>
      </c>
      <c r="L523">
        <f>IF(A523="","",IF(ISNUMBER(--LEFT(A523,FIND(" - ",A523&amp;" - ")-1)),LEFT(A523,FIND(" - ",A523&amp;" - ")-1),TRIM(A523)))</f>
        <v/>
      </c>
      <c r="M523">
        <f>IF(OR(K523="",K523=A523,A523=""),"",K523&amp;"|"&amp;L523)</f>
        <v/>
      </c>
      <c r="N523">
        <f>IF(M523="","",IF(ISNUMBER(B523),B523,IFERROR(_xlfn.NUMBERVALUE(B523,".",","),0)))</f>
        <v/>
      </c>
      <c r="O523">
        <f>IF(M523="","",IF(ISNUMBER(C523),C523,IFERROR(_xlfn.NUMBERVALUE(C523,".",","),0)))</f>
        <v/>
      </c>
    </row>
    <row r="524">
      <c r="K524">
        <f>IF(OR(LEFT(B524,9)="DOANH THU",LEFT(B524,8)="SỐ LƯỢNG"),A524,IF(A524="","",K523))</f>
        <v/>
      </c>
      <c r="L524">
        <f>IF(A524="","",IF(ISNUMBER(--LEFT(A524,FIND(" - ",A524&amp;" - ")-1)),LEFT(A524,FIND(" - ",A524&amp;" - ")-1),TRIM(A524)))</f>
        <v/>
      </c>
      <c r="M524">
        <f>IF(OR(K524="",K524=A524,A524=""),"",K524&amp;"|"&amp;L524)</f>
        <v/>
      </c>
      <c r="N524">
        <f>IF(M524="","",IF(ISNUMBER(B524),B524,IFERROR(_xlfn.NUMBERVALUE(B524,".",","),0)))</f>
        <v/>
      </c>
      <c r="O524">
        <f>IF(M524="","",IF(ISNUMBER(C524),C524,IFERROR(_xlfn.NUMBERVALUE(C524,".",","),0)))</f>
        <v/>
      </c>
    </row>
    <row r="525">
      <c r="K525">
        <f>IF(OR(LEFT(B525,9)="DOANH THU",LEFT(B525,8)="SỐ LƯỢNG"),A525,IF(A525="","",K524))</f>
        <v/>
      </c>
      <c r="L525">
        <f>IF(A525="","",IF(ISNUMBER(--LEFT(A525,FIND(" - ",A525&amp;" - ")-1)),LEFT(A525,FIND(" - ",A525&amp;" - ")-1),TRIM(A525)))</f>
        <v/>
      </c>
      <c r="M525">
        <f>IF(OR(K525="",K525=A525,A525=""),"",K525&amp;"|"&amp;L525)</f>
        <v/>
      </c>
      <c r="N525">
        <f>IF(M525="","",IF(ISNUMBER(B525),B525,IFERROR(_xlfn.NUMBERVALUE(B525,".",","),0)))</f>
        <v/>
      </c>
      <c r="O525">
        <f>IF(M525="","",IF(ISNUMBER(C525),C525,IFERROR(_xlfn.NUMBERVALUE(C525,".",","),0)))</f>
        <v/>
      </c>
    </row>
    <row r="526">
      <c r="K526">
        <f>IF(OR(LEFT(B526,9)="DOANH THU",LEFT(B526,8)="SỐ LƯỢNG"),A526,IF(A526="","",K525))</f>
        <v/>
      </c>
      <c r="L526">
        <f>IF(A526="","",IF(ISNUMBER(--LEFT(A526,FIND(" - ",A526&amp;" - ")-1)),LEFT(A526,FIND(" - ",A526&amp;" - ")-1),TRIM(A526)))</f>
        <v/>
      </c>
      <c r="M526">
        <f>IF(OR(K526="",K526=A526,A526=""),"",K526&amp;"|"&amp;L526)</f>
        <v/>
      </c>
      <c r="N526">
        <f>IF(M526="","",IF(ISNUMBER(B526),B526,IFERROR(_xlfn.NUMBERVALUE(B526,".",","),0)))</f>
        <v/>
      </c>
      <c r="O526">
        <f>IF(M526="","",IF(ISNUMBER(C526),C526,IFERROR(_xlfn.NUMBERVALUE(C526,".",","),0)))</f>
        <v/>
      </c>
    </row>
    <row r="527">
      <c r="K527">
        <f>IF(OR(LEFT(B527,9)="DOANH THU",LEFT(B527,8)="SỐ LƯỢNG"),A527,IF(A527="","",K526))</f>
        <v/>
      </c>
      <c r="L527">
        <f>IF(A527="","",IF(ISNUMBER(--LEFT(A527,FIND(" - ",A527&amp;" - ")-1)),LEFT(A527,FIND(" - ",A527&amp;" - ")-1),TRIM(A527)))</f>
        <v/>
      </c>
      <c r="M527">
        <f>IF(OR(K527="",K527=A527,A527=""),"",K527&amp;"|"&amp;L527)</f>
        <v/>
      </c>
      <c r="N527">
        <f>IF(M527="","",IF(ISNUMBER(B527),B527,IFERROR(_xlfn.NUMBERVALUE(B527,".",","),0)))</f>
        <v/>
      </c>
      <c r="O527">
        <f>IF(M527="","",IF(ISNUMBER(C527),C527,IFERROR(_xlfn.NUMBERVALUE(C527,".",","),0)))</f>
        <v/>
      </c>
    </row>
    <row r="528">
      <c r="K528">
        <f>IF(OR(LEFT(B528,9)="DOANH THU",LEFT(B528,8)="SỐ LƯỢNG"),A528,IF(A528="","",K527))</f>
        <v/>
      </c>
      <c r="L528">
        <f>IF(A528="","",IF(ISNUMBER(--LEFT(A528,FIND(" - ",A528&amp;" - ")-1)),LEFT(A528,FIND(" - ",A528&amp;" - ")-1),TRIM(A528)))</f>
        <v/>
      </c>
      <c r="M528">
        <f>IF(OR(K528="",K528=A528,A528=""),"",K528&amp;"|"&amp;L528)</f>
        <v/>
      </c>
      <c r="N528">
        <f>IF(M528="","",IF(ISNUMBER(B528),B528,IFERROR(_xlfn.NUMBERVALUE(B528,".",","),0)))</f>
        <v/>
      </c>
      <c r="O528">
        <f>IF(M528="","",IF(ISNUMBER(C528),C528,IFERROR(_xlfn.NUMBERVALUE(C528,".",","),0)))</f>
        <v/>
      </c>
    </row>
    <row r="529">
      <c r="K529">
        <f>IF(OR(LEFT(B529,9)="DOANH THU",LEFT(B529,8)="SỐ LƯỢNG"),A529,IF(A529="","",K528))</f>
        <v/>
      </c>
      <c r="L529">
        <f>IF(A529="","",IF(ISNUMBER(--LEFT(A529,FIND(" - ",A529&amp;" - ")-1)),LEFT(A529,FIND(" - ",A529&amp;" - ")-1),TRIM(A529)))</f>
        <v/>
      </c>
      <c r="M529">
        <f>IF(OR(K529="",K529=A529,A529=""),"",K529&amp;"|"&amp;L529)</f>
        <v/>
      </c>
      <c r="N529">
        <f>IF(M529="","",IF(ISNUMBER(B529),B529,IFERROR(_xlfn.NUMBERVALUE(B529,".",","),0)))</f>
        <v/>
      </c>
      <c r="O529">
        <f>IF(M529="","",IF(ISNUMBER(C529),C529,IFERROR(_xlfn.NUMBERVALUE(C529,".",","),0)))</f>
        <v/>
      </c>
    </row>
    <row r="530">
      <c r="K530">
        <f>IF(OR(LEFT(B530,9)="DOANH THU",LEFT(B530,8)="SỐ LƯỢNG"),A530,IF(A530="","",K529))</f>
        <v/>
      </c>
      <c r="L530">
        <f>IF(A530="","",IF(ISNUMBER(--LEFT(A530,FIND(" - ",A530&amp;" - ")-1)),LEFT(A530,FIND(" - ",A530&amp;" - ")-1),TRIM(A530)))</f>
        <v/>
      </c>
      <c r="M530">
        <f>IF(OR(K530="",K530=A530,A530=""),"",K530&amp;"|"&amp;L530)</f>
        <v/>
      </c>
      <c r="N530">
        <f>IF(M530="","",IF(ISNUMBER(B530),B530,IFERROR(_xlfn.NUMBERVALUE(B530,".",","),0)))</f>
        <v/>
      </c>
      <c r="O530">
        <f>IF(M530="","",IF(ISNUMBER(C530),C530,IFERROR(_xlfn.NUMBERVALUE(C530,".",","),0)))</f>
        <v/>
      </c>
    </row>
    <row r="531">
      <c r="K531">
        <f>IF(OR(LEFT(B531,9)="DOANH THU",LEFT(B531,8)="SỐ LƯỢNG"),A531,IF(A531="","",K530))</f>
        <v/>
      </c>
      <c r="L531">
        <f>IF(A531="","",IF(ISNUMBER(--LEFT(A531,FIND(" - ",A531&amp;" - ")-1)),LEFT(A531,FIND(" - ",A531&amp;" - ")-1),TRIM(A531)))</f>
        <v/>
      </c>
      <c r="M531">
        <f>IF(OR(K531="",K531=A531,A531=""),"",K531&amp;"|"&amp;L531)</f>
        <v/>
      </c>
      <c r="N531">
        <f>IF(M531="","",IF(ISNUMBER(B531),B531,IFERROR(_xlfn.NUMBERVALUE(B531,".",","),0)))</f>
        <v/>
      </c>
      <c r="O531">
        <f>IF(M531="","",IF(ISNUMBER(C531),C531,IFERROR(_xlfn.NUMBERVALUE(C531,".",","),0)))</f>
        <v/>
      </c>
    </row>
    <row r="532">
      <c r="K532">
        <f>IF(OR(LEFT(B532,9)="DOANH THU",LEFT(B532,8)="SỐ LƯỢNG"),A532,IF(A532="","",K531))</f>
        <v/>
      </c>
      <c r="L532">
        <f>IF(A532="","",IF(ISNUMBER(--LEFT(A532,FIND(" - ",A532&amp;" - ")-1)),LEFT(A532,FIND(" - ",A532&amp;" - ")-1),TRIM(A532)))</f>
        <v/>
      </c>
      <c r="M532">
        <f>IF(OR(K532="",K532=A532,A532=""),"",K532&amp;"|"&amp;L532)</f>
        <v/>
      </c>
      <c r="N532">
        <f>IF(M532="","",IF(ISNUMBER(B532),B532,IFERROR(_xlfn.NUMBERVALUE(B532,".",","),0)))</f>
        <v/>
      </c>
      <c r="O532">
        <f>IF(M532="","",IF(ISNUMBER(C532),C532,IFERROR(_xlfn.NUMBERVALUE(C532,".",","),0)))</f>
        <v/>
      </c>
    </row>
    <row r="533">
      <c r="K533">
        <f>IF(OR(LEFT(B533,9)="DOANH THU",LEFT(B533,8)="SỐ LƯỢNG"),A533,IF(A533="","",K532))</f>
        <v/>
      </c>
      <c r="L533">
        <f>IF(A533="","",IF(ISNUMBER(--LEFT(A533,FIND(" - ",A533&amp;" - ")-1)),LEFT(A533,FIND(" - ",A533&amp;" - ")-1),TRIM(A533)))</f>
        <v/>
      </c>
      <c r="M533">
        <f>IF(OR(K533="",K533=A533,A533=""),"",K533&amp;"|"&amp;L533)</f>
        <v/>
      </c>
      <c r="N533">
        <f>IF(M533="","",IF(ISNUMBER(B533),B533,IFERROR(_xlfn.NUMBERVALUE(B533,".",","),0)))</f>
        <v/>
      </c>
      <c r="O533">
        <f>IF(M533="","",IF(ISNUMBER(C533),C533,IFERROR(_xlfn.NUMBERVALUE(C533,".",","),0)))</f>
        <v/>
      </c>
    </row>
    <row r="534">
      <c r="K534">
        <f>IF(OR(LEFT(B534,9)="DOANH THU",LEFT(B534,8)="SỐ LƯỢNG"),A534,IF(A534="","",K533))</f>
        <v/>
      </c>
      <c r="L534">
        <f>IF(A534="","",IF(ISNUMBER(--LEFT(A534,FIND(" - ",A534&amp;" - ")-1)),LEFT(A534,FIND(" - ",A534&amp;" - ")-1),TRIM(A534)))</f>
        <v/>
      </c>
      <c r="M534">
        <f>IF(OR(K534="",K534=A534,A534=""),"",K534&amp;"|"&amp;L534)</f>
        <v/>
      </c>
      <c r="N534">
        <f>IF(M534="","",IF(ISNUMBER(B534),B534,IFERROR(_xlfn.NUMBERVALUE(B534,".",","),0)))</f>
        <v/>
      </c>
      <c r="O534">
        <f>IF(M534="","",IF(ISNUMBER(C534),C534,IFERROR(_xlfn.NUMBERVALUE(C534,".",","),0)))</f>
        <v/>
      </c>
    </row>
    <row r="535">
      <c r="K535">
        <f>IF(OR(LEFT(B535,9)="DOANH THU",LEFT(B535,8)="SỐ LƯỢNG"),A535,IF(A535="","",K534))</f>
        <v/>
      </c>
      <c r="L535">
        <f>IF(A535="","",IF(ISNUMBER(--LEFT(A535,FIND(" - ",A535&amp;" - ")-1)),LEFT(A535,FIND(" - ",A535&amp;" - ")-1),TRIM(A535)))</f>
        <v/>
      </c>
      <c r="M535">
        <f>IF(OR(K535="",K535=A535,A535=""),"",K535&amp;"|"&amp;L535)</f>
        <v/>
      </c>
      <c r="N535">
        <f>IF(M535="","",IF(ISNUMBER(B535),B535,IFERROR(_xlfn.NUMBERVALUE(B535,".",","),0)))</f>
        <v/>
      </c>
      <c r="O535">
        <f>IF(M535="","",IF(ISNUMBER(C535),C535,IFERROR(_xlfn.NUMBERVALUE(C535,".",","),0)))</f>
        <v/>
      </c>
    </row>
    <row r="536">
      <c r="K536">
        <f>IF(OR(LEFT(B536,9)="DOANH THU",LEFT(B536,8)="SỐ LƯỢNG"),A536,IF(A536="","",K535))</f>
        <v/>
      </c>
      <c r="L536">
        <f>IF(A536="","",IF(ISNUMBER(--LEFT(A536,FIND(" - ",A536&amp;" - ")-1)),LEFT(A536,FIND(" - ",A536&amp;" - ")-1),TRIM(A536)))</f>
        <v/>
      </c>
      <c r="M536">
        <f>IF(OR(K536="",K536=A536,A536=""),"",K536&amp;"|"&amp;L536)</f>
        <v/>
      </c>
      <c r="N536">
        <f>IF(M536="","",IF(ISNUMBER(B536),B536,IFERROR(_xlfn.NUMBERVALUE(B536,".",","),0)))</f>
        <v/>
      </c>
      <c r="O536">
        <f>IF(M536="","",IF(ISNUMBER(C536),C536,IFERROR(_xlfn.NUMBERVALUE(C536,".",","),0)))</f>
        <v/>
      </c>
    </row>
    <row r="537">
      <c r="K537">
        <f>IF(OR(LEFT(B537,9)="DOANH THU",LEFT(B537,8)="SỐ LƯỢNG"),A537,IF(A537="","",K536))</f>
        <v/>
      </c>
      <c r="L537">
        <f>IF(A537="","",IF(ISNUMBER(--LEFT(A537,FIND(" - ",A537&amp;" - ")-1)),LEFT(A537,FIND(" - ",A537&amp;" - ")-1),TRIM(A537)))</f>
        <v/>
      </c>
      <c r="M537">
        <f>IF(OR(K537="",K537=A537,A537=""),"",K537&amp;"|"&amp;L537)</f>
        <v/>
      </c>
      <c r="N537">
        <f>IF(M537="","",IF(ISNUMBER(B537),B537,IFERROR(_xlfn.NUMBERVALUE(B537,".",","),0)))</f>
        <v/>
      </c>
      <c r="O537">
        <f>IF(M537="","",IF(ISNUMBER(C537),C537,IFERROR(_xlfn.NUMBERVALUE(C537,".",","),0)))</f>
        <v/>
      </c>
    </row>
    <row r="538">
      <c r="K538">
        <f>IF(OR(LEFT(B538,9)="DOANH THU",LEFT(B538,8)="SỐ LƯỢNG"),A538,IF(A538="","",K537))</f>
        <v/>
      </c>
      <c r="L538">
        <f>IF(A538="","",IF(ISNUMBER(--LEFT(A538,FIND(" - ",A538&amp;" - ")-1)),LEFT(A538,FIND(" - ",A538&amp;" - ")-1),TRIM(A538)))</f>
        <v/>
      </c>
      <c r="M538">
        <f>IF(OR(K538="",K538=A538,A538=""),"",K538&amp;"|"&amp;L538)</f>
        <v/>
      </c>
      <c r="N538">
        <f>IF(M538="","",IF(ISNUMBER(B538),B538,IFERROR(_xlfn.NUMBERVALUE(B538,".",","),0)))</f>
        <v/>
      </c>
      <c r="O538">
        <f>IF(M538="","",IF(ISNUMBER(C538),C538,IFERROR(_xlfn.NUMBERVALUE(C538,".",","),0)))</f>
        <v/>
      </c>
    </row>
    <row r="539">
      <c r="K539">
        <f>IF(OR(LEFT(B539,9)="DOANH THU",LEFT(B539,8)="SỐ LƯỢNG"),A539,IF(A539="","",K538))</f>
        <v/>
      </c>
      <c r="L539">
        <f>IF(A539="","",IF(ISNUMBER(--LEFT(A539,FIND(" - ",A539&amp;" - ")-1)),LEFT(A539,FIND(" - ",A539&amp;" - ")-1),TRIM(A539)))</f>
        <v/>
      </c>
      <c r="M539">
        <f>IF(OR(K539="",K539=A539,A539=""),"",K539&amp;"|"&amp;L539)</f>
        <v/>
      </c>
      <c r="N539">
        <f>IF(M539="","",IF(ISNUMBER(B539),B539,IFERROR(_xlfn.NUMBERVALUE(B539,".",","),0)))</f>
        <v/>
      </c>
      <c r="O539">
        <f>IF(M539="","",IF(ISNUMBER(C539),C539,IFERROR(_xlfn.NUMBERVALUE(C539,".",","),0)))</f>
        <v/>
      </c>
    </row>
    <row r="540">
      <c r="K540">
        <f>IF(OR(LEFT(B540,9)="DOANH THU",LEFT(B540,8)="SỐ LƯỢNG"),A540,IF(A540="","",K539))</f>
        <v/>
      </c>
      <c r="L540">
        <f>IF(A540="","",IF(ISNUMBER(--LEFT(A540,FIND(" - ",A540&amp;" - ")-1)),LEFT(A540,FIND(" - ",A540&amp;" - ")-1),TRIM(A540)))</f>
        <v/>
      </c>
      <c r="M540">
        <f>IF(OR(K540="",K540=A540,A540=""),"",K540&amp;"|"&amp;L540)</f>
        <v/>
      </c>
      <c r="N540">
        <f>IF(M540="","",IF(ISNUMBER(B540),B540,IFERROR(_xlfn.NUMBERVALUE(B540,".",","),0)))</f>
        <v/>
      </c>
      <c r="O540">
        <f>IF(M540="","",IF(ISNUMBER(C540),C540,IFERROR(_xlfn.NUMBERVALUE(C540,".",","),0)))</f>
        <v/>
      </c>
    </row>
    <row r="541">
      <c r="K541">
        <f>IF(OR(LEFT(B541,9)="DOANH THU",LEFT(B541,8)="SỐ LƯỢNG"),A541,IF(A541="","",K540))</f>
        <v/>
      </c>
      <c r="L541">
        <f>IF(A541="","",IF(ISNUMBER(--LEFT(A541,FIND(" - ",A541&amp;" - ")-1)),LEFT(A541,FIND(" - ",A541&amp;" - ")-1),TRIM(A541)))</f>
        <v/>
      </c>
      <c r="M541">
        <f>IF(OR(K541="",K541=A541,A541=""),"",K541&amp;"|"&amp;L541)</f>
        <v/>
      </c>
      <c r="N541">
        <f>IF(M541="","",IF(ISNUMBER(B541),B541,IFERROR(_xlfn.NUMBERVALUE(B541,".",","),0)))</f>
        <v/>
      </c>
      <c r="O541">
        <f>IF(M541="","",IF(ISNUMBER(C541),C541,IFERROR(_xlfn.NUMBERVALUE(C541,".",","),0)))</f>
        <v/>
      </c>
    </row>
    <row r="542">
      <c r="K542">
        <f>IF(OR(LEFT(B542,9)="DOANH THU",LEFT(B542,8)="SỐ LƯỢNG"),A542,IF(A542="","",K541))</f>
        <v/>
      </c>
      <c r="L542">
        <f>IF(A542="","",IF(ISNUMBER(--LEFT(A542,FIND(" - ",A542&amp;" - ")-1)),LEFT(A542,FIND(" - ",A542&amp;" - ")-1),TRIM(A542)))</f>
        <v/>
      </c>
      <c r="M542">
        <f>IF(OR(K542="",K542=A542,A542=""),"",K542&amp;"|"&amp;L542)</f>
        <v/>
      </c>
      <c r="N542">
        <f>IF(M542="","",IF(ISNUMBER(B542),B542,IFERROR(_xlfn.NUMBERVALUE(B542,".",","),0)))</f>
        <v/>
      </c>
      <c r="O542">
        <f>IF(M542="","",IF(ISNUMBER(C542),C542,IFERROR(_xlfn.NUMBERVALUE(C542,".",","),0)))</f>
        <v/>
      </c>
    </row>
    <row r="543">
      <c r="K543">
        <f>IF(OR(LEFT(B543,9)="DOANH THU",LEFT(B543,8)="SỐ LƯỢNG"),A543,IF(A543="","",K542))</f>
        <v/>
      </c>
      <c r="L543">
        <f>IF(A543="","",IF(ISNUMBER(--LEFT(A543,FIND(" - ",A543&amp;" - ")-1)),LEFT(A543,FIND(" - ",A543&amp;" - ")-1),TRIM(A543)))</f>
        <v/>
      </c>
      <c r="M543">
        <f>IF(OR(K543="",K543=A543,A543=""),"",K543&amp;"|"&amp;L543)</f>
        <v/>
      </c>
      <c r="N543">
        <f>IF(M543="","",IF(ISNUMBER(B543),B543,IFERROR(_xlfn.NUMBERVALUE(B543,".",","),0)))</f>
        <v/>
      </c>
      <c r="O543">
        <f>IF(M543="","",IF(ISNUMBER(C543),C543,IFERROR(_xlfn.NUMBERVALUE(C543,".",","),0)))</f>
        <v/>
      </c>
    </row>
    <row r="544">
      <c r="K544">
        <f>IF(OR(LEFT(B544,9)="DOANH THU",LEFT(B544,8)="SỐ LƯỢNG"),A544,IF(A544="","",K543))</f>
        <v/>
      </c>
      <c r="L544">
        <f>IF(A544="","",IF(ISNUMBER(--LEFT(A544,FIND(" - ",A544&amp;" - ")-1)),LEFT(A544,FIND(" - ",A544&amp;" - ")-1),TRIM(A544)))</f>
        <v/>
      </c>
      <c r="M544">
        <f>IF(OR(K544="",K544=A544,A544=""),"",K544&amp;"|"&amp;L544)</f>
        <v/>
      </c>
      <c r="N544">
        <f>IF(M544="","",IF(ISNUMBER(B544),B544,IFERROR(_xlfn.NUMBERVALUE(B544,".",","),0)))</f>
        <v/>
      </c>
      <c r="O544">
        <f>IF(M544="","",IF(ISNUMBER(C544),C544,IFERROR(_xlfn.NUMBERVALUE(C544,".",","),0)))</f>
        <v/>
      </c>
    </row>
    <row r="545">
      <c r="K545">
        <f>IF(OR(LEFT(B545,9)="DOANH THU",LEFT(B545,8)="SỐ LƯỢNG"),A545,IF(A545="","",K544))</f>
        <v/>
      </c>
      <c r="L545">
        <f>IF(A545="","",IF(ISNUMBER(--LEFT(A545,FIND(" - ",A545&amp;" - ")-1)),LEFT(A545,FIND(" - ",A545&amp;" - ")-1),TRIM(A545)))</f>
        <v/>
      </c>
      <c r="M545">
        <f>IF(OR(K545="",K545=A545,A545=""),"",K545&amp;"|"&amp;L545)</f>
        <v/>
      </c>
      <c r="N545">
        <f>IF(M545="","",IF(ISNUMBER(B545),B545,IFERROR(_xlfn.NUMBERVALUE(B545,".",","),0)))</f>
        <v/>
      </c>
      <c r="O545">
        <f>IF(M545="","",IF(ISNUMBER(C545),C545,IFERROR(_xlfn.NUMBERVALUE(C545,".",","),0)))</f>
        <v/>
      </c>
    </row>
    <row r="546">
      <c r="K546">
        <f>IF(OR(LEFT(B546,9)="DOANH THU",LEFT(B546,8)="SỐ LƯỢNG"),A546,IF(A546="","",K545))</f>
        <v/>
      </c>
      <c r="L546">
        <f>IF(A546="","",IF(ISNUMBER(--LEFT(A546,FIND(" - ",A546&amp;" - ")-1)),LEFT(A546,FIND(" - ",A546&amp;" - ")-1),TRIM(A546)))</f>
        <v/>
      </c>
      <c r="M546">
        <f>IF(OR(K546="",K546=A546,A546=""),"",K546&amp;"|"&amp;L546)</f>
        <v/>
      </c>
      <c r="N546">
        <f>IF(M546="","",IF(ISNUMBER(B546),B546,IFERROR(_xlfn.NUMBERVALUE(B546,".",","),0)))</f>
        <v/>
      </c>
      <c r="O546">
        <f>IF(M546="","",IF(ISNUMBER(C546),C546,IFERROR(_xlfn.NUMBERVALUE(C546,".",","),0)))</f>
        <v/>
      </c>
    </row>
    <row r="547">
      <c r="K547">
        <f>IF(OR(LEFT(B547,9)="DOANH THU",LEFT(B547,8)="SỐ LƯỢNG"),A547,IF(A547="","",K546))</f>
        <v/>
      </c>
      <c r="L547">
        <f>IF(A547="","",IF(ISNUMBER(--LEFT(A547,FIND(" - ",A547&amp;" - ")-1)),LEFT(A547,FIND(" - ",A547&amp;" - ")-1),TRIM(A547)))</f>
        <v/>
      </c>
      <c r="M547">
        <f>IF(OR(K547="",K547=A547,A547=""),"",K547&amp;"|"&amp;L547)</f>
        <v/>
      </c>
      <c r="N547">
        <f>IF(M547="","",IF(ISNUMBER(B547),B547,IFERROR(_xlfn.NUMBERVALUE(B547,".",","),0)))</f>
        <v/>
      </c>
      <c r="O547">
        <f>IF(M547="","",IF(ISNUMBER(C547),C547,IFERROR(_xlfn.NUMBERVALUE(C547,".",","),0)))</f>
        <v/>
      </c>
    </row>
    <row r="548">
      <c r="K548">
        <f>IF(OR(LEFT(B548,9)="DOANH THU",LEFT(B548,8)="SỐ LƯỢNG"),A548,IF(A548="","",K547))</f>
        <v/>
      </c>
      <c r="L548">
        <f>IF(A548="","",IF(ISNUMBER(--LEFT(A548,FIND(" - ",A548&amp;" - ")-1)),LEFT(A548,FIND(" - ",A548&amp;" - ")-1),TRIM(A548)))</f>
        <v/>
      </c>
      <c r="M548">
        <f>IF(OR(K548="",K548=A548,A548=""),"",K548&amp;"|"&amp;L548)</f>
        <v/>
      </c>
      <c r="N548">
        <f>IF(M548="","",IF(ISNUMBER(B548),B548,IFERROR(_xlfn.NUMBERVALUE(B548,".",","),0)))</f>
        <v/>
      </c>
      <c r="O548">
        <f>IF(M548="","",IF(ISNUMBER(C548),C548,IFERROR(_xlfn.NUMBERVALUE(C548,".",","),0)))</f>
        <v/>
      </c>
    </row>
    <row r="549">
      <c r="K549">
        <f>IF(OR(LEFT(B549,9)="DOANH THU",LEFT(B549,8)="SỐ LƯỢNG"),A549,IF(A549="","",K548))</f>
        <v/>
      </c>
      <c r="L549">
        <f>IF(A549="","",IF(ISNUMBER(--LEFT(A549,FIND(" - ",A549&amp;" - ")-1)),LEFT(A549,FIND(" - ",A549&amp;" - ")-1),TRIM(A549)))</f>
        <v/>
      </c>
      <c r="M549">
        <f>IF(OR(K549="",K549=A549,A549=""),"",K549&amp;"|"&amp;L549)</f>
        <v/>
      </c>
      <c r="N549">
        <f>IF(M549="","",IF(ISNUMBER(B549),B549,IFERROR(_xlfn.NUMBERVALUE(B549,".",","),0)))</f>
        <v/>
      </c>
      <c r="O549">
        <f>IF(M549="","",IF(ISNUMBER(C549),C549,IFERROR(_xlfn.NUMBERVALUE(C549,".",","),0)))</f>
        <v/>
      </c>
    </row>
    <row r="550">
      <c r="K550">
        <f>IF(OR(LEFT(B550,9)="DOANH THU",LEFT(B550,8)="SỐ LƯỢNG"),A550,IF(A550="","",K549))</f>
        <v/>
      </c>
      <c r="L550">
        <f>IF(A550="","",IF(ISNUMBER(--LEFT(A550,FIND(" - ",A550&amp;" - ")-1)),LEFT(A550,FIND(" - ",A550&amp;" - ")-1),TRIM(A550)))</f>
        <v/>
      </c>
      <c r="M550">
        <f>IF(OR(K550="",K550=A550,A550=""),"",K550&amp;"|"&amp;L550)</f>
        <v/>
      </c>
      <c r="N550">
        <f>IF(M550="","",IF(ISNUMBER(B550),B550,IFERROR(_xlfn.NUMBERVALUE(B550,".",","),0)))</f>
        <v/>
      </c>
      <c r="O550">
        <f>IF(M550="","",IF(ISNUMBER(C550),C550,IFERROR(_xlfn.NUMBERVALUE(C550,".",","),0)))</f>
        <v/>
      </c>
    </row>
    <row r="551">
      <c r="K551">
        <f>IF(OR(LEFT(B551,9)="DOANH THU",LEFT(B551,8)="SỐ LƯỢNG"),A551,IF(A551="","",K550))</f>
        <v/>
      </c>
      <c r="L551">
        <f>IF(A551="","",IF(ISNUMBER(--LEFT(A551,FIND(" - ",A551&amp;" - ")-1)),LEFT(A551,FIND(" - ",A551&amp;" - ")-1),TRIM(A551)))</f>
        <v/>
      </c>
      <c r="M551">
        <f>IF(OR(K551="",K551=A551,A551=""),"",K551&amp;"|"&amp;L551)</f>
        <v/>
      </c>
      <c r="N551">
        <f>IF(M551="","",IF(ISNUMBER(B551),B551,IFERROR(_xlfn.NUMBERVALUE(B551,".",","),0)))</f>
        <v/>
      </c>
      <c r="O551">
        <f>IF(M551="","",IF(ISNUMBER(C551),C551,IFERROR(_xlfn.NUMBERVALUE(C551,".",","),0)))</f>
        <v/>
      </c>
    </row>
    <row r="552">
      <c r="K552">
        <f>IF(OR(LEFT(B552,9)="DOANH THU",LEFT(B552,8)="SỐ LƯỢNG"),A552,IF(A552="","",K551))</f>
        <v/>
      </c>
      <c r="L552">
        <f>IF(A552="","",IF(ISNUMBER(--LEFT(A552,FIND(" - ",A552&amp;" - ")-1)),LEFT(A552,FIND(" - ",A552&amp;" - ")-1),TRIM(A552)))</f>
        <v/>
      </c>
      <c r="M552">
        <f>IF(OR(K552="",K552=A552,A552=""),"",K552&amp;"|"&amp;L552)</f>
        <v/>
      </c>
      <c r="N552">
        <f>IF(M552="","",IF(ISNUMBER(B552),B552,IFERROR(_xlfn.NUMBERVALUE(B552,".",","),0)))</f>
        <v/>
      </c>
      <c r="O552">
        <f>IF(M552="","",IF(ISNUMBER(C552),C552,IFERROR(_xlfn.NUMBERVALUE(C552,".",","),0)))</f>
        <v/>
      </c>
    </row>
    <row r="553">
      <c r="K553">
        <f>IF(OR(LEFT(B553,9)="DOANH THU",LEFT(B553,8)="SỐ LƯỢNG"),A553,IF(A553="","",K552))</f>
        <v/>
      </c>
      <c r="L553">
        <f>IF(A553="","",IF(ISNUMBER(--LEFT(A553,FIND(" - ",A553&amp;" - ")-1)),LEFT(A553,FIND(" - ",A553&amp;" - ")-1),TRIM(A553)))</f>
        <v/>
      </c>
      <c r="M553">
        <f>IF(OR(K553="",K553=A553,A553=""),"",K553&amp;"|"&amp;L553)</f>
        <v/>
      </c>
      <c r="N553">
        <f>IF(M553="","",IF(ISNUMBER(B553),B553,IFERROR(_xlfn.NUMBERVALUE(B553,".",","),0)))</f>
        <v/>
      </c>
      <c r="O553">
        <f>IF(M553="","",IF(ISNUMBER(C553),C553,IFERROR(_xlfn.NUMBERVALUE(C553,".",","),0)))</f>
        <v/>
      </c>
    </row>
    <row r="554">
      <c r="K554">
        <f>IF(OR(LEFT(B554,9)="DOANH THU",LEFT(B554,8)="SỐ LƯỢNG"),A554,IF(A554="","",K553))</f>
        <v/>
      </c>
      <c r="L554">
        <f>IF(A554="","",IF(ISNUMBER(--LEFT(A554,FIND(" - ",A554&amp;" - ")-1)),LEFT(A554,FIND(" - ",A554&amp;" - ")-1),TRIM(A554)))</f>
        <v/>
      </c>
      <c r="M554">
        <f>IF(OR(K554="",K554=A554,A554=""),"",K554&amp;"|"&amp;L554)</f>
        <v/>
      </c>
      <c r="N554">
        <f>IF(M554="","",IF(ISNUMBER(B554),B554,IFERROR(_xlfn.NUMBERVALUE(B554,".",","),0)))</f>
        <v/>
      </c>
      <c r="O554">
        <f>IF(M554="","",IF(ISNUMBER(C554),C554,IFERROR(_xlfn.NUMBERVALUE(C554,".",","),0)))</f>
        <v/>
      </c>
    </row>
    <row r="555">
      <c r="K555">
        <f>IF(OR(LEFT(B555,9)="DOANH THU",LEFT(B555,8)="SỐ LƯỢNG"),A555,IF(A555="","",K554))</f>
        <v/>
      </c>
      <c r="L555">
        <f>IF(A555="","",IF(ISNUMBER(--LEFT(A555,FIND(" - ",A555&amp;" - ")-1)),LEFT(A555,FIND(" - ",A555&amp;" - ")-1),TRIM(A555)))</f>
        <v/>
      </c>
      <c r="M555">
        <f>IF(OR(K555="",K555=A555,A555=""),"",K555&amp;"|"&amp;L555)</f>
        <v/>
      </c>
      <c r="N555">
        <f>IF(M555="","",IF(ISNUMBER(B555),B555,IFERROR(_xlfn.NUMBERVALUE(B555,".",","),0)))</f>
        <v/>
      </c>
      <c r="O555">
        <f>IF(M555="","",IF(ISNUMBER(C555),C555,IFERROR(_xlfn.NUMBERVALUE(C555,".",","),0)))</f>
        <v/>
      </c>
    </row>
    <row r="556">
      <c r="K556">
        <f>IF(OR(LEFT(B556,9)="DOANH THU",LEFT(B556,8)="SỐ LƯỢNG"),A556,IF(A556="","",K555))</f>
        <v/>
      </c>
      <c r="L556">
        <f>IF(A556="","",IF(ISNUMBER(--LEFT(A556,FIND(" - ",A556&amp;" - ")-1)),LEFT(A556,FIND(" - ",A556&amp;" - ")-1),TRIM(A556)))</f>
        <v/>
      </c>
      <c r="M556">
        <f>IF(OR(K556="",K556=A556,A556=""),"",K556&amp;"|"&amp;L556)</f>
        <v/>
      </c>
      <c r="N556">
        <f>IF(M556="","",IF(ISNUMBER(B556),B556,IFERROR(_xlfn.NUMBERVALUE(B556,".",","),0)))</f>
        <v/>
      </c>
      <c r="O556">
        <f>IF(M556="","",IF(ISNUMBER(C556),C556,IFERROR(_xlfn.NUMBERVALUE(C556,".",","),0)))</f>
        <v/>
      </c>
    </row>
    <row r="557">
      <c r="K557">
        <f>IF(OR(LEFT(B557,9)="DOANH THU",LEFT(B557,8)="SỐ LƯỢNG"),A557,IF(A557="","",K556))</f>
        <v/>
      </c>
      <c r="L557">
        <f>IF(A557="","",IF(ISNUMBER(--LEFT(A557,FIND(" - ",A557&amp;" - ")-1)),LEFT(A557,FIND(" - ",A557&amp;" - ")-1),TRIM(A557)))</f>
        <v/>
      </c>
      <c r="M557">
        <f>IF(OR(K557="",K557=A557,A557=""),"",K557&amp;"|"&amp;L557)</f>
        <v/>
      </c>
      <c r="N557">
        <f>IF(M557="","",IF(ISNUMBER(B557),B557,IFERROR(_xlfn.NUMBERVALUE(B557,".",","),0)))</f>
        <v/>
      </c>
      <c r="O557">
        <f>IF(M557="","",IF(ISNUMBER(C557),C557,IFERROR(_xlfn.NUMBERVALUE(C557,".",","),0)))</f>
        <v/>
      </c>
    </row>
    <row r="558">
      <c r="K558">
        <f>IF(OR(LEFT(B558,9)="DOANH THU",LEFT(B558,8)="SỐ LƯỢNG"),A558,IF(A558="","",K557))</f>
        <v/>
      </c>
      <c r="L558">
        <f>IF(A558="","",IF(ISNUMBER(--LEFT(A558,FIND(" - ",A558&amp;" - ")-1)),LEFT(A558,FIND(" - ",A558&amp;" - ")-1),TRIM(A558)))</f>
        <v/>
      </c>
      <c r="M558">
        <f>IF(OR(K558="",K558=A558,A558=""),"",K558&amp;"|"&amp;L558)</f>
        <v/>
      </c>
      <c r="N558">
        <f>IF(M558="","",IF(ISNUMBER(B558),B558,IFERROR(_xlfn.NUMBERVALUE(B558,".",","),0)))</f>
        <v/>
      </c>
      <c r="O558">
        <f>IF(M558="","",IF(ISNUMBER(C558),C558,IFERROR(_xlfn.NUMBERVALUE(C558,".",","),0)))</f>
        <v/>
      </c>
    </row>
    <row r="559">
      <c r="K559">
        <f>IF(OR(LEFT(B559,9)="DOANH THU",LEFT(B559,8)="SỐ LƯỢNG"),A559,IF(A559="","",K558))</f>
        <v/>
      </c>
      <c r="L559">
        <f>IF(A559="","",IF(ISNUMBER(--LEFT(A559,FIND(" - ",A559&amp;" - ")-1)),LEFT(A559,FIND(" - ",A559&amp;" - ")-1),TRIM(A559)))</f>
        <v/>
      </c>
      <c r="M559">
        <f>IF(OR(K559="",K559=A559,A559=""),"",K559&amp;"|"&amp;L559)</f>
        <v/>
      </c>
      <c r="N559">
        <f>IF(M559="","",IF(ISNUMBER(B559),B559,IFERROR(_xlfn.NUMBERVALUE(B559,".",","),0)))</f>
        <v/>
      </c>
      <c r="O559">
        <f>IF(M559="","",IF(ISNUMBER(C559),C559,IFERROR(_xlfn.NUMBERVALUE(C559,".",","),0)))</f>
        <v/>
      </c>
    </row>
    <row r="560">
      <c r="K560">
        <f>IF(OR(LEFT(B560,9)="DOANH THU",LEFT(B560,8)="SỐ LƯỢNG"),A560,IF(A560="","",K559))</f>
        <v/>
      </c>
      <c r="L560">
        <f>IF(A560="","",IF(ISNUMBER(--LEFT(A560,FIND(" - ",A560&amp;" - ")-1)),LEFT(A560,FIND(" - ",A560&amp;" - ")-1),TRIM(A560)))</f>
        <v/>
      </c>
      <c r="M560">
        <f>IF(OR(K560="",K560=A560,A560=""),"",K560&amp;"|"&amp;L560)</f>
        <v/>
      </c>
      <c r="N560">
        <f>IF(M560="","",IF(ISNUMBER(B560),B560,IFERROR(_xlfn.NUMBERVALUE(B560,".",","),0)))</f>
        <v/>
      </c>
      <c r="O560">
        <f>IF(M560="","",IF(ISNUMBER(C560),C560,IFERROR(_xlfn.NUMBERVALUE(C560,".",","),0)))</f>
        <v/>
      </c>
    </row>
    <row r="561">
      <c r="K561">
        <f>IF(OR(LEFT(B561,9)="DOANH THU",LEFT(B561,8)="SỐ LƯỢNG"),A561,IF(A561="","",K560))</f>
        <v/>
      </c>
      <c r="L561">
        <f>IF(A561="","",IF(ISNUMBER(--LEFT(A561,FIND(" - ",A561&amp;" - ")-1)),LEFT(A561,FIND(" - ",A561&amp;" - ")-1),TRIM(A561)))</f>
        <v/>
      </c>
      <c r="M561">
        <f>IF(OR(K561="",K561=A561,A561=""),"",K561&amp;"|"&amp;L561)</f>
        <v/>
      </c>
      <c r="N561">
        <f>IF(M561="","",IF(ISNUMBER(B561),B561,IFERROR(_xlfn.NUMBERVALUE(B561,".",","),0)))</f>
        <v/>
      </c>
      <c r="O561">
        <f>IF(M561="","",IF(ISNUMBER(C561),C561,IFERROR(_xlfn.NUMBERVALUE(C561,".",","),0)))</f>
        <v/>
      </c>
    </row>
    <row r="562">
      <c r="K562">
        <f>IF(OR(LEFT(B562,9)="DOANH THU",LEFT(B562,8)="SỐ LƯỢNG"),A562,IF(A562="","",K561))</f>
        <v/>
      </c>
      <c r="L562">
        <f>IF(A562="","",IF(ISNUMBER(--LEFT(A562,FIND(" - ",A562&amp;" - ")-1)),LEFT(A562,FIND(" - ",A562&amp;" - ")-1),TRIM(A562)))</f>
        <v/>
      </c>
      <c r="M562">
        <f>IF(OR(K562="",K562=A562,A562=""),"",K562&amp;"|"&amp;L562)</f>
        <v/>
      </c>
      <c r="N562">
        <f>IF(M562="","",IF(ISNUMBER(B562),B562,IFERROR(_xlfn.NUMBERVALUE(B562,".",","),0)))</f>
        <v/>
      </c>
      <c r="O562">
        <f>IF(M562="","",IF(ISNUMBER(C562),C562,IFERROR(_xlfn.NUMBERVALUE(C562,".",","),0)))</f>
        <v/>
      </c>
    </row>
    <row r="563">
      <c r="K563">
        <f>IF(OR(LEFT(B563,9)="DOANH THU",LEFT(B563,8)="SỐ LƯỢNG"),A563,IF(A563="","",K562))</f>
        <v/>
      </c>
      <c r="L563">
        <f>IF(A563="","",IF(ISNUMBER(--LEFT(A563,FIND(" - ",A563&amp;" - ")-1)),LEFT(A563,FIND(" - ",A563&amp;" - ")-1),TRIM(A563)))</f>
        <v/>
      </c>
      <c r="M563">
        <f>IF(OR(K563="",K563=A563,A563=""),"",K563&amp;"|"&amp;L563)</f>
        <v/>
      </c>
      <c r="N563">
        <f>IF(M563="","",IF(ISNUMBER(B563),B563,IFERROR(_xlfn.NUMBERVALUE(B563,".",","),0)))</f>
        <v/>
      </c>
      <c r="O563">
        <f>IF(M563="","",IF(ISNUMBER(C563),C563,IFERROR(_xlfn.NUMBERVALUE(C563,".",","),0)))</f>
        <v/>
      </c>
    </row>
    <row r="564">
      <c r="K564">
        <f>IF(OR(LEFT(B564,9)="DOANH THU",LEFT(B564,8)="SỐ LƯỢNG"),A564,IF(A564="","",K563))</f>
        <v/>
      </c>
      <c r="L564">
        <f>IF(A564="","",IF(ISNUMBER(--LEFT(A564,FIND(" - ",A564&amp;" - ")-1)),LEFT(A564,FIND(" - ",A564&amp;" - ")-1),TRIM(A564)))</f>
        <v/>
      </c>
      <c r="M564">
        <f>IF(OR(K564="",K564=A564,A564=""),"",K564&amp;"|"&amp;L564)</f>
        <v/>
      </c>
      <c r="N564">
        <f>IF(M564="","",IF(ISNUMBER(B564),B564,IFERROR(_xlfn.NUMBERVALUE(B564,".",","),0)))</f>
        <v/>
      </c>
      <c r="O564">
        <f>IF(M564="","",IF(ISNUMBER(C564),C564,IFERROR(_xlfn.NUMBERVALUE(C564,".",","),0)))</f>
        <v/>
      </c>
    </row>
    <row r="565">
      <c r="K565">
        <f>IF(OR(LEFT(B565,9)="DOANH THU",LEFT(B565,8)="SỐ LƯỢNG"),A565,IF(A565="","",K564))</f>
        <v/>
      </c>
      <c r="L565">
        <f>IF(A565="","",IF(ISNUMBER(--LEFT(A565,FIND(" - ",A565&amp;" - ")-1)),LEFT(A565,FIND(" - ",A565&amp;" - ")-1),TRIM(A565)))</f>
        <v/>
      </c>
      <c r="M565">
        <f>IF(OR(K565="",K565=A565,A565=""),"",K565&amp;"|"&amp;L565)</f>
        <v/>
      </c>
      <c r="N565">
        <f>IF(M565="","",IF(ISNUMBER(B565),B565,IFERROR(_xlfn.NUMBERVALUE(B565,".",","),0)))</f>
        <v/>
      </c>
      <c r="O565">
        <f>IF(M565="","",IF(ISNUMBER(C565),C565,IFERROR(_xlfn.NUMBERVALUE(C565,".",","),0)))</f>
        <v/>
      </c>
    </row>
    <row r="566">
      <c r="K566">
        <f>IF(OR(LEFT(B566,9)="DOANH THU",LEFT(B566,8)="SỐ LƯỢNG"),A566,IF(A566="","",K565))</f>
        <v/>
      </c>
      <c r="L566">
        <f>IF(A566="","",IF(ISNUMBER(--LEFT(A566,FIND(" - ",A566&amp;" - ")-1)),LEFT(A566,FIND(" - ",A566&amp;" - ")-1),TRIM(A566)))</f>
        <v/>
      </c>
      <c r="M566">
        <f>IF(OR(K566="",K566=A566,A566=""),"",K566&amp;"|"&amp;L566)</f>
        <v/>
      </c>
      <c r="N566">
        <f>IF(M566="","",IF(ISNUMBER(B566),B566,IFERROR(_xlfn.NUMBERVALUE(B566,".",","),0)))</f>
        <v/>
      </c>
      <c r="O566">
        <f>IF(M566="","",IF(ISNUMBER(C566),C566,IFERROR(_xlfn.NUMBERVALUE(C566,".",","),0)))</f>
        <v/>
      </c>
    </row>
    <row r="567">
      <c r="K567">
        <f>IF(OR(LEFT(B567,9)="DOANH THU",LEFT(B567,8)="SỐ LƯỢNG"),A567,IF(A567="","",K566))</f>
        <v/>
      </c>
      <c r="L567">
        <f>IF(A567="","",IF(ISNUMBER(--LEFT(A567,FIND(" - ",A567&amp;" - ")-1)),LEFT(A567,FIND(" - ",A567&amp;" - ")-1),TRIM(A567)))</f>
        <v/>
      </c>
      <c r="M567">
        <f>IF(OR(K567="",K567=A567,A567=""),"",K567&amp;"|"&amp;L567)</f>
        <v/>
      </c>
      <c r="N567">
        <f>IF(M567="","",IF(ISNUMBER(B567),B567,IFERROR(_xlfn.NUMBERVALUE(B567,".",","),0)))</f>
        <v/>
      </c>
      <c r="O567">
        <f>IF(M567="","",IF(ISNUMBER(C567),C567,IFERROR(_xlfn.NUMBERVALUE(C567,".",","),0)))</f>
        <v/>
      </c>
    </row>
    <row r="568">
      <c r="K568">
        <f>IF(OR(LEFT(B568,9)="DOANH THU",LEFT(B568,8)="SỐ LƯỢNG"),A568,IF(A568="","",K567))</f>
        <v/>
      </c>
      <c r="L568">
        <f>IF(A568="","",IF(ISNUMBER(--LEFT(A568,FIND(" - ",A568&amp;" - ")-1)),LEFT(A568,FIND(" - ",A568&amp;" - ")-1),TRIM(A568)))</f>
        <v/>
      </c>
      <c r="M568">
        <f>IF(OR(K568="",K568=A568,A568=""),"",K568&amp;"|"&amp;L568)</f>
        <v/>
      </c>
      <c r="N568">
        <f>IF(M568="","",IF(ISNUMBER(B568),B568,IFERROR(_xlfn.NUMBERVALUE(B568,".",","),0)))</f>
        <v/>
      </c>
      <c r="O568">
        <f>IF(M568="","",IF(ISNUMBER(C568),C568,IFERROR(_xlfn.NUMBERVALUE(C568,".",","),0)))</f>
        <v/>
      </c>
    </row>
    <row r="569">
      <c r="K569">
        <f>IF(OR(LEFT(B569,9)="DOANH THU",LEFT(B569,8)="SỐ LƯỢNG"),A569,IF(A569="","",K568))</f>
        <v/>
      </c>
      <c r="L569">
        <f>IF(A569="","",IF(ISNUMBER(--LEFT(A569,FIND(" - ",A569&amp;" - ")-1)),LEFT(A569,FIND(" - ",A569&amp;" - ")-1),TRIM(A569)))</f>
        <v/>
      </c>
      <c r="M569">
        <f>IF(OR(K569="",K569=A569,A569=""),"",K569&amp;"|"&amp;L569)</f>
        <v/>
      </c>
      <c r="N569">
        <f>IF(M569="","",IF(ISNUMBER(B569),B569,IFERROR(_xlfn.NUMBERVALUE(B569,".",","),0)))</f>
        <v/>
      </c>
      <c r="O569">
        <f>IF(M569="","",IF(ISNUMBER(C569),C569,IFERROR(_xlfn.NUMBERVALUE(C569,".",","),0)))</f>
        <v/>
      </c>
    </row>
    <row r="570">
      <c r="K570">
        <f>IF(OR(LEFT(B570,9)="DOANH THU",LEFT(B570,8)="SỐ LƯỢNG"),A570,IF(A570="","",K569))</f>
        <v/>
      </c>
      <c r="L570">
        <f>IF(A570="","",IF(ISNUMBER(--LEFT(A570,FIND(" - ",A570&amp;" - ")-1)),LEFT(A570,FIND(" - ",A570&amp;" - ")-1),TRIM(A570)))</f>
        <v/>
      </c>
      <c r="M570">
        <f>IF(OR(K570="",K570=A570,A570=""),"",K570&amp;"|"&amp;L570)</f>
        <v/>
      </c>
      <c r="N570">
        <f>IF(M570="","",IF(ISNUMBER(B570),B570,IFERROR(_xlfn.NUMBERVALUE(B570,".",","),0)))</f>
        <v/>
      </c>
      <c r="O570">
        <f>IF(M570="","",IF(ISNUMBER(C570),C570,IFERROR(_xlfn.NUMBERVALUE(C570,".",","),0)))</f>
        <v/>
      </c>
    </row>
    <row r="571">
      <c r="K571">
        <f>IF(OR(LEFT(B571,9)="DOANH THU",LEFT(B571,8)="SỐ LƯỢNG"),A571,IF(A571="","",K570))</f>
        <v/>
      </c>
      <c r="L571">
        <f>IF(A571="","",IF(ISNUMBER(--LEFT(A571,FIND(" - ",A571&amp;" - ")-1)),LEFT(A571,FIND(" - ",A571&amp;" - ")-1),TRIM(A571)))</f>
        <v/>
      </c>
      <c r="M571">
        <f>IF(OR(K571="",K571=A571,A571=""),"",K571&amp;"|"&amp;L571)</f>
        <v/>
      </c>
      <c r="N571">
        <f>IF(M571="","",IF(ISNUMBER(B571),B571,IFERROR(_xlfn.NUMBERVALUE(B571,".",","),0)))</f>
        <v/>
      </c>
      <c r="O571">
        <f>IF(M571="","",IF(ISNUMBER(C571),C571,IFERROR(_xlfn.NUMBERVALUE(C571,".",","),0)))</f>
        <v/>
      </c>
    </row>
    <row r="572">
      <c r="K572">
        <f>IF(OR(LEFT(B572,9)="DOANH THU",LEFT(B572,8)="SỐ LƯỢNG"),A572,IF(A572="","",K571))</f>
        <v/>
      </c>
      <c r="L572">
        <f>IF(A572="","",IF(ISNUMBER(--LEFT(A572,FIND(" - ",A572&amp;" - ")-1)),LEFT(A572,FIND(" - ",A572&amp;" - ")-1),TRIM(A572)))</f>
        <v/>
      </c>
      <c r="M572">
        <f>IF(OR(K572="",K572=A572,A572=""),"",K572&amp;"|"&amp;L572)</f>
        <v/>
      </c>
      <c r="N572">
        <f>IF(M572="","",IF(ISNUMBER(B572),B572,IFERROR(_xlfn.NUMBERVALUE(B572,".",","),0)))</f>
        <v/>
      </c>
      <c r="O572">
        <f>IF(M572="","",IF(ISNUMBER(C572),C572,IFERROR(_xlfn.NUMBERVALUE(C572,".",","),0)))</f>
        <v/>
      </c>
    </row>
    <row r="573">
      <c r="K573">
        <f>IF(OR(LEFT(B573,9)="DOANH THU",LEFT(B573,8)="SỐ LƯỢNG"),A573,IF(A573="","",K572))</f>
        <v/>
      </c>
      <c r="L573">
        <f>IF(A573="","",IF(ISNUMBER(--LEFT(A573,FIND(" - ",A573&amp;" - ")-1)),LEFT(A573,FIND(" - ",A573&amp;" - ")-1),TRIM(A573)))</f>
        <v/>
      </c>
      <c r="M573">
        <f>IF(OR(K573="",K573=A573,A573=""),"",K573&amp;"|"&amp;L573)</f>
        <v/>
      </c>
      <c r="N573">
        <f>IF(M573="","",IF(ISNUMBER(B573),B573,IFERROR(_xlfn.NUMBERVALUE(B573,".",","),0)))</f>
        <v/>
      </c>
      <c r="O573">
        <f>IF(M573="","",IF(ISNUMBER(C573),C573,IFERROR(_xlfn.NUMBERVALUE(C573,".",","),0)))</f>
        <v/>
      </c>
    </row>
    <row r="574">
      <c r="K574">
        <f>IF(OR(LEFT(B574,9)="DOANH THU",LEFT(B574,8)="SỐ LƯỢNG"),A574,IF(A574="","",K573))</f>
        <v/>
      </c>
      <c r="L574">
        <f>IF(A574="","",IF(ISNUMBER(--LEFT(A574,FIND(" - ",A574&amp;" - ")-1)),LEFT(A574,FIND(" - ",A574&amp;" - ")-1),TRIM(A574)))</f>
        <v/>
      </c>
      <c r="M574">
        <f>IF(OR(K574="",K574=A574,A574=""),"",K574&amp;"|"&amp;L574)</f>
        <v/>
      </c>
      <c r="N574">
        <f>IF(M574="","",IF(ISNUMBER(B574),B574,IFERROR(_xlfn.NUMBERVALUE(B574,".",","),0)))</f>
        <v/>
      </c>
      <c r="O574">
        <f>IF(M574="","",IF(ISNUMBER(C574),C574,IFERROR(_xlfn.NUMBERVALUE(C574,".",","),0)))</f>
        <v/>
      </c>
    </row>
    <row r="575">
      <c r="K575">
        <f>IF(OR(LEFT(B575,9)="DOANH THU",LEFT(B575,8)="SỐ LƯỢNG"),A575,IF(A575="","",K574))</f>
        <v/>
      </c>
      <c r="L575">
        <f>IF(A575="","",IF(ISNUMBER(--LEFT(A575,FIND(" - ",A575&amp;" - ")-1)),LEFT(A575,FIND(" - ",A575&amp;" - ")-1),TRIM(A575)))</f>
        <v/>
      </c>
      <c r="M575">
        <f>IF(OR(K575="",K575=A575,A575=""),"",K575&amp;"|"&amp;L575)</f>
        <v/>
      </c>
      <c r="N575">
        <f>IF(M575="","",IF(ISNUMBER(B575),B575,IFERROR(_xlfn.NUMBERVALUE(B575,".",","),0)))</f>
        <v/>
      </c>
      <c r="O575">
        <f>IF(M575="","",IF(ISNUMBER(C575),C575,IFERROR(_xlfn.NUMBERVALUE(C575,".",","),0)))</f>
        <v/>
      </c>
    </row>
    <row r="576">
      <c r="K576">
        <f>IF(OR(LEFT(B576,9)="DOANH THU",LEFT(B576,8)="SỐ LƯỢNG"),A576,IF(A576="","",K575))</f>
        <v/>
      </c>
      <c r="L576">
        <f>IF(A576="","",IF(ISNUMBER(--LEFT(A576,FIND(" - ",A576&amp;" - ")-1)),LEFT(A576,FIND(" - ",A576&amp;" - ")-1),TRIM(A576)))</f>
        <v/>
      </c>
      <c r="M576">
        <f>IF(OR(K576="",K576=A576,A576=""),"",K576&amp;"|"&amp;L576)</f>
        <v/>
      </c>
      <c r="N576">
        <f>IF(M576="","",IF(ISNUMBER(B576),B576,IFERROR(_xlfn.NUMBERVALUE(B576,".",","),0)))</f>
        <v/>
      </c>
      <c r="O576">
        <f>IF(M576="","",IF(ISNUMBER(C576),C576,IFERROR(_xlfn.NUMBERVALUE(C576,".",","),0)))</f>
        <v/>
      </c>
    </row>
    <row r="577">
      <c r="K577">
        <f>IF(OR(LEFT(B577,9)="DOANH THU",LEFT(B577,8)="SỐ LƯỢNG"),A577,IF(A577="","",K576))</f>
        <v/>
      </c>
      <c r="L577">
        <f>IF(A577="","",IF(ISNUMBER(--LEFT(A577,FIND(" - ",A577&amp;" - ")-1)),LEFT(A577,FIND(" - ",A577&amp;" - ")-1),TRIM(A577)))</f>
        <v/>
      </c>
      <c r="M577">
        <f>IF(OR(K577="",K577=A577,A577=""),"",K577&amp;"|"&amp;L577)</f>
        <v/>
      </c>
      <c r="N577">
        <f>IF(M577="","",IF(ISNUMBER(B577),B577,IFERROR(_xlfn.NUMBERVALUE(B577,".",","),0)))</f>
        <v/>
      </c>
      <c r="O577">
        <f>IF(M577="","",IF(ISNUMBER(C577),C577,IFERROR(_xlfn.NUMBERVALUE(C577,".",","),0)))</f>
        <v/>
      </c>
    </row>
    <row r="578">
      <c r="K578">
        <f>IF(OR(LEFT(B578,9)="DOANH THU",LEFT(B578,8)="SỐ LƯỢNG"),A578,IF(A578="","",K577))</f>
        <v/>
      </c>
      <c r="L578">
        <f>IF(A578="","",IF(ISNUMBER(--LEFT(A578,FIND(" - ",A578&amp;" - ")-1)),LEFT(A578,FIND(" - ",A578&amp;" - ")-1),TRIM(A578)))</f>
        <v/>
      </c>
      <c r="M578">
        <f>IF(OR(K578="",K578=A578,A578=""),"",K578&amp;"|"&amp;L578)</f>
        <v/>
      </c>
      <c r="N578">
        <f>IF(M578="","",IF(ISNUMBER(B578),B578,IFERROR(_xlfn.NUMBERVALUE(B578,".",","),0)))</f>
        <v/>
      </c>
      <c r="O578">
        <f>IF(M578="","",IF(ISNUMBER(C578),C578,IFERROR(_xlfn.NUMBERVALUE(C578,".",","),0)))</f>
        <v/>
      </c>
    </row>
    <row r="579">
      <c r="K579">
        <f>IF(OR(LEFT(B579,9)="DOANH THU",LEFT(B579,8)="SỐ LƯỢNG"),A579,IF(A579="","",K578))</f>
        <v/>
      </c>
      <c r="L579">
        <f>IF(A579="","",IF(ISNUMBER(--LEFT(A579,FIND(" - ",A579&amp;" - ")-1)),LEFT(A579,FIND(" - ",A579&amp;" - ")-1),TRIM(A579)))</f>
        <v/>
      </c>
      <c r="M579">
        <f>IF(OR(K579="",K579=A579,A579=""),"",K579&amp;"|"&amp;L579)</f>
        <v/>
      </c>
      <c r="N579">
        <f>IF(M579="","",IF(ISNUMBER(B579),B579,IFERROR(_xlfn.NUMBERVALUE(B579,".",","),0)))</f>
        <v/>
      </c>
      <c r="O579">
        <f>IF(M579="","",IF(ISNUMBER(C579),C579,IFERROR(_xlfn.NUMBERVALUE(C579,".",","),0)))</f>
        <v/>
      </c>
    </row>
    <row r="580">
      <c r="K580">
        <f>IF(OR(LEFT(B580,9)="DOANH THU",LEFT(B580,8)="SỐ LƯỢNG"),A580,IF(A580="","",K579))</f>
        <v/>
      </c>
      <c r="L580">
        <f>IF(A580="","",IF(ISNUMBER(--LEFT(A580,FIND(" - ",A580&amp;" - ")-1)),LEFT(A580,FIND(" - ",A580&amp;" - ")-1),TRIM(A580)))</f>
        <v/>
      </c>
      <c r="M580">
        <f>IF(OR(K580="",K580=A580,A580=""),"",K580&amp;"|"&amp;L580)</f>
        <v/>
      </c>
      <c r="N580">
        <f>IF(M580="","",IF(ISNUMBER(B580),B580,IFERROR(_xlfn.NUMBERVALUE(B580,".",","),0)))</f>
        <v/>
      </c>
      <c r="O580">
        <f>IF(M580="","",IF(ISNUMBER(C580),C580,IFERROR(_xlfn.NUMBERVALUE(C580,".",","),0)))</f>
        <v/>
      </c>
    </row>
    <row r="581">
      <c r="K581">
        <f>IF(OR(LEFT(B581,9)="DOANH THU",LEFT(B581,8)="SỐ LƯỢNG"),A581,IF(A581="","",K580))</f>
        <v/>
      </c>
      <c r="L581">
        <f>IF(A581="","",IF(ISNUMBER(--LEFT(A581,FIND(" - ",A581&amp;" - ")-1)),LEFT(A581,FIND(" - ",A581&amp;" - ")-1),TRIM(A581)))</f>
        <v/>
      </c>
      <c r="M581">
        <f>IF(OR(K581="",K581=A581,A581=""),"",K581&amp;"|"&amp;L581)</f>
        <v/>
      </c>
      <c r="N581">
        <f>IF(M581="","",IF(ISNUMBER(B581),B581,IFERROR(_xlfn.NUMBERVALUE(B581,".",","),0)))</f>
        <v/>
      </c>
      <c r="O581">
        <f>IF(M581="","",IF(ISNUMBER(C581),C581,IFERROR(_xlfn.NUMBERVALUE(C581,".",","),0)))</f>
        <v/>
      </c>
    </row>
    <row r="582">
      <c r="K582">
        <f>IF(OR(LEFT(B582,9)="DOANH THU",LEFT(B582,8)="SỐ LƯỢNG"),A582,IF(A582="","",K581))</f>
        <v/>
      </c>
      <c r="L582">
        <f>IF(A582="","",IF(ISNUMBER(--LEFT(A582,FIND(" - ",A582&amp;" - ")-1)),LEFT(A582,FIND(" - ",A582&amp;" - ")-1),TRIM(A582)))</f>
        <v/>
      </c>
      <c r="M582">
        <f>IF(OR(K582="",K582=A582,A582=""),"",K582&amp;"|"&amp;L582)</f>
        <v/>
      </c>
      <c r="N582">
        <f>IF(M582="","",IF(ISNUMBER(B582),B582,IFERROR(_xlfn.NUMBERVALUE(B582,".",","),0)))</f>
        <v/>
      </c>
      <c r="O582">
        <f>IF(M582="","",IF(ISNUMBER(C582),C582,IFERROR(_xlfn.NUMBERVALUE(C582,".",","),0)))</f>
        <v/>
      </c>
    </row>
    <row r="583">
      <c r="K583">
        <f>IF(OR(LEFT(B583,9)="DOANH THU",LEFT(B583,8)="SỐ LƯỢNG"),A583,IF(A583="","",K582))</f>
        <v/>
      </c>
      <c r="L583">
        <f>IF(A583="","",IF(ISNUMBER(--LEFT(A583,FIND(" - ",A583&amp;" - ")-1)),LEFT(A583,FIND(" - ",A583&amp;" - ")-1),TRIM(A583)))</f>
        <v/>
      </c>
      <c r="M583">
        <f>IF(OR(K583="",K583=A583,A583=""),"",K583&amp;"|"&amp;L583)</f>
        <v/>
      </c>
      <c r="N583">
        <f>IF(M583="","",IF(ISNUMBER(B583),B583,IFERROR(_xlfn.NUMBERVALUE(B583,".",","),0)))</f>
        <v/>
      </c>
      <c r="O583">
        <f>IF(M583="","",IF(ISNUMBER(C583),C583,IFERROR(_xlfn.NUMBERVALUE(C583,".",","),0)))</f>
        <v/>
      </c>
    </row>
    <row r="584">
      <c r="K584">
        <f>IF(OR(LEFT(B584,9)="DOANH THU",LEFT(B584,8)="SỐ LƯỢNG"),A584,IF(A584="","",K583))</f>
        <v/>
      </c>
      <c r="L584">
        <f>IF(A584="","",IF(ISNUMBER(--LEFT(A584,FIND(" - ",A584&amp;" - ")-1)),LEFT(A584,FIND(" - ",A584&amp;" - ")-1),TRIM(A584)))</f>
        <v/>
      </c>
      <c r="M584">
        <f>IF(OR(K584="",K584=A584,A584=""),"",K584&amp;"|"&amp;L584)</f>
        <v/>
      </c>
      <c r="N584">
        <f>IF(M584="","",IF(ISNUMBER(B584),B584,IFERROR(_xlfn.NUMBERVALUE(B584,".",","),0)))</f>
        <v/>
      </c>
      <c r="O584">
        <f>IF(M584="","",IF(ISNUMBER(C584),C584,IFERROR(_xlfn.NUMBERVALUE(C584,".",","),0)))</f>
        <v/>
      </c>
    </row>
    <row r="585">
      <c r="K585">
        <f>IF(OR(LEFT(B585,9)="DOANH THU",LEFT(B585,8)="SỐ LƯỢNG"),A585,IF(A585="","",K584))</f>
        <v/>
      </c>
      <c r="L585">
        <f>IF(A585="","",IF(ISNUMBER(--LEFT(A585,FIND(" - ",A585&amp;" - ")-1)),LEFT(A585,FIND(" - ",A585&amp;" - ")-1),TRIM(A585)))</f>
        <v/>
      </c>
      <c r="M585">
        <f>IF(OR(K585="",K585=A585,A585=""),"",K585&amp;"|"&amp;L585)</f>
        <v/>
      </c>
      <c r="N585">
        <f>IF(M585="","",IF(ISNUMBER(B585),B585,IFERROR(_xlfn.NUMBERVALUE(B585,".",","),0)))</f>
        <v/>
      </c>
      <c r="O585">
        <f>IF(M585="","",IF(ISNUMBER(C585),C585,IFERROR(_xlfn.NUMBERVALUE(C585,".",","),0)))</f>
        <v/>
      </c>
    </row>
    <row r="586">
      <c r="K586">
        <f>IF(OR(LEFT(B586,9)="DOANH THU",LEFT(B586,8)="SỐ LƯỢNG"),A586,IF(A586="","",K585))</f>
        <v/>
      </c>
      <c r="L586">
        <f>IF(A586="","",IF(ISNUMBER(--LEFT(A586,FIND(" - ",A586&amp;" - ")-1)),LEFT(A586,FIND(" - ",A586&amp;" - ")-1),TRIM(A586)))</f>
        <v/>
      </c>
      <c r="M586">
        <f>IF(OR(K586="",K586=A586,A586=""),"",K586&amp;"|"&amp;L586)</f>
        <v/>
      </c>
      <c r="N586">
        <f>IF(M586="","",IF(ISNUMBER(B586),B586,IFERROR(_xlfn.NUMBERVALUE(B586,".",","),0)))</f>
        <v/>
      </c>
      <c r="O586">
        <f>IF(M586="","",IF(ISNUMBER(C586),C586,IFERROR(_xlfn.NUMBERVALUE(C586,".",","),0)))</f>
        <v/>
      </c>
    </row>
    <row r="587">
      <c r="K587">
        <f>IF(OR(LEFT(B587,9)="DOANH THU",LEFT(B587,8)="SỐ LƯỢNG"),A587,IF(A587="","",K586))</f>
        <v/>
      </c>
      <c r="L587">
        <f>IF(A587="","",IF(ISNUMBER(--LEFT(A587,FIND(" - ",A587&amp;" - ")-1)),LEFT(A587,FIND(" - ",A587&amp;" - ")-1),TRIM(A587)))</f>
        <v/>
      </c>
      <c r="M587">
        <f>IF(OR(K587="",K587=A587,A587=""),"",K587&amp;"|"&amp;L587)</f>
        <v/>
      </c>
      <c r="N587">
        <f>IF(M587="","",IF(ISNUMBER(B587),B587,IFERROR(_xlfn.NUMBERVALUE(B587,".",","),0)))</f>
        <v/>
      </c>
      <c r="O587">
        <f>IF(M587="","",IF(ISNUMBER(C587),C587,IFERROR(_xlfn.NUMBERVALUE(C587,".",","),0)))</f>
        <v/>
      </c>
    </row>
    <row r="588">
      <c r="K588">
        <f>IF(OR(LEFT(B588,9)="DOANH THU",LEFT(B588,8)="SỐ LƯỢNG"),A588,IF(A588="","",K587))</f>
        <v/>
      </c>
      <c r="L588">
        <f>IF(A588="","",IF(ISNUMBER(--LEFT(A588,FIND(" - ",A588&amp;" - ")-1)),LEFT(A588,FIND(" - ",A588&amp;" - ")-1),TRIM(A588)))</f>
        <v/>
      </c>
      <c r="M588">
        <f>IF(OR(K588="",K588=A588,A588=""),"",K588&amp;"|"&amp;L588)</f>
        <v/>
      </c>
      <c r="N588">
        <f>IF(M588="","",IF(ISNUMBER(B588),B588,IFERROR(_xlfn.NUMBERVALUE(B588,".",","),0)))</f>
        <v/>
      </c>
      <c r="O588">
        <f>IF(M588="","",IF(ISNUMBER(C588),C588,IFERROR(_xlfn.NUMBERVALUE(C588,".",","),0)))</f>
        <v/>
      </c>
    </row>
    <row r="589">
      <c r="K589">
        <f>IF(OR(LEFT(B589,9)="DOANH THU",LEFT(B589,8)="SỐ LƯỢNG"),A589,IF(A589="","",K588))</f>
        <v/>
      </c>
      <c r="L589">
        <f>IF(A589="","",IF(ISNUMBER(--LEFT(A589,FIND(" - ",A589&amp;" - ")-1)),LEFT(A589,FIND(" - ",A589&amp;" - ")-1),TRIM(A589)))</f>
        <v/>
      </c>
      <c r="M589">
        <f>IF(OR(K589="",K589=A589,A589=""),"",K589&amp;"|"&amp;L589)</f>
        <v/>
      </c>
      <c r="N589">
        <f>IF(M589="","",IF(ISNUMBER(B589),B589,IFERROR(_xlfn.NUMBERVALUE(B589,".",","),0)))</f>
        <v/>
      </c>
      <c r="O589">
        <f>IF(M589="","",IF(ISNUMBER(C589),C589,IFERROR(_xlfn.NUMBERVALUE(C589,".",","),0)))</f>
        <v/>
      </c>
    </row>
    <row r="590">
      <c r="K590">
        <f>IF(OR(LEFT(B590,9)="DOANH THU",LEFT(B590,8)="SỐ LƯỢNG"),A590,IF(A590="","",K589))</f>
        <v/>
      </c>
      <c r="L590">
        <f>IF(A590="","",IF(ISNUMBER(--LEFT(A590,FIND(" - ",A590&amp;" - ")-1)),LEFT(A590,FIND(" - ",A590&amp;" - ")-1),TRIM(A590)))</f>
        <v/>
      </c>
      <c r="M590">
        <f>IF(OR(K590="",K590=A590,A590=""),"",K590&amp;"|"&amp;L590)</f>
        <v/>
      </c>
      <c r="N590">
        <f>IF(M590="","",IF(ISNUMBER(B590),B590,IFERROR(_xlfn.NUMBERVALUE(B590,".",","),0)))</f>
        <v/>
      </c>
      <c r="O590">
        <f>IF(M590="","",IF(ISNUMBER(C590),C590,IFERROR(_xlfn.NUMBERVALUE(C590,".",","),0)))</f>
        <v/>
      </c>
    </row>
    <row r="591">
      <c r="K591">
        <f>IF(OR(LEFT(B591,9)="DOANH THU",LEFT(B591,8)="SỐ LƯỢNG"),A591,IF(A591="","",K590))</f>
        <v/>
      </c>
      <c r="L591">
        <f>IF(A591="","",IF(ISNUMBER(--LEFT(A591,FIND(" - ",A591&amp;" - ")-1)),LEFT(A591,FIND(" - ",A591&amp;" - ")-1),TRIM(A591)))</f>
        <v/>
      </c>
      <c r="M591">
        <f>IF(OR(K591="",K591=A591,A591=""),"",K591&amp;"|"&amp;L591)</f>
        <v/>
      </c>
      <c r="N591">
        <f>IF(M591="","",IF(ISNUMBER(B591),B591,IFERROR(_xlfn.NUMBERVALUE(B591,".",","),0)))</f>
        <v/>
      </c>
      <c r="O591">
        <f>IF(M591="","",IF(ISNUMBER(C591),C591,IFERROR(_xlfn.NUMBERVALUE(C591,".",","),0)))</f>
        <v/>
      </c>
    </row>
    <row r="592">
      <c r="K592">
        <f>IF(OR(LEFT(B592,9)="DOANH THU",LEFT(B592,8)="SỐ LƯỢNG"),A592,IF(A592="","",K591))</f>
        <v/>
      </c>
      <c r="L592">
        <f>IF(A592="","",IF(ISNUMBER(--LEFT(A592,FIND(" - ",A592&amp;" - ")-1)),LEFT(A592,FIND(" - ",A592&amp;" - ")-1),TRIM(A592)))</f>
        <v/>
      </c>
      <c r="M592">
        <f>IF(OR(K592="",K592=A592,A592=""),"",K592&amp;"|"&amp;L592)</f>
        <v/>
      </c>
      <c r="N592">
        <f>IF(M592="","",IF(ISNUMBER(B592),B592,IFERROR(_xlfn.NUMBERVALUE(B592,".",","),0)))</f>
        <v/>
      </c>
      <c r="O592">
        <f>IF(M592="","",IF(ISNUMBER(C592),C592,IFERROR(_xlfn.NUMBERVALUE(C592,".",","),0)))</f>
        <v/>
      </c>
    </row>
    <row r="593">
      <c r="K593">
        <f>IF(OR(LEFT(B593,9)="DOANH THU",LEFT(B593,8)="SỐ LƯỢNG"),A593,IF(A593="","",K592))</f>
        <v/>
      </c>
      <c r="L593">
        <f>IF(A593="","",IF(ISNUMBER(--LEFT(A593,FIND(" - ",A593&amp;" - ")-1)),LEFT(A593,FIND(" - ",A593&amp;" - ")-1),TRIM(A593)))</f>
        <v/>
      </c>
      <c r="M593">
        <f>IF(OR(K593="",K593=A593,A593=""),"",K593&amp;"|"&amp;L593)</f>
        <v/>
      </c>
      <c r="N593">
        <f>IF(M593="","",IF(ISNUMBER(B593),B593,IFERROR(_xlfn.NUMBERVALUE(B593,".",","),0)))</f>
        <v/>
      </c>
      <c r="O593">
        <f>IF(M593="","",IF(ISNUMBER(C593),C593,IFERROR(_xlfn.NUMBERVALUE(C593,".",","),0)))</f>
        <v/>
      </c>
    </row>
    <row r="594">
      <c r="K594">
        <f>IF(OR(LEFT(B594,9)="DOANH THU",LEFT(B594,8)="SỐ LƯỢNG"),A594,IF(A594="","",K593))</f>
        <v/>
      </c>
      <c r="L594">
        <f>IF(A594="","",IF(ISNUMBER(--LEFT(A594,FIND(" - ",A594&amp;" - ")-1)),LEFT(A594,FIND(" - ",A594&amp;" - ")-1),TRIM(A594)))</f>
        <v/>
      </c>
      <c r="M594">
        <f>IF(OR(K594="",K594=A594,A594=""),"",K594&amp;"|"&amp;L594)</f>
        <v/>
      </c>
      <c r="N594">
        <f>IF(M594="","",IF(ISNUMBER(B594),B594,IFERROR(_xlfn.NUMBERVALUE(B594,".",","),0)))</f>
        <v/>
      </c>
      <c r="O594">
        <f>IF(M594="","",IF(ISNUMBER(C594),C594,IFERROR(_xlfn.NUMBERVALUE(C594,".",","),0)))</f>
        <v/>
      </c>
    </row>
    <row r="595">
      <c r="K595">
        <f>IF(OR(LEFT(B595,9)="DOANH THU",LEFT(B595,8)="SỐ LƯỢNG"),A595,IF(A595="","",K594))</f>
        <v/>
      </c>
      <c r="L595">
        <f>IF(A595="","",IF(ISNUMBER(--LEFT(A595,FIND(" - ",A595&amp;" - ")-1)),LEFT(A595,FIND(" - ",A595&amp;" - ")-1),TRIM(A595)))</f>
        <v/>
      </c>
      <c r="M595">
        <f>IF(OR(K595="",K595=A595,A595=""),"",K595&amp;"|"&amp;L595)</f>
        <v/>
      </c>
      <c r="N595">
        <f>IF(M595="","",IF(ISNUMBER(B595),B595,IFERROR(_xlfn.NUMBERVALUE(B595,".",","),0)))</f>
        <v/>
      </c>
      <c r="O595">
        <f>IF(M595="","",IF(ISNUMBER(C595),C595,IFERROR(_xlfn.NUMBERVALUE(C595,".",","),0)))</f>
        <v/>
      </c>
    </row>
    <row r="596">
      <c r="K596">
        <f>IF(OR(LEFT(B596,9)="DOANH THU",LEFT(B596,8)="SỐ LƯỢNG"),A596,IF(A596="","",K595))</f>
        <v/>
      </c>
      <c r="L596">
        <f>IF(A596="","",IF(ISNUMBER(--LEFT(A596,FIND(" - ",A596&amp;" - ")-1)),LEFT(A596,FIND(" - ",A596&amp;" - ")-1),TRIM(A596)))</f>
        <v/>
      </c>
      <c r="M596">
        <f>IF(OR(K596="",K596=A596,A596=""),"",K596&amp;"|"&amp;L596)</f>
        <v/>
      </c>
      <c r="N596">
        <f>IF(M596="","",IF(ISNUMBER(B596),B596,IFERROR(_xlfn.NUMBERVALUE(B596,".",","),0)))</f>
        <v/>
      </c>
      <c r="O596">
        <f>IF(M596="","",IF(ISNUMBER(C596),C596,IFERROR(_xlfn.NUMBERVALUE(C596,".",","),0)))</f>
        <v/>
      </c>
    </row>
    <row r="597">
      <c r="K597">
        <f>IF(OR(LEFT(B597,9)="DOANH THU",LEFT(B597,8)="SỐ LƯỢNG"),A597,IF(A597="","",K596))</f>
        <v/>
      </c>
      <c r="L597">
        <f>IF(A597="","",IF(ISNUMBER(--LEFT(A597,FIND(" - ",A597&amp;" - ")-1)),LEFT(A597,FIND(" - ",A597&amp;" - ")-1),TRIM(A597)))</f>
        <v/>
      </c>
      <c r="M597">
        <f>IF(OR(K597="",K597=A597,A597=""),"",K597&amp;"|"&amp;L597)</f>
        <v/>
      </c>
      <c r="N597">
        <f>IF(M597="","",IF(ISNUMBER(B597),B597,IFERROR(_xlfn.NUMBERVALUE(B597,".",","),0)))</f>
        <v/>
      </c>
      <c r="O597">
        <f>IF(M597="","",IF(ISNUMBER(C597),C597,IFERROR(_xlfn.NUMBERVALUE(C597,".",","),0)))</f>
        <v/>
      </c>
    </row>
    <row r="598">
      <c r="K598">
        <f>IF(OR(LEFT(B598,9)="DOANH THU",LEFT(B598,8)="SỐ LƯỢNG"),A598,IF(A598="","",K597))</f>
        <v/>
      </c>
      <c r="L598">
        <f>IF(A598="","",IF(ISNUMBER(--LEFT(A598,FIND(" - ",A598&amp;" - ")-1)),LEFT(A598,FIND(" - ",A598&amp;" - ")-1),TRIM(A598)))</f>
        <v/>
      </c>
      <c r="M598">
        <f>IF(OR(K598="",K598=A598,A598=""),"",K598&amp;"|"&amp;L598)</f>
        <v/>
      </c>
      <c r="N598">
        <f>IF(M598="","",IF(ISNUMBER(B598),B598,IFERROR(_xlfn.NUMBERVALUE(B598,".",","),0)))</f>
        <v/>
      </c>
      <c r="O598">
        <f>IF(M598="","",IF(ISNUMBER(C598),C598,IFERROR(_xlfn.NUMBERVALUE(C598,".",","),0)))</f>
        <v/>
      </c>
    </row>
    <row r="599">
      <c r="K599">
        <f>IF(OR(LEFT(B599,9)="DOANH THU",LEFT(B599,8)="SỐ LƯỢNG"),A599,IF(A599="","",K598))</f>
        <v/>
      </c>
      <c r="L599">
        <f>IF(A599="","",IF(ISNUMBER(--LEFT(A599,FIND(" - ",A599&amp;" - ")-1)),LEFT(A599,FIND(" - ",A599&amp;" - ")-1),TRIM(A599)))</f>
        <v/>
      </c>
      <c r="M599">
        <f>IF(OR(K599="",K599=A599,A599=""),"",K599&amp;"|"&amp;L599)</f>
        <v/>
      </c>
      <c r="N599">
        <f>IF(M599="","",IF(ISNUMBER(B599),B599,IFERROR(_xlfn.NUMBERVALUE(B599,".",","),0)))</f>
        <v/>
      </c>
      <c r="O599">
        <f>IF(M599="","",IF(ISNUMBER(C599),C599,IFERROR(_xlfn.NUMBERVALUE(C599,".",","),0)))</f>
        <v/>
      </c>
    </row>
    <row r="600">
      <c r="K600">
        <f>IF(OR(LEFT(B600,9)="DOANH THU",LEFT(B600,8)="SỐ LƯỢNG"),A600,IF(A600="","",K599))</f>
        <v/>
      </c>
      <c r="L600">
        <f>IF(A600="","",IF(ISNUMBER(--LEFT(A600,FIND(" - ",A600&amp;" - ")-1)),LEFT(A600,FIND(" - ",A600&amp;" - ")-1),TRIM(A600)))</f>
        <v/>
      </c>
      <c r="M600">
        <f>IF(OR(K600="",K600=A600,A600=""),"",K600&amp;"|"&amp;L600)</f>
        <v/>
      </c>
      <c r="N600">
        <f>IF(M600="","",IF(ISNUMBER(B600),B600,IFERROR(_xlfn.NUMBERVALUE(B600,".",","),0)))</f>
        <v/>
      </c>
      <c r="O600">
        <f>IF(M600="","",IF(ISNUMBER(C600),C600,IFERROR(_xlfn.NUMBERVALUE(C600,".",","),0)))</f>
        <v/>
      </c>
    </row>
    <row r="601">
      <c r="K601">
        <f>IF(OR(LEFT(B601,9)="DOANH THU",LEFT(B601,8)="SỐ LƯỢNG"),A601,IF(A601="","",K600))</f>
        <v/>
      </c>
      <c r="L601">
        <f>IF(A601="","",IF(ISNUMBER(--LEFT(A601,FIND(" - ",A601&amp;" - ")-1)),LEFT(A601,FIND(" - ",A601&amp;" - ")-1),TRIM(A601)))</f>
        <v/>
      </c>
      <c r="M601">
        <f>IF(OR(K601="",K601=A601,A601=""),"",K601&amp;"|"&amp;L601)</f>
        <v/>
      </c>
      <c r="N601">
        <f>IF(M601="","",IF(ISNUMBER(B601),B601,IFERROR(_xlfn.NUMBERVALUE(B601,".",","),0)))</f>
        <v/>
      </c>
      <c r="O601">
        <f>IF(M601="","",IF(ISNUMBER(C601),C601,IFERROR(_xlfn.NUMBERVALUE(C601,".",","),0)))</f>
        <v/>
      </c>
    </row>
    <row r="602">
      <c r="K602">
        <f>IF(OR(LEFT(B602,9)="DOANH THU",LEFT(B602,8)="SỐ LƯỢNG"),A602,IF(A602="","",K601))</f>
        <v/>
      </c>
      <c r="L602">
        <f>IF(A602="","",IF(ISNUMBER(--LEFT(A602,FIND(" - ",A602&amp;" - ")-1)),LEFT(A602,FIND(" - ",A602&amp;" - ")-1),TRIM(A602)))</f>
        <v/>
      </c>
      <c r="M602">
        <f>IF(OR(K602="",K602=A602,A602=""),"",K602&amp;"|"&amp;L602)</f>
        <v/>
      </c>
      <c r="N602">
        <f>IF(M602="","",IF(ISNUMBER(B602),B602,IFERROR(_xlfn.NUMBERVALUE(B602,".",","),0)))</f>
        <v/>
      </c>
      <c r="O602">
        <f>IF(M602="","",IF(ISNUMBER(C602),C602,IFERROR(_xlfn.NUMBERVALUE(C602,".",","),0)))</f>
        <v/>
      </c>
    </row>
    <row r="603">
      <c r="K603">
        <f>IF(OR(LEFT(B603,9)="DOANH THU",LEFT(B603,8)="SỐ LƯỢNG"),A603,IF(A603="","",K602))</f>
        <v/>
      </c>
      <c r="L603">
        <f>IF(A603="","",IF(ISNUMBER(--LEFT(A603,FIND(" - ",A603&amp;" - ")-1)),LEFT(A603,FIND(" - ",A603&amp;" - ")-1),TRIM(A603)))</f>
        <v/>
      </c>
      <c r="M603">
        <f>IF(OR(K603="",K603=A603,A603=""),"",K603&amp;"|"&amp;L603)</f>
        <v/>
      </c>
      <c r="N603">
        <f>IF(M603="","",IF(ISNUMBER(B603),B603,IFERROR(_xlfn.NUMBERVALUE(B603,".",","),0)))</f>
        <v/>
      </c>
      <c r="O603">
        <f>IF(M603="","",IF(ISNUMBER(C603),C603,IFERROR(_xlfn.NUMBERVALUE(C603,".",","),0)))</f>
        <v/>
      </c>
    </row>
    <row r="604">
      <c r="K604">
        <f>IF(OR(LEFT(B604,9)="DOANH THU",LEFT(B604,8)="SỐ LƯỢNG"),A604,IF(A604="","",K603))</f>
        <v/>
      </c>
      <c r="L604">
        <f>IF(A604="","",IF(ISNUMBER(--LEFT(A604,FIND(" - ",A604&amp;" - ")-1)),LEFT(A604,FIND(" - ",A604&amp;" - ")-1),TRIM(A604)))</f>
        <v/>
      </c>
      <c r="M604">
        <f>IF(OR(K604="",K604=A604,A604=""),"",K604&amp;"|"&amp;L604)</f>
        <v/>
      </c>
      <c r="N604">
        <f>IF(M604="","",IF(ISNUMBER(B604),B604,IFERROR(_xlfn.NUMBERVALUE(B604,".",","),0)))</f>
        <v/>
      </c>
      <c r="O604">
        <f>IF(M604="","",IF(ISNUMBER(C604),C604,IFERROR(_xlfn.NUMBERVALUE(C604,".",","),0)))</f>
        <v/>
      </c>
    </row>
    <row r="605">
      <c r="K605">
        <f>IF(OR(LEFT(B605,9)="DOANH THU",LEFT(B605,8)="SỐ LƯỢNG"),A605,IF(A605="","",K604))</f>
        <v/>
      </c>
      <c r="L605">
        <f>IF(A605="","",IF(ISNUMBER(--LEFT(A605,FIND(" - ",A605&amp;" - ")-1)),LEFT(A605,FIND(" - ",A605&amp;" - ")-1),TRIM(A605)))</f>
        <v/>
      </c>
      <c r="M605">
        <f>IF(OR(K605="",K605=A605,A605=""),"",K605&amp;"|"&amp;L605)</f>
        <v/>
      </c>
      <c r="N605">
        <f>IF(M605="","",IF(ISNUMBER(B605),B605,IFERROR(_xlfn.NUMBERVALUE(B605,".",","),0)))</f>
        <v/>
      </c>
      <c r="O605">
        <f>IF(M605="","",IF(ISNUMBER(C605),C605,IFERROR(_xlfn.NUMBERVALUE(C605,".",","),0)))</f>
        <v/>
      </c>
    </row>
    <row r="606">
      <c r="K606">
        <f>IF(OR(LEFT(B606,9)="DOANH THU",LEFT(B606,8)="SỐ LƯỢNG"),A606,IF(A606="","",K605))</f>
        <v/>
      </c>
      <c r="L606">
        <f>IF(A606="","",IF(ISNUMBER(--LEFT(A606,FIND(" - ",A606&amp;" - ")-1)),LEFT(A606,FIND(" - ",A606&amp;" - ")-1),TRIM(A606)))</f>
        <v/>
      </c>
      <c r="M606">
        <f>IF(OR(K606="",K606=A606,A606=""),"",K606&amp;"|"&amp;L606)</f>
        <v/>
      </c>
      <c r="N606">
        <f>IF(M606="","",IF(ISNUMBER(B606),B606,IFERROR(_xlfn.NUMBERVALUE(B606,".",","),0)))</f>
        <v/>
      </c>
      <c r="O606">
        <f>IF(M606="","",IF(ISNUMBER(C606),C606,IFERROR(_xlfn.NUMBERVALUE(C606,".",","),0)))</f>
        <v/>
      </c>
    </row>
    <row r="607">
      <c r="K607">
        <f>IF(OR(LEFT(B607,9)="DOANH THU",LEFT(B607,8)="SỐ LƯỢNG"),A607,IF(A607="","",K606))</f>
        <v/>
      </c>
      <c r="L607">
        <f>IF(A607="","",IF(ISNUMBER(--LEFT(A607,FIND(" - ",A607&amp;" - ")-1)),LEFT(A607,FIND(" - ",A607&amp;" - ")-1),TRIM(A607)))</f>
        <v/>
      </c>
      <c r="M607">
        <f>IF(OR(K607="",K607=A607,A607=""),"",K607&amp;"|"&amp;L607)</f>
        <v/>
      </c>
      <c r="N607">
        <f>IF(M607="","",IF(ISNUMBER(B607),B607,IFERROR(_xlfn.NUMBERVALUE(B607,".",","),0)))</f>
        <v/>
      </c>
      <c r="O607">
        <f>IF(M607="","",IF(ISNUMBER(C607),C607,IFERROR(_xlfn.NUMBERVALUE(C607,".",","),0)))</f>
        <v/>
      </c>
    </row>
    <row r="608">
      <c r="K608">
        <f>IF(OR(LEFT(B608,9)="DOANH THU",LEFT(B608,8)="SỐ LƯỢNG"),A608,IF(A608="","",K607))</f>
        <v/>
      </c>
      <c r="L608">
        <f>IF(A608="","",IF(ISNUMBER(--LEFT(A608,FIND(" - ",A608&amp;" - ")-1)),LEFT(A608,FIND(" - ",A608&amp;" - ")-1),TRIM(A608)))</f>
        <v/>
      </c>
      <c r="M608">
        <f>IF(OR(K608="",K608=A608,A608=""),"",K608&amp;"|"&amp;L608)</f>
        <v/>
      </c>
      <c r="N608">
        <f>IF(M608="","",IF(ISNUMBER(B608),B608,IFERROR(_xlfn.NUMBERVALUE(B608,".",","),0)))</f>
        <v/>
      </c>
      <c r="O608">
        <f>IF(M608="","",IF(ISNUMBER(C608),C608,IFERROR(_xlfn.NUMBERVALUE(C608,".",","),0)))</f>
        <v/>
      </c>
    </row>
    <row r="609">
      <c r="K609">
        <f>IF(OR(LEFT(B609,9)="DOANH THU",LEFT(B609,8)="SỐ LƯỢNG"),A609,IF(A609="","",K608))</f>
        <v/>
      </c>
      <c r="L609">
        <f>IF(A609="","",IF(ISNUMBER(--LEFT(A609,FIND(" - ",A609&amp;" - ")-1)),LEFT(A609,FIND(" - ",A609&amp;" - ")-1),TRIM(A609)))</f>
        <v/>
      </c>
      <c r="M609">
        <f>IF(OR(K609="",K609=A609,A609=""),"",K609&amp;"|"&amp;L609)</f>
        <v/>
      </c>
      <c r="N609">
        <f>IF(M609="","",IF(ISNUMBER(B609),B609,IFERROR(_xlfn.NUMBERVALUE(B609,".",","),0)))</f>
        <v/>
      </c>
      <c r="O609">
        <f>IF(M609="","",IF(ISNUMBER(C609),C609,IFERROR(_xlfn.NUMBERVALUE(C609,".",","),0)))</f>
        <v/>
      </c>
    </row>
    <row r="610">
      <c r="K610">
        <f>IF(OR(LEFT(B610,9)="DOANH THU",LEFT(B610,8)="SỐ LƯỢNG"),A610,IF(A610="","",K609))</f>
        <v/>
      </c>
      <c r="L610">
        <f>IF(A610="","",IF(ISNUMBER(--LEFT(A610,FIND(" - ",A610&amp;" - ")-1)),LEFT(A610,FIND(" - ",A610&amp;" - ")-1),TRIM(A610)))</f>
        <v/>
      </c>
      <c r="M610">
        <f>IF(OR(K610="",K610=A610,A610=""),"",K610&amp;"|"&amp;L610)</f>
        <v/>
      </c>
      <c r="N610">
        <f>IF(M610="","",IF(ISNUMBER(B610),B610,IFERROR(_xlfn.NUMBERVALUE(B610,".",","),0)))</f>
        <v/>
      </c>
      <c r="O610">
        <f>IF(M610="","",IF(ISNUMBER(C610),C610,IFERROR(_xlfn.NUMBERVALUE(C610,".",","),0)))</f>
        <v/>
      </c>
    </row>
    <row r="611">
      <c r="K611">
        <f>IF(OR(LEFT(B611,9)="DOANH THU",LEFT(B611,8)="SỐ LƯỢNG"),A611,IF(A611="","",K610))</f>
        <v/>
      </c>
      <c r="L611">
        <f>IF(A611="","",IF(ISNUMBER(--LEFT(A611,FIND(" - ",A611&amp;" - ")-1)),LEFT(A611,FIND(" - ",A611&amp;" - ")-1),TRIM(A611)))</f>
        <v/>
      </c>
      <c r="M611">
        <f>IF(OR(K611="",K611=A611,A611=""),"",K611&amp;"|"&amp;L611)</f>
        <v/>
      </c>
      <c r="N611">
        <f>IF(M611="","",IF(ISNUMBER(B611),B611,IFERROR(_xlfn.NUMBERVALUE(B611,".",","),0)))</f>
        <v/>
      </c>
      <c r="O611">
        <f>IF(M611="","",IF(ISNUMBER(C611),C611,IFERROR(_xlfn.NUMBERVALUE(C611,".",","),0)))</f>
        <v/>
      </c>
    </row>
    <row r="612">
      <c r="K612">
        <f>IF(OR(LEFT(B612,9)="DOANH THU",LEFT(B612,8)="SỐ LƯỢNG"),A612,IF(A612="","",K611))</f>
        <v/>
      </c>
      <c r="L612">
        <f>IF(A612="","",IF(ISNUMBER(--LEFT(A612,FIND(" - ",A612&amp;" - ")-1)),LEFT(A612,FIND(" - ",A612&amp;" - ")-1),TRIM(A612)))</f>
        <v/>
      </c>
      <c r="M612">
        <f>IF(OR(K612="",K612=A612,A612=""),"",K612&amp;"|"&amp;L612)</f>
        <v/>
      </c>
      <c r="N612">
        <f>IF(M612="","",IF(ISNUMBER(B612),B612,IFERROR(_xlfn.NUMBERVALUE(B612,".",","),0)))</f>
        <v/>
      </c>
      <c r="O612">
        <f>IF(M612="","",IF(ISNUMBER(C612),C612,IFERROR(_xlfn.NUMBERVALUE(C612,".",","),0)))</f>
        <v/>
      </c>
    </row>
    <row r="613">
      <c r="K613">
        <f>IF(OR(LEFT(B613,9)="DOANH THU",LEFT(B613,8)="SỐ LƯỢNG"),A613,IF(A613="","",K612))</f>
        <v/>
      </c>
      <c r="L613">
        <f>IF(A613="","",IF(ISNUMBER(--LEFT(A613,FIND(" - ",A613&amp;" - ")-1)),LEFT(A613,FIND(" - ",A613&amp;" - ")-1),TRIM(A613)))</f>
        <v/>
      </c>
      <c r="M613">
        <f>IF(OR(K613="",K613=A613,A613=""),"",K613&amp;"|"&amp;L613)</f>
        <v/>
      </c>
      <c r="N613">
        <f>IF(M613="","",IF(ISNUMBER(B613),B613,IFERROR(_xlfn.NUMBERVALUE(B613,".",","),0)))</f>
        <v/>
      </c>
      <c r="O613">
        <f>IF(M613="","",IF(ISNUMBER(C613),C613,IFERROR(_xlfn.NUMBERVALUE(C613,".",","),0)))</f>
        <v/>
      </c>
    </row>
    <row r="614">
      <c r="K614">
        <f>IF(OR(LEFT(B614,9)="DOANH THU",LEFT(B614,8)="SỐ LƯỢNG"),A614,IF(A614="","",K613))</f>
        <v/>
      </c>
      <c r="L614">
        <f>IF(A614="","",IF(ISNUMBER(--LEFT(A614,FIND(" - ",A614&amp;" - ")-1)),LEFT(A614,FIND(" - ",A614&amp;" - ")-1),TRIM(A614)))</f>
        <v/>
      </c>
      <c r="M614">
        <f>IF(OR(K614="",K614=A614,A614=""),"",K614&amp;"|"&amp;L614)</f>
        <v/>
      </c>
      <c r="N614">
        <f>IF(M614="","",IF(ISNUMBER(B614),B614,IFERROR(_xlfn.NUMBERVALUE(B614,".",","),0)))</f>
        <v/>
      </c>
      <c r="O614">
        <f>IF(M614="","",IF(ISNUMBER(C614),C614,IFERROR(_xlfn.NUMBERVALUE(C614,".",","),0)))</f>
        <v/>
      </c>
    </row>
    <row r="615">
      <c r="K615">
        <f>IF(OR(LEFT(B615,9)="DOANH THU",LEFT(B615,8)="SỐ LƯỢNG"),A615,IF(A615="","",K614))</f>
        <v/>
      </c>
      <c r="L615">
        <f>IF(A615="","",IF(ISNUMBER(--LEFT(A615,FIND(" - ",A615&amp;" - ")-1)),LEFT(A615,FIND(" - ",A615&amp;" - ")-1),TRIM(A615)))</f>
        <v/>
      </c>
      <c r="M615">
        <f>IF(OR(K615="",K615=A615,A615=""),"",K615&amp;"|"&amp;L615)</f>
        <v/>
      </c>
      <c r="N615">
        <f>IF(M615="","",IF(ISNUMBER(B615),B615,IFERROR(_xlfn.NUMBERVALUE(B615,".",","),0)))</f>
        <v/>
      </c>
      <c r="O615">
        <f>IF(M615="","",IF(ISNUMBER(C615),C615,IFERROR(_xlfn.NUMBERVALUE(C615,".",","),0)))</f>
        <v/>
      </c>
    </row>
    <row r="616">
      <c r="K616">
        <f>IF(OR(LEFT(B616,9)="DOANH THU",LEFT(B616,8)="SỐ LƯỢNG"),A616,IF(A616="","",K615))</f>
        <v/>
      </c>
      <c r="L616">
        <f>IF(A616="","",IF(ISNUMBER(--LEFT(A616,FIND(" - ",A616&amp;" - ")-1)),LEFT(A616,FIND(" - ",A616&amp;" - ")-1),TRIM(A616)))</f>
        <v/>
      </c>
      <c r="M616">
        <f>IF(OR(K616="",K616=A616,A616=""),"",K616&amp;"|"&amp;L616)</f>
        <v/>
      </c>
      <c r="N616">
        <f>IF(M616="","",IF(ISNUMBER(B616),B616,IFERROR(_xlfn.NUMBERVALUE(B616,".",","),0)))</f>
        <v/>
      </c>
      <c r="O616">
        <f>IF(M616="","",IF(ISNUMBER(C616),C616,IFERROR(_xlfn.NUMBERVALUE(C616,".",","),0)))</f>
        <v/>
      </c>
    </row>
    <row r="617">
      <c r="K617">
        <f>IF(OR(LEFT(B617,9)="DOANH THU",LEFT(B617,8)="SỐ LƯỢNG"),A617,IF(A617="","",K616))</f>
        <v/>
      </c>
      <c r="L617">
        <f>IF(A617="","",IF(ISNUMBER(--LEFT(A617,FIND(" - ",A617&amp;" - ")-1)),LEFT(A617,FIND(" - ",A617&amp;" - ")-1),TRIM(A617)))</f>
        <v/>
      </c>
      <c r="M617">
        <f>IF(OR(K617="",K617=A617,A617=""),"",K617&amp;"|"&amp;L617)</f>
        <v/>
      </c>
      <c r="N617">
        <f>IF(M617="","",IF(ISNUMBER(B617),B617,IFERROR(_xlfn.NUMBERVALUE(B617,".",","),0)))</f>
        <v/>
      </c>
      <c r="O617">
        <f>IF(M617="","",IF(ISNUMBER(C617),C617,IFERROR(_xlfn.NUMBERVALUE(C617,".",","),0)))</f>
        <v/>
      </c>
    </row>
    <row r="618">
      <c r="K618">
        <f>IF(OR(LEFT(B618,9)="DOANH THU",LEFT(B618,8)="SỐ LƯỢNG"),A618,IF(A618="","",K617))</f>
        <v/>
      </c>
      <c r="L618">
        <f>IF(A618="","",IF(ISNUMBER(--LEFT(A618,FIND(" - ",A618&amp;" - ")-1)),LEFT(A618,FIND(" - ",A618&amp;" - ")-1),TRIM(A618)))</f>
        <v/>
      </c>
      <c r="M618">
        <f>IF(OR(K618="",K618=A618,A618=""),"",K618&amp;"|"&amp;L618)</f>
        <v/>
      </c>
      <c r="N618">
        <f>IF(M618="","",IF(ISNUMBER(B618),B618,IFERROR(_xlfn.NUMBERVALUE(B618,".",","),0)))</f>
        <v/>
      </c>
      <c r="O618">
        <f>IF(M618="","",IF(ISNUMBER(C618),C618,IFERROR(_xlfn.NUMBERVALUE(C618,".",","),0)))</f>
        <v/>
      </c>
    </row>
    <row r="619">
      <c r="K619">
        <f>IF(OR(LEFT(B619,9)="DOANH THU",LEFT(B619,8)="SỐ LƯỢNG"),A619,IF(A619="","",K618))</f>
        <v/>
      </c>
      <c r="L619">
        <f>IF(A619="","",IF(ISNUMBER(--LEFT(A619,FIND(" - ",A619&amp;" - ")-1)),LEFT(A619,FIND(" - ",A619&amp;" - ")-1),TRIM(A619)))</f>
        <v/>
      </c>
      <c r="M619">
        <f>IF(OR(K619="",K619=A619,A619=""),"",K619&amp;"|"&amp;L619)</f>
        <v/>
      </c>
      <c r="N619">
        <f>IF(M619="","",IF(ISNUMBER(B619),B619,IFERROR(_xlfn.NUMBERVALUE(B619,".",","),0)))</f>
        <v/>
      </c>
      <c r="O619">
        <f>IF(M619="","",IF(ISNUMBER(C619),C619,IFERROR(_xlfn.NUMBERVALUE(C619,".",","),0)))</f>
        <v/>
      </c>
    </row>
    <row r="620">
      <c r="K620">
        <f>IF(OR(LEFT(B620,9)="DOANH THU",LEFT(B620,8)="SỐ LƯỢNG"),A620,IF(A620="","",K619))</f>
        <v/>
      </c>
      <c r="L620">
        <f>IF(A620="","",IF(ISNUMBER(--LEFT(A620,FIND(" - ",A620&amp;" - ")-1)),LEFT(A620,FIND(" - ",A620&amp;" - ")-1),TRIM(A620)))</f>
        <v/>
      </c>
      <c r="M620">
        <f>IF(OR(K620="",K620=A620,A620=""),"",K620&amp;"|"&amp;L620)</f>
        <v/>
      </c>
      <c r="N620">
        <f>IF(M620="","",IF(ISNUMBER(B620),B620,IFERROR(_xlfn.NUMBERVALUE(B620,".",","),0)))</f>
        <v/>
      </c>
      <c r="O620">
        <f>IF(M620="","",IF(ISNUMBER(C620),C620,IFERROR(_xlfn.NUMBERVALUE(C620,".",","),0)))</f>
        <v/>
      </c>
    </row>
    <row r="621">
      <c r="K621">
        <f>IF(OR(LEFT(B621,9)="DOANH THU",LEFT(B621,8)="SỐ LƯỢNG"),A621,IF(A621="","",K620))</f>
        <v/>
      </c>
      <c r="L621">
        <f>IF(A621="","",IF(ISNUMBER(--LEFT(A621,FIND(" - ",A621&amp;" - ")-1)),LEFT(A621,FIND(" - ",A621&amp;" - ")-1),TRIM(A621)))</f>
        <v/>
      </c>
      <c r="M621">
        <f>IF(OR(K621="",K621=A621,A621=""),"",K621&amp;"|"&amp;L621)</f>
        <v/>
      </c>
      <c r="N621">
        <f>IF(M621="","",IF(ISNUMBER(B621),B621,IFERROR(_xlfn.NUMBERVALUE(B621,".",","),0)))</f>
        <v/>
      </c>
      <c r="O621">
        <f>IF(M621="","",IF(ISNUMBER(C621),C621,IFERROR(_xlfn.NUMBERVALUE(C621,".",","),0)))</f>
        <v/>
      </c>
    </row>
    <row r="622">
      <c r="K622">
        <f>IF(OR(LEFT(B622,9)="DOANH THU",LEFT(B622,8)="SỐ LƯỢNG"),A622,IF(A622="","",K621))</f>
        <v/>
      </c>
      <c r="L622">
        <f>IF(A622="","",IF(ISNUMBER(--LEFT(A622,FIND(" - ",A622&amp;" - ")-1)),LEFT(A622,FIND(" - ",A622&amp;" - ")-1),TRIM(A622)))</f>
        <v/>
      </c>
      <c r="M622">
        <f>IF(OR(K622="",K622=A622,A622=""),"",K622&amp;"|"&amp;L622)</f>
        <v/>
      </c>
      <c r="N622">
        <f>IF(M622="","",IF(ISNUMBER(B622),B622,IFERROR(_xlfn.NUMBERVALUE(B622,".",","),0)))</f>
        <v/>
      </c>
      <c r="O622">
        <f>IF(M622="","",IF(ISNUMBER(C622),C622,IFERROR(_xlfn.NUMBERVALUE(C622,".",","),0)))</f>
        <v/>
      </c>
    </row>
    <row r="623">
      <c r="K623">
        <f>IF(OR(LEFT(B623,9)="DOANH THU",LEFT(B623,8)="SỐ LƯỢNG"),A623,IF(A623="","",K622))</f>
        <v/>
      </c>
      <c r="L623">
        <f>IF(A623="","",IF(ISNUMBER(--LEFT(A623,FIND(" - ",A623&amp;" - ")-1)),LEFT(A623,FIND(" - ",A623&amp;" - ")-1),TRIM(A623)))</f>
        <v/>
      </c>
      <c r="M623">
        <f>IF(OR(K623="",K623=A623,A623=""),"",K623&amp;"|"&amp;L623)</f>
        <v/>
      </c>
      <c r="N623">
        <f>IF(M623="","",IF(ISNUMBER(B623),B623,IFERROR(_xlfn.NUMBERVALUE(B623,".",","),0)))</f>
        <v/>
      </c>
      <c r="O623">
        <f>IF(M623="","",IF(ISNUMBER(C623),C623,IFERROR(_xlfn.NUMBERVALUE(C623,".",","),0)))</f>
        <v/>
      </c>
    </row>
    <row r="624">
      <c r="K624">
        <f>IF(OR(LEFT(B624,9)="DOANH THU",LEFT(B624,8)="SỐ LƯỢNG"),A624,IF(A624="","",K623))</f>
        <v/>
      </c>
      <c r="L624">
        <f>IF(A624="","",IF(ISNUMBER(--LEFT(A624,FIND(" - ",A624&amp;" - ")-1)),LEFT(A624,FIND(" - ",A624&amp;" - ")-1),TRIM(A624)))</f>
        <v/>
      </c>
      <c r="M624">
        <f>IF(OR(K624="",K624=A624,A624=""),"",K624&amp;"|"&amp;L624)</f>
        <v/>
      </c>
      <c r="N624">
        <f>IF(M624="","",IF(ISNUMBER(B624),B624,IFERROR(_xlfn.NUMBERVALUE(B624,".",","),0)))</f>
        <v/>
      </c>
      <c r="O624">
        <f>IF(M624="","",IF(ISNUMBER(C624),C624,IFERROR(_xlfn.NUMBERVALUE(C624,".",","),0)))</f>
        <v/>
      </c>
    </row>
    <row r="625">
      <c r="K625">
        <f>IF(OR(LEFT(B625,9)="DOANH THU",LEFT(B625,8)="SỐ LƯỢNG"),A625,IF(A625="","",K624))</f>
        <v/>
      </c>
      <c r="L625">
        <f>IF(A625="","",IF(ISNUMBER(--LEFT(A625,FIND(" - ",A625&amp;" - ")-1)),LEFT(A625,FIND(" - ",A625&amp;" - ")-1),TRIM(A625)))</f>
        <v/>
      </c>
      <c r="M625">
        <f>IF(OR(K625="",K625=A625,A625=""),"",K625&amp;"|"&amp;L625)</f>
        <v/>
      </c>
      <c r="N625">
        <f>IF(M625="","",IF(ISNUMBER(B625),B625,IFERROR(_xlfn.NUMBERVALUE(B625,".",","),0)))</f>
        <v/>
      </c>
      <c r="O625">
        <f>IF(M625="","",IF(ISNUMBER(C625),C625,IFERROR(_xlfn.NUMBERVALUE(C625,".",","),0)))</f>
        <v/>
      </c>
    </row>
    <row r="626">
      <c r="K626">
        <f>IF(OR(LEFT(B626,9)="DOANH THU",LEFT(B626,8)="SỐ LƯỢNG"),A626,IF(A626="","",K625))</f>
        <v/>
      </c>
      <c r="L626">
        <f>IF(A626="","",IF(ISNUMBER(--LEFT(A626,FIND(" - ",A626&amp;" - ")-1)),LEFT(A626,FIND(" - ",A626&amp;" - ")-1),TRIM(A626)))</f>
        <v/>
      </c>
      <c r="M626">
        <f>IF(OR(K626="",K626=A626,A626=""),"",K626&amp;"|"&amp;L626)</f>
        <v/>
      </c>
      <c r="N626">
        <f>IF(M626="","",IF(ISNUMBER(B626),B626,IFERROR(_xlfn.NUMBERVALUE(B626,".",","),0)))</f>
        <v/>
      </c>
      <c r="O626">
        <f>IF(M626="","",IF(ISNUMBER(C626),C626,IFERROR(_xlfn.NUMBERVALUE(C626,".",","),0)))</f>
        <v/>
      </c>
    </row>
    <row r="627">
      <c r="K627">
        <f>IF(OR(LEFT(B627,9)="DOANH THU",LEFT(B627,8)="SỐ LƯỢNG"),A627,IF(A627="","",K626))</f>
        <v/>
      </c>
      <c r="L627">
        <f>IF(A627="","",IF(ISNUMBER(--LEFT(A627,FIND(" - ",A627&amp;" - ")-1)),LEFT(A627,FIND(" - ",A627&amp;" - ")-1),TRIM(A627)))</f>
        <v/>
      </c>
      <c r="M627">
        <f>IF(OR(K627="",K627=A627,A627=""),"",K627&amp;"|"&amp;L627)</f>
        <v/>
      </c>
      <c r="N627">
        <f>IF(M627="","",IF(ISNUMBER(B627),B627,IFERROR(_xlfn.NUMBERVALUE(B627,".",","),0)))</f>
        <v/>
      </c>
      <c r="O627">
        <f>IF(M627="","",IF(ISNUMBER(C627),C627,IFERROR(_xlfn.NUMBERVALUE(C627,".",","),0)))</f>
        <v/>
      </c>
    </row>
    <row r="628">
      <c r="K628">
        <f>IF(OR(LEFT(B628,9)="DOANH THU",LEFT(B628,8)="SỐ LƯỢNG"),A628,IF(A628="","",K627))</f>
        <v/>
      </c>
      <c r="L628">
        <f>IF(A628="","",IF(ISNUMBER(--LEFT(A628,FIND(" - ",A628&amp;" - ")-1)),LEFT(A628,FIND(" - ",A628&amp;" - ")-1),TRIM(A628)))</f>
        <v/>
      </c>
      <c r="M628">
        <f>IF(OR(K628="",K628=A628,A628=""),"",K628&amp;"|"&amp;L628)</f>
        <v/>
      </c>
      <c r="N628">
        <f>IF(M628="","",IF(ISNUMBER(B628),B628,IFERROR(_xlfn.NUMBERVALUE(B628,".",","),0)))</f>
        <v/>
      </c>
      <c r="O628">
        <f>IF(M628="","",IF(ISNUMBER(C628),C628,IFERROR(_xlfn.NUMBERVALUE(C628,".",","),0)))</f>
        <v/>
      </c>
    </row>
    <row r="629">
      <c r="K629">
        <f>IF(OR(LEFT(B629,9)="DOANH THU",LEFT(B629,8)="SỐ LƯỢNG"),A629,IF(A629="","",K628))</f>
        <v/>
      </c>
      <c r="L629">
        <f>IF(A629="","",IF(ISNUMBER(--LEFT(A629,FIND(" - ",A629&amp;" - ")-1)),LEFT(A629,FIND(" - ",A629&amp;" - ")-1),TRIM(A629)))</f>
        <v/>
      </c>
      <c r="M629">
        <f>IF(OR(K629="",K629=A629,A629=""),"",K629&amp;"|"&amp;L629)</f>
        <v/>
      </c>
      <c r="N629">
        <f>IF(M629="","",IF(ISNUMBER(B629),B629,IFERROR(_xlfn.NUMBERVALUE(B629,".",","),0)))</f>
        <v/>
      </c>
      <c r="O629">
        <f>IF(M629="","",IF(ISNUMBER(C629),C629,IFERROR(_xlfn.NUMBERVALUE(C629,".",","),0)))</f>
        <v/>
      </c>
    </row>
    <row r="630">
      <c r="K630">
        <f>IF(OR(LEFT(B630,9)="DOANH THU",LEFT(B630,8)="SỐ LƯỢNG"),A630,IF(A630="","",K629))</f>
        <v/>
      </c>
      <c r="L630">
        <f>IF(A630="","",IF(ISNUMBER(--LEFT(A630,FIND(" - ",A630&amp;" - ")-1)),LEFT(A630,FIND(" - ",A630&amp;" - ")-1),TRIM(A630)))</f>
        <v/>
      </c>
      <c r="M630">
        <f>IF(OR(K630="",K630=A630,A630=""),"",K630&amp;"|"&amp;L630)</f>
        <v/>
      </c>
      <c r="N630">
        <f>IF(M630="","",IF(ISNUMBER(B630),B630,IFERROR(_xlfn.NUMBERVALUE(B630,".",","),0)))</f>
        <v/>
      </c>
      <c r="O630">
        <f>IF(M630="","",IF(ISNUMBER(C630),C630,IFERROR(_xlfn.NUMBERVALUE(C630,".",","),0)))</f>
        <v/>
      </c>
    </row>
    <row r="631">
      <c r="K631">
        <f>IF(OR(LEFT(B631,9)="DOANH THU",LEFT(B631,8)="SỐ LƯỢNG"),A631,IF(A631="","",K630))</f>
        <v/>
      </c>
      <c r="L631">
        <f>IF(A631="","",IF(ISNUMBER(--LEFT(A631,FIND(" - ",A631&amp;" - ")-1)),LEFT(A631,FIND(" - ",A631&amp;" - ")-1),TRIM(A631)))</f>
        <v/>
      </c>
      <c r="M631">
        <f>IF(OR(K631="",K631=A631,A631=""),"",K631&amp;"|"&amp;L631)</f>
        <v/>
      </c>
      <c r="N631">
        <f>IF(M631="","",IF(ISNUMBER(B631),B631,IFERROR(_xlfn.NUMBERVALUE(B631,".",","),0)))</f>
        <v/>
      </c>
      <c r="O631">
        <f>IF(M631="","",IF(ISNUMBER(C631),C631,IFERROR(_xlfn.NUMBERVALUE(C631,".",","),0)))</f>
        <v/>
      </c>
    </row>
    <row r="632">
      <c r="K632">
        <f>IF(OR(LEFT(B632,9)="DOANH THU",LEFT(B632,8)="SỐ LƯỢNG"),A632,IF(A632="","",K631))</f>
        <v/>
      </c>
      <c r="L632">
        <f>IF(A632="","",IF(ISNUMBER(--LEFT(A632,FIND(" - ",A632&amp;" - ")-1)),LEFT(A632,FIND(" - ",A632&amp;" - ")-1),TRIM(A632)))</f>
        <v/>
      </c>
      <c r="M632">
        <f>IF(OR(K632="",K632=A632,A632=""),"",K632&amp;"|"&amp;L632)</f>
        <v/>
      </c>
      <c r="N632">
        <f>IF(M632="","",IF(ISNUMBER(B632),B632,IFERROR(_xlfn.NUMBERVALUE(B632,".",","),0)))</f>
        <v/>
      </c>
      <c r="O632">
        <f>IF(M632="","",IF(ISNUMBER(C632),C632,IFERROR(_xlfn.NUMBERVALUE(C632,".",","),0)))</f>
        <v/>
      </c>
    </row>
    <row r="633">
      <c r="K633">
        <f>IF(OR(LEFT(B633,9)="DOANH THU",LEFT(B633,8)="SỐ LƯỢNG"),A633,IF(A633="","",K632))</f>
        <v/>
      </c>
      <c r="L633">
        <f>IF(A633="","",IF(ISNUMBER(--LEFT(A633,FIND(" - ",A633&amp;" - ")-1)),LEFT(A633,FIND(" - ",A633&amp;" - ")-1),TRIM(A633)))</f>
        <v/>
      </c>
      <c r="M633">
        <f>IF(OR(K633="",K633=A633,A633=""),"",K633&amp;"|"&amp;L633)</f>
        <v/>
      </c>
      <c r="N633">
        <f>IF(M633="","",IF(ISNUMBER(B633),B633,IFERROR(_xlfn.NUMBERVALUE(B633,".",","),0)))</f>
        <v/>
      </c>
      <c r="O633">
        <f>IF(M633="","",IF(ISNUMBER(C633),C633,IFERROR(_xlfn.NUMBERVALUE(C633,".",","),0)))</f>
        <v/>
      </c>
    </row>
    <row r="634">
      <c r="K634">
        <f>IF(OR(LEFT(B634,9)="DOANH THU",LEFT(B634,8)="SỐ LƯỢNG"),A634,IF(A634="","",K633))</f>
        <v/>
      </c>
      <c r="L634">
        <f>IF(A634="","",IF(ISNUMBER(--LEFT(A634,FIND(" - ",A634&amp;" - ")-1)),LEFT(A634,FIND(" - ",A634&amp;" - ")-1),TRIM(A634)))</f>
        <v/>
      </c>
      <c r="M634">
        <f>IF(OR(K634="",K634=A634,A634=""),"",K634&amp;"|"&amp;L634)</f>
        <v/>
      </c>
      <c r="N634">
        <f>IF(M634="","",IF(ISNUMBER(B634),B634,IFERROR(_xlfn.NUMBERVALUE(B634,".",","),0)))</f>
        <v/>
      </c>
      <c r="O634">
        <f>IF(M634="","",IF(ISNUMBER(C634),C634,IFERROR(_xlfn.NUMBERVALUE(C634,".",","),0)))</f>
        <v/>
      </c>
    </row>
    <row r="635">
      <c r="K635">
        <f>IF(OR(LEFT(B635,9)="DOANH THU",LEFT(B635,8)="SỐ LƯỢNG"),A635,IF(A635="","",K634))</f>
        <v/>
      </c>
      <c r="L635">
        <f>IF(A635="","",IF(ISNUMBER(--LEFT(A635,FIND(" - ",A635&amp;" - ")-1)),LEFT(A635,FIND(" - ",A635&amp;" - ")-1),TRIM(A635)))</f>
        <v/>
      </c>
      <c r="M635">
        <f>IF(OR(K635="",K635=A635,A635=""),"",K635&amp;"|"&amp;L635)</f>
        <v/>
      </c>
      <c r="N635">
        <f>IF(M635="","",IF(ISNUMBER(B635),B635,IFERROR(_xlfn.NUMBERVALUE(B635,".",","),0)))</f>
        <v/>
      </c>
      <c r="O635">
        <f>IF(M635="","",IF(ISNUMBER(C635),C635,IFERROR(_xlfn.NUMBERVALUE(C635,".",","),0)))</f>
        <v/>
      </c>
    </row>
    <row r="636">
      <c r="K636">
        <f>IF(OR(LEFT(B636,9)="DOANH THU",LEFT(B636,8)="SỐ LƯỢNG"),A636,IF(A636="","",K635))</f>
        <v/>
      </c>
      <c r="L636">
        <f>IF(A636="","",IF(ISNUMBER(--LEFT(A636,FIND(" - ",A636&amp;" - ")-1)),LEFT(A636,FIND(" - ",A636&amp;" - ")-1),TRIM(A636)))</f>
        <v/>
      </c>
      <c r="M636">
        <f>IF(OR(K636="",K636=A636,A636=""),"",K636&amp;"|"&amp;L636)</f>
        <v/>
      </c>
      <c r="N636">
        <f>IF(M636="","",IF(ISNUMBER(B636),B636,IFERROR(_xlfn.NUMBERVALUE(B636,".",","),0)))</f>
        <v/>
      </c>
      <c r="O636">
        <f>IF(M636="","",IF(ISNUMBER(C636),C636,IFERROR(_xlfn.NUMBERVALUE(C636,".",","),0)))</f>
        <v/>
      </c>
    </row>
    <row r="637">
      <c r="K637">
        <f>IF(OR(LEFT(B637,9)="DOANH THU",LEFT(B637,8)="SỐ LƯỢNG"),A637,IF(A637="","",K636))</f>
        <v/>
      </c>
      <c r="L637">
        <f>IF(A637="","",IF(ISNUMBER(--LEFT(A637,FIND(" - ",A637&amp;" - ")-1)),LEFT(A637,FIND(" - ",A637&amp;" - ")-1),TRIM(A637)))</f>
        <v/>
      </c>
      <c r="M637">
        <f>IF(OR(K637="",K637=A637,A637=""),"",K637&amp;"|"&amp;L637)</f>
        <v/>
      </c>
      <c r="N637">
        <f>IF(M637="","",IF(ISNUMBER(B637),B637,IFERROR(_xlfn.NUMBERVALUE(B637,".",","),0)))</f>
        <v/>
      </c>
      <c r="O637">
        <f>IF(M637="","",IF(ISNUMBER(C637),C637,IFERROR(_xlfn.NUMBERVALUE(C637,".",","),0)))</f>
        <v/>
      </c>
    </row>
    <row r="638">
      <c r="K638">
        <f>IF(OR(LEFT(B638,9)="DOANH THU",LEFT(B638,8)="SỐ LƯỢNG"),A638,IF(A638="","",K637))</f>
        <v/>
      </c>
      <c r="L638">
        <f>IF(A638="","",IF(ISNUMBER(--LEFT(A638,FIND(" - ",A638&amp;" - ")-1)),LEFT(A638,FIND(" - ",A638&amp;" - ")-1),TRIM(A638)))</f>
        <v/>
      </c>
      <c r="M638">
        <f>IF(OR(K638="",K638=A638,A638=""),"",K638&amp;"|"&amp;L638)</f>
        <v/>
      </c>
      <c r="N638">
        <f>IF(M638="","",IF(ISNUMBER(B638),B638,IFERROR(_xlfn.NUMBERVALUE(B638,".",","),0)))</f>
        <v/>
      </c>
      <c r="O638">
        <f>IF(M638="","",IF(ISNUMBER(C638),C638,IFERROR(_xlfn.NUMBERVALUE(C638,".",","),0)))</f>
        <v/>
      </c>
    </row>
    <row r="639">
      <c r="K639">
        <f>IF(OR(LEFT(B639,9)="DOANH THU",LEFT(B639,8)="SỐ LƯỢNG"),A639,IF(A639="","",K638))</f>
        <v/>
      </c>
      <c r="L639">
        <f>IF(A639="","",IF(ISNUMBER(--LEFT(A639,FIND(" - ",A639&amp;" - ")-1)),LEFT(A639,FIND(" - ",A639&amp;" - ")-1),TRIM(A639)))</f>
        <v/>
      </c>
      <c r="M639">
        <f>IF(OR(K639="",K639=A639,A639=""),"",K639&amp;"|"&amp;L639)</f>
        <v/>
      </c>
      <c r="N639">
        <f>IF(M639="","",IF(ISNUMBER(B639),B639,IFERROR(_xlfn.NUMBERVALUE(B639,".",","),0)))</f>
        <v/>
      </c>
      <c r="O639">
        <f>IF(M639="","",IF(ISNUMBER(C639),C639,IFERROR(_xlfn.NUMBERVALUE(C639,".",","),0)))</f>
        <v/>
      </c>
    </row>
    <row r="640">
      <c r="K640">
        <f>IF(OR(LEFT(B640,9)="DOANH THU",LEFT(B640,8)="SỐ LƯỢNG"),A640,IF(A640="","",K639))</f>
        <v/>
      </c>
      <c r="L640">
        <f>IF(A640="","",IF(ISNUMBER(--LEFT(A640,FIND(" - ",A640&amp;" - ")-1)),LEFT(A640,FIND(" - ",A640&amp;" - ")-1),TRIM(A640)))</f>
        <v/>
      </c>
      <c r="M640">
        <f>IF(OR(K640="",K640=A640,A640=""),"",K640&amp;"|"&amp;L640)</f>
        <v/>
      </c>
      <c r="N640">
        <f>IF(M640="","",IF(ISNUMBER(B640),B640,IFERROR(_xlfn.NUMBERVALUE(B640,".",","),0)))</f>
        <v/>
      </c>
      <c r="O640">
        <f>IF(M640="","",IF(ISNUMBER(C640),C640,IFERROR(_xlfn.NUMBERVALUE(C640,".",","),0)))</f>
        <v/>
      </c>
    </row>
    <row r="641">
      <c r="K641">
        <f>IF(OR(LEFT(B641,9)="DOANH THU",LEFT(B641,8)="SỐ LƯỢNG"),A641,IF(A641="","",K640))</f>
        <v/>
      </c>
      <c r="L641">
        <f>IF(A641="","",IF(ISNUMBER(--LEFT(A641,FIND(" - ",A641&amp;" - ")-1)),LEFT(A641,FIND(" - ",A641&amp;" - ")-1),TRIM(A641)))</f>
        <v/>
      </c>
      <c r="M641">
        <f>IF(OR(K641="",K641=A641,A641=""),"",K641&amp;"|"&amp;L641)</f>
        <v/>
      </c>
      <c r="N641">
        <f>IF(M641="","",IF(ISNUMBER(B641),B641,IFERROR(_xlfn.NUMBERVALUE(B641,".",","),0)))</f>
        <v/>
      </c>
      <c r="O641">
        <f>IF(M641="","",IF(ISNUMBER(C641),C641,IFERROR(_xlfn.NUMBERVALUE(C641,".",","),0)))</f>
        <v/>
      </c>
    </row>
    <row r="642">
      <c r="K642">
        <f>IF(OR(LEFT(B642,9)="DOANH THU",LEFT(B642,8)="SỐ LƯỢNG"),A642,IF(A642="","",K641))</f>
        <v/>
      </c>
      <c r="L642">
        <f>IF(A642="","",IF(ISNUMBER(--LEFT(A642,FIND(" - ",A642&amp;" - ")-1)),LEFT(A642,FIND(" - ",A642&amp;" - ")-1),TRIM(A642)))</f>
        <v/>
      </c>
      <c r="M642">
        <f>IF(OR(K642="",K642=A642,A642=""),"",K642&amp;"|"&amp;L642)</f>
        <v/>
      </c>
      <c r="N642">
        <f>IF(M642="","",IF(ISNUMBER(B642),B642,IFERROR(_xlfn.NUMBERVALUE(B642,".",","),0)))</f>
        <v/>
      </c>
      <c r="O642">
        <f>IF(M642="","",IF(ISNUMBER(C642),C642,IFERROR(_xlfn.NUMBERVALUE(C642,".",","),0)))</f>
        <v/>
      </c>
    </row>
    <row r="643">
      <c r="K643">
        <f>IF(OR(LEFT(B643,9)="DOANH THU",LEFT(B643,8)="SỐ LƯỢNG"),A643,IF(A643="","",K642))</f>
        <v/>
      </c>
      <c r="L643">
        <f>IF(A643="","",IF(ISNUMBER(--LEFT(A643,FIND(" - ",A643&amp;" - ")-1)),LEFT(A643,FIND(" - ",A643&amp;" - ")-1),TRIM(A643)))</f>
        <v/>
      </c>
      <c r="M643">
        <f>IF(OR(K643="",K643=A643,A643=""),"",K643&amp;"|"&amp;L643)</f>
        <v/>
      </c>
      <c r="N643">
        <f>IF(M643="","",IF(ISNUMBER(B643),B643,IFERROR(_xlfn.NUMBERVALUE(B643,".",","),0)))</f>
        <v/>
      </c>
      <c r="O643">
        <f>IF(M643="","",IF(ISNUMBER(C643),C643,IFERROR(_xlfn.NUMBERVALUE(C643,".",","),0)))</f>
        <v/>
      </c>
    </row>
    <row r="644">
      <c r="K644">
        <f>IF(OR(LEFT(B644,9)="DOANH THU",LEFT(B644,8)="SỐ LƯỢNG"),A644,IF(A644="","",K643))</f>
        <v/>
      </c>
      <c r="L644">
        <f>IF(A644="","",IF(ISNUMBER(--LEFT(A644,FIND(" - ",A644&amp;" - ")-1)),LEFT(A644,FIND(" - ",A644&amp;" - ")-1),TRIM(A644)))</f>
        <v/>
      </c>
      <c r="M644">
        <f>IF(OR(K644="",K644=A644,A644=""),"",K644&amp;"|"&amp;L644)</f>
        <v/>
      </c>
      <c r="N644">
        <f>IF(M644="","",IF(ISNUMBER(B644),B644,IFERROR(_xlfn.NUMBERVALUE(B644,".",","),0)))</f>
        <v/>
      </c>
      <c r="O644">
        <f>IF(M644="","",IF(ISNUMBER(C644),C644,IFERROR(_xlfn.NUMBERVALUE(C644,".",","),0)))</f>
        <v/>
      </c>
    </row>
    <row r="645">
      <c r="K645">
        <f>IF(OR(LEFT(B645,9)="DOANH THU",LEFT(B645,8)="SỐ LƯỢNG"),A645,IF(A645="","",K644))</f>
        <v/>
      </c>
      <c r="L645">
        <f>IF(A645="","",IF(ISNUMBER(--LEFT(A645,FIND(" - ",A645&amp;" - ")-1)),LEFT(A645,FIND(" - ",A645&amp;" - ")-1),TRIM(A645)))</f>
        <v/>
      </c>
      <c r="M645">
        <f>IF(OR(K645="",K645=A645,A645=""),"",K645&amp;"|"&amp;L645)</f>
        <v/>
      </c>
      <c r="N645">
        <f>IF(M645="","",IF(ISNUMBER(B645),B645,IFERROR(_xlfn.NUMBERVALUE(B645,".",","),0)))</f>
        <v/>
      </c>
      <c r="O645">
        <f>IF(M645="","",IF(ISNUMBER(C645),C645,IFERROR(_xlfn.NUMBERVALUE(C645,".",","),0)))</f>
        <v/>
      </c>
    </row>
    <row r="646">
      <c r="K646">
        <f>IF(OR(LEFT(B646,9)="DOANH THU",LEFT(B646,8)="SỐ LƯỢNG"),A646,IF(A646="","",K645))</f>
        <v/>
      </c>
      <c r="L646">
        <f>IF(A646="","",IF(ISNUMBER(--LEFT(A646,FIND(" - ",A646&amp;" - ")-1)),LEFT(A646,FIND(" - ",A646&amp;" - ")-1),TRIM(A646)))</f>
        <v/>
      </c>
      <c r="M646">
        <f>IF(OR(K646="",K646=A646,A646=""),"",K646&amp;"|"&amp;L646)</f>
        <v/>
      </c>
      <c r="N646">
        <f>IF(M646="","",IF(ISNUMBER(B646),B646,IFERROR(_xlfn.NUMBERVALUE(B646,".",","),0)))</f>
        <v/>
      </c>
      <c r="O646">
        <f>IF(M646="","",IF(ISNUMBER(C646),C646,IFERROR(_xlfn.NUMBERVALUE(C646,".",","),0)))</f>
        <v/>
      </c>
    </row>
    <row r="647">
      <c r="K647">
        <f>IF(OR(LEFT(B647,9)="DOANH THU",LEFT(B647,8)="SỐ LƯỢNG"),A647,IF(A647="","",K646))</f>
        <v/>
      </c>
      <c r="L647">
        <f>IF(A647="","",IF(ISNUMBER(--LEFT(A647,FIND(" - ",A647&amp;" - ")-1)),LEFT(A647,FIND(" - ",A647&amp;" - ")-1),TRIM(A647)))</f>
        <v/>
      </c>
      <c r="M647">
        <f>IF(OR(K647="",K647=A647,A647=""),"",K647&amp;"|"&amp;L647)</f>
        <v/>
      </c>
      <c r="N647">
        <f>IF(M647="","",IF(ISNUMBER(B647),B647,IFERROR(_xlfn.NUMBERVALUE(B647,".",","),0)))</f>
        <v/>
      </c>
      <c r="O647">
        <f>IF(M647="","",IF(ISNUMBER(C647),C647,IFERROR(_xlfn.NUMBERVALUE(C647,".",","),0)))</f>
        <v/>
      </c>
    </row>
    <row r="648">
      <c r="K648">
        <f>IF(OR(LEFT(B648,9)="DOANH THU",LEFT(B648,8)="SỐ LƯỢNG"),A648,IF(A648="","",K647))</f>
        <v/>
      </c>
      <c r="L648">
        <f>IF(A648="","",IF(ISNUMBER(--LEFT(A648,FIND(" - ",A648&amp;" - ")-1)),LEFT(A648,FIND(" - ",A648&amp;" - ")-1),TRIM(A648)))</f>
        <v/>
      </c>
      <c r="M648">
        <f>IF(OR(K648="",K648=A648,A648=""),"",K648&amp;"|"&amp;L648)</f>
        <v/>
      </c>
      <c r="N648">
        <f>IF(M648="","",IF(ISNUMBER(B648),B648,IFERROR(_xlfn.NUMBERVALUE(B648,".",","),0)))</f>
        <v/>
      </c>
      <c r="O648">
        <f>IF(M648="","",IF(ISNUMBER(C648),C648,IFERROR(_xlfn.NUMBERVALUE(C648,".",","),0)))</f>
        <v/>
      </c>
    </row>
    <row r="649">
      <c r="K649">
        <f>IF(OR(LEFT(B649,9)="DOANH THU",LEFT(B649,8)="SỐ LƯỢNG"),A649,IF(A649="","",K648))</f>
        <v/>
      </c>
      <c r="L649">
        <f>IF(A649="","",IF(ISNUMBER(--LEFT(A649,FIND(" - ",A649&amp;" - ")-1)),LEFT(A649,FIND(" - ",A649&amp;" - ")-1),TRIM(A649)))</f>
        <v/>
      </c>
      <c r="M649">
        <f>IF(OR(K649="",K649=A649,A649=""),"",K649&amp;"|"&amp;L649)</f>
        <v/>
      </c>
      <c r="N649">
        <f>IF(M649="","",IF(ISNUMBER(B649),B649,IFERROR(_xlfn.NUMBERVALUE(B649,".",","),0)))</f>
        <v/>
      </c>
      <c r="O649">
        <f>IF(M649="","",IF(ISNUMBER(C649),C649,IFERROR(_xlfn.NUMBERVALUE(C649,".",","),0)))</f>
        <v/>
      </c>
    </row>
    <row r="650">
      <c r="K650">
        <f>IF(OR(LEFT(B650,9)="DOANH THU",LEFT(B650,8)="SỐ LƯỢNG"),A650,IF(A650="","",K649))</f>
        <v/>
      </c>
      <c r="L650">
        <f>IF(A650="","",IF(ISNUMBER(--LEFT(A650,FIND(" - ",A650&amp;" - ")-1)),LEFT(A650,FIND(" - ",A650&amp;" - ")-1),TRIM(A650)))</f>
        <v/>
      </c>
      <c r="M650">
        <f>IF(OR(K650="",K650=A650,A650=""),"",K650&amp;"|"&amp;L650)</f>
        <v/>
      </c>
      <c r="N650">
        <f>IF(M650="","",IF(ISNUMBER(B650),B650,IFERROR(_xlfn.NUMBERVALUE(B650,".",","),0)))</f>
        <v/>
      </c>
      <c r="O650">
        <f>IF(M650="","",IF(ISNUMBER(C650),C650,IFERROR(_xlfn.NUMBERVALUE(C650,".",","),0)))</f>
        <v/>
      </c>
    </row>
    <row r="651">
      <c r="K651">
        <f>IF(OR(LEFT(B651,9)="DOANH THU",LEFT(B651,8)="SỐ LƯỢNG"),A651,IF(A651="","",K650))</f>
        <v/>
      </c>
      <c r="L651">
        <f>IF(A651="","",IF(ISNUMBER(--LEFT(A651,FIND(" - ",A651&amp;" - ")-1)),LEFT(A651,FIND(" - ",A651&amp;" - ")-1),TRIM(A651)))</f>
        <v/>
      </c>
      <c r="M651">
        <f>IF(OR(K651="",K651=A651,A651=""),"",K651&amp;"|"&amp;L651)</f>
        <v/>
      </c>
      <c r="N651">
        <f>IF(M651="","",IF(ISNUMBER(B651),B651,IFERROR(_xlfn.NUMBERVALUE(B651,".",","),0)))</f>
        <v/>
      </c>
      <c r="O651">
        <f>IF(M651="","",IF(ISNUMBER(C651),C651,IFERROR(_xlfn.NUMBERVALUE(C651,".",","),0)))</f>
        <v/>
      </c>
    </row>
    <row r="652">
      <c r="K652">
        <f>IF(OR(LEFT(B652,9)="DOANH THU",LEFT(B652,8)="SỐ LƯỢNG"),A652,IF(A652="","",K651))</f>
        <v/>
      </c>
      <c r="L652">
        <f>IF(A652="","",IF(ISNUMBER(--LEFT(A652,FIND(" - ",A652&amp;" - ")-1)),LEFT(A652,FIND(" - ",A652&amp;" - ")-1),TRIM(A652)))</f>
        <v/>
      </c>
      <c r="M652">
        <f>IF(OR(K652="",K652=A652,A652=""),"",K652&amp;"|"&amp;L652)</f>
        <v/>
      </c>
      <c r="N652">
        <f>IF(M652="","",IF(ISNUMBER(B652),B652,IFERROR(_xlfn.NUMBERVALUE(B652,".",","),0)))</f>
        <v/>
      </c>
      <c r="O652">
        <f>IF(M652="","",IF(ISNUMBER(C652),C652,IFERROR(_xlfn.NUMBERVALUE(C652,".",","),0)))</f>
        <v/>
      </c>
    </row>
    <row r="653">
      <c r="K653">
        <f>IF(OR(LEFT(B653,9)="DOANH THU",LEFT(B653,8)="SỐ LƯỢNG"),A653,IF(A653="","",K652))</f>
        <v/>
      </c>
      <c r="L653">
        <f>IF(A653="","",IF(ISNUMBER(--LEFT(A653,FIND(" - ",A653&amp;" - ")-1)),LEFT(A653,FIND(" - ",A653&amp;" - ")-1),TRIM(A653)))</f>
        <v/>
      </c>
      <c r="M653">
        <f>IF(OR(K653="",K653=A653,A653=""),"",K653&amp;"|"&amp;L653)</f>
        <v/>
      </c>
      <c r="N653">
        <f>IF(M653="","",IF(ISNUMBER(B653),B653,IFERROR(_xlfn.NUMBERVALUE(B653,".",","),0)))</f>
        <v/>
      </c>
      <c r="O653">
        <f>IF(M653="","",IF(ISNUMBER(C653),C653,IFERROR(_xlfn.NUMBERVALUE(C653,".",","),0)))</f>
        <v/>
      </c>
    </row>
    <row r="654">
      <c r="K654">
        <f>IF(OR(LEFT(B654,9)="DOANH THU",LEFT(B654,8)="SỐ LƯỢNG"),A654,IF(A654="","",K653))</f>
        <v/>
      </c>
      <c r="L654">
        <f>IF(A654="","",IF(ISNUMBER(--LEFT(A654,FIND(" - ",A654&amp;" - ")-1)),LEFT(A654,FIND(" - ",A654&amp;" - ")-1),TRIM(A654)))</f>
        <v/>
      </c>
      <c r="M654">
        <f>IF(OR(K654="",K654=A654,A654=""),"",K654&amp;"|"&amp;L654)</f>
        <v/>
      </c>
      <c r="N654">
        <f>IF(M654="","",IF(ISNUMBER(B654),B654,IFERROR(_xlfn.NUMBERVALUE(B654,".",","),0)))</f>
        <v/>
      </c>
      <c r="O654">
        <f>IF(M654="","",IF(ISNUMBER(C654),C654,IFERROR(_xlfn.NUMBERVALUE(C654,".",","),0)))</f>
        <v/>
      </c>
    </row>
    <row r="655">
      <c r="K655">
        <f>IF(OR(LEFT(B655,9)="DOANH THU",LEFT(B655,8)="SỐ LƯỢNG"),A655,IF(A655="","",K654))</f>
        <v/>
      </c>
      <c r="L655">
        <f>IF(A655="","",IF(ISNUMBER(--LEFT(A655,FIND(" - ",A655&amp;" - ")-1)),LEFT(A655,FIND(" - ",A655&amp;" - ")-1),TRIM(A655)))</f>
        <v/>
      </c>
      <c r="M655">
        <f>IF(OR(K655="",K655=A655,A655=""),"",K655&amp;"|"&amp;L655)</f>
        <v/>
      </c>
      <c r="N655">
        <f>IF(M655="","",IF(ISNUMBER(B655),B655,IFERROR(_xlfn.NUMBERVALUE(B655,".",","),0)))</f>
        <v/>
      </c>
      <c r="O655">
        <f>IF(M655="","",IF(ISNUMBER(C655),C655,IFERROR(_xlfn.NUMBERVALUE(C655,".",","),0)))</f>
        <v/>
      </c>
    </row>
    <row r="656">
      <c r="K656">
        <f>IF(OR(LEFT(B656,9)="DOANH THU",LEFT(B656,8)="SỐ LƯỢNG"),A656,IF(A656="","",K655))</f>
        <v/>
      </c>
      <c r="L656">
        <f>IF(A656="","",IF(ISNUMBER(--LEFT(A656,FIND(" - ",A656&amp;" - ")-1)),LEFT(A656,FIND(" - ",A656&amp;" - ")-1),TRIM(A656)))</f>
        <v/>
      </c>
      <c r="M656">
        <f>IF(OR(K656="",K656=A656,A656=""),"",K656&amp;"|"&amp;L656)</f>
        <v/>
      </c>
      <c r="N656">
        <f>IF(M656="","",IF(ISNUMBER(B656),B656,IFERROR(_xlfn.NUMBERVALUE(B656,".",","),0)))</f>
        <v/>
      </c>
      <c r="O656">
        <f>IF(M656="","",IF(ISNUMBER(C656),C656,IFERROR(_xlfn.NUMBERVALUE(C656,".",","),0)))</f>
        <v/>
      </c>
    </row>
    <row r="657">
      <c r="K657">
        <f>IF(OR(LEFT(B657,9)="DOANH THU",LEFT(B657,8)="SỐ LƯỢNG"),A657,IF(A657="","",K656))</f>
        <v/>
      </c>
      <c r="L657">
        <f>IF(A657="","",IF(ISNUMBER(--LEFT(A657,FIND(" - ",A657&amp;" - ")-1)),LEFT(A657,FIND(" - ",A657&amp;" - ")-1),TRIM(A657)))</f>
        <v/>
      </c>
      <c r="M657">
        <f>IF(OR(K657="",K657=A657,A657=""),"",K657&amp;"|"&amp;L657)</f>
        <v/>
      </c>
      <c r="N657">
        <f>IF(M657="","",IF(ISNUMBER(B657),B657,IFERROR(_xlfn.NUMBERVALUE(B657,".",","),0)))</f>
        <v/>
      </c>
      <c r="O657">
        <f>IF(M657="","",IF(ISNUMBER(C657),C657,IFERROR(_xlfn.NUMBERVALUE(C657,".",","),0)))</f>
        <v/>
      </c>
    </row>
    <row r="658">
      <c r="K658">
        <f>IF(OR(LEFT(B658,9)="DOANH THU",LEFT(B658,8)="SỐ LƯỢNG"),A658,IF(A658="","",K657))</f>
        <v/>
      </c>
      <c r="L658">
        <f>IF(A658="","",IF(ISNUMBER(--LEFT(A658,FIND(" - ",A658&amp;" - ")-1)),LEFT(A658,FIND(" - ",A658&amp;" - ")-1),TRIM(A658)))</f>
        <v/>
      </c>
      <c r="M658">
        <f>IF(OR(K658="",K658=A658,A658=""),"",K658&amp;"|"&amp;L658)</f>
        <v/>
      </c>
      <c r="N658">
        <f>IF(M658="","",IF(ISNUMBER(B658),B658,IFERROR(_xlfn.NUMBERVALUE(B658,".",","),0)))</f>
        <v/>
      </c>
      <c r="O658">
        <f>IF(M658="","",IF(ISNUMBER(C658),C658,IFERROR(_xlfn.NUMBERVALUE(C658,".",","),0)))</f>
        <v/>
      </c>
    </row>
    <row r="659">
      <c r="K659">
        <f>IF(OR(LEFT(B659,9)="DOANH THU",LEFT(B659,8)="SỐ LƯỢNG"),A659,IF(A659="","",K658))</f>
        <v/>
      </c>
      <c r="L659">
        <f>IF(A659="","",IF(ISNUMBER(--LEFT(A659,FIND(" - ",A659&amp;" - ")-1)),LEFT(A659,FIND(" - ",A659&amp;" - ")-1),TRIM(A659)))</f>
        <v/>
      </c>
      <c r="M659">
        <f>IF(OR(K659="",K659=A659,A659=""),"",K659&amp;"|"&amp;L659)</f>
        <v/>
      </c>
      <c r="N659">
        <f>IF(M659="","",IF(ISNUMBER(B659),B659,IFERROR(_xlfn.NUMBERVALUE(B659,".",","),0)))</f>
        <v/>
      </c>
      <c r="O659">
        <f>IF(M659="","",IF(ISNUMBER(C659),C659,IFERROR(_xlfn.NUMBERVALUE(C659,".",","),0)))</f>
        <v/>
      </c>
    </row>
    <row r="660">
      <c r="K660">
        <f>IF(OR(LEFT(B660,9)="DOANH THU",LEFT(B660,8)="SỐ LƯỢNG"),A660,IF(A660="","",K659))</f>
        <v/>
      </c>
      <c r="L660">
        <f>IF(A660="","",IF(ISNUMBER(--LEFT(A660,FIND(" - ",A660&amp;" - ")-1)),LEFT(A660,FIND(" - ",A660&amp;" - ")-1),TRIM(A660)))</f>
        <v/>
      </c>
      <c r="M660">
        <f>IF(OR(K660="",K660=A660,A660=""),"",K660&amp;"|"&amp;L660)</f>
        <v/>
      </c>
      <c r="N660">
        <f>IF(M660="","",IF(ISNUMBER(B660),B660,IFERROR(_xlfn.NUMBERVALUE(B660,".",","),0)))</f>
        <v/>
      </c>
      <c r="O660">
        <f>IF(M660="","",IF(ISNUMBER(C660),C660,IFERROR(_xlfn.NUMBERVALUE(C660,".",","),0)))</f>
        <v/>
      </c>
    </row>
    <row r="661">
      <c r="K661">
        <f>IF(OR(LEFT(B661,9)="DOANH THU",LEFT(B661,8)="SỐ LƯỢNG"),A661,IF(A661="","",K660))</f>
        <v/>
      </c>
      <c r="L661">
        <f>IF(A661="","",IF(ISNUMBER(--LEFT(A661,FIND(" - ",A661&amp;" - ")-1)),LEFT(A661,FIND(" - ",A661&amp;" - ")-1),TRIM(A661)))</f>
        <v/>
      </c>
      <c r="M661">
        <f>IF(OR(K661="",K661=A661,A661=""),"",K661&amp;"|"&amp;L661)</f>
        <v/>
      </c>
      <c r="N661">
        <f>IF(M661="","",IF(ISNUMBER(B661),B661,IFERROR(_xlfn.NUMBERVALUE(B661,".",","),0)))</f>
        <v/>
      </c>
      <c r="O661">
        <f>IF(M661="","",IF(ISNUMBER(C661),C661,IFERROR(_xlfn.NUMBERVALUE(C661,".",","),0)))</f>
        <v/>
      </c>
    </row>
    <row r="662">
      <c r="K662">
        <f>IF(OR(LEFT(B662,9)="DOANH THU",LEFT(B662,8)="SỐ LƯỢNG"),A662,IF(A662="","",K661))</f>
        <v/>
      </c>
      <c r="L662">
        <f>IF(A662="","",IF(ISNUMBER(--LEFT(A662,FIND(" - ",A662&amp;" - ")-1)),LEFT(A662,FIND(" - ",A662&amp;" - ")-1),TRIM(A662)))</f>
        <v/>
      </c>
      <c r="M662">
        <f>IF(OR(K662="",K662=A662,A662=""),"",K662&amp;"|"&amp;L662)</f>
        <v/>
      </c>
      <c r="N662">
        <f>IF(M662="","",IF(ISNUMBER(B662),B662,IFERROR(_xlfn.NUMBERVALUE(B662,".",","),0)))</f>
        <v/>
      </c>
      <c r="O662">
        <f>IF(M662="","",IF(ISNUMBER(C662),C662,IFERROR(_xlfn.NUMBERVALUE(C662,".",","),0)))</f>
        <v/>
      </c>
    </row>
    <row r="663">
      <c r="K663">
        <f>IF(OR(LEFT(B663,9)="DOANH THU",LEFT(B663,8)="SỐ LƯỢNG"),A663,IF(A663="","",K662))</f>
        <v/>
      </c>
      <c r="L663">
        <f>IF(A663="","",IF(ISNUMBER(--LEFT(A663,FIND(" - ",A663&amp;" - ")-1)),LEFT(A663,FIND(" - ",A663&amp;" - ")-1),TRIM(A663)))</f>
        <v/>
      </c>
      <c r="M663">
        <f>IF(OR(K663="",K663=A663,A663=""),"",K663&amp;"|"&amp;L663)</f>
        <v/>
      </c>
      <c r="N663">
        <f>IF(M663="","",IF(ISNUMBER(B663),B663,IFERROR(_xlfn.NUMBERVALUE(B663,".",","),0)))</f>
        <v/>
      </c>
      <c r="O663">
        <f>IF(M663="","",IF(ISNUMBER(C663),C663,IFERROR(_xlfn.NUMBERVALUE(C663,".",","),0)))</f>
        <v/>
      </c>
    </row>
    <row r="664">
      <c r="K664">
        <f>IF(OR(LEFT(B664,9)="DOANH THU",LEFT(B664,8)="SỐ LƯỢNG"),A664,IF(A664="","",K663))</f>
        <v/>
      </c>
      <c r="L664">
        <f>IF(A664="","",IF(ISNUMBER(--LEFT(A664,FIND(" - ",A664&amp;" - ")-1)),LEFT(A664,FIND(" - ",A664&amp;" - ")-1),TRIM(A664)))</f>
        <v/>
      </c>
      <c r="M664">
        <f>IF(OR(K664="",K664=A664,A664=""),"",K664&amp;"|"&amp;L664)</f>
        <v/>
      </c>
      <c r="N664">
        <f>IF(M664="","",IF(ISNUMBER(B664),B664,IFERROR(_xlfn.NUMBERVALUE(B664,".",","),0)))</f>
        <v/>
      </c>
      <c r="O664">
        <f>IF(M664="","",IF(ISNUMBER(C664),C664,IFERROR(_xlfn.NUMBERVALUE(C664,".",","),0)))</f>
        <v/>
      </c>
    </row>
    <row r="665">
      <c r="K665">
        <f>IF(OR(LEFT(B665,9)="DOANH THU",LEFT(B665,8)="SỐ LƯỢNG"),A665,IF(A665="","",K664))</f>
        <v/>
      </c>
      <c r="L665">
        <f>IF(A665="","",IF(ISNUMBER(--LEFT(A665,FIND(" - ",A665&amp;" - ")-1)),LEFT(A665,FIND(" - ",A665&amp;" - ")-1),TRIM(A665)))</f>
        <v/>
      </c>
      <c r="M665">
        <f>IF(OR(K665="",K665=A665,A665=""),"",K665&amp;"|"&amp;L665)</f>
        <v/>
      </c>
      <c r="N665">
        <f>IF(M665="","",IF(ISNUMBER(B665),B665,IFERROR(_xlfn.NUMBERVALUE(B665,".",","),0)))</f>
        <v/>
      </c>
      <c r="O665">
        <f>IF(M665="","",IF(ISNUMBER(C665),C665,IFERROR(_xlfn.NUMBERVALUE(C665,".",","),0)))</f>
        <v/>
      </c>
    </row>
    <row r="666">
      <c r="K666">
        <f>IF(OR(LEFT(B666,9)="DOANH THU",LEFT(B666,8)="SỐ LƯỢNG"),A666,IF(A666="","",K665))</f>
        <v/>
      </c>
      <c r="L666">
        <f>IF(A666="","",IF(ISNUMBER(--LEFT(A666,FIND(" - ",A666&amp;" - ")-1)),LEFT(A666,FIND(" - ",A666&amp;" - ")-1),TRIM(A666)))</f>
        <v/>
      </c>
      <c r="M666">
        <f>IF(OR(K666="",K666=A666,A666=""),"",K666&amp;"|"&amp;L666)</f>
        <v/>
      </c>
      <c r="N666">
        <f>IF(M666="","",IF(ISNUMBER(B666),B666,IFERROR(_xlfn.NUMBERVALUE(B666,".",","),0)))</f>
        <v/>
      </c>
      <c r="O666">
        <f>IF(M666="","",IF(ISNUMBER(C666),C666,IFERROR(_xlfn.NUMBERVALUE(C666,".",","),0)))</f>
        <v/>
      </c>
    </row>
    <row r="667">
      <c r="K667">
        <f>IF(OR(LEFT(B667,9)="DOANH THU",LEFT(B667,8)="SỐ LƯỢNG"),A667,IF(A667="","",K666))</f>
        <v/>
      </c>
      <c r="L667">
        <f>IF(A667="","",IF(ISNUMBER(--LEFT(A667,FIND(" - ",A667&amp;" - ")-1)),LEFT(A667,FIND(" - ",A667&amp;" - ")-1),TRIM(A667)))</f>
        <v/>
      </c>
      <c r="M667">
        <f>IF(OR(K667="",K667=A667,A667=""),"",K667&amp;"|"&amp;L667)</f>
        <v/>
      </c>
      <c r="N667">
        <f>IF(M667="","",IF(ISNUMBER(B667),B667,IFERROR(_xlfn.NUMBERVALUE(B667,".",","),0)))</f>
        <v/>
      </c>
      <c r="O667">
        <f>IF(M667="","",IF(ISNUMBER(C667),C667,IFERROR(_xlfn.NUMBERVALUE(C667,".",","),0)))</f>
        <v/>
      </c>
    </row>
    <row r="668">
      <c r="K668">
        <f>IF(OR(LEFT(B668,9)="DOANH THU",LEFT(B668,8)="SỐ LƯỢNG"),A668,IF(A668="","",K667))</f>
        <v/>
      </c>
      <c r="L668">
        <f>IF(A668="","",IF(ISNUMBER(--LEFT(A668,FIND(" - ",A668&amp;" - ")-1)),LEFT(A668,FIND(" - ",A668&amp;" - ")-1),TRIM(A668)))</f>
        <v/>
      </c>
      <c r="M668">
        <f>IF(OR(K668="",K668=A668,A668=""),"",K668&amp;"|"&amp;L668)</f>
        <v/>
      </c>
      <c r="N668">
        <f>IF(M668="","",IF(ISNUMBER(B668),B668,IFERROR(_xlfn.NUMBERVALUE(B668,".",","),0)))</f>
        <v/>
      </c>
      <c r="O668">
        <f>IF(M668="","",IF(ISNUMBER(C668),C668,IFERROR(_xlfn.NUMBERVALUE(C668,".",","),0)))</f>
        <v/>
      </c>
    </row>
    <row r="669">
      <c r="K669">
        <f>IF(OR(LEFT(B669,9)="DOANH THU",LEFT(B669,8)="SỐ LƯỢNG"),A669,IF(A669="","",K668))</f>
        <v/>
      </c>
      <c r="L669">
        <f>IF(A669="","",IF(ISNUMBER(--LEFT(A669,FIND(" - ",A669&amp;" - ")-1)),LEFT(A669,FIND(" - ",A669&amp;" - ")-1),TRIM(A669)))</f>
        <v/>
      </c>
      <c r="M669">
        <f>IF(OR(K669="",K669=A669,A669=""),"",K669&amp;"|"&amp;L669)</f>
        <v/>
      </c>
      <c r="N669">
        <f>IF(M669="","",IF(ISNUMBER(B669),B669,IFERROR(_xlfn.NUMBERVALUE(B669,".",","),0)))</f>
        <v/>
      </c>
      <c r="O669">
        <f>IF(M669="","",IF(ISNUMBER(C669),C669,IFERROR(_xlfn.NUMBERVALUE(C669,".",","),0)))</f>
        <v/>
      </c>
    </row>
    <row r="670">
      <c r="K670">
        <f>IF(OR(LEFT(B670,9)="DOANH THU",LEFT(B670,8)="SỐ LƯỢNG"),A670,IF(A670="","",K669))</f>
        <v/>
      </c>
      <c r="L670">
        <f>IF(A670="","",IF(ISNUMBER(--LEFT(A670,FIND(" - ",A670&amp;" - ")-1)),LEFT(A670,FIND(" - ",A670&amp;" - ")-1),TRIM(A670)))</f>
        <v/>
      </c>
      <c r="M670">
        <f>IF(OR(K670="",K670=A670,A670=""),"",K670&amp;"|"&amp;L670)</f>
        <v/>
      </c>
      <c r="N670">
        <f>IF(M670="","",IF(ISNUMBER(B670),B670,IFERROR(_xlfn.NUMBERVALUE(B670,".",","),0)))</f>
        <v/>
      </c>
      <c r="O670">
        <f>IF(M670="","",IF(ISNUMBER(C670),C670,IFERROR(_xlfn.NUMBERVALUE(C670,".",","),0)))</f>
        <v/>
      </c>
    </row>
    <row r="671">
      <c r="K671">
        <f>IF(OR(LEFT(B671,9)="DOANH THU",LEFT(B671,8)="SỐ LƯỢNG"),A671,IF(A671="","",K670))</f>
        <v/>
      </c>
      <c r="L671">
        <f>IF(A671="","",IF(ISNUMBER(--LEFT(A671,FIND(" - ",A671&amp;" - ")-1)),LEFT(A671,FIND(" - ",A671&amp;" - ")-1),TRIM(A671)))</f>
        <v/>
      </c>
      <c r="M671">
        <f>IF(OR(K671="",K671=A671,A671=""),"",K671&amp;"|"&amp;L671)</f>
        <v/>
      </c>
      <c r="N671">
        <f>IF(M671="","",IF(ISNUMBER(B671),B671,IFERROR(_xlfn.NUMBERVALUE(B671,".",","),0)))</f>
        <v/>
      </c>
      <c r="O671">
        <f>IF(M671="","",IF(ISNUMBER(C671),C671,IFERROR(_xlfn.NUMBERVALUE(C671,".",","),0)))</f>
        <v/>
      </c>
    </row>
    <row r="672">
      <c r="K672">
        <f>IF(OR(LEFT(B672,9)="DOANH THU",LEFT(B672,8)="SỐ LƯỢNG"),A672,IF(A672="","",K671))</f>
        <v/>
      </c>
      <c r="L672">
        <f>IF(A672="","",IF(ISNUMBER(--LEFT(A672,FIND(" - ",A672&amp;" - ")-1)),LEFT(A672,FIND(" - ",A672&amp;" - ")-1),TRIM(A672)))</f>
        <v/>
      </c>
      <c r="M672">
        <f>IF(OR(K672="",K672=A672,A672=""),"",K672&amp;"|"&amp;L672)</f>
        <v/>
      </c>
      <c r="N672">
        <f>IF(M672="","",IF(ISNUMBER(B672),B672,IFERROR(_xlfn.NUMBERVALUE(B672,".",","),0)))</f>
        <v/>
      </c>
      <c r="O672">
        <f>IF(M672="","",IF(ISNUMBER(C672),C672,IFERROR(_xlfn.NUMBERVALUE(C672,".",","),0)))</f>
        <v/>
      </c>
    </row>
    <row r="673">
      <c r="K673">
        <f>IF(OR(LEFT(B673,9)="DOANH THU",LEFT(B673,8)="SỐ LƯỢNG"),A673,IF(A673="","",K672))</f>
        <v/>
      </c>
      <c r="L673">
        <f>IF(A673="","",IF(ISNUMBER(--LEFT(A673,FIND(" - ",A673&amp;" - ")-1)),LEFT(A673,FIND(" - ",A673&amp;" - ")-1),TRIM(A673)))</f>
        <v/>
      </c>
      <c r="M673">
        <f>IF(OR(K673="",K673=A673,A673=""),"",K673&amp;"|"&amp;L673)</f>
        <v/>
      </c>
      <c r="N673">
        <f>IF(M673="","",IF(ISNUMBER(B673),B673,IFERROR(_xlfn.NUMBERVALUE(B673,".",","),0)))</f>
        <v/>
      </c>
      <c r="O673">
        <f>IF(M673="","",IF(ISNUMBER(C673),C673,IFERROR(_xlfn.NUMBERVALUE(C673,".",","),0)))</f>
        <v/>
      </c>
    </row>
    <row r="674">
      <c r="K674">
        <f>IF(OR(LEFT(B674,9)="DOANH THU",LEFT(B674,8)="SỐ LƯỢNG"),A674,IF(A674="","",K673))</f>
        <v/>
      </c>
      <c r="L674">
        <f>IF(A674="","",IF(ISNUMBER(--LEFT(A674,FIND(" - ",A674&amp;" - ")-1)),LEFT(A674,FIND(" - ",A674&amp;" - ")-1),TRIM(A674)))</f>
        <v/>
      </c>
      <c r="M674">
        <f>IF(OR(K674="",K674=A674,A674=""),"",K674&amp;"|"&amp;L674)</f>
        <v/>
      </c>
      <c r="N674">
        <f>IF(M674="","",IF(ISNUMBER(B674),B674,IFERROR(_xlfn.NUMBERVALUE(B674,".",","),0)))</f>
        <v/>
      </c>
      <c r="O674">
        <f>IF(M674="","",IF(ISNUMBER(C674),C674,IFERROR(_xlfn.NUMBERVALUE(C674,".",","),0)))</f>
        <v/>
      </c>
    </row>
    <row r="675">
      <c r="K675">
        <f>IF(OR(LEFT(B675,9)="DOANH THU",LEFT(B675,8)="SỐ LƯỢNG"),A675,IF(A675="","",K674))</f>
        <v/>
      </c>
      <c r="L675">
        <f>IF(A675="","",IF(ISNUMBER(--LEFT(A675,FIND(" - ",A675&amp;" - ")-1)),LEFT(A675,FIND(" - ",A675&amp;" - ")-1),TRIM(A675)))</f>
        <v/>
      </c>
      <c r="M675">
        <f>IF(OR(K675="",K675=A675,A675=""),"",K675&amp;"|"&amp;L675)</f>
        <v/>
      </c>
      <c r="N675">
        <f>IF(M675="","",IF(ISNUMBER(B675),B675,IFERROR(_xlfn.NUMBERVALUE(B675,".",","),0)))</f>
        <v/>
      </c>
      <c r="O675">
        <f>IF(M675="","",IF(ISNUMBER(C675),C675,IFERROR(_xlfn.NUMBERVALUE(C675,".",","),0)))</f>
        <v/>
      </c>
    </row>
    <row r="676">
      <c r="K676">
        <f>IF(OR(LEFT(B676,9)="DOANH THU",LEFT(B676,8)="SỐ LƯỢNG"),A676,IF(A676="","",K675))</f>
        <v/>
      </c>
      <c r="L676">
        <f>IF(A676="","",IF(ISNUMBER(--LEFT(A676,FIND(" - ",A676&amp;" - ")-1)),LEFT(A676,FIND(" - ",A676&amp;" - ")-1),TRIM(A676)))</f>
        <v/>
      </c>
      <c r="M676">
        <f>IF(OR(K676="",K676=A676,A676=""),"",K676&amp;"|"&amp;L676)</f>
        <v/>
      </c>
      <c r="N676">
        <f>IF(M676="","",IF(ISNUMBER(B676),B676,IFERROR(_xlfn.NUMBERVALUE(B676,".",","),0)))</f>
        <v/>
      </c>
      <c r="O676">
        <f>IF(M676="","",IF(ISNUMBER(C676),C676,IFERROR(_xlfn.NUMBERVALUE(C676,".",","),0)))</f>
        <v/>
      </c>
    </row>
    <row r="677">
      <c r="K677">
        <f>IF(OR(LEFT(B677,9)="DOANH THU",LEFT(B677,8)="SỐ LƯỢNG"),A677,IF(A677="","",K676))</f>
        <v/>
      </c>
      <c r="L677">
        <f>IF(A677="","",IF(ISNUMBER(--LEFT(A677,FIND(" - ",A677&amp;" - ")-1)),LEFT(A677,FIND(" - ",A677&amp;" - ")-1),TRIM(A677)))</f>
        <v/>
      </c>
      <c r="M677">
        <f>IF(OR(K677="",K677=A677,A677=""),"",K677&amp;"|"&amp;L677)</f>
        <v/>
      </c>
      <c r="N677">
        <f>IF(M677="","",IF(ISNUMBER(B677),B677,IFERROR(_xlfn.NUMBERVALUE(B677,".",","),0)))</f>
        <v/>
      </c>
      <c r="O677">
        <f>IF(M677="","",IF(ISNUMBER(C677),C677,IFERROR(_xlfn.NUMBERVALUE(C677,".",","),0)))</f>
        <v/>
      </c>
    </row>
    <row r="678">
      <c r="K678">
        <f>IF(OR(LEFT(B678,9)="DOANH THU",LEFT(B678,8)="SỐ LƯỢNG"),A678,IF(A678="","",K677))</f>
        <v/>
      </c>
      <c r="L678">
        <f>IF(A678="","",IF(ISNUMBER(--LEFT(A678,FIND(" - ",A678&amp;" - ")-1)),LEFT(A678,FIND(" - ",A678&amp;" - ")-1),TRIM(A678)))</f>
        <v/>
      </c>
      <c r="M678">
        <f>IF(OR(K678="",K678=A678,A678=""),"",K678&amp;"|"&amp;L678)</f>
        <v/>
      </c>
      <c r="N678">
        <f>IF(M678="","",IF(ISNUMBER(B678),B678,IFERROR(_xlfn.NUMBERVALUE(B678,".",","),0)))</f>
        <v/>
      </c>
      <c r="O678">
        <f>IF(M678="","",IF(ISNUMBER(C678),C678,IFERROR(_xlfn.NUMBERVALUE(C678,".",","),0)))</f>
        <v/>
      </c>
    </row>
    <row r="679">
      <c r="K679">
        <f>IF(OR(LEFT(B679,9)="DOANH THU",LEFT(B679,8)="SỐ LƯỢNG"),A679,IF(A679="","",K678))</f>
        <v/>
      </c>
      <c r="L679">
        <f>IF(A679="","",IF(ISNUMBER(--LEFT(A679,FIND(" - ",A679&amp;" - ")-1)),LEFT(A679,FIND(" - ",A679&amp;" - ")-1),TRIM(A679)))</f>
        <v/>
      </c>
      <c r="M679">
        <f>IF(OR(K679="",K679=A679,A679=""),"",K679&amp;"|"&amp;L679)</f>
        <v/>
      </c>
      <c r="N679">
        <f>IF(M679="","",IF(ISNUMBER(B679),B679,IFERROR(_xlfn.NUMBERVALUE(B679,".",","),0)))</f>
        <v/>
      </c>
      <c r="O679">
        <f>IF(M679="","",IF(ISNUMBER(C679),C679,IFERROR(_xlfn.NUMBERVALUE(C679,".",","),0)))</f>
        <v/>
      </c>
    </row>
    <row r="680">
      <c r="K680">
        <f>IF(OR(LEFT(B680,9)="DOANH THU",LEFT(B680,8)="SỐ LƯỢNG"),A680,IF(A680="","",K679))</f>
        <v/>
      </c>
      <c r="L680">
        <f>IF(A680="","",IF(ISNUMBER(--LEFT(A680,FIND(" - ",A680&amp;" - ")-1)),LEFT(A680,FIND(" - ",A680&amp;" - ")-1),TRIM(A680)))</f>
        <v/>
      </c>
      <c r="M680">
        <f>IF(OR(K680="",K680=A680,A680=""),"",K680&amp;"|"&amp;L680)</f>
        <v/>
      </c>
      <c r="N680">
        <f>IF(M680="","",IF(ISNUMBER(B680),B680,IFERROR(_xlfn.NUMBERVALUE(B680,".",","),0)))</f>
        <v/>
      </c>
      <c r="O680">
        <f>IF(M680="","",IF(ISNUMBER(C680),C680,IFERROR(_xlfn.NUMBERVALUE(C680,".",","),0)))</f>
        <v/>
      </c>
    </row>
    <row r="681">
      <c r="K681">
        <f>IF(OR(LEFT(B681,9)="DOANH THU",LEFT(B681,8)="SỐ LƯỢNG"),A681,IF(A681="","",K680))</f>
        <v/>
      </c>
      <c r="L681">
        <f>IF(A681="","",IF(ISNUMBER(--LEFT(A681,FIND(" - ",A681&amp;" - ")-1)),LEFT(A681,FIND(" - ",A681&amp;" - ")-1),TRIM(A681)))</f>
        <v/>
      </c>
      <c r="M681">
        <f>IF(OR(K681="",K681=A681,A681=""),"",K681&amp;"|"&amp;L681)</f>
        <v/>
      </c>
      <c r="N681">
        <f>IF(M681="","",IF(ISNUMBER(B681),B681,IFERROR(_xlfn.NUMBERVALUE(B681,".",","),0)))</f>
        <v/>
      </c>
      <c r="O681">
        <f>IF(M681="","",IF(ISNUMBER(C681),C681,IFERROR(_xlfn.NUMBERVALUE(C681,".",","),0)))</f>
        <v/>
      </c>
    </row>
    <row r="682">
      <c r="K682">
        <f>IF(OR(LEFT(B682,9)="DOANH THU",LEFT(B682,8)="SỐ LƯỢNG"),A682,IF(A682="","",K681))</f>
        <v/>
      </c>
      <c r="L682">
        <f>IF(A682="","",IF(ISNUMBER(--LEFT(A682,FIND(" - ",A682&amp;" - ")-1)),LEFT(A682,FIND(" - ",A682&amp;" - ")-1),TRIM(A682)))</f>
        <v/>
      </c>
      <c r="M682">
        <f>IF(OR(K682="",K682=A682,A682=""),"",K682&amp;"|"&amp;L682)</f>
        <v/>
      </c>
      <c r="N682">
        <f>IF(M682="","",IF(ISNUMBER(B682),B682,IFERROR(_xlfn.NUMBERVALUE(B682,".",","),0)))</f>
        <v/>
      </c>
      <c r="O682">
        <f>IF(M682="","",IF(ISNUMBER(C682),C682,IFERROR(_xlfn.NUMBERVALUE(C682,".",","),0)))</f>
        <v/>
      </c>
    </row>
    <row r="683">
      <c r="K683">
        <f>IF(OR(LEFT(B683,9)="DOANH THU",LEFT(B683,8)="SỐ LƯỢNG"),A683,IF(A683="","",K682))</f>
        <v/>
      </c>
      <c r="L683">
        <f>IF(A683="","",IF(ISNUMBER(--LEFT(A683,FIND(" - ",A683&amp;" - ")-1)),LEFT(A683,FIND(" - ",A683&amp;" - ")-1),TRIM(A683)))</f>
        <v/>
      </c>
      <c r="M683">
        <f>IF(OR(K683="",K683=A683,A683=""),"",K683&amp;"|"&amp;L683)</f>
        <v/>
      </c>
      <c r="N683">
        <f>IF(M683="","",IF(ISNUMBER(B683),B683,IFERROR(_xlfn.NUMBERVALUE(B683,".",","),0)))</f>
        <v/>
      </c>
      <c r="O683">
        <f>IF(M683="","",IF(ISNUMBER(C683),C683,IFERROR(_xlfn.NUMBERVALUE(C683,".",","),0)))</f>
        <v/>
      </c>
    </row>
    <row r="684">
      <c r="K684">
        <f>IF(OR(LEFT(B684,9)="DOANH THU",LEFT(B684,8)="SỐ LƯỢNG"),A684,IF(A684="","",K683))</f>
        <v/>
      </c>
      <c r="L684">
        <f>IF(A684="","",IF(ISNUMBER(--LEFT(A684,FIND(" - ",A684&amp;" - ")-1)),LEFT(A684,FIND(" - ",A684&amp;" - ")-1),TRIM(A684)))</f>
        <v/>
      </c>
      <c r="M684">
        <f>IF(OR(K684="",K684=A684,A684=""),"",K684&amp;"|"&amp;L684)</f>
        <v/>
      </c>
      <c r="N684">
        <f>IF(M684="","",IF(ISNUMBER(B684),B684,IFERROR(_xlfn.NUMBERVALUE(B684,".",","),0)))</f>
        <v/>
      </c>
      <c r="O684">
        <f>IF(M684="","",IF(ISNUMBER(C684),C684,IFERROR(_xlfn.NUMBERVALUE(C684,".",","),0)))</f>
        <v/>
      </c>
    </row>
    <row r="685">
      <c r="K685">
        <f>IF(OR(LEFT(B685,9)="DOANH THU",LEFT(B685,8)="SỐ LƯỢNG"),A685,IF(A685="","",K684))</f>
        <v/>
      </c>
      <c r="L685">
        <f>IF(A685="","",IF(ISNUMBER(--LEFT(A685,FIND(" - ",A685&amp;" - ")-1)),LEFT(A685,FIND(" - ",A685&amp;" - ")-1),TRIM(A685)))</f>
        <v/>
      </c>
      <c r="M685">
        <f>IF(OR(K685="",K685=A685,A685=""),"",K685&amp;"|"&amp;L685)</f>
        <v/>
      </c>
      <c r="N685">
        <f>IF(M685="","",IF(ISNUMBER(B685),B685,IFERROR(_xlfn.NUMBERVALUE(B685,".",","),0)))</f>
        <v/>
      </c>
      <c r="O685">
        <f>IF(M685="","",IF(ISNUMBER(C685),C685,IFERROR(_xlfn.NUMBERVALUE(C685,".",","),0)))</f>
        <v/>
      </c>
    </row>
    <row r="686">
      <c r="K686">
        <f>IF(OR(LEFT(B686,9)="DOANH THU",LEFT(B686,8)="SỐ LƯỢNG"),A686,IF(A686="","",K685))</f>
        <v/>
      </c>
      <c r="L686">
        <f>IF(A686="","",IF(ISNUMBER(--LEFT(A686,FIND(" - ",A686&amp;" - ")-1)),LEFT(A686,FIND(" - ",A686&amp;" - ")-1),TRIM(A686)))</f>
        <v/>
      </c>
      <c r="M686">
        <f>IF(OR(K686="",K686=A686,A686=""),"",K686&amp;"|"&amp;L686)</f>
        <v/>
      </c>
      <c r="N686">
        <f>IF(M686="","",IF(ISNUMBER(B686),B686,IFERROR(_xlfn.NUMBERVALUE(B686,".",","),0)))</f>
        <v/>
      </c>
      <c r="O686">
        <f>IF(M686="","",IF(ISNUMBER(C686),C686,IFERROR(_xlfn.NUMBERVALUE(C686,".",","),0)))</f>
        <v/>
      </c>
    </row>
    <row r="687">
      <c r="K687">
        <f>IF(OR(LEFT(B687,9)="DOANH THU",LEFT(B687,8)="SỐ LƯỢNG"),A687,IF(A687="","",K686))</f>
        <v/>
      </c>
      <c r="L687">
        <f>IF(A687="","",IF(ISNUMBER(--LEFT(A687,FIND(" - ",A687&amp;" - ")-1)),LEFT(A687,FIND(" - ",A687&amp;" - ")-1),TRIM(A687)))</f>
        <v/>
      </c>
      <c r="M687">
        <f>IF(OR(K687="",K687=A687,A687=""),"",K687&amp;"|"&amp;L687)</f>
        <v/>
      </c>
      <c r="N687">
        <f>IF(M687="","",IF(ISNUMBER(B687),B687,IFERROR(_xlfn.NUMBERVALUE(B687,".",","),0)))</f>
        <v/>
      </c>
      <c r="O687">
        <f>IF(M687="","",IF(ISNUMBER(C687),C687,IFERROR(_xlfn.NUMBERVALUE(C687,".",","),0)))</f>
        <v/>
      </c>
    </row>
    <row r="688">
      <c r="K688">
        <f>IF(OR(LEFT(B688,9)="DOANH THU",LEFT(B688,8)="SỐ LƯỢNG"),A688,IF(A688="","",K687))</f>
        <v/>
      </c>
      <c r="L688">
        <f>IF(A688="","",IF(ISNUMBER(--LEFT(A688,FIND(" - ",A688&amp;" - ")-1)),LEFT(A688,FIND(" - ",A688&amp;" - ")-1),TRIM(A688)))</f>
        <v/>
      </c>
      <c r="M688">
        <f>IF(OR(K688="",K688=A688,A688=""),"",K688&amp;"|"&amp;L688)</f>
        <v/>
      </c>
      <c r="N688">
        <f>IF(M688="","",IF(ISNUMBER(B688),B688,IFERROR(_xlfn.NUMBERVALUE(B688,".",","),0)))</f>
        <v/>
      </c>
      <c r="O688">
        <f>IF(M688="","",IF(ISNUMBER(C688),C688,IFERROR(_xlfn.NUMBERVALUE(C688,".",","),0)))</f>
        <v/>
      </c>
    </row>
    <row r="689">
      <c r="K689">
        <f>IF(OR(LEFT(B689,9)="DOANH THU",LEFT(B689,8)="SỐ LƯỢNG"),A689,IF(A689="","",K688))</f>
        <v/>
      </c>
      <c r="L689">
        <f>IF(A689="","",IF(ISNUMBER(--LEFT(A689,FIND(" - ",A689&amp;" - ")-1)),LEFT(A689,FIND(" - ",A689&amp;" - ")-1),TRIM(A689)))</f>
        <v/>
      </c>
      <c r="M689">
        <f>IF(OR(K689="",K689=A689,A689=""),"",K689&amp;"|"&amp;L689)</f>
        <v/>
      </c>
      <c r="N689">
        <f>IF(M689="","",IF(ISNUMBER(B689),B689,IFERROR(_xlfn.NUMBERVALUE(B689,".",","),0)))</f>
        <v/>
      </c>
      <c r="O689">
        <f>IF(M689="","",IF(ISNUMBER(C689),C689,IFERROR(_xlfn.NUMBERVALUE(C689,".",","),0)))</f>
        <v/>
      </c>
    </row>
    <row r="690">
      <c r="K690">
        <f>IF(OR(LEFT(B690,9)="DOANH THU",LEFT(B690,8)="SỐ LƯỢNG"),A690,IF(A690="","",K689))</f>
        <v/>
      </c>
      <c r="L690">
        <f>IF(A690="","",IF(ISNUMBER(--LEFT(A690,FIND(" - ",A690&amp;" - ")-1)),LEFT(A690,FIND(" - ",A690&amp;" - ")-1),TRIM(A690)))</f>
        <v/>
      </c>
      <c r="M690">
        <f>IF(OR(K690="",K690=A690,A690=""),"",K690&amp;"|"&amp;L690)</f>
        <v/>
      </c>
      <c r="N690">
        <f>IF(M690="","",IF(ISNUMBER(B690),B690,IFERROR(_xlfn.NUMBERVALUE(B690,".",","),0)))</f>
        <v/>
      </c>
      <c r="O690">
        <f>IF(M690="","",IF(ISNUMBER(C690),C690,IFERROR(_xlfn.NUMBERVALUE(C690,".",","),0)))</f>
        <v/>
      </c>
    </row>
    <row r="691">
      <c r="K691">
        <f>IF(OR(LEFT(B691,9)="DOANH THU",LEFT(B691,8)="SỐ LƯỢNG"),A691,IF(A691="","",K690))</f>
        <v/>
      </c>
      <c r="L691">
        <f>IF(A691="","",IF(ISNUMBER(--LEFT(A691,FIND(" - ",A691&amp;" - ")-1)),LEFT(A691,FIND(" - ",A691&amp;" - ")-1),TRIM(A691)))</f>
        <v/>
      </c>
      <c r="M691">
        <f>IF(OR(K691="",K691=A691,A691=""),"",K691&amp;"|"&amp;L691)</f>
        <v/>
      </c>
      <c r="N691">
        <f>IF(M691="","",IF(ISNUMBER(B691),B691,IFERROR(_xlfn.NUMBERVALUE(B691,".",","),0)))</f>
        <v/>
      </c>
      <c r="O691">
        <f>IF(M691="","",IF(ISNUMBER(C691),C691,IFERROR(_xlfn.NUMBERVALUE(C691,".",","),0)))</f>
        <v/>
      </c>
    </row>
    <row r="692">
      <c r="K692">
        <f>IF(OR(LEFT(B692,9)="DOANH THU",LEFT(B692,8)="SỐ LƯỢNG"),A692,IF(A692="","",K691))</f>
        <v/>
      </c>
      <c r="L692">
        <f>IF(A692="","",IF(ISNUMBER(--LEFT(A692,FIND(" - ",A692&amp;" - ")-1)),LEFT(A692,FIND(" - ",A692&amp;" - ")-1),TRIM(A692)))</f>
        <v/>
      </c>
      <c r="M692">
        <f>IF(OR(K692="",K692=A692,A692=""),"",K692&amp;"|"&amp;L692)</f>
        <v/>
      </c>
      <c r="N692">
        <f>IF(M692="","",IF(ISNUMBER(B692),B692,IFERROR(_xlfn.NUMBERVALUE(B692,".",","),0)))</f>
        <v/>
      </c>
      <c r="O692">
        <f>IF(M692="","",IF(ISNUMBER(C692),C692,IFERROR(_xlfn.NUMBERVALUE(C692,".",","),0)))</f>
        <v/>
      </c>
    </row>
    <row r="693">
      <c r="K693">
        <f>IF(OR(LEFT(B693,9)="DOANH THU",LEFT(B693,8)="SỐ LƯỢNG"),A693,IF(A693="","",K692))</f>
        <v/>
      </c>
      <c r="L693">
        <f>IF(A693="","",IF(ISNUMBER(--LEFT(A693,FIND(" - ",A693&amp;" - ")-1)),LEFT(A693,FIND(" - ",A693&amp;" - ")-1),TRIM(A693)))</f>
        <v/>
      </c>
      <c r="M693">
        <f>IF(OR(K693="",K693=A693,A693=""),"",K693&amp;"|"&amp;L693)</f>
        <v/>
      </c>
      <c r="N693">
        <f>IF(M693="","",IF(ISNUMBER(B693),B693,IFERROR(_xlfn.NUMBERVALUE(B693,".",","),0)))</f>
        <v/>
      </c>
      <c r="O693">
        <f>IF(M693="","",IF(ISNUMBER(C693),C693,IFERROR(_xlfn.NUMBERVALUE(C693,".",","),0)))</f>
        <v/>
      </c>
    </row>
    <row r="694">
      <c r="K694">
        <f>IF(OR(LEFT(B694,9)="DOANH THU",LEFT(B694,8)="SỐ LƯỢNG"),A694,IF(A694="","",K693))</f>
        <v/>
      </c>
      <c r="L694">
        <f>IF(A694="","",IF(ISNUMBER(--LEFT(A694,FIND(" - ",A694&amp;" - ")-1)),LEFT(A694,FIND(" - ",A694&amp;" - ")-1),TRIM(A694)))</f>
        <v/>
      </c>
      <c r="M694">
        <f>IF(OR(K694="",K694=A694,A694=""),"",K694&amp;"|"&amp;L694)</f>
        <v/>
      </c>
      <c r="N694">
        <f>IF(M694="","",IF(ISNUMBER(B694),B694,IFERROR(_xlfn.NUMBERVALUE(B694,".",","),0)))</f>
        <v/>
      </c>
      <c r="O694">
        <f>IF(M694="","",IF(ISNUMBER(C694),C694,IFERROR(_xlfn.NUMBERVALUE(C694,".",","),0)))</f>
        <v/>
      </c>
    </row>
    <row r="695">
      <c r="K695">
        <f>IF(OR(LEFT(B695,9)="DOANH THU",LEFT(B695,8)="SỐ LƯỢNG"),A695,IF(A695="","",K694))</f>
        <v/>
      </c>
      <c r="L695">
        <f>IF(A695="","",IF(ISNUMBER(--LEFT(A695,FIND(" - ",A695&amp;" - ")-1)),LEFT(A695,FIND(" - ",A695&amp;" - ")-1),TRIM(A695)))</f>
        <v/>
      </c>
      <c r="M695">
        <f>IF(OR(K695="",K695=A695,A695=""),"",K695&amp;"|"&amp;L695)</f>
        <v/>
      </c>
      <c r="N695">
        <f>IF(M695="","",IF(ISNUMBER(B695),B695,IFERROR(_xlfn.NUMBERVALUE(B695,".",","),0)))</f>
        <v/>
      </c>
      <c r="O695">
        <f>IF(M695="","",IF(ISNUMBER(C695),C695,IFERROR(_xlfn.NUMBERVALUE(C695,".",","),0)))</f>
        <v/>
      </c>
    </row>
    <row r="696">
      <c r="K696">
        <f>IF(OR(LEFT(B696,9)="DOANH THU",LEFT(B696,8)="SỐ LƯỢNG"),A696,IF(A696="","",K695))</f>
        <v/>
      </c>
      <c r="L696">
        <f>IF(A696="","",IF(ISNUMBER(--LEFT(A696,FIND(" - ",A696&amp;" - ")-1)),LEFT(A696,FIND(" - ",A696&amp;" - ")-1),TRIM(A696)))</f>
        <v/>
      </c>
      <c r="M696">
        <f>IF(OR(K696="",K696=A696,A696=""),"",K696&amp;"|"&amp;L696)</f>
        <v/>
      </c>
      <c r="N696">
        <f>IF(M696="","",IF(ISNUMBER(B696),B696,IFERROR(_xlfn.NUMBERVALUE(B696,".",","),0)))</f>
        <v/>
      </c>
      <c r="O696">
        <f>IF(M696="","",IF(ISNUMBER(C696),C696,IFERROR(_xlfn.NUMBERVALUE(C696,".",","),0)))</f>
        <v/>
      </c>
    </row>
    <row r="697">
      <c r="K697">
        <f>IF(OR(LEFT(B697,9)="DOANH THU",LEFT(B697,8)="SỐ LƯỢNG"),A697,IF(A697="","",K696))</f>
        <v/>
      </c>
      <c r="L697">
        <f>IF(A697="","",IF(ISNUMBER(--LEFT(A697,FIND(" - ",A697&amp;" - ")-1)),LEFT(A697,FIND(" - ",A697&amp;" - ")-1),TRIM(A697)))</f>
        <v/>
      </c>
      <c r="M697">
        <f>IF(OR(K697="",K697=A697,A697=""),"",K697&amp;"|"&amp;L697)</f>
        <v/>
      </c>
      <c r="N697">
        <f>IF(M697="","",IF(ISNUMBER(B697),B697,IFERROR(_xlfn.NUMBERVALUE(B697,".",","),0)))</f>
        <v/>
      </c>
      <c r="O697">
        <f>IF(M697="","",IF(ISNUMBER(C697),C697,IFERROR(_xlfn.NUMBERVALUE(C697,".",","),0)))</f>
        <v/>
      </c>
    </row>
    <row r="698">
      <c r="K698">
        <f>IF(OR(LEFT(B698,9)="DOANH THU",LEFT(B698,8)="SỐ LƯỢNG"),A698,IF(A698="","",K697))</f>
        <v/>
      </c>
      <c r="L698">
        <f>IF(A698="","",IF(ISNUMBER(--LEFT(A698,FIND(" - ",A698&amp;" - ")-1)),LEFT(A698,FIND(" - ",A698&amp;" - ")-1),TRIM(A698)))</f>
        <v/>
      </c>
      <c r="M698">
        <f>IF(OR(K698="",K698=A698,A698=""),"",K698&amp;"|"&amp;L698)</f>
        <v/>
      </c>
      <c r="N698">
        <f>IF(M698="","",IF(ISNUMBER(B698),B698,IFERROR(_xlfn.NUMBERVALUE(B698,".",","),0)))</f>
        <v/>
      </c>
      <c r="O698">
        <f>IF(M698="","",IF(ISNUMBER(C698),C698,IFERROR(_xlfn.NUMBERVALUE(C698,".",","),0)))</f>
        <v/>
      </c>
    </row>
    <row r="699">
      <c r="K699">
        <f>IF(OR(LEFT(B699,9)="DOANH THU",LEFT(B699,8)="SỐ LƯỢNG"),A699,IF(A699="","",K698))</f>
        <v/>
      </c>
      <c r="L699">
        <f>IF(A699="","",IF(ISNUMBER(--LEFT(A699,FIND(" - ",A699&amp;" - ")-1)),LEFT(A699,FIND(" - ",A699&amp;" - ")-1),TRIM(A699)))</f>
        <v/>
      </c>
      <c r="M699">
        <f>IF(OR(K699="",K699=A699,A699=""),"",K699&amp;"|"&amp;L699)</f>
        <v/>
      </c>
      <c r="N699">
        <f>IF(M699="","",IF(ISNUMBER(B699),B699,IFERROR(_xlfn.NUMBERVALUE(B699,".",","),0)))</f>
        <v/>
      </c>
      <c r="O699">
        <f>IF(M699="","",IF(ISNUMBER(C699),C699,IFERROR(_xlfn.NUMBERVALUE(C699,".",","),0)))</f>
        <v/>
      </c>
    </row>
    <row r="700">
      <c r="K700">
        <f>IF(OR(LEFT(B700,9)="DOANH THU",LEFT(B700,8)="SỐ LƯỢNG"),A700,IF(A700="","",K699))</f>
        <v/>
      </c>
      <c r="L700">
        <f>IF(A700="","",IF(ISNUMBER(--LEFT(A700,FIND(" - ",A700&amp;" - ")-1)),LEFT(A700,FIND(" - ",A700&amp;" - ")-1),TRIM(A700)))</f>
        <v/>
      </c>
      <c r="M700">
        <f>IF(OR(K700="",K700=A700,A700=""),"",K700&amp;"|"&amp;L700)</f>
        <v/>
      </c>
      <c r="N700">
        <f>IF(M700="","",IF(ISNUMBER(B700),B700,IFERROR(_xlfn.NUMBERVALUE(B700,".",","),0)))</f>
        <v/>
      </c>
      <c r="O700">
        <f>IF(M700="","",IF(ISNUMBER(C700),C700,IFERROR(_xlfn.NUMBERVALUE(C700,".",","),0)))</f>
        <v/>
      </c>
    </row>
    <row r="701">
      <c r="K701">
        <f>IF(OR(LEFT(B701,9)="DOANH THU",LEFT(B701,8)="SỐ LƯỢNG"),A701,IF(A701="","",K700))</f>
        <v/>
      </c>
      <c r="L701">
        <f>IF(A701="","",IF(ISNUMBER(--LEFT(A701,FIND(" - ",A701&amp;" - ")-1)),LEFT(A701,FIND(" - ",A701&amp;" - ")-1),TRIM(A701)))</f>
        <v/>
      </c>
      <c r="M701">
        <f>IF(OR(K701="",K701=A701,A701=""),"",K701&amp;"|"&amp;L701)</f>
        <v/>
      </c>
      <c r="N701">
        <f>IF(M701="","",IF(ISNUMBER(B701),B701,IFERROR(_xlfn.NUMBERVALUE(B701,".",","),0)))</f>
        <v/>
      </c>
      <c r="O701">
        <f>IF(M701="","",IF(ISNUMBER(C701),C701,IFERROR(_xlfn.NUMBERVALUE(C701,".",","),0)))</f>
        <v/>
      </c>
    </row>
    <row r="702">
      <c r="K702">
        <f>IF(OR(LEFT(B702,9)="DOANH THU",LEFT(B702,8)="SỐ LƯỢNG"),A702,IF(A702="","",K701))</f>
        <v/>
      </c>
      <c r="L702">
        <f>IF(A702="","",IF(ISNUMBER(--LEFT(A702,FIND(" - ",A702&amp;" - ")-1)),LEFT(A702,FIND(" - ",A702&amp;" - ")-1),TRIM(A702)))</f>
        <v/>
      </c>
      <c r="M702">
        <f>IF(OR(K702="",K702=A702,A702=""),"",K702&amp;"|"&amp;L702)</f>
        <v/>
      </c>
      <c r="N702">
        <f>IF(M702="","",IF(ISNUMBER(B702),B702,IFERROR(_xlfn.NUMBERVALUE(B702,".",","),0)))</f>
        <v/>
      </c>
      <c r="O702">
        <f>IF(M702="","",IF(ISNUMBER(C702),C702,IFERROR(_xlfn.NUMBERVALUE(C702,".",","),0)))</f>
        <v/>
      </c>
    </row>
    <row r="703">
      <c r="K703">
        <f>IF(OR(LEFT(B703,9)="DOANH THU",LEFT(B703,8)="SỐ LƯỢNG"),A703,IF(A703="","",K702))</f>
        <v/>
      </c>
      <c r="L703">
        <f>IF(A703="","",IF(ISNUMBER(--LEFT(A703,FIND(" - ",A703&amp;" - ")-1)),LEFT(A703,FIND(" - ",A703&amp;" - ")-1),TRIM(A703)))</f>
        <v/>
      </c>
      <c r="M703">
        <f>IF(OR(K703="",K703=A703,A703=""),"",K703&amp;"|"&amp;L703)</f>
        <v/>
      </c>
      <c r="N703">
        <f>IF(M703="","",IF(ISNUMBER(B703),B703,IFERROR(_xlfn.NUMBERVALUE(B703,".",","),0)))</f>
        <v/>
      </c>
      <c r="O703">
        <f>IF(M703="","",IF(ISNUMBER(C703),C703,IFERROR(_xlfn.NUMBERVALUE(C703,".",","),0)))</f>
        <v/>
      </c>
    </row>
    <row r="704">
      <c r="K704">
        <f>IF(OR(LEFT(B704,9)="DOANH THU",LEFT(B704,8)="SỐ LƯỢNG"),A704,IF(A704="","",K703))</f>
        <v/>
      </c>
      <c r="L704">
        <f>IF(A704="","",IF(ISNUMBER(--LEFT(A704,FIND(" - ",A704&amp;" - ")-1)),LEFT(A704,FIND(" - ",A704&amp;" - ")-1),TRIM(A704)))</f>
        <v/>
      </c>
      <c r="M704">
        <f>IF(OR(K704="",K704=A704,A704=""),"",K704&amp;"|"&amp;L704)</f>
        <v/>
      </c>
      <c r="N704">
        <f>IF(M704="","",IF(ISNUMBER(B704),B704,IFERROR(_xlfn.NUMBERVALUE(B704,".",","),0)))</f>
        <v/>
      </c>
      <c r="O704">
        <f>IF(M704="","",IF(ISNUMBER(C704),C704,IFERROR(_xlfn.NUMBERVALUE(C704,".",","),0)))</f>
        <v/>
      </c>
    </row>
    <row r="705">
      <c r="K705">
        <f>IF(OR(LEFT(B705,9)="DOANH THU",LEFT(B705,8)="SỐ LƯỢNG"),A705,IF(A705="","",K704))</f>
        <v/>
      </c>
      <c r="L705">
        <f>IF(A705="","",IF(ISNUMBER(--LEFT(A705,FIND(" - ",A705&amp;" - ")-1)),LEFT(A705,FIND(" - ",A705&amp;" - ")-1),TRIM(A705)))</f>
        <v/>
      </c>
      <c r="M705">
        <f>IF(OR(K705="",K705=A705,A705=""),"",K705&amp;"|"&amp;L705)</f>
        <v/>
      </c>
      <c r="N705">
        <f>IF(M705="","",IF(ISNUMBER(B705),B705,IFERROR(_xlfn.NUMBERVALUE(B705,".",","),0)))</f>
        <v/>
      </c>
      <c r="O705">
        <f>IF(M705="","",IF(ISNUMBER(C705),C705,IFERROR(_xlfn.NUMBERVALUE(C705,".",","),0)))</f>
        <v/>
      </c>
    </row>
    <row r="706">
      <c r="K706">
        <f>IF(OR(LEFT(B706,9)="DOANH THU",LEFT(B706,8)="SỐ LƯỢNG"),A706,IF(A706="","",K705))</f>
        <v/>
      </c>
      <c r="L706">
        <f>IF(A706="","",IF(ISNUMBER(--LEFT(A706,FIND(" - ",A706&amp;" - ")-1)),LEFT(A706,FIND(" - ",A706&amp;" - ")-1),TRIM(A706)))</f>
        <v/>
      </c>
      <c r="M706">
        <f>IF(OR(K706="",K706=A706,A706=""),"",K706&amp;"|"&amp;L706)</f>
        <v/>
      </c>
      <c r="N706">
        <f>IF(M706="","",IF(ISNUMBER(B706),B706,IFERROR(_xlfn.NUMBERVALUE(B706,".",","),0)))</f>
        <v/>
      </c>
      <c r="O706">
        <f>IF(M706="","",IF(ISNUMBER(C706),C706,IFERROR(_xlfn.NUMBERVALUE(C706,".",","),0)))</f>
        <v/>
      </c>
    </row>
    <row r="707">
      <c r="K707">
        <f>IF(OR(LEFT(B707,9)="DOANH THU",LEFT(B707,8)="SỐ LƯỢNG"),A707,IF(A707="","",K706))</f>
        <v/>
      </c>
      <c r="L707">
        <f>IF(A707="","",IF(ISNUMBER(--LEFT(A707,FIND(" - ",A707&amp;" - ")-1)),LEFT(A707,FIND(" - ",A707&amp;" - ")-1),TRIM(A707)))</f>
        <v/>
      </c>
      <c r="M707">
        <f>IF(OR(K707="",K707=A707,A707=""),"",K707&amp;"|"&amp;L707)</f>
        <v/>
      </c>
      <c r="N707">
        <f>IF(M707="","",IF(ISNUMBER(B707),B707,IFERROR(_xlfn.NUMBERVALUE(B707,".",","),0)))</f>
        <v/>
      </c>
      <c r="O707">
        <f>IF(M707="","",IF(ISNUMBER(C707),C707,IFERROR(_xlfn.NUMBERVALUE(C707,".",","),0)))</f>
        <v/>
      </c>
    </row>
    <row r="708">
      <c r="K708">
        <f>IF(OR(LEFT(B708,9)="DOANH THU",LEFT(B708,8)="SỐ LƯỢNG"),A708,IF(A708="","",K707))</f>
        <v/>
      </c>
      <c r="L708">
        <f>IF(A708="","",IF(ISNUMBER(--LEFT(A708,FIND(" - ",A708&amp;" - ")-1)),LEFT(A708,FIND(" - ",A708&amp;" - ")-1),TRIM(A708)))</f>
        <v/>
      </c>
      <c r="M708">
        <f>IF(OR(K708="",K708=A708,A708=""),"",K708&amp;"|"&amp;L708)</f>
        <v/>
      </c>
      <c r="N708">
        <f>IF(M708="","",IF(ISNUMBER(B708),B708,IFERROR(_xlfn.NUMBERVALUE(B708,".",","),0)))</f>
        <v/>
      </c>
      <c r="O708">
        <f>IF(M708="","",IF(ISNUMBER(C708),C708,IFERROR(_xlfn.NUMBERVALUE(C708,".",","),0)))</f>
        <v/>
      </c>
    </row>
    <row r="709">
      <c r="K709">
        <f>IF(OR(LEFT(B709,9)="DOANH THU",LEFT(B709,8)="SỐ LƯỢNG"),A709,IF(A709="","",K708))</f>
        <v/>
      </c>
      <c r="L709">
        <f>IF(A709="","",IF(ISNUMBER(--LEFT(A709,FIND(" - ",A709&amp;" - ")-1)),LEFT(A709,FIND(" - ",A709&amp;" - ")-1),TRIM(A709)))</f>
        <v/>
      </c>
      <c r="M709">
        <f>IF(OR(K709="",K709=A709,A709=""),"",K709&amp;"|"&amp;L709)</f>
        <v/>
      </c>
      <c r="N709">
        <f>IF(M709="","",IF(ISNUMBER(B709),B709,IFERROR(_xlfn.NUMBERVALUE(B709,".",","),0)))</f>
        <v/>
      </c>
      <c r="O709">
        <f>IF(M709="","",IF(ISNUMBER(C709),C709,IFERROR(_xlfn.NUMBERVALUE(C709,".",","),0)))</f>
        <v/>
      </c>
    </row>
    <row r="710">
      <c r="K710">
        <f>IF(OR(LEFT(B710,9)="DOANH THU",LEFT(B710,8)="SỐ LƯỢNG"),A710,IF(A710="","",K709))</f>
        <v/>
      </c>
      <c r="L710">
        <f>IF(A710="","",IF(ISNUMBER(--LEFT(A710,FIND(" - ",A710&amp;" - ")-1)),LEFT(A710,FIND(" - ",A710&amp;" - ")-1),TRIM(A710)))</f>
        <v/>
      </c>
      <c r="M710">
        <f>IF(OR(K710="",K710=A710,A710=""),"",K710&amp;"|"&amp;L710)</f>
        <v/>
      </c>
      <c r="N710">
        <f>IF(M710="","",IF(ISNUMBER(B710),B710,IFERROR(_xlfn.NUMBERVALUE(B710,".",","),0)))</f>
        <v/>
      </c>
      <c r="O710">
        <f>IF(M710="","",IF(ISNUMBER(C710),C710,IFERROR(_xlfn.NUMBERVALUE(C710,".",","),0)))</f>
        <v/>
      </c>
    </row>
    <row r="711">
      <c r="K711">
        <f>IF(OR(LEFT(B711,9)="DOANH THU",LEFT(B711,8)="SỐ LƯỢNG"),A711,IF(A711="","",K710))</f>
        <v/>
      </c>
      <c r="L711">
        <f>IF(A711="","",IF(ISNUMBER(--LEFT(A711,FIND(" - ",A711&amp;" - ")-1)),LEFT(A711,FIND(" - ",A711&amp;" - ")-1),TRIM(A711)))</f>
        <v/>
      </c>
      <c r="M711">
        <f>IF(OR(K711="",K711=A711,A711=""),"",K711&amp;"|"&amp;L711)</f>
        <v/>
      </c>
      <c r="N711">
        <f>IF(M711="","",IF(ISNUMBER(B711),B711,IFERROR(_xlfn.NUMBERVALUE(B711,".",","),0)))</f>
        <v/>
      </c>
      <c r="O711">
        <f>IF(M711="","",IF(ISNUMBER(C711),C711,IFERROR(_xlfn.NUMBERVALUE(C711,".",","),0)))</f>
        <v/>
      </c>
    </row>
    <row r="712">
      <c r="K712">
        <f>IF(OR(LEFT(B712,9)="DOANH THU",LEFT(B712,8)="SỐ LƯỢNG"),A712,IF(A712="","",K711))</f>
        <v/>
      </c>
      <c r="L712">
        <f>IF(A712="","",IF(ISNUMBER(--LEFT(A712,FIND(" - ",A712&amp;" - ")-1)),LEFT(A712,FIND(" - ",A712&amp;" - ")-1),TRIM(A712)))</f>
        <v/>
      </c>
      <c r="M712">
        <f>IF(OR(K712="",K712=A712,A712=""),"",K712&amp;"|"&amp;L712)</f>
        <v/>
      </c>
      <c r="N712">
        <f>IF(M712="","",IF(ISNUMBER(B712),B712,IFERROR(_xlfn.NUMBERVALUE(B712,".",","),0)))</f>
        <v/>
      </c>
      <c r="O712">
        <f>IF(M712="","",IF(ISNUMBER(C712),C712,IFERROR(_xlfn.NUMBERVALUE(C712,".",","),0)))</f>
        <v/>
      </c>
    </row>
    <row r="713">
      <c r="K713">
        <f>IF(OR(LEFT(B713,9)="DOANH THU",LEFT(B713,8)="SỐ LƯỢNG"),A713,IF(A713="","",K712))</f>
        <v/>
      </c>
      <c r="L713">
        <f>IF(A713="","",IF(ISNUMBER(--LEFT(A713,FIND(" - ",A713&amp;" - ")-1)),LEFT(A713,FIND(" - ",A713&amp;" - ")-1),TRIM(A713)))</f>
        <v/>
      </c>
      <c r="M713">
        <f>IF(OR(K713="",K713=A713,A713=""),"",K713&amp;"|"&amp;L713)</f>
        <v/>
      </c>
      <c r="N713">
        <f>IF(M713="","",IF(ISNUMBER(B713),B713,IFERROR(_xlfn.NUMBERVALUE(B713,".",","),0)))</f>
        <v/>
      </c>
      <c r="O713">
        <f>IF(M713="","",IF(ISNUMBER(C713),C713,IFERROR(_xlfn.NUMBERVALUE(C713,".",","),0)))</f>
        <v/>
      </c>
    </row>
    <row r="714">
      <c r="K714">
        <f>IF(OR(LEFT(B714,9)="DOANH THU",LEFT(B714,8)="SỐ LƯỢNG"),A714,IF(A714="","",K713))</f>
        <v/>
      </c>
      <c r="L714">
        <f>IF(A714="","",IF(ISNUMBER(--LEFT(A714,FIND(" - ",A714&amp;" - ")-1)),LEFT(A714,FIND(" - ",A714&amp;" - ")-1),TRIM(A714)))</f>
        <v/>
      </c>
      <c r="M714">
        <f>IF(OR(K714="",K714=A714,A714=""),"",K714&amp;"|"&amp;L714)</f>
        <v/>
      </c>
      <c r="N714">
        <f>IF(M714="","",IF(ISNUMBER(B714),B714,IFERROR(_xlfn.NUMBERVALUE(B714,".",","),0)))</f>
        <v/>
      </c>
      <c r="O714">
        <f>IF(M714="","",IF(ISNUMBER(C714),C714,IFERROR(_xlfn.NUMBERVALUE(C714,".",","),0)))</f>
        <v/>
      </c>
    </row>
    <row r="715">
      <c r="K715">
        <f>IF(OR(LEFT(B715,9)="DOANH THU",LEFT(B715,8)="SỐ LƯỢNG"),A715,IF(A715="","",K714))</f>
        <v/>
      </c>
      <c r="L715">
        <f>IF(A715="","",IF(ISNUMBER(--LEFT(A715,FIND(" - ",A715&amp;" - ")-1)),LEFT(A715,FIND(" - ",A715&amp;" - ")-1),TRIM(A715)))</f>
        <v/>
      </c>
      <c r="M715">
        <f>IF(OR(K715="",K715=A715,A715=""),"",K715&amp;"|"&amp;L715)</f>
        <v/>
      </c>
      <c r="N715">
        <f>IF(M715="","",IF(ISNUMBER(B715),B715,IFERROR(_xlfn.NUMBERVALUE(B715,".",","),0)))</f>
        <v/>
      </c>
      <c r="O715">
        <f>IF(M715="","",IF(ISNUMBER(C715),C715,IFERROR(_xlfn.NUMBERVALUE(C715,".",","),0)))</f>
        <v/>
      </c>
    </row>
    <row r="716">
      <c r="K716">
        <f>IF(OR(LEFT(B716,9)="DOANH THU",LEFT(B716,8)="SỐ LƯỢNG"),A716,IF(A716="","",K715))</f>
        <v/>
      </c>
      <c r="L716">
        <f>IF(A716="","",IF(ISNUMBER(--LEFT(A716,FIND(" - ",A716&amp;" - ")-1)),LEFT(A716,FIND(" - ",A716&amp;" - ")-1),TRIM(A716)))</f>
        <v/>
      </c>
      <c r="M716">
        <f>IF(OR(K716="",K716=A716,A716=""),"",K716&amp;"|"&amp;L716)</f>
        <v/>
      </c>
      <c r="N716">
        <f>IF(M716="","",IF(ISNUMBER(B716),B716,IFERROR(_xlfn.NUMBERVALUE(B716,".",","),0)))</f>
        <v/>
      </c>
      <c r="O716">
        <f>IF(M716="","",IF(ISNUMBER(C716),C716,IFERROR(_xlfn.NUMBERVALUE(C716,".",","),0)))</f>
        <v/>
      </c>
    </row>
    <row r="717">
      <c r="K717">
        <f>IF(OR(LEFT(B717,9)="DOANH THU",LEFT(B717,8)="SỐ LƯỢNG"),A717,IF(A717="","",K716))</f>
        <v/>
      </c>
      <c r="L717">
        <f>IF(A717="","",IF(ISNUMBER(--LEFT(A717,FIND(" - ",A717&amp;" - ")-1)),LEFT(A717,FIND(" - ",A717&amp;" - ")-1),TRIM(A717)))</f>
        <v/>
      </c>
      <c r="M717">
        <f>IF(OR(K717="",K717=A717,A717=""),"",K717&amp;"|"&amp;L717)</f>
        <v/>
      </c>
      <c r="N717">
        <f>IF(M717="","",IF(ISNUMBER(B717),B717,IFERROR(_xlfn.NUMBERVALUE(B717,".",","),0)))</f>
        <v/>
      </c>
      <c r="O717">
        <f>IF(M717="","",IF(ISNUMBER(C717),C717,IFERROR(_xlfn.NUMBERVALUE(C717,".",","),0)))</f>
        <v/>
      </c>
    </row>
    <row r="718">
      <c r="K718">
        <f>IF(OR(LEFT(B718,9)="DOANH THU",LEFT(B718,8)="SỐ LƯỢNG"),A718,IF(A718="","",K717))</f>
        <v/>
      </c>
      <c r="L718">
        <f>IF(A718="","",IF(ISNUMBER(--LEFT(A718,FIND(" - ",A718&amp;" - ")-1)),LEFT(A718,FIND(" - ",A718&amp;" - ")-1),TRIM(A718)))</f>
        <v/>
      </c>
      <c r="M718">
        <f>IF(OR(K718="",K718=A718,A718=""),"",K718&amp;"|"&amp;L718)</f>
        <v/>
      </c>
      <c r="N718">
        <f>IF(M718="","",IF(ISNUMBER(B718),B718,IFERROR(_xlfn.NUMBERVALUE(B718,".",","),0)))</f>
        <v/>
      </c>
      <c r="O718">
        <f>IF(M718="","",IF(ISNUMBER(C718),C718,IFERROR(_xlfn.NUMBERVALUE(C718,".",","),0)))</f>
        <v/>
      </c>
    </row>
    <row r="719">
      <c r="K719">
        <f>IF(OR(LEFT(B719,9)="DOANH THU",LEFT(B719,8)="SỐ LƯỢNG"),A719,IF(A719="","",K718))</f>
        <v/>
      </c>
      <c r="L719">
        <f>IF(A719="","",IF(ISNUMBER(--LEFT(A719,FIND(" - ",A719&amp;" - ")-1)),LEFT(A719,FIND(" - ",A719&amp;" - ")-1),TRIM(A719)))</f>
        <v/>
      </c>
      <c r="M719">
        <f>IF(OR(K719="",K719=A719,A719=""),"",K719&amp;"|"&amp;L719)</f>
        <v/>
      </c>
      <c r="N719">
        <f>IF(M719="","",IF(ISNUMBER(B719),B719,IFERROR(_xlfn.NUMBERVALUE(B719,".",","),0)))</f>
        <v/>
      </c>
      <c r="O719">
        <f>IF(M719="","",IF(ISNUMBER(C719),C719,IFERROR(_xlfn.NUMBERVALUE(C719,".",","),0)))</f>
        <v/>
      </c>
    </row>
    <row r="720">
      <c r="K720">
        <f>IF(OR(LEFT(B720,9)="DOANH THU",LEFT(B720,8)="SỐ LƯỢNG"),A720,IF(A720="","",K719))</f>
        <v/>
      </c>
      <c r="L720">
        <f>IF(A720="","",IF(ISNUMBER(--LEFT(A720,FIND(" - ",A720&amp;" - ")-1)),LEFT(A720,FIND(" - ",A720&amp;" - ")-1),TRIM(A720)))</f>
        <v/>
      </c>
      <c r="M720">
        <f>IF(OR(K720="",K720=A720,A720=""),"",K720&amp;"|"&amp;L720)</f>
        <v/>
      </c>
      <c r="N720">
        <f>IF(M720="","",IF(ISNUMBER(B720),B720,IFERROR(_xlfn.NUMBERVALUE(B720,".",","),0)))</f>
        <v/>
      </c>
      <c r="O720">
        <f>IF(M720="","",IF(ISNUMBER(C720),C720,IFERROR(_xlfn.NUMBERVALUE(C720,".",","),0)))</f>
        <v/>
      </c>
    </row>
    <row r="721">
      <c r="K721">
        <f>IF(OR(LEFT(B721,9)="DOANH THU",LEFT(B721,8)="SỐ LƯỢNG"),A721,IF(A721="","",K720))</f>
        <v/>
      </c>
      <c r="L721">
        <f>IF(A721="","",IF(ISNUMBER(--LEFT(A721,FIND(" - ",A721&amp;" - ")-1)),LEFT(A721,FIND(" - ",A721&amp;" - ")-1),TRIM(A721)))</f>
        <v/>
      </c>
      <c r="M721">
        <f>IF(OR(K721="",K721=A721,A721=""),"",K721&amp;"|"&amp;L721)</f>
        <v/>
      </c>
      <c r="N721">
        <f>IF(M721="","",IF(ISNUMBER(B721),B721,IFERROR(_xlfn.NUMBERVALUE(B721,".",","),0)))</f>
        <v/>
      </c>
      <c r="O721">
        <f>IF(M721="","",IF(ISNUMBER(C721),C721,IFERROR(_xlfn.NUMBERVALUE(C721,".",","),0)))</f>
        <v/>
      </c>
    </row>
    <row r="722">
      <c r="K722">
        <f>IF(OR(LEFT(B722,9)="DOANH THU",LEFT(B722,8)="SỐ LƯỢNG"),A722,IF(A722="","",K721))</f>
        <v/>
      </c>
      <c r="L722">
        <f>IF(A722="","",IF(ISNUMBER(--LEFT(A722,FIND(" - ",A722&amp;" - ")-1)),LEFT(A722,FIND(" - ",A722&amp;" - ")-1),TRIM(A722)))</f>
        <v/>
      </c>
      <c r="M722">
        <f>IF(OR(K722="",K722=A722,A722=""),"",K722&amp;"|"&amp;L722)</f>
        <v/>
      </c>
      <c r="N722">
        <f>IF(M722="","",IF(ISNUMBER(B722),B722,IFERROR(_xlfn.NUMBERVALUE(B722,".",","),0)))</f>
        <v/>
      </c>
      <c r="O722">
        <f>IF(M722="","",IF(ISNUMBER(C722),C722,IFERROR(_xlfn.NUMBERVALUE(C722,".",","),0)))</f>
        <v/>
      </c>
    </row>
    <row r="723">
      <c r="K723">
        <f>IF(OR(LEFT(B723,9)="DOANH THU",LEFT(B723,8)="SỐ LƯỢNG"),A723,IF(A723="","",K722))</f>
        <v/>
      </c>
      <c r="L723">
        <f>IF(A723="","",IF(ISNUMBER(--LEFT(A723,FIND(" - ",A723&amp;" - ")-1)),LEFT(A723,FIND(" - ",A723&amp;" - ")-1),TRIM(A723)))</f>
        <v/>
      </c>
      <c r="M723">
        <f>IF(OR(K723="",K723=A723,A723=""),"",K723&amp;"|"&amp;L723)</f>
        <v/>
      </c>
      <c r="N723">
        <f>IF(M723="","",IF(ISNUMBER(B723),B723,IFERROR(_xlfn.NUMBERVALUE(B723,".",","),0)))</f>
        <v/>
      </c>
      <c r="O723">
        <f>IF(M723="","",IF(ISNUMBER(C723),C723,IFERROR(_xlfn.NUMBERVALUE(C723,".",","),0)))</f>
        <v/>
      </c>
    </row>
    <row r="724">
      <c r="K724">
        <f>IF(OR(LEFT(B724,9)="DOANH THU",LEFT(B724,8)="SỐ LƯỢNG"),A724,IF(A724="","",K723))</f>
        <v/>
      </c>
      <c r="L724">
        <f>IF(A724="","",IF(ISNUMBER(--LEFT(A724,FIND(" - ",A724&amp;" - ")-1)),LEFT(A724,FIND(" - ",A724&amp;" - ")-1),TRIM(A724)))</f>
        <v/>
      </c>
      <c r="M724">
        <f>IF(OR(K724="",K724=A724,A724=""),"",K724&amp;"|"&amp;L724)</f>
        <v/>
      </c>
      <c r="N724">
        <f>IF(M724="","",IF(ISNUMBER(B724),B724,IFERROR(_xlfn.NUMBERVALUE(B724,".",","),0)))</f>
        <v/>
      </c>
      <c r="O724">
        <f>IF(M724="","",IF(ISNUMBER(C724),C724,IFERROR(_xlfn.NUMBERVALUE(C724,".",","),0)))</f>
        <v/>
      </c>
    </row>
    <row r="725">
      <c r="K725">
        <f>IF(OR(LEFT(B725,9)="DOANH THU",LEFT(B725,8)="SỐ LƯỢNG"),A725,IF(A725="","",K724))</f>
        <v/>
      </c>
      <c r="L725">
        <f>IF(A725="","",IF(ISNUMBER(--LEFT(A725,FIND(" - ",A725&amp;" - ")-1)),LEFT(A725,FIND(" - ",A725&amp;" - ")-1),TRIM(A725)))</f>
        <v/>
      </c>
      <c r="M725">
        <f>IF(OR(K725="",K725=A725,A725=""),"",K725&amp;"|"&amp;L725)</f>
        <v/>
      </c>
      <c r="N725">
        <f>IF(M725="","",IF(ISNUMBER(B725),B725,IFERROR(_xlfn.NUMBERVALUE(B725,".",","),0)))</f>
        <v/>
      </c>
      <c r="O725">
        <f>IF(M725="","",IF(ISNUMBER(C725),C725,IFERROR(_xlfn.NUMBERVALUE(C725,".",","),0)))</f>
        <v/>
      </c>
    </row>
    <row r="726">
      <c r="K726">
        <f>IF(OR(LEFT(B726,9)="DOANH THU",LEFT(B726,8)="SỐ LƯỢNG"),A726,IF(A726="","",K725))</f>
        <v/>
      </c>
      <c r="L726">
        <f>IF(A726="","",IF(ISNUMBER(--LEFT(A726,FIND(" - ",A726&amp;" - ")-1)),LEFT(A726,FIND(" - ",A726&amp;" - ")-1),TRIM(A726)))</f>
        <v/>
      </c>
      <c r="M726">
        <f>IF(OR(K726="",K726=A726,A726=""),"",K726&amp;"|"&amp;L726)</f>
        <v/>
      </c>
      <c r="N726">
        <f>IF(M726="","",IF(ISNUMBER(B726),B726,IFERROR(_xlfn.NUMBERVALUE(B726,".",","),0)))</f>
        <v/>
      </c>
      <c r="O726">
        <f>IF(M726="","",IF(ISNUMBER(C726),C726,IFERROR(_xlfn.NUMBERVALUE(C726,".",","),0)))</f>
        <v/>
      </c>
    </row>
    <row r="727">
      <c r="K727">
        <f>IF(OR(LEFT(B727,9)="DOANH THU",LEFT(B727,8)="SỐ LƯỢNG"),A727,IF(A727="","",K726))</f>
        <v/>
      </c>
      <c r="L727">
        <f>IF(A727="","",IF(ISNUMBER(--LEFT(A727,FIND(" - ",A727&amp;" - ")-1)),LEFT(A727,FIND(" - ",A727&amp;" - ")-1),TRIM(A727)))</f>
        <v/>
      </c>
      <c r="M727">
        <f>IF(OR(K727="",K727=A727,A727=""),"",K727&amp;"|"&amp;L727)</f>
        <v/>
      </c>
      <c r="N727">
        <f>IF(M727="","",IF(ISNUMBER(B727),B727,IFERROR(_xlfn.NUMBERVALUE(B727,".",","),0)))</f>
        <v/>
      </c>
      <c r="O727">
        <f>IF(M727="","",IF(ISNUMBER(C727),C727,IFERROR(_xlfn.NUMBERVALUE(C727,".",","),0)))</f>
        <v/>
      </c>
    </row>
    <row r="728">
      <c r="K728">
        <f>IF(OR(LEFT(B728,9)="DOANH THU",LEFT(B728,8)="SỐ LƯỢNG"),A728,IF(A728="","",K727))</f>
        <v/>
      </c>
      <c r="L728">
        <f>IF(A728="","",IF(ISNUMBER(--LEFT(A728,FIND(" - ",A728&amp;" - ")-1)),LEFT(A728,FIND(" - ",A728&amp;" - ")-1),TRIM(A728)))</f>
        <v/>
      </c>
      <c r="M728">
        <f>IF(OR(K728="",K728=A728,A728=""),"",K728&amp;"|"&amp;L728)</f>
        <v/>
      </c>
      <c r="N728">
        <f>IF(M728="","",IF(ISNUMBER(B728),B728,IFERROR(_xlfn.NUMBERVALUE(B728,".",","),0)))</f>
        <v/>
      </c>
      <c r="O728">
        <f>IF(M728="","",IF(ISNUMBER(C728),C728,IFERROR(_xlfn.NUMBERVALUE(C728,".",","),0)))</f>
        <v/>
      </c>
    </row>
    <row r="729">
      <c r="K729">
        <f>IF(OR(LEFT(B729,9)="DOANH THU",LEFT(B729,8)="SỐ LƯỢNG"),A729,IF(A729="","",K728))</f>
        <v/>
      </c>
      <c r="L729">
        <f>IF(A729="","",IF(ISNUMBER(--LEFT(A729,FIND(" - ",A729&amp;" - ")-1)),LEFT(A729,FIND(" - ",A729&amp;" - ")-1),TRIM(A729)))</f>
        <v/>
      </c>
      <c r="M729">
        <f>IF(OR(K729="",K729=A729,A729=""),"",K729&amp;"|"&amp;L729)</f>
        <v/>
      </c>
      <c r="N729">
        <f>IF(M729="","",IF(ISNUMBER(B729),B729,IFERROR(_xlfn.NUMBERVALUE(B729,".",","),0)))</f>
        <v/>
      </c>
      <c r="O729">
        <f>IF(M729="","",IF(ISNUMBER(C729),C729,IFERROR(_xlfn.NUMBERVALUE(C729,".",","),0)))</f>
        <v/>
      </c>
    </row>
    <row r="730">
      <c r="K730">
        <f>IF(OR(LEFT(B730,9)="DOANH THU",LEFT(B730,8)="SỐ LƯỢNG"),A730,IF(A730="","",K729))</f>
        <v/>
      </c>
      <c r="L730">
        <f>IF(A730="","",IF(ISNUMBER(--LEFT(A730,FIND(" - ",A730&amp;" - ")-1)),LEFT(A730,FIND(" - ",A730&amp;" - ")-1),TRIM(A730)))</f>
        <v/>
      </c>
      <c r="M730">
        <f>IF(OR(K730="",K730=A730,A730=""),"",K730&amp;"|"&amp;L730)</f>
        <v/>
      </c>
      <c r="N730">
        <f>IF(M730="","",IF(ISNUMBER(B730),B730,IFERROR(_xlfn.NUMBERVALUE(B730,".",","),0)))</f>
        <v/>
      </c>
      <c r="O730">
        <f>IF(M730="","",IF(ISNUMBER(C730),C730,IFERROR(_xlfn.NUMBERVALUE(C730,".",","),0)))</f>
        <v/>
      </c>
    </row>
    <row r="731">
      <c r="K731">
        <f>IF(OR(LEFT(B731,9)="DOANH THU",LEFT(B731,8)="SỐ LƯỢNG"),A731,IF(A731="","",K730))</f>
        <v/>
      </c>
      <c r="L731">
        <f>IF(A731="","",IF(ISNUMBER(--LEFT(A731,FIND(" - ",A731&amp;" - ")-1)),LEFT(A731,FIND(" - ",A731&amp;" - ")-1),TRIM(A731)))</f>
        <v/>
      </c>
      <c r="M731">
        <f>IF(OR(K731="",K731=A731,A731=""),"",K731&amp;"|"&amp;L731)</f>
        <v/>
      </c>
      <c r="N731">
        <f>IF(M731="","",IF(ISNUMBER(B731),B731,IFERROR(_xlfn.NUMBERVALUE(B731,".",","),0)))</f>
        <v/>
      </c>
      <c r="O731">
        <f>IF(M731="","",IF(ISNUMBER(C731),C731,IFERROR(_xlfn.NUMBERVALUE(C731,".",","),0)))</f>
        <v/>
      </c>
    </row>
    <row r="732">
      <c r="K732">
        <f>IF(OR(LEFT(B732,9)="DOANH THU",LEFT(B732,8)="SỐ LƯỢNG"),A732,IF(A732="","",K731))</f>
        <v/>
      </c>
      <c r="L732">
        <f>IF(A732="","",IF(ISNUMBER(--LEFT(A732,FIND(" - ",A732&amp;" - ")-1)),LEFT(A732,FIND(" - ",A732&amp;" - ")-1),TRIM(A732)))</f>
        <v/>
      </c>
      <c r="M732">
        <f>IF(OR(K732="",K732=A732,A732=""),"",K732&amp;"|"&amp;L732)</f>
        <v/>
      </c>
      <c r="N732">
        <f>IF(M732="","",IF(ISNUMBER(B732),B732,IFERROR(_xlfn.NUMBERVALUE(B732,".",","),0)))</f>
        <v/>
      </c>
      <c r="O732">
        <f>IF(M732="","",IF(ISNUMBER(C732),C732,IFERROR(_xlfn.NUMBERVALUE(C732,".",","),0)))</f>
        <v/>
      </c>
    </row>
    <row r="733">
      <c r="K733">
        <f>IF(OR(LEFT(B733,9)="DOANH THU",LEFT(B733,8)="SỐ LƯỢNG"),A733,IF(A733="","",K732))</f>
        <v/>
      </c>
      <c r="L733">
        <f>IF(A733="","",IF(ISNUMBER(--LEFT(A733,FIND(" - ",A733&amp;" - ")-1)),LEFT(A733,FIND(" - ",A733&amp;" - ")-1),TRIM(A733)))</f>
        <v/>
      </c>
      <c r="M733">
        <f>IF(OR(K733="",K733=A733,A733=""),"",K733&amp;"|"&amp;L733)</f>
        <v/>
      </c>
      <c r="N733">
        <f>IF(M733="","",IF(ISNUMBER(B733),B733,IFERROR(_xlfn.NUMBERVALUE(B733,".",","),0)))</f>
        <v/>
      </c>
      <c r="O733">
        <f>IF(M733="","",IF(ISNUMBER(C733),C733,IFERROR(_xlfn.NUMBERVALUE(C733,".",","),0)))</f>
        <v/>
      </c>
    </row>
    <row r="734">
      <c r="K734">
        <f>IF(OR(LEFT(B734,9)="DOANH THU",LEFT(B734,8)="SỐ LƯỢNG"),A734,IF(A734="","",K733))</f>
        <v/>
      </c>
      <c r="L734">
        <f>IF(A734="","",IF(ISNUMBER(--LEFT(A734,FIND(" - ",A734&amp;" - ")-1)),LEFT(A734,FIND(" - ",A734&amp;" - ")-1),TRIM(A734)))</f>
        <v/>
      </c>
      <c r="M734">
        <f>IF(OR(K734="",K734=A734,A734=""),"",K734&amp;"|"&amp;L734)</f>
        <v/>
      </c>
      <c r="N734">
        <f>IF(M734="","",IF(ISNUMBER(B734),B734,IFERROR(_xlfn.NUMBERVALUE(B734,".",","),0)))</f>
        <v/>
      </c>
      <c r="O734">
        <f>IF(M734="","",IF(ISNUMBER(C734),C734,IFERROR(_xlfn.NUMBERVALUE(C734,".",","),0)))</f>
        <v/>
      </c>
    </row>
    <row r="735">
      <c r="K735">
        <f>IF(OR(LEFT(B735,9)="DOANH THU",LEFT(B735,8)="SỐ LƯỢNG"),A735,IF(A735="","",K734))</f>
        <v/>
      </c>
      <c r="L735">
        <f>IF(A735="","",IF(ISNUMBER(--LEFT(A735,FIND(" - ",A735&amp;" - ")-1)),LEFT(A735,FIND(" - ",A735&amp;" - ")-1),TRIM(A735)))</f>
        <v/>
      </c>
      <c r="M735">
        <f>IF(OR(K735="",K735=A735,A735=""),"",K735&amp;"|"&amp;L735)</f>
        <v/>
      </c>
      <c r="N735">
        <f>IF(M735="","",IF(ISNUMBER(B735),B735,IFERROR(_xlfn.NUMBERVALUE(B735,".",","),0)))</f>
        <v/>
      </c>
      <c r="O735">
        <f>IF(M735="","",IF(ISNUMBER(C735),C735,IFERROR(_xlfn.NUMBERVALUE(C735,".",","),0)))</f>
        <v/>
      </c>
    </row>
    <row r="736">
      <c r="K736">
        <f>IF(OR(LEFT(B736,9)="DOANH THU",LEFT(B736,8)="SỐ LƯỢNG"),A736,IF(A736="","",K735))</f>
        <v/>
      </c>
      <c r="L736">
        <f>IF(A736="","",IF(ISNUMBER(--LEFT(A736,FIND(" - ",A736&amp;" - ")-1)),LEFT(A736,FIND(" - ",A736&amp;" - ")-1),TRIM(A736)))</f>
        <v/>
      </c>
      <c r="M736">
        <f>IF(OR(K736="",K736=A736,A736=""),"",K736&amp;"|"&amp;L736)</f>
        <v/>
      </c>
      <c r="N736">
        <f>IF(M736="","",IF(ISNUMBER(B736),B736,IFERROR(_xlfn.NUMBERVALUE(B736,".",","),0)))</f>
        <v/>
      </c>
      <c r="O736">
        <f>IF(M736="","",IF(ISNUMBER(C736),C736,IFERROR(_xlfn.NUMBERVALUE(C736,".",","),0)))</f>
        <v/>
      </c>
    </row>
    <row r="737">
      <c r="K737">
        <f>IF(OR(LEFT(B737,9)="DOANH THU",LEFT(B737,8)="SỐ LƯỢNG"),A737,IF(A737="","",K736))</f>
        <v/>
      </c>
      <c r="L737">
        <f>IF(A737="","",IF(ISNUMBER(--LEFT(A737,FIND(" - ",A737&amp;" - ")-1)),LEFT(A737,FIND(" - ",A737&amp;" - ")-1),TRIM(A737)))</f>
        <v/>
      </c>
      <c r="M737">
        <f>IF(OR(K737="",K737=A737,A737=""),"",K737&amp;"|"&amp;L737)</f>
        <v/>
      </c>
      <c r="N737">
        <f>IF(M737="","",IF(ISNUMBER(B737),B737,IFERROR(_xlfn.NUMBERVALUE(B737,".",","),0)))</f>
        <v/>
      </c>
      <c r="O737">
        <f>IF(M737="","",IF(ISNUMBER(C737),C737,IFERROR(_xlfn.NUMBERVALUE(C737,".",","),0)))</f>
        <v/>
      </c>
    </row>
    <row r="738">
      <c r="K738">
        <f>IF(OR(LEFT(B738,9)="DOANH THU",LEFT(B738,8)="SỐ LƯỢNG"),A738,IF(A738="","",K737))</f>
        <v/>
      </c>
      <c r="L738">
        <f>IF(A738="","",IF(ISNUMBER(--LEFT(A738,FIND(" - ",A738&amp;" - ")-1)),LEFT(A738,FIND(" - ",A738&amp;" - ")-1),TRIM(A738)))</f>
        <v/>
      </c>
      <c r="M738">
        <f>IF(OR(K738="",K738=A738,A738=""),"",K738&amp;"|"&amp;L738)</f>
        <v/>
      </c>
      <c r="N738">
        <f>IF(M738="","",IF(ISNUMBER(B738),B738,IFERROR(_xlfn.NUMBERVALUE(B738,".",","),0)))</f>
        <v/>
      </c>
      <c r="O738">
        <f>IF(M738="","",IF(ISNUMBER(C738),C738,IFERROR(_xlfn.NUMBERVALUE(C738,".",","),0)))</f>
        <v/>
      </c>
    </row>
    <row r="739">
      <c r="K739">
        <f>IF(OR(LEFT(B739,9)="DOANH THU",LEFT(B739,8)="SỐ LƯỢNG"),A739,IF(A739="","",K738))</f>
        <v/>
      </c>
      <c r="L739">
        <f>IF(A739="","",IF(ISNUMBER(--LEFT(A739,FIND(" - ",A739&amp;" - ")-1)),LEFT(A739,FIND(" - ",A739&amp;" - ")-1),TRIM(A739)))</f>
        <v/>
      </c>
      <c r="M739">
        <f>IF(OR(K739="",K739=A739,A739=""),"",K739&amp;"|"&amp;L739)</f>
        <v/>
      </c>
      <c r="N739">
        <f>IF(M739="","",IF(ISNUMBER(B739),B739,IFERROR(_xlfn.NUMBERVALUE(B739,".",","),0)))</f>
        <v/>
      </c>
      <c r="O739">
        <f>IF(M739="","",IF(ISNUMBER(C739),C739,IFERROR(_xlfn.NUMBERVALUE(C739,".",","),0)))</f>
        <v/>
      </c>
    </row>
    <row r="740">
      <c r="K740">
        <f>IF(OR(LEFT(B740,9)="DOANH THU",LEFT(B740,8)="SỐ LƯỢNG"),A740,IF(A740="","",K739))</f>
        <v/>
      </c>
      <c r="L740">
        <f>IF(A740="","",IF(ISNUMBER(--LEFT(A740,FIND(" - ",A740&amp;" - ")-1)),LEFT(A740,FIND(" - ",A740&amp;" - ")-1),TRIM(A740)))</f>
        <v/>
      </c>
      <c r="M740">
        <f>IF(OR(K740="",K740=A740,A740=""),"",K740&amp;"|"&amp;L740)</f>
        <v/>
      </c>
      <c r="N740">
        <f>IF(M740="","",IF(ISNUMBER(B740),B740,IFERROR(_xlfn.NUMBERVALUE(B740,".",","),0)))</f>
        <v/>
      </c>
      <c r="O740">
        <f>IF(M740="","",IF(ISNUMBER(C740),C740,IFERROR(_xlfn.NUMBERVALUE(C740,".",","),0)))</f>
        <v/>
      </c>
    </row>
    <row r="741">
      <c r="K741">
        <f>IF(OR(LEFT(B741,9)="DOANH THU",LEFT(B741,8)="SỐ LƯỢNG"),A741,IF(A741="","",K740))</f>
        <v/>
      </c>
      <c r="L741">
        <f>IF(A741="","",IF(ISNUMBER(--LEFT(A741,FIND(" - ",A741&amp;" - ")-1)),LEFT(A741,FIND(" - ",A741&amp;" - ")-1),TRIM(A741)))</f>
        <v/>
      </c>
      <c r="M741">
        <f>IF(OR(K741="",K741=A741,A741=""),"",K741&amp;"|"&amp;L741)</f>
        <v/>
      </c>
      <c r="N741">
        <f>IF(M741="","",IF(ISNUMBER(B741),B741,IFERROR(_xlfn.NUMBERVALUE(B741,".",","),0)))</f>
        <v/>
      </c>
      <c r="O741">
        <f>IF(M741="","",IF(ISNUMBER(C741),C741,IFERROR(_xlfn.NUMBERVALUE(C741,".",","),0)))</f>
        <v/>
      </c>
    </row>
    <row r="742">
      <c r="K742">
        <f>IF(OR(LEFT(B742,9)="DOANH THU",LEFT(B742,8)="SỐ LƯỢNG"),A742,IF(A742="","",K741))</f>
        <v/>
      </c>
      <c r="L742">
        <f>IF(A742="","",IF(ISNUMBER(--LEFT(A742,FIND(" - ",A742&amp;" - ")-1)),LEFT(A742,FIND(" - ",A742&amp;" - ")-1),TRIM(A742)))</f>
        <v/>
      </c>
      <c r="M742">
        <f>IF(OR(K742="",K742=A742,A742=""),"",K742&amp;"|"&amp;L742)</f>
        <v/>
      </c>
      <c r="N742">
        <f>IF(M742="","",IF(ISNUMBER(B742),B742,IFERROR(_xlfn.NUMBERVALUE(B742,".",","),0)))</f>
        <v/>
      </c>
      <c r="O742">
        <f>IF(M742="","",IF(ISNUMBER(C742),C742,IFERROR(_xlfn.NUMBERVALUE(C742,".",","),0)))</f>
        <v/>
      </c>
    </row>
    <row r="743">
      <c r="K743">
        <f>IF(OR(LEFT(B743,9)="DOANH THU",LEFT(B743,8)="SỐ LƯỢNG"),A743,IF(A743="","",K742))</f>
        <v/>
      </c>
      <c r="L743">
        <f>IF(A743="","",IF(ISNUMBER(--LEFT(A743,FIND(" - ",A743&amp;" - ")-1)),LEFT(A743,FIND(" - ",A743&amp;" - ")-1),TRIM(A743)))</f>
        <v/>
      </c>
      <c r="M743">
        <f>IF(OR(K743="",K743=A743,A743=""),"",K743&amp;"|"&amp;L743)</f>
        <v/>
      </c>
      <c r="N743">
        <f>IF(M743="","",IF(ISNUMBER(B743),B743,IFERROR(_xlfn.NUMBERVALUE(B743,".",","),0)))</f>
        <v/>
      </c>
      <c r="O743">
        <f>IF(M743="","",IF(ISNUMBER(C743),C743,IFERROR(_xlfn.NUMBERVALUE(C743,".",","),0)))</f>
        <v/>
      </c>
    </row>
    <row r="744">
      <c r="K744">
        <f>IF(OR(LEFT(B744,9)="DOANH THU",LEFT(B744,8)="SỐ LƯỢNG"),A744,IF(A744="","",K743))</f>
        <v/>
      </c>
      <c r="L744">
        <f>IF(A744="","",IF(ISNUMBER(--LEFT(A744,FIND(" - ",A744&amp;" - ")-1)),LEFT(A744,FIND(" - ",A744&amp;" - ")-1),TRIM(A744)))</f>
        <v/>
      </c>
      <c r="M744">
        <f>IF(OR(K744="",K744=A744,A744=""),"",K744&amp;"|"&amp;L744)</f>
        <v/>
      </c>
      <c r="N744">
        <f>IF(M744="","",IF(ISNUMBER(B744),B744,IFERROR(_xlfn.NUMBERVALUE(B744,".",","),0)))</f>
        <v/>
      </c>
      <c r="O744">
        <f>IF(M744="","",IF(ISNUMBER(C744),C744,IFERROR(_xlfn.NUMBERVALUE(C744,".",","),0)))</f>
        <v/>
      </c>
    </row>
    <row r="745">
      <c r="K745">
        <f>IF(OR(LEFT(B745,9)="DOANH THU",LEFT(B745,8)="SỐ LƯỢNG"),A745,IF(A745="","",K744))</f>
        <v/>
      </c>
      <c r="L745">
        <f>IF(A745="","",IF(ISNUMBER(--LEFT(A745,FIND(" - ",A745&amp;" - ")-1)),LEFT(A745,FIND(" - ",A745&amp;" - ")-1),TRIM(A745)))</f>
        <v/>
      </c>
      <c r="M745">
        <f>IF(OR(K745="",K745=A745,A745=""),"",K745&amp;"|"&amp;L745)</f>
        <v/>
      </c>
      <c r="N745">
        <f>IF(M745="","",IF(ISNUMBER(B745),B745,IFERROR(_xlfn.NUMBERVALUE(B745,".",","),0)))</f>
        <v/>
      </c>
      <c r="O745">
        <f>IF(M745="","",IF(ISNUMBER(C745),C745,IFERROR(_xlfn.NUMBERVALUE(C745,".",","),0)))</f>
        <v/>
      </c>
    </row>
    <row r="746">
      <c r="K746">
        <f>IF(OR(LEFT(B746,9)="DOANH THU",LEFT(B746,8)="SỐ LƯỢNG"),A746,IF(A746="","",K745))</f>
        <v/>
      </c>
      <c r="L746">
        <f>IF(A746="","",IF(ISNUMBER(--LEFT(A746,FIND(" - ",A746&amp;" - ")-1)),LEFT(A746,FIND(" - ",A746&amp;" - ")-1),TRIM(A746)))</f>
        <v/>
      </c>
      <c r="M746">
        <f>IF(OR(K746="",K746=A746,A746=""),"",K746&amp;"|"&amp;L746)</f>
        <v/>
      </c>
      <c r="N746">
        <f>IF(M746="","",IF(ISNUMBER(B746),B746,IFERROR(_xlfn.NUMBERVALUE(B746,".",","),0)))</f>
        <v/>
      </c>
      <c r="O746">
        <f>IF(M746="","",IF(ISNUMBER(C746),C746,IFERROR(_xlfn.NUMBERVALUE(C746,".",","),0)))</f>
        <v/>
      </c>
    </row>
    <row r="747">
      <c r="K747">
        <f>IF(OR(LEFT(B747,9)="DOANH THU",LEFT(B747,8)="SỐ LƯỢNG"),A747,IF(A747="","",K746))</f>
        <v/>
      </c>
      <c r="L747">
        <f>IF(A747="","",IF(ISNUMBER(--LEFT(A747,FIND(" - ",A747&amp;" - ")-1)),LEFT(A747,FIND(" - ",A747&amp;" - ")-1),TRIM(A747)))</f>
        <v/>
      </c>
      <c r="M747">
        <f>IF(OR(K747="",K747=A747,A747=""),"",K747&amp;"|"&amp;L747)</f>
        <v/>
      </c>
      <c r="N747">
        <f>IF(M747="","",IF(ISNUMBER(B747),B747,IFERROR(_xlfn.NUMBERVALUE(B747,".",","),0)))</f>
        <v/>
      </c>
      <c r="O747">
        <f>IF(M747="","",IF(ISNUMBER(C747),C747,IFERROR(_xlfn.NUMBERVALUE(C747,".",","),0)))</f>
        <v/>
      </c>
    </row>
    <row r="748">
      <c r="K748">
        <f>IF(OR(LEFT(B748,9)="DOANH THU",LEFT(B748,8)="SỐ LƯỢNG"),A748,IF(A748="","",K747))</f>
        <v/>
      </c>
      <c r="L748">
        <f>IF(A748="","",IF(ISNUMBER(--LEFT(A748,FIND(" - ",A748&amp;" - ")-1)),LEFT(A748,FIND(" - ",A748&amp;" - ")-1),TRIM(A748)))</f>
        <v/>
      </c>
      <c r="M748">
        <f>IF(OR(K748="",K748=A748,A748=""),"",K748&amp;"|"&amp;L748)</f>
        <v/>
      </c>
      <c r="N748">
        <f>IF(M748="","",IF(ISNUMBER(B748),B748,IFERROR(_xlfn.NUMBERVALUE(B748,".",","),0)))</f>
        <v/>
      </c>
      <c r="O748">
        <f>IF(M748="","",IF(ISNUMBER(C748),C748,IFERROR(_xlfn.NUMBERVALUE(C748,".",","),0)))</f>
        <v/>
      </c>
    </row>
    <row r="749">
      <c r="K749">
        <f>IF(OR(LEFT(B749,9)="DOANH THU",LEFT(B749,8)="SỐ LƯỢNG"),A749,IF(A749="","",K748))</f>
        <v/>
      </c>
      <c r="L749">
        <f>IF(A749="","",IF(ISNUMBER(--LEFT(A749,FIND(" - ",A749&amp;" - ")-1)),LEFT(A749,FIND(" - ",A749&amp;" - ")-1),TRIM(A749)))</f>
        <v/>
      </c>
      <c r="M749">
        <f>IF(OR(K749="",K749=A749,A749=""),"",K749&amp;"|"&amp;L749)</f>
        <v/>
      </c>
      <c r="N749">
        <f>IF(M749="","",IF(ISNUMBER(B749),B749,IFERROR(_xlfn.NUMBERVALUE(B749,".",","),0)))</f>
        <v/>
      </c>
      <c r="O749">
        <f>IF(M749="","",IF(ISNUMBER(C749),C749,IFERROR(_xlfn.NUMBERVALUE(C749,".",","),0)))</f>
        <v/>
      </c>
    </row>
    <row r="750">
      <c r="K750">
        <f>IF(OR(LEFT(B750,9)="DOANH THU",LEFT(B750,8)="SỐ LƯỢNG"),A750,IF(A750="","",K749))</f>
        <v/>
      </c>
      <c r="L750">
        <f>IF(A750="","",IF(ISNUMBER(--LEFT(A750,FIND(" - ",A750&amp;" - ")-1)),LEFT(A750,FIND(" - ",A750&amp;" - ")-1),TRIM(A750)))</f>
        <v/>
      </c>
      <c r="M750">
        <f>IF(OR(K750="",K750=A750,A750=""),"",K750&amp;"|"&amp;L750)</f>
        <v/>
      </c>
      <c r="N750">
        <f>IF(M750="","",IF(ISNUMBER(B750),B750,IFERROR(_xlfn.NUMBERVALUE(B750,".",","),0)))</f>
        <v/>
      </c>
      <c r="O750">
        <f>IF(M750="","",IF(ISNUMBER(C750),C750,IFERROR(_xlfn.NUMBERVALUE(C750,".",","),0)))</f>
        <v/>
      </c>
    </row>
    <row r="751">
      <c r="K751">
        <f>IF(OR(LEFT(B751,9)="DOANH THU",LEFT(B751,8)="SỐ LƯỢNG"),A751,IF(A751="","",K750))</f>
        <v/>
      </c>
      <c r="L751">
        <f>IF(A751="","",IF(ISNUMBER(--LEFT(A751,FIND(" - ",A751&amp;" - ")-1)),LEFT(A751,FIND(" - ",A751&amp;" - ")-1),TRIM(A751)))</f>
        <v/>
      </c>
      <c r="M751">
        <f>IF(OR(K751="",K751=A751,A751=""),"",K751&amp;"|"&amp;L751)</f>
        <v/>
      </c>
      <c r="N751">
        <f>IF(M751="","",IF(ISNUMBER(B751),B751,IFERROR(_xlfn.NUMBERVALUE(B751,".",","),0)))</f>
        <v/>
      </c>
      <c r="O751">
        <f>IF(M751="","",IF(ISNUMBER(C751),C751,IFERROR(_xlfn.NUMBERVALUE(C751,".",","),0)))</f>
        <v/>
      </c>
    </row>
    <row r="752">
      <c r="K752">
        <f>IF(OR(LEFT(B752,9)="DOANH THU",LEFT(B752,8)="SỐ LƯỢNG"),A752,IF(A752="","",K751))</f>
        <v/>
      </c>
      <c r="L752">
        <f>IF(A752="","",IF(ISNUMBER(--LEFT(A752,FIND(" - ",A752&amp;" - ")-1)),LEFT(A752,FIND(" - ",A752&amp;" - ")-1),TRIM(A752)))</f>
        <v/>
      </c>
      <c r="M752">
        <f>IF(OR(K752="",K752=A752,A752=""),"",K752&amp;"|"&amp;L752)</f>
        <v/>
      </c>
      <c r="N752">
        <f>IF(M752="","",IF(ISNUMBER(B752),B752,IFERROR(_xlfn.NUMBERVALUE(B752,".",","),0)))</f>
        <v/>
      </c>
      <c r="O752">
        <f>IF(M752="","",IF(ISNUMBER(C752),C752,IFERROR(_xlfn.NUMBERVALUE(C752,".",","),0)))</f>
        <v/>
      </c>
    </row>
    <row r="753">
      <c r="K753">
        <f>IF(OR(LEFT(B753,9)="DOANH THU",LEFT(B753,8)="SỐ LƯỢNG"),A753,IF(A753="","",K752))</f>
        <v/>
      </c>
      <c r="L753">
        <f>IF(A753="","",IF(ISNUMBER(--LEFT(A753,FIND(" - ",A753&amp;" - ")-1)),LEFT(A753,FIND(" - ",A753&amp;" - ")-1),TRIM(A753)))</f>
        <v/>
      </c>
      <c r="M753">
        <f>IF(OR(K753="",K753=A753,A753=""),"",K753&amp;"|"&amp;L753)</f>
        <v/>
      </c>
      <c r="N753">
        <f>IF(M753="","",IF(ISNUMBER(B753),B753,IFERROR(_xlfn.NUMBERVALUE(B753,".",","),0)))</f>
        <v/>
      </c>
      <c r="O753">
        <f>IF(M753="","",IF(ISNUMBER(C753),C753,IFERROR(_xlfn.NUMBERVALUE(C753,".",","),0)))</f>
        <v/>
      </c>
    </row>
    <row r="754">
      <c r="K754">
        <f>IF(OR(LEFT(B754,9)="DOANH THU",LEFT(B754,8)="SỐ LƯỢNG"),A754,IF(A754="","",K753))</f>
        <v/>
      </c>
      <c r="L754">
        <f>IF(A754="","",IF(ISNUMBER(--LEFT(A754,FIND(" - ",A754&amp;" - ")-1)),LEFT(A754,FIND(" - ",A754&amp;" - ")-1),TRIM(A754)))</f>
        <v/>
      </c>
      <c r="M754">
        <f>IF(OR(K754="",K754=A754,A754=""),"",K754&amp;"|"&amp;L754)</f>
        <v/>
      </c>
      <c r="N754">
        <f>IF(M754="","",IF(ISNUMBER(B754),B754,IFERROR(_xlfn.NUMBERVALUE(B754,".",","),0)))</f>
        <v/>
      </c>
      <c r="O754">
        <f>IF(M754="","",IF(ISNUMBER(C754),C754,IFERROR(_xlfn.NUMBERVALUE(C754,".",","),0)))</f>
        <v/>
      </c>
    </row>
    <row r="755">
      <c r="K755">
        <f>IF(OR(LEFT(B755,9)="DOANH THU",LEFT(B755,8)="SỐ LƯỢNG"),A755,IF(A755="","",K754))</f>
        <v/>
      </c>
      <c r="L755">
        <f>IF(A755="","",IF(ISNUMBER(--LEFT(A755,FIND(" - ",A755&amp;" - ")-1)),LEFT(A755,FIND(" - ",A755&amp;" - ")-1),TRIM(A755)))</f>
        <v/>
      </c>
      <c r="M755">
        <f>IF(OR(K755="",K755=A755,A755=""),"",K755&amp;"|"&amp;L755)</f>
        <v/>
      </c>
      <c r="N755">
        <f>IF(M755="","",IF(ISNUMBER(B755),B755,IFERROR(_xlfn.NUMBERVALUE(B755,".",","),0)))</f>
        <v/>
      </c>
      <c r="O755">
        <f>IF(M755="","",IF(ISNUMBER(C755),C755,IFERROR(_xlfn.NUMBERVALUE(C755,".",","),0)))</f>
        <v/>
      </c>
    </row>
    <row r="756">
      <c r="K756">
        <f>IF(OR(LEFT(B756,9)="DOANH THU",LEFT(B756,8)="SỐ LƯỢNG"),A756,IF(A756="","",K755))</f>
        <v/>
      </c>
      <c r="L756">
        <f>IF(A756="","",IF(ISNUMBER(--LEFT(A756,FIND(" - ",A756&amp;" - ")-1)),LEFT(A756,FIND(" - ",A756&amp;" - ")-1),TRIM(A756)))</f>
        <v/>
      </c>
      <c r="M756">
        <f>IF(OR(K756="",K756=A756,A756=""),"",K756&amp;"|"&amp;L756)</f>
        <v/>
      </c>
      <c r="N756">
        <f>IF(M756="","",IF(ISNUMBER(B756),B756,IFERROR(_xlfn.NUMBERVALUE(B756,".",","),0)))</f>
        <v/>
      </c>
      <c r="O756">
        <f>IF(M756="","",IF(ISNUMBER(C756),C756,IFERROR(_xlfn.NUMBERVALUE(C756,".",","),0)))</f>
        <v/>
      </c>
    </row>
    <row r="757">
      <c r="K757">
        <f>IF(OR(LEFT(B757,9)="DOANH THU",LEFT(B757,8)="SỐ LƯỢNG"),A757,IF(A757="","",K756))</f>
        <v/>
      </c>
      <c r="L757">
        <f>IF(A757="","",IF(ISNUMBER(--LEFT(A757,FIND(" - ",A757&amp;" - ")-1)),LEFT(A757,FIND(" - ",A757&amp;" - ")-1),TRIM(A757)))</f>
        <v/>
      </c>
      <c r="M757">
        <f>IF(OR(K757="",K757=A757,A757=""),"",K757&amp;"|"&amp;L757)</f>
        <v/>
      </c>
      <c r="N757">
        <f>IF(M757="","",IF(ISNUMBER(B757),B757,IFERROR(_xlfn.NUMBERVALUE(B757,".",","),0)))</f>
        <v/>
      </c>
      <c r="O757">
        <f>IF(M757="","",IF(ISNUMBER(C757),C757,IFERROR(_xlfn.NUMBERVALUE(C757,".",","),0)))</f>
        <v/>
      </c>
    </row>
    <row r="758">
      <c r="K758">
        <f>IF(OR(LEFT(B758,9)="DOANH THU",LEFT(B758,8)="SỐ LƯỢNG"),A758,IF(A758="","",K757))</f>
        <v/>
      </c>
      <c r="L758">
        <f>IF(A758="","",IF(ISNUMBER(--LEFT(A758,FIND(" - ",A758&amp;" - ")-1)),LEFT(A758,FIND(" - ",A758&amp;" - ")-1),TRIM(A758)))</f>
        <v/>
      </c>
      <c r="M758">
        <f>IF(OR(K758="",K758=A758,A758=""),"",K758&amp;"|"&amp;L758)</f>
        <v/>
      </c>
      <c r="N758">
        <f>IF(M758="","",IF(ISNUMBER(B758),B758,IFERROR(_xlfn.NUMBERVALUE(B758,".",","),0)))</f>
        <v/>
      </c>
      <c r="O758">
        <f>IF(M758="","",IF(ISNUMBER(C758),C758,IFERROR(_xlfn.NUMBERVALUE(C758,".",","),0)))</f>
        <v/>
      </c>
    </row>
    <row r="759">
      <c r="K759">
        <f>IF(OR(LEFT(B759,9)="DOANH THU",LEFT(B759,8)="SỐ LƯỢNG"),A759,IF(A759="","",K758))</f>
        <v/>
      </c>
      <c r="L759">
        <f>IF(A759="","",IF(ISNUMBER(--LEFT(A759,FIND(" - ",A759&amp;" - ")-1)),LEFT(A759,FIND(" - ",A759&amp;" - ")-1),TRIM(A759)))</f>
        <v/>
      </c>
      <c r="M759">
        <f>IF(OR(K759="",K759=A759,A759=""),"",K759&amp;"|"&amp;L759)</f>
        <v/>
      </c>
      <c r="N759">
        <f>IF(M759="","",IF(ISNUMBER(B759),B759,IFERROR(_xlfn.NUMBERVALUE(B759,".",","),0)))</f>
        <v/>
      </c>
      <c r="O759">
        <f>IF(M759="","",IF(ISNUMBER(C759),C759,IFERROR(_xlfn.NUMBERVALUE(C759,".",","),0)))</f>
        <v/>
      </c>
    </row>
    <row r="760">
      <c r="K760">
        <f>IF(OR(LEFT(B760,9)="DOANH THU",LEFT(B760,8)="SỐ LƯỢNG"),A760,IF(A760="","",K759))</f>
        <v/>
      </c>
      <c r="L760">
        <f>IF(A760="","",IF(ISNUMBER(--LEFT(A760,FIND(" - ",A760&amp;" - ")-1)),LEFT(A760,FIND(" - ",A760&amp;" - ")-1),TRIM(A760)))</f>
        <v/>
      </c>
      <c r="M760">
        <f>IF(OR(K760="",K760=A760,A760=""),"",K760&amp;"|"&amp;L760)</f>
        <v/>
      </c>
      <c r="N760">
        <f>IF(M760="","",IF(ISNUMBER(B760),B760,IFERROR(_xlfn.NUMBERVALUE(B760,".",","),0)))</f>
        <v/>
      </c>
      <c r="O760">
        <f>IF(M760="","",IF(ISNUMBER(C760),C760,IFERROR(_xlfn.NUMBERVALUE(C760,".",","),0)))</f>
        <v/>
      </c>
    </row>
    <row r="761">
      <c r="K761">
        <f>IF(OR(LEFT(B761,9)="DOANH THU",LEFT(B761,8)="SỐ LƯỢNG"),A761,IF(A761="","",K760))</f>
        <v/>
      </c>
      <c r="L761">
        <f>IF(A761="","",IF(ISNUMBER(--LEFT(A761,FIND(" - ",A761&amp;" - ")-1)),LEFT(A761,FIND(" - ",A761&amp;" - ")-1),TRIM(A761)))</f>
        <v/>
      </c>
      <c r="M761">
        <f>IF(OR(K761="",K761=A761,A761=""),"",K761&amp;"|"&amp;L761)</f>
        <v/>
      </c>
      <c r="N761">
        <f>IF(M761="","",IF(ISNUMBER(B761),B761,IFERROR(_xlfn.NUMBERVALUE(B761,".",","),0)))</f>
        <v/>
      </c>
      <c r="O761">
        <f>IF(M761="","",IF(ISNUMBER(C761),C761,IFERROR(_xlfn.NUMBERVALUE(C761,".",","),0)))</f>
        <v/>
      </c>
    </row>
    <row r="762">
      <c r="K762">
        <f>IF(OR(LEFT(B762,9)="DOANH THU",LEFT(B762,8)="SỐ LƯỢNG"),A762,IF(A762="","",K761))</f>
        <v/>
      </c>
      <c r="L762">
        <f>IF(A762="","",IF(ISNUMBER(--LEFT(A762,FIND(" - ",A762&amp;" - ")-1)),LEFT(A762,FIND(" - ",A762&amp;" - ")-1),TRIM(A762)))</f>
        <v/>
      </c>
      <c r="M762">
        <f>IF(OR(K762="",K762=A762,A762=""),"",K762&amp;"|"&amp;L762)</f>
        <v/>
      </c>
      <c r="N762">
        <f>IF(M762="","",IF(ISNUMBER(B762),B762,IFERROR(_xlfn.NUMBERVALUE(B762,".",","),0)))</f>
        <v/>
      </c>
      <c r="O762">
        <f>IF(M762="","",IF(ISNUMBER(C762),C762,IFERROR(_xlfn.NUMBERVALUE(C762,".",","),0)))</f>
        <v/>
      </c>
    </row>
    <row r="763">
      <c r="K763">
        <f>IF(OR(LEFT(B763,9)="DOANH THU",LEFT(B763,8)="SỐ LƯỢNG"),A763,IF(A763="","",K762))</f>
        <v/>
      </c>
      <c r="L763">
        <f>IF(A763="","",IF(ISNUMBER(--LEFT(A763,FIND(" - ",A763&amp;" - ")-1)),LEFT(A763,FIND(" - ",A763&amp;" - ")-1),TRIM(A763)))</f>
        <v/>
      </c>
      <c r="M763">
        <f>IF(OR(K763="",K763=A763,A763=""),"",K763&amp;"|"&amp;L763)</f>
        <v/>
      </c>
      <c r="N763">
        <f>IF(M763="","",IF(ISNUMBER(B763),B763,IFERROR(_xlfn.NUMBERVALUE(B763,".",","),0)))</f>
        <v/>
      </c>
      <c r="O763">
        <f>IF(M763="","",IF(ISNUMBER(C763),C763,IFERROR(_xlfn.NUMBERVALUE(C763,".",","),0)))</f>
        <v/>
      </c>
    </row>
    <row r="764">
      <c r="K764">
        <f>IF(OR(LEFT(B764,9)="DOANH THU",LEFT(B764,8)="SỐ LƯỢNG"),A764,IF(A764="","",K763))</f>
        <v/>
      </c>
      <c r="L764">
        <f>IF(A764="","",IF(ISNUMBER(--LEFT(A764,FIND(" - ",A764&amp;" - ")-1)),LEFT(A764,FIND(" - ",A764&amp;" - ")-1),TRIM(A764)))</f>
        <v/>
      </c>
      <c r="M764">
        <f>IF(OR(K764="",K764=A764,A764=""),"",K764&amp;"|"&amp;L764)</f>
        <v/>
      </c>
      <c r="N764">
        <f>IF(M764="","",IF(ISNUMBER(B764),B764,IFERROR(_xlfn.NUMBERVALUE(B764,".",","),0)))</f>
        <v/>
      </c>
      <c r="O764">
        <f>IF(M764="","",IF(ISNUMBER(C764),C764,IFERROR(_xlfn.NUMBERVALUE(C764,".",","),0)))</f>
        <v/>
      </c>
    </row>
    <row r="765">
      <c r="K765">
        <f>IF(OR(LEFT(B765,9)="DOANH THU",LEFT(B765,8)="SỐ LƯỢNG"),A765,IF(A765="","",K764))</f>
        <v/>
      </c>
      <c r="L765">
        <f>IF(A765="","",IF(ISNUMBER(--LEFT(A765,FIND(" - ",A765&amp;" - ")-1)),LEFT(A765,FIND(" - ",A765&amp;" - ")-1),TRIM(A765)))</f>
        <v/>
      </c>
      <c r="M765">
        <f>IF(OR(K765="",K765=A765,A765=""),"",K765&amp;"|"&amp;L765)</f>
        <v/>
      </c>
      <c r="N765">
        <f>IF(M765="","",IF(ISNUMBER(B765),B765,IFERROR(_xlfn.NUMBERVALUE(B765,".",","),0)))</f>
        <v/>
      </c>
      <c r="O765">
        <f>IF(M765="","",IF(ISNUMBER(C765),C765,IFERROR(_xlfn.NUMBERVALUE(C765,".",","),0)))</f>
        <v/>
      </c>
    </row>
    <row r="766">
      <c r="K766">
        <f>IF(OR(LEFT(B766,9)="DOANH THU",LEFT(B766,8)="SỐ LƯỢNG"),A766,IF(A766="","",K765))</f>
        <v/>
      </c>
      <c r="L766">
        <f>IF(A766="","",IF(ISNUMBER(--LEFT(A766,FIND(" - ",A766&amp;" - ")-1)),LEFT(A766,FIND(" - ",A766&amp;" - ")-1),TRIM(A766)))</f>
        <v/>
      </c>
      <c r="M766">
        <f>IF(OR(K766="",K766=A766,A766=""),"",K766&amp;"|"&amp;L766)</f>
        <v/>
      </c>
      <c r="N766">
        <f>IF(M766="","",IF(ISNUMBER(B766),B766,IFERROR(_xlfn.NUMBERVALUE(B766,".",","),0)))</f>
        <v/>
      </c>
      <c r="O766">
        <f>IF(M766="","",IF(ISNUMBER(C766),C766,IFERROR(_xlfn.NUMBERVALUE(C766,".",","),0)))</f>
        <v/>
      </c>
    </row>
    <row r="767">
      <c r="K767">
        <f>IF(OR(LEFT(B767,9)="DOANH THU",LEFT(B767,8)="SỐ LƯỢNG"),A767,IF(A767="","",K766))</f>
        <v/>
      </c>
      <c r="L767">
        <f>IF(A767="","",IF(ISNUMBER(--LEFT(A767,FIND(" - ",A767&amp;" - ")-1)),LEFT(A767,FIND(" - ",A767&amp;" - ")-1),TRIM(A767)))</f>
        <v/>
      </c>
      <c r="M767">
        <f>IF(OR(K767="",K767=A767,A767=""),"",K767&amp;"|"&amp;L767)</f>
        <v/>
      </c>
      <c r="N767">
        <f>IF(M767="","",IF(ISNUMBER(B767),B767,IFERROR(_xlfn.NUMBERVALUE(B767,".",","),0)))</f>
        <v/>
      </c>
      <c r="O767">
        <f>IF(M767="","",IF(ISNUMBER(C767),C767,IFERROR(_xlfn.NUMBERVALUE(C767,".",","),0)))</f>
        <v/>
      </c>
    </row>
    <row r="768">
      <c r="K768">
        <f>IF(OR(LEFT(B768,9)="DOANH THU",LEFT(B768,8)="SỐ LƯỢNG"),A768,IF(A768="","",K767))</f>
        <v/>
      </c>
      <c r="L768">
        <f>IF(A768="","",IF(ISNUMBER(--LEFT(A768,FIND(" - ",A768&amp;" - ")-1)),LEFT(A768,FIND(" - ",A768&amp;" - ")-1),TRIM(A768)))</f>
        <v/>
      </c>
      <c r="M768">
        <f>IF(OR(K768="",K768=A768,A768=""),"",K768&amp;"|"&amp;L768)</f>
        <v/>
      </c>
      <c r="N768">
        <f>IF(M768="","",IF(ISNUMBER(B768),B768,IFERROR(_xlfn.NUMBERVALUE(B768,".",","),0)))</f>
        <v/>
      </c>
      <c r="O768">
        <f>IF(M768="","",IF(ISNUMBER(C768),C768,IFERROR(_xlfn.NUMBERVALUE(C768,".",","),0)))</f>
        <v/>
      </c>
    </row>
    <row r="769">
      <c r="K769">
        <f>IF(OR(LEFT(B769,9)="DOANH THU",LEFT(B769,8)="SỐ LƯỢNG"),A769,IF(A769="","",K768))</f>
        <v/>
      </c>
      <c r="L769">
        <f>IF(A769="","",IF(ISNUMBER(--LEFT(A769,FIND(" - ",A769&amp;" - ")-1)),LEFT(A769,FIND(" - ",A769&amp;" - ")-1),TRIM(A769)))</f>
        <v/>
      </c>
      <c r="M769">
        <f>IF(OR(K769="",K769=A769,A769=""),"",K769&amp;"|"&amp;L769)</f>
        <v/>
      </c>
      <c r="N769">
        <f>IF(M769="","",IF(ISNUMBER(B769),B769,IFERROR(_xlfn.NUMBERVALUE(B769,".",","),0)))</f>
        <v/>
      </c>
      <c r="O769">
        <f>IF(M769="","",IF(ISNUMBER(C769),C769,IFERROR(_xlfn.NUMBERVALUE(C769,".",","),0)))</f>
        <v/>
      </c>
    </row>
    <row r="770">
      <c r="K770">
        <f>IF(OR(LEFT(B770,9)="DOANH THU",LEFT(B770,8)="SỐ LƯỢNG"),A770,IF(A770="","",K769))</f>
        <v/>
      </c>
      <c r="L770">
        <f>IF(A770="","",IF(ISNUMBER(--LEFT(A770,FIND(" - ",A770&amp;" - ")-1)),LEFT(A770,FIND(" - ",A770&amp;" - ")-1),TRIM(A770)))</f>
        <v/>
      </c>
      <c r="M770">
        <f>IF(OR(K770="",K770=A770,A770=""),"",K770&amp;"|"&amp;L770)</f>
        <v/>
      </c>
      <c r="N770">
        <f>IF(M770="","",IF(ISNUMBER(B770),B770,IFERROR(_xlfn.NUMBERVALUE(B770,".",","),0)))</f>
        <v/>
      </c>
      <c r="O770">
        <f>IF(M770="","",IF(ISNUMBER(C770),C770,IFERROR(_xlfn.NUMBERVALUE(C770,".",","),0)))</f>
        <v/>
      </c>
    </row>
    <row r="771">
      <c r="K771">
        <f>IF(OR(LEFT(B771,9)="DOANH THU",LEFT(B771,8)="SỐ LƯỢNG"),A771,IF(A771="","",K770))</f>
        <v/>
      </c>
      <c r="L771">
        <f>IF(A771="","",IF(ISNUMBER(--LEFT(A771,FIND(" - ",A771&amp;" - ")-1)),LEFT(A771,FIND(" - ",A771&amp;" - ")-1),TRIM(A771)))</f>
        <v/>
      </c>
      <c r="M771">
        <f>IF(OR(K771="",K771=A771,A771=""),"",K771&amp;"|"&amp;L771)</f>
        <v/>
      </c>
      <c r="N771">
        <f>IF(M771="","",IF(ISNUMBER(B771),B771,IFERROR(_xlfn.NUMBERVALUE(B771,".",","),0)))</f>
        <v/>
      </c>
      <c r="O771">
        <f>IF(M771="","",IF(ISNUMBER(C771),C771,IFERROR(_xlfn.NUMBERVALUE(C771,".",","),0)))</f>
        <v/>
      </c>
    </row>
    <row r="772">
      <c r="K772">
        <f>IF(OR(LEFT(B772,9)="DOANH THU",LEFT(B772,8)="SỐ LƯỢNG"),A772,IF(A772="","",K771))</f>
        <v/>
      </c>
      <c r="L772">
        <f>IF(A772="","",IF(ISNUMBER(--LEFT(A772,FIND(" - ",A772&amp;" - ")-1)),LEFT(A772,FIND(" - ",A772&amp;" - ")-1),TRIM(A772)))</f>
        <v/>
      </c>
      <c r="M772">
        <f>IF(OR(K772="",K772=A772,A772=""),"",K772&amp;"|"&amp;L772)</f>
        <v/>
      </c>
      <c r="N772">
        <f>IF(M772="","",IF(ISNUMBER(B772),B772,IFERROR(_xlfn.NUMBERVALUE(B772,".",","),0)))</f>
        <v/>
      </c>
      <c r="O772">
        <f>IF(M772="","",IF(ISNUMBER(C772),C772,IFERROR(_xlfn.NUMBERVALUE(C772,".",","),0)))</f>
        <v/>
      </c>
    </row>
    <row r="773">
      <c r="K773">
        <f>IF(OR(LEFT(B773,9)="DOANH THU",LEFT(B773,8)="SỐ LƯỢNG"),A773,IF(A773="","",K772))</f>
        <v/>
      </c>
      <c r="L773">
        <f>IF(A773="","",IF(ISNUMBER(--LEFT(A773,FIND(" - ",A773&amp;" - ")-1)),LEFT(A773,FIND(" - ",A773&amp;" - ")-1),TRIM(A773)))</f>
        <v/>
      </c>
      <c r="M773">
        <f>IF(OR(K773="",K773=A773,A773=""),"",K773&amp;"|"&amp;L773)</f>
        <v/>
      </c>
      <c r="N773">
        <f>IF(M773="","",IF(ISNUMBER(B773),B773,IFERROR(_xlfn.NUMBERVALUE(B773,".",","),0)))</f>
        <v/>
      </c>
      <c r="O773">
        <f>IF(M773="","",IF(ISNUMBER(C773),C773,IFERROR(_xlfn.NUMBERVALUE(C773,".",","),0)))</f>
        <v/>
      </c>
    </row>
    <row r="774">
      <c r="K774">
        <f>IF(OR(LEFT(B774,9)="DOANH THU",LEFT(B774,8)="SỐ LƯỢNG"),A774,IF(A774="","",K773))</f>
        <v/>
      </c>
      <c r="L774">
        <f>IF(A774="","",IF(ISNUMBER(--LEFT(A774,FIND(" - ",A774&amp;" - ")-1)),LEFT(A774,FIND(" - ",A774&amp;" - ")-1),TRIM(A774)))</f>
        <v/>
      </c>
      <c r="M774">
        <f>IF(OR(K774="",K774=A774,A774=""),"",K774&amp;"|"&amp;L774)</f>
        <v/>
      </c>
      <c r="N774">
        <f>IF(M774="","",IF(ISNUMBER(B774),B774,IFERROR(_xlfn.NUMBERVALUE(B774,".",","),0)))</f>
        <v/>
      </c>
      <c r="O774">
        <f>IF(M774="","",IF(ISNUMBER(C774),C774,IFERROR(_xlfn.NUMBERVALUE(C774,".",","),0)))</f>
        <v/>
      </c>
    </row>
    <row r="775">
      <c r="K775">
        <f>IF(OR(LEFT(B775,9)="DOANH THU",LEFT(B775,8)="SỐ LƯỢNG"),A775,IF(A775="","",K774))</f>
        <v/>
      </c>
      <c r="L775">
        <f>IF(A775="","",IF(ISNUMBER(--LEFT(A775,FIND(" - ",A775&amp;" - ")-1)),LEFT(A775,FIND(" - ",A775&amp;" - ")-1),TRIM(A775)))</f>
        <v/>
      </c>
      <c r="M775">
        <f>IF(OR(K775="",K775=A775,A775=""),"",K775&amp;"|"&amp;L775)</f>
        <v/>
      </c>
      <c r="N775">
        <f>IF(M775="","",IF(ISNUMBER(B775),B775,IFERROR(_xlfn.NUMBERVALUE(B775,".",","),0)))</f>
        <v/>
      </c>
      <c r="O775">
        <f>IF(M775="","",IF(ISNUMBER(C775),C775,IFERROR(_xlfn.NUMBERVALUE(C775,".",","),0)))</f>
        <v/>
      </c>
    </row>
    <row r="776">
      <c r="K776">
        <f>IF(OR(LEFT(B776,9)="DOANH THU",LEFT(B776,8)="SỐ LƯỢNG"),A776,IF(A776="","",K775))</f>
        <v/>
      </c>
      <c r="L776">
        <f>IF(A776="","",IF(ISNUMBER(--LEFT(A776,FIND(" - ",A776&amp;" - ")-1)),LEFT(A776,FIND(" - ",A776&amp;" - ")-1),TRIM(A776)))</f>
        <v/>
      </c>
      <c r="M776">
        <f>IF(OR(K776="",K776=A776,A776=""),"",K776&amp;"|"&amp;L776)</f>
        <v/>
      </c>
      <c r="N776">
        <f>IF(M776="","",IF(ISNUMBER(B776),B776,IFERROR(_xlfn.NUMBERVALUE(B776,".",","),0)))</f>
        <v/>
      </c>
      <c r="O776">
        <f>IF(M776="","",IF(ISNUMBER(C776),C776,IFERROR(_xlfn.NUMBERVALUE(C776,".",","),0)))</f>
        <v/>
      </c>
    </row>
    <row r="777">
      <c r="K777">
        <f>IF(OR(LEFT(B777,9)="DOANH THU",LEFT(B777,8)="SỐ LƯỢNG"),A777,IF(A777="","",K776))</f>
        <v/>
      </c>
      <c r="L777">
        <f>IF(A777="","",IF(ISNUMBER(--LEFT(A777,FIND(" - ",A777&amp;" - ")-1)),LEFT(A777,FIND(" - ",A777&amp;" - ")-1),TRIM(A777)))</f>
        <v/>
      </c>
      <c r="M777">
        <f>IF(OR(K777="",K777=A777,A777=""),"",K777&amp;"|"&amp;L777)</f>
        <v/>
      </c>
      <c r="N777">
        <f>IF(M777="","",IF(ISNUMBER(B777),B777,IFERROR(_xlfn.NUMBERVALUE(B777,".",","),0)))</f>
        <v/>
      </c>
      <c r="O777">
        <f>IF(M777="","",IF(ISNUMBER(C777),C777,IFERROR(_xlfn.NUMBERVALUE(C777,".",","),0)))</f>
        <v/>
      </c>
    </row>
    <row r="778">
      <c r="K778">
        <f>IF(OR(LEFT(B778,9)="DOANH THU",LEFT(B778,8)="SỐ LƯỢNG"),A778,IF(A778="","",K777))</f>
        <v/>
      </c>
      <c r="L778">
        <f>IF(A778="","",IF(ISNUMBER(--LEFT(A778,FIND(" - ",A778&amp;" - ")-1)),LEFT(A778,FIND(" - ",A778&amp;" - ")-1),TRIM(A778)))</f>
        <v/>
      </c>
      <c r="M778">
        <f>IF(OR(K778="",K778=A778,A778=""),"",K778&amp;"|"&amp;L778)</f>
        <v/>
      </c>
      <c r="N778">
        <f>IF(M778="","",IF(ISNUMBER(B778),B778,IFERROR(_xlfn.NUMBERVALUE(B778,".",","),0)))</f>
        <v/>
      </c>
      <c r="O778">
        <f>IF(M778="","",IF(ISNUMBER(C778),C778,IFERROR(_xlfn.NUMBERVALUE(C778,".",","),0)))</f>
        <v/>
      </c>
    </row>
    <row r="779">
      <c r="K779">
        <f>IF(OR(LEFT(B779,9)="DOANH THU",LEFT(B779,8)="SỐ LƯỢNG"),A779,IF(A779="","",K778))</f>
        <v/>
      </c>
      <c r="L779">
        <f>IF(A779="","",IF(ISNUMBER(--LEFT(A779,FIND(" - ",A779&amp;" - ")-1)),LEFT(A779,FIND(" - ",A779&amp;" - ")-1),TRIM(A779)))</f>
        <v/>
      </c>
      <c r="M779">
        <f>IF(OR(K779="",K779=A779,A779=""),"",K779&amp;"|"&amp;L779)</f>
        <v/>
      </c>
      <c r="N779">
        <f>IF(M779="","",IF(ISNUMBER(B779),B779,IFERROR(_xlfn.NUMBERVALUE(B779,".",","),0)))</f>
        <v/>
      </c>
      <c r="O779">
        <f>IF(M779="","",IF(ISNUMBER(C779),C779,IFERROR(_xlfn.NUMBERVALUE(C779,".",","),0)))</f>
        <v/>
      </c>
    </row>
    <row r="780">
      <c r="K780">
        <f>IF(OR(LEFT(B780,9)="DOANH THU",LEFT(B780,8)="SỐ LƯỢNG"),A780,IF(A780="","",K779))</f>
        <v/>
      </c>
      <c r="L780">
        <f>IF(A780="","",IF(ISNUMBER(--LEFT(A780,FIND(" - ",A780&amp;" - ")-1)),LEFT(A780,FIND(" - ",A780&amp;" - ")-1),TRIM(A780)))</f>
        <v/>
      </c>
      <c r="M780">
        <f>IF(OR(K780="",K780=A780,A780=""),"",K780&amp;"|"&amp;L780)</f>
        <v/>
      </c>
      <c r="N780">
        <f>IF(M780="","",IF(ISNUMBER(B780),B780,IFERROR(_xlfn.NUMBERVALUE(B780,".",","),0)))</f>
        <v/>
      </c>
      <c r="O780">
        <f>IF(M780="","",IF(ISNUMBER(C780),C780,IFERROR(_xlfn.NUMBERVALUE(C780,".",","),0)))</f>
        <v/>
      </c>
    </row>
    <row r="781">
      <c r="K781">
        <f>IF(OR(LEFT(B781,9)="DOANH THU",LEFT(B781,8)="SỐ LƯỢNG"),A781,IF(A781="","",K780))</f>
        <v/>
      </c>
      <c r="L781">
        <f>IF(A781="","",IF(ISNUMBER(--LEFT(A781,FIND(" - ",A781&amp;" - ")-1)),LEFT(A781,FIND(" - ",A781&amp;" - ")-1),TRIM(A781)))</f>
        <v/>
      </c>
      <c r="M781">
        <f>IF(OR(K781="",K781=A781,A781=""),"",K781&amp;"|"&amp;L781)</f>
        <v/>
      </c>
      <c r="N781">
        <f>IF(M781="","",IF(ISNUMBER(B781),B781,IFERROR(_xlfn.NUMBERVALUE(B781,".",","),0)))</f>
        <v/>
      </c>
      <c r="O781">
        <f>IF(M781="","",IF(ISNUMBER(C781),C781,IFERROR(_xlfn.NUMBERVALUE(C781,".",","),0)))</f>
        <v/>
      </c>
    </row>
    <row r="782">
      <c r="K782">
        <f>IF(OR(LEFT(B782,9)="DOANH THU",LEFT(B782,8)="SỐ LƯỢNG"),A782,IF(A782="","",K781))</f>
        <v/>
      </c>
      <c r="L782">
        <f>IF(A782="","",IF(ISNUMBER(--LEFT(A782,FIND(" - ",A782&amp;" - ")-1)),LEFT(A782,FIND(" - ",A782&amp;" - ")-1),TRIM(A782)))</f>
        <v/>
      </c>
      <c r="M782">
        <f>IF(OR(K782="",K782=A782,A782=""),"",K782&amp;"|"&amp;L782)</f>
        <v/>
      </c>
      <c r="N782">
        <f>IF(M782="","",IF(ISNUMBER(B782),B782,IFERROR(_xlfn.NUMBERVALUE(B782,".",","),0)))</f>
        <v/>
      </c>
      <c r="O782">
        <f>IF(M782="","",IF(ISNUMBER(C782),C782,IFERROR(_xlfn.NUMBERVALUE(C782,".",","),0)))</f>
        <v/>
      </c>
    </row>
    <row r="783">
      <c r="K783">
        <f>IF(OR(LEFT(B783,9)="DOANH THU",LEFT(B783,8)="SỐ LƯỢNG"),A783,IF(A783="","",K782))</f>
        <v/>
      </c>
      <c r="L783">
        <f>IF(A783="","",IF(ISNUMBER(--LEFT(A783,FIND(" - ",A783&amp;" - ")-1)),LEFT(A783,FIND(" - ",A783&amp;" - ")-1),TRIM(A783)))</f>
        <v/>
      </c>
      <c r="M783">
        <f>IF(OR(K783="",K783=A783,A783=""),"",K783&amp;"|"&amp;L783)</f>
        <v/>
      </c>
      <c r="N783">
        <f>IF(M783="","",IF(ISNUMBER(B783),B783,IFERROR(_xlfn.NUMBERVALUE(B783,".",","),0)))</f>
        <v/>
      </c>
      <c r="O783">
        <f>IF(M783="","",IF(ISNUMBER(C783),C783,IFERROR(_xlfn.NUMBERVALUE(C783,".",","),0)))</f>
        <v/>
      </c>
    </row>
    <row r="784">
      <c r="K784">
        <f>IF(OR(LEFT(B784,9)="DOANH THU",LEFT(B784,8)="SỐ LƯỢNG"),A784,IF(A784="","",K783))</f>
        <v/>
      </c>
      <c r="L784">
        <f>IF(A784="","",IF(ISNUMBER(--LEFT(A784,FIND(" - ",A784&amp;" - ")-1)),LEFT(A784,FIND(" - ",A784&amp;" - ")-1),TRIM(A784)))</f>
        <v/>
      </c>
      <c r="M784">
        <f>IF(OR(K784="",K784=A784,A784=""),"",K784&amp;"|"&amp;L784)</f>
        <v/>
      </c>
      <c r="N784">
        <f>IF(M784="","",IF(ISNUMBER(B784),B784,IFERROR(_xlfn.NUMBERVALUE(B784,".",","),0)))</f>
        <v/>
      </c>
      <c r="O784">
        <f>IF(M784="","",IF(ISNUMBER(C784),C784,IFERROR(_xlfn.NUMBERVALUE(C784,".",","),0)))</f>
        <v/>
      </c>
    </row>
    <row r="785">
      <c r="K785">
        <f>IF(OR(LEFT(B785,9)="DOANH THU",LEFT(B785,8)="SỐ LƯỢNG"),A785,IF(A785="","",K784))</f>
        <v/>
      </c>
      <c r="L785">
        <f>IF(A785="","",IF(ISNUMBER(--LEFT(A785,FIND(" - ",A785&amp;" - ")-1)),LEFT(A785,FIND(" - ",A785&amp;" - ")-1),TRIM(A785)))</f>
        <v/>
      </c>
      <c r="M785">
        <f>IF(OR(K785="",K785=A785,A785=""),"",K785&amp;"|"&amp;L785)</f>
        <v/>
      </c>
      <c r="N785">
        <f>IF(M785="","",IF(ISNUMBER(B785),B785,IFERROR(_xlfn.NUMBERVALUE(B785,".",","),0)))</f>
        <v/>
      </c>
      <c r="O785">
        <f>IF(M785="","",IF(ISNUMBER(C785),C785,IFERROR(_xlfn.NUMBERVALUE(C785,".",","),0)))</f>
        <v/>
      </c>
    </row>
    <row r="786">
      <c r="K786">
        <f>IF(OR(LEFT(B786,9)="DOANH THU",LEFT(B786,8)="SỐ LƯỢNG"),A786,IF(A786="","",K785))</f>
        <v/>
      </c>
      <c r="L786">
        <f>IF(A786="","",IF(ISNUMBER(--LEFT(A786,FIND(" - ",A786&amp;" - ")-1)),LEFT(A786,FIND(" - ",A786&amp;" - ")-1),TRIM(A786)))</f>
        <v/>
      </c>
      <c r="M786">
        <f>IF(OR(K786="",K786=A786,A786=""),"",K786&amp;"|"&amp;L786)</f>
        <v/>
      </c>
      <c r="N786">
        <f>IF(M786="","",IF(ISNUMBER(B786),B786,IFERROR(_xlfn.NUMBERVALUE(B786,".",","),0)))</f>
        <v/>
      </c>
      <c r="O786">
        <f>IF(M786="","",IF(ISNUMBER(C786),C786,IFERROR(_xlfn.NUMBERVALUE(C786,".",","),0)))</f>
        <v/>
      </c>
    </row>
    <row r="787">
      <c r="K787">
        <f>IF(OR(LEFT(B787,9)="DOANH THU",LEFT(B787,8)="SỐ LƯỢNG"),A787,IF(A787="","",K786))</f>
        <v/>
      </c>
      <c r="L787">
        <f>IF(A787="","",IF(ISNUMBER(--LEFT(A787,FIND(" - ",A787&amp;" - ")-1)),LEFT(A787,FIND(" - ",A787&amp;" - ")-1),TRIM(A787)))</f>
        <v/>
      </c>
      <c r="M787">
        <f>IF(OR(K787="",K787=A787,A787=""),"",K787&amp;"|"&amp;L787)</f>
        <v/>
      </c>
      <c r="N787">
        <f>IF(M787="","",IF(ISNUMBER(B787),B787,IFERROR(_xlfn.NUMBERVALUE(B787,".",","),0)))</f>
        <v/>
      </c>
      <c r="O787">
        <f>IF(M787="","",IF(ISNUMBER(C787),C787,IFERROR(_xlfn.NUMBERVALUE(C787,".",","),0)))</f>
        <v/>
      </c>
    </row>
    <row r="788">
      <c r="K788">
        <f>IF(OR(LEFT(B788,9)="DOANH THU",LEFT(B788,8)="SỐ LƯỢNG"),A788,IF(A788="","",K787))</f>
        <v/>
      </c>
      <c r="L788">
        <f>IF(A788="","",IF(ISNUMBER(--LEFT(A788,FIND(" - ",A788&amp;" - ")-1)),LEFT(A788,FIND(" - ",A788&amp;" - ")-1),TRIM(A788)))</f>
        <v/>
      </c>
      <c r="M788">
        <f>IF(OR(K788="",K788=A788,A788=""),"",K788&amp;"|"&amp;L788)</f>
        <v/>
      </c>
      <c r="N788">
        <f>IF(M788="","",IF(ISNUMBER(B788),B788,IFERROR(_xlfn.NUMBERVALUE(B788,".",","),0)))</f>
        <v/>
      </c>
      <c r="O788">
        <f>IF(M788="","",IF(ISNUMBER(C788),C788,IFERROR(_xlfn.NUMBERVALUE(C788,".",","),0)))</f>
        <v/>
      </c>
    </row>
    <row r="789">
      <c r="K789">
        <f>IF(OR(LEFT(B789,9)="DOANH THU",LEFT(B789,8)="SỐ LƯỢNG"),A789,IF(A789="","",K788))</f>
        <v/>
      </c>
      <c r="L789">
        <f>IF(A789="","",IF(ISNUMBER(--LEFT(A789,FIND(" - ",A789&amp;" - ")-1)),LEFT(A789,FIND(" - ",A789&amp;" - ")-1),TRIM(A789)))</f>
        <v/>
      </c>
      <c r="M789">
        <f>IF(OR(K789="",K789=A789,A789=""),"",K789&amp;"|"&amp;L789)</f>
        <v/>
      </c>
      <c r="N789">
        <f>IF(M789="","",IF(ISNUMBER(B789),B789,IFERROR(_xlfn.NUMBERVALUE(B789,".",","),0)))</f>
        <v/>
      </c>
      <c r="O789">
        <f>IF(M789="","",IF(ISNUMBER(C789),C789,IFERROR(_xlfn.NUMBERVALUE(C789,".",","),0)))</f>
        <v/>
      </c>
    </row>
    <row r="790">
      <c r="K790">
        <f>IF(OR(LEFT(B790,9)="DOANH THU",LEFT(B790,8)="SỐ LƯỢNG"),A790,IF(A790="","",K789))</f>
        <v/>
      </c>
      <c r="L790">
        <f>IF(A790="","",IF(ISNUMBER(--LEFT(A790,FIND(" - ",A790&amp;" - ")-1)),LEFT(A790,FIND(" - ",A790&amp;" - ")-1),TRIM(A790)))</f>
        <v/>
      </c>
      <c r="M790">
        <f>IF(OR(K790="",K790=A790,A790=""),"",K790&amp;"|"&amp;L790)</f>
        <v/>
      </c>
      <c r="N790">
        <f>IF(M790="","",IF(ISNUMBER(B790),B790,IFERROR(_xlfn.NUMBERVALUE(B790,".",","),0)))</f>
        <v/>
      </c>
      <c r="O790">
        <f>IF(M790="","",IF(ISNUMBER(C790),C790,IFERROR(_xlfn.NUMBERVALUE(C790,".",","),0)))</f>
        <v/>
      </c>
    </row>
    <row r="791">
      <c r="K791">
        <f>IF(OR(LEFT(B791,9)="DOANH THU",LEFT(B791,8)="SỐ LƯỢNG"),A791,IF(A791="","",K790))</f>
        <v/>
      </c>
      <c r="L791">
        <f>IF(A791="","",IF(ISNUMBER(--LEFT(A791,FIND(" - ",A791&amp;" - ")-1)),LEFT(A791,FIND(" - ",A791&amp;" - ")-1),TRIM(A791)))</f>
        <v/>
      </c>
      <c r="M791">
        <f>IF(OR(K791="",K791=A791,A791=""),"",K791&amp;"|"&amp;L791)</f>
        <v/>
      </c>
      <c r="N791">
        <f>IF(M791="","",IF(ISNUMBER(B791),B791,IFERROR(_xlfn.NUMBERVALUE(B791,".",","),0)))</f>
        <v/>
      </c>
      <c r="O791">
        <f>IF(M791="","",IF(ISNUMBER(C791),C791,IFERROR(_xlfn.NUMBERVALUE(C791,".",","),0)))</f>
        <v/>
      </c>
    </row>
    <row r="792">
      <c r="K792">
        <f>IF(OR(LEFT(B792,9)="DOANH THU",LEFT(B792,8)="SỐ LƯỢNG"),A792,IF(A792="","",K791))</f>
        <v/>
      </c>
      <c r="L792">
        <f>IF(A792="","",IF(ISNUMBER(--LEFT(A792,FIND(" - ",A792&amp;" - ")-1)),LEFT(A792,FIND(" - ",A792&amp;" - ")-1),TRIM(A792)))</f>
        <v/>
      </c>
      <c r="M792">
        <f>IF(OR(K792="",K792=A792,A792=""),"",K792&amp;"|"&amp;L792)</f>
        <v/>
      </c>
      <c r="N792">
        <f>IF(M792="","",IF(ISNUMBER(B792),B792,IFERROR(_xlfn.NUMBERVALUE(B792,".",","),0)))</f>
        <v/>
      </c>
      <c r="O792">
        <f>IF(M792="","",IF(ISNUMBER(C792),C792,IFERROR(_xlfn.NUMBERVALUE(C792,".",","),0)))</f>
        <v/>
      </c>
    </row>
    <row r="793">
      <c r="K793">
        <f>IF(OR(LEFT(B793,9)="DOANH THU",LEFT(B793,8)="SỐ LƯỢNG"),A793,IF(A793="","",K792))</f>
        <v/>
      </c>
      <c r="L793">
        <f>IF(A793="","",IF(ISNUMBER(--LEFT(A793,FIND(" - ",A793&amp;" - ")-1)),LEFT(A793,FIND(" - ",A793&amp;" - ")-1),TRIM(A793)))</f>
        <v/>
      </c>
      <c r="M793">
        <f>IF(OR(K793="",K793=A793,A793=""),"",K793&amp;"|"&amp;L793)</f>
        <v/>
      </c>
      <c r="N793">
        <f>IF(M793="","",IF(ISNUMBER(B793),B793,IFERROR(_xlfn.NUMBERVALUE(B793,".",","),0)))</f>
        <v/>
      </c>
      <c r="O793">
        <f>IF(M793="","",IF(ISNUMBER(C793),C793,IFERROR(_xlfn.NUMBERVALUE(C793,".",","),0)))</f>
        <v/>
      </c>
    </row>
    <row r="794">
      <c r="K794">
        <f>IF(OR(LEFT(B794,9)="DOANH THU",LEFT(B794,8)="SỐ LƯỢNG"),A794,IF(A794="","",K793))</f>
        <v/>
      </c>
      <c r="L794">
        <f>IF(A794="","",IF(ISNUMBER(--LEFT(A794,FIND(" - ",A794&amp;" - ")-1)),LEFT(A794,FIND(" - ",A794&amp;" - ")-1),TRIM(A794)))</f>
        <v/>
      </c>
      <c r="M794">
        <f>IF(OR(K794="",K794=A794,A794=""),"",K794&amp;"|"&amp;L794)</f>
        <v/>
      </c>
      <c r="N794">
        <f>IF(M794="","",IF(ISNUMBER(B794),B794,IFERROR(_xlfn.NUMBERVALUE(B794,".",","),0)))</f>
        <v/>
      </c>
      <c r="O794">
        <f>IF(M794="","",IF(ISNUMBER(C794),C794,IFERROR(_xlfn.NUMBERVALUE(C794,".",","),0)))</f>
        <v/>
      </c>
    </row>
    <row r="795">
      <c r="K795">
        <f>IF(OR(LEFT(B795,9)="DOANH THU",LEFT(B795,8)="SỐ LƯỢNG"),A795,IF(A795="","",K794))</f>
        <v/>
      </c>
      <c r="L795">
        <f>IF(A795="","",IF(ISNUMBER(--LEFT(A795,FIND(" - ",A795&amp;" - ")-1)),LEFT(A795,FIND(" - ",A795&amp;" - ")-1),TRIM(A795)))</f>
        <v/>
      </c>
      <c r="M795">
        <f>IF(OR(K795="",K795=A795,A795=""),"",K795&amp;"|"&amp;L795)</f>
        <v/>
      </c>
      <c r="N795">
        <f>IF(M795="","",IF(ISNUMBER(B795),B795,IFERROR(_xlfn.NUMBERVALUE(B795,".",","),0)))</f>
        <v/>
      </c>
      <c r="O795">
        <f>IF(M795="","",IF(ISNUMBER(C795),C795,IFERROR(_xlfn.NUMBERVALUE(C795,".",","),0)))</f>
        <v/>
      </c>
    </row>
    <row r="796">
      <c r="K796">
        <f>IF(OR(LEFT(B796,9)="DOANH THU",LEFT(B796,8)="SỐ LƯỢNG"),A796,IF(A796="","",K795))</f>
        <v/>
      </c>
      <c r="L796">
        <f>IF(A796="","",IF(ISNUMBER(--LEFT(A796,FIND(" - ",A796&amp;" - ")-1)),LEFT(A796,FIND(" - ",A796&amp;" - ")-1),TRIM(A796)))</f>
        <v/>
      </c>
      <c r="M796">
        <f>IF(OR(K796="",K796=A796,A796=""),"",K796&amp;"|"&amp;L796)</f>
        <v/>
      </c>
      <c r="N796">
        <f>IF(M796="","",IF(ISNUMBER(B796),B796,IFERROR(_xlfn.NUMBERVALUE(B796,".",","),0)))</f>
        <v/>
      </c>
      <c r="O796">
        <f>IF(M796="","",IF(ISNUMBER(C796),C796,IFERROR(_xlfn.NUMBERVALUE(C796,".",","),0)))</f>
        <v/>
      </c>
    </row>
    <row r="797">
      <c r="K797">
        <f>IF(OR(LEFT(B797,9)="DOANH THU",LEFT(B797,8)="SỐ LƯỢNG"),A797,IF(A797="","",K796))</f>
        <v/>
      </c>
      <c r="L797">
        <f>IF(A797="","",IF(ISNUMBER(--LEFT(A797,FIND(" - ",A797&amp;" - ")-1)),LEFT(A797,FIND(" - ",A797&amp;" - ")-1),TRIM(A797)))</f>
        <v/>
      </c>
      <c r="M797">
        <f>IF(OR(K797="",K797=A797,A797=""),"",K797&amp;"|"&amp;L797)</f>
        <v/>
      </c>
      <c r="N797">
        <f>IF(M797="","",IF(ISNUMBER(B797),B797,IFERROR(_xlfn.NUMBERVALUE(B797,".",","),0)))</f>
        <v/>
      </c>
      <c r="O797">
        <f>IF(M797="","",IF(ISNUMBER(C797),C797,IFERROR(_xlfn.NUMBERVALUE(C797,".",","),0)))</f>
        <v/>
      </c>
    </row>
    <row r="798">
      <c r="K798">
        <f>IF(OR(LEFT(B798,9)="DOANH THU",LEFT(B798,8)="SỐ LƯỢNG"),A798,IF(A798="","",K797))</f>
        <v/>
      </c>
      <c r="L798">
        <f>IF(A798="","",IF(ISNUMBER(--LEFT(A798,FIND(" - ",A798&amp;" - ")-1)),LEFT(A798,FIND(" - ",A798&amp;" - ")-1),TRIM(A798)))</f>
        <v/>
      </c>
      <c r="M798">
        <f>IF(OR(K798="",K798=A798,A798=""),"",K798&amp;"|"&amp;L798)</f>
        <v/>
      </c>
      <c r="N798">
        <f>IF(M798="","",IF(ISNUMBER(B798),B798,IFERROR(_xlfn.NUMBERVALUE(B798,".",","),0)))</f>
        <v/>
      </c>
      <c r="O798">
        <f>IF(M798="","",IF(ISNUMBER(C798),C798,IFERROR(_xlfn.NUMBERVALUE(C798,".",","),0)))</f>
        <v/>
      </c>
    </row>
    <row r="799">
      <c r="K799">
        <f>IF(OR(LEFT(B799,9)="DOANH THU",LEFT(B799,8)="SỐ LƯỢNG"),A799,IF(A799="","",K798))</f>
        <v/>
      </c>
      <c r="L799">
        <f>IF(A799="","",IF(ISNUMBER(--LEFT(A799,FIND(" - ",A799&amp;" - ")-1)),LEFT(A799,FIND(" - ",A799&amp;" - ")-1),TRIM(A799)))</f>
        <v/>
      </c>
      <c r="M799">
        <f>IF(OR(K799="",K799=A799,A799=""),"",K799&amp;"|"&amp;L799)</f>
        <v/>
      </c>
      <c r="N799">
        <f>IF(M799="","",IF(ISNUMBER(B799),B799,IFERROR(_xlfn.NUMBERVALUE(B799,".",","),0)))</f>
        <v/>
      </c>
      <c r="O799">
        <f>IF(M799="","",IF(ISNUMBER(C799),C799,IFERROR(_xlfn.NUMBERVALUE(C799,".",","),0)))</f>
        <v/>
      </c>
    </row>
    <row r="800">
      <c r="K800">
        <f>IF(OR(LEFT(B800,9)="DOANH THU",LEFT(B800,8)="SỐ LƯỢNG"),A800,IF(A800="","",K799))</f>
        <v/>
      </c>
      <c r="L800">
        <f>IF(A800="","",IF(ISNUMBER(--LEFT(A800,FIND(" - ",A800&amp;" - ")-1)),LEFT(A800,FIND(" - ",A800&amp;" - ")-1),TRIM(A800)))</f>
        <v/>
      </c>
      <c r="M800">
        <f>IF(OR(K800="",K800=A800,A800=""),"",K800&amp;"|"&amp;L800)</f>
        <v/>
      </c>
      <c r="N800">
        <f>IF(M800="","",IF(ISNUMBER(B800),B800,IFERROR(_xlfn.NUMBERVALUE(B800,".",","),0)))</f>
        <v/>
      </c>
      <c r="O800">
        <f>IF(M800="","",IF(ISNUMBER(C800),C800,IFERROR(_xlfn.NUMBERVALUE(C800,".",","),0)))</f>
        <v/>
      </c>
    </row>
    <row r="801">
      <c r="K801">
        <f>IF(OR(LEFT(B801,9)="DOANH THU",LEFT(B801,8)="SỐ LƯỢNG"),A801,IF(A801="","",K800))</f>
        <v/>
      </c>
      <c r="L801">
        <f>IF(A801="","",IF(ISNUMBER(--LEFT(A801,FIND(" - ",A801&amp;" - ")-1)),LEFT(A801,FIND(" - ",A801&amp;" - ")-1),TRIM(A801)))</f>
        <v/>
      </c>
      <c r="M801">
        <f>IF(OR(K801="",K801=A801,A801=""),"",K801&amp;"|"&amp;L801)</f>
        <v/>
      </c>
      <c r="N801">
        <f>IF(M801="","",IF(ISNUMBER(B801),B801,IFERROR(_xlfn.NUMBERVALUE(B801,".",","),0)))</f>
        <v/>
      </c>
      <c r="O801">
        <f>IF(M801="","",IF(ISNUMBER(C801),C801,IFERROR(_xlfn.NUMBERVALUE(C801,".",","),0)))</f>
        <v/>
      </c>
    </row>
    <row r="802">
      <c r="K802">
        <f>IF(OR(LEFT(B802,9)="DOANH THU",LEFT(B802,8)="SỐ LƯỢNG"),A802,IF(A802="","",K801))</f>
        <v/>
      </c>
      <c r="L802">
        <f>IF(A802="","",IF(ISNUMBER(--LEFT(A802,FIND(" - ",A802&amp;" - ")-1)),LEFT(A802,FIND(" - ",A802&amp;" - ")-1),TRIM(A802)))</f>
        <v/>
      </c>
      <c r="M802">
        <f>IF(OR(K802="",K802=A802,A802=""),"",K802&amp;"|"&amp;L802)</f>
        <v/>
      </c>
      <c r="N802">
        <f>IF(M802="","",IF(ISNUMBER(B802),B802,IFERROR(_xlfn.NUMBERVALUE(B802,".",","),0)))</f>
        <v/>
      </c>
      <c r="O802">
        <f>IF(M802="","",IF(ISNUMBER(C802),C802,IFERROR(_xlfn.NUMBERVALUE(C802,".",","),0)))</f>
        <v/>
      </c>
    </row>
    <row r="803">
      <c r="K803">
        <f>IF(OR(LEFT(B803,9)="DOANH THU",LEFT(B803,8)="SỐ LƯỢNG"),A803,IF(A803="","",K802))</f>
        <v/>
      </c>
      <c r="L803">
        <f>IF(A803="","",IF(ISNUMBER(--LEFT(A803,FIND(" - ",A803&amp;" - ")-1)),LEFT(A803,FIND(" - ",A803&amp;" - ")-1),TRIM(A803)))</f>
        <v/>
      </c>
      <c r="M803">
        <f>IF(OR(K803="",K803=A803,A803=""),"",K803&amp;"|"&amp;L803)</f>
        <v/>
      </c>
      <c r="N803">
        <f>IF(M803="","",IF(ISNUMBER(B803),B803,IFERROR(_xlfn.NUMBERVALUE(B803,".",","),0)))</f>
        <v/>
      </c>
      <c r="O803">
        <f>IF(M803="","",IF(ISNUMBER(C803),C803,IFERROR(_xlfn.NUMBERVALUE(C803,".",","),0)))</f>
        <v/>
      </c>
    </row>
    <row r="804">
      <c r="K804">
        <f>IF(OR(LEFT(B804,9)="DOANH THU",LEFT(B804,8)="SỐ LƯỢNG"),A804,IF(A804="","",K803))</f>
        <v/>
      </c>
      <c r="L804">
        <f>IF(A804="","",IF(ISNUMBER(--LEFT(A804,FIND(" - ",A804&amp;" - ")-1)),LEFT(A804,FIND(" - ",A804&amp;" - ")-1),TRIM(A804)))</f>
        <v/>
      </c>
      <c r="M804">
        <f>IF(OR(K804="",K804=A804,A804=""),"",K804&amp;"|"&amp;L804)</f>
        <v/>
      </c>
      <c r="N804">
        <f>IF(M804="","",IF(ISNUMBER(B804),B804,IFERROR(_xlfn.NUMBERVALUE(B804,".",","),0)))</f>
        <v/>
      </c>
      <c r="O804">
        <f>IF(M804="","",IF(ISNUMBER(C804),C804,IFERROR(_xlfn.NUMBERVALUE(C804,".",","),0)))</f>
        <v/>
      </c>
    </row>
    <row r="805">
      <c r="K805">
        <f>IF(OR(LEFT(B805,9)="DOANH THU",LEFT(B805,8)="SỐ LƯỢNG"),A805,IF(A805="","",K804))</f>
        <v/>
      </c>
      <c r="L805">
        <f>IF(A805="","",IF(ISNUMBER(--LEFT(A805,FIND(" - ",A805&amp;" - ")-1)),LEFT(A805,FIND(" - ",A805&amp;" - ")-1),TRIM(A805)))</f>
        <v/>
      </c>
      <c r="M805">
        <f>IF(OR(K805="",K805=A805,A805=""),"",K805&amp;"|"&amp;L805)</f>
        <v/>
      </c>
      <c r="N805">
        <f>IF(M805="","",IF(ISNUMBER(B805),B805,IFERROR(_xlfn.NUMBERVALUE(B805,".",","),0)))</f>
        <v/>
      </c>
      <c r="O805">
        <f>IF(M805="","",IF(ISNUMBER(C805),C805,IFERROR(_xlfn.NUMBERVALUE(C805,".",","),0)))</f>
        <v/>
      </c>
    </row>
    <row r="806">
      <c r="K806">
        <f>IF(OR(LEFT(B806,9)="DOANH THU",LEFT(B806,8)="SỐ LƯỢNG"),A806,IF(A806="","",K805))</f>
        <v/>
      </c>
      <c r="L806">
        <f>IF(A806="","",IF(ISNUMBER(--LEFT(A806,FIND(" - ",A806&amp;" - ")-1)),LEFT(A806,FIND(" - ",A806&amp;" - ")-1),TRIM(A806)))</f>
        <v/>
      </c>
      <c r="M806">
        <f>IF(OR(K806="",K806=A806,A806=""),"",K806&amp;"|"&amp;L806)</f>
        <v/>
      </c>
      <c r="N806">
        <f>IF(M806="","",IF(ISNUMBER(B806),B806,IFERROR(_xlfn.NUMBERVALUE(B806,".",","),0)))</f>
        <v/>
      </c>
      <c r="O806">
        <f>IF(M806="","",IF(ISNUMBER(C806),C806,IFERROR(_xlfn.NUMBERVALUE(C806,".",","),0)))</f>
        <v/>
      </c>
    </row>
    <row r="807">
      <c r="K807">
        <f>IF(OR(LEFT(B807,9)="DOANH THU",LEFT(B807,8)="SỐ LƯỢNG"),A807,IF(A807="","",K806))</f>
        <v/>
      </c>
      <c r="L807">
        <f>IF(A807="","",IF(ISNUMBER(--LEFT(A807,FIND(" - ",A807&amp;" - ")-1)),LEFT(A807,FIND(" - ",A807&amp;" - ")-1),TRIM(A807)))</f>
        <v/>
      </c>
      <c r="M807">
        <f>IF(OR(K807="",K807=A807,A807=""),"",K807&amp;"|"&amp;L807)</f>
        <v/>
      </c>
      <c r="N807">
        <f>IF(M807="","",IF(ISNUMBER(B807),B807,IFERROR(_xlfn.NUMBERVALUE(B807,".",","),0)))</f>
        <v/>
      </c>
      <c r="O807">
        <f>IF(M807="","",IF(ISNUMBER(C807),C807,IFERROR(_xlfn.NUMBERVALUE(C807,".",","),0)))</f>
        <v/>
      </c>
    </row>
    <row r="808">
      <c r="K808">
        <f>IF(OR(LEFT(B808,9)="DOANH THU",LEFT(B808,8)="SỐ LƯỢNG"),A808,IF(A808="","",K807))</f>
        <v/>
      </c>
      <c r="L808">
        <f>IF(A808="","",IF(ISNUMBER(--LEFT(A808,FIND(" - ",A808&amp;" - ")-1)),LEFT(A808,FIND(" - ",A808&amp;" - ")-1),TRIM(A808)))</f>
        <v/>
      </c>
      <c r="M808">
        <f>IF(OR(K808="",K808=A808,A808=""),"",K808&amp;"|"&amp;L808)</f>
        <v/>
      </c>
      <c r="N808">
        <f>IF(M808="","",IF(ISNUMBER(B808),B808,IFERROR(_xlfn.NUMBERVALUE(B808,".",","),0)))</f>
        <v/>
      </c>
      <c r="O808">
        <f>IF(M808="","",IF(ISNUMBER(C808),C808,IFERROR(_xlfn.NUMBERVALUE(C808,".",","),0)))</f>
        <v/>
      </c>
    </row>
    <row r="809">
      <c r="K809">
        <f>IF(OR(LEFT(B809,9)="DOANH THU",LEFT(B809,8)="SỐ LƯỢNG"),A809,IF(A809="","",K808))</f>
        <v/>
      </c>
      <c r="L809">
        <f>IF(A809="","",IF(ISNUMBER(--LEFT(A809,FIND(" - ",A809&amp;" - ")-1)),LEFT(A809,FIND(" - ",A809&amp;" - ")-1),TRIM(A809)))</f>
        <v/>
      </c>
      <c r="M809">
        <f>IF(OR(K809="",K809=A809,A809=""),"",K809&amp;"|"&amp;L809)</f>
        <v/>
      </c>
      <c r="N809">
        <f>IF(M809="","",IF(ISNUMBER(B809),B809,IFERROR(_xlfn.NUMBERVALUE(B809,".",","),0)))</f>
        <v/>
      </c>
      <c r="O809">
        <f>IF(M809="","",IF(ISNUMBER(C809),C809,IFERROR(_xlfn.NUMBERVALUE(C809,".",","),0)))</f>
        <v/>
      </c>
    </row>
    <row r="810">
      <c r="K810">
        <f>IF(OR(LEFT(B810,9)="DOANH THU",LEFT(B810,8)="SỐ LƯỢNG"),A810,IF(A810="","",K809))</f>
        <v/>
      </c>
      <c r="L810">
        <f>IF(A810="","",IF(ISNUMBER(--LEFT(A810,FIND(" - ",A810&amp;" - ")-1)),LEFT(A810,FIND(" - ",A810&amp;" - ")-1),TRIM(A810)))</f>
        <v/>
      </c>
      <c r="M810">
        <f>IF(OR(K810="",K810=A810,A810=""),"",K810&amp;"|"&amp;L810)</f>
        <v/>
      </c>
      <c r="N810">
        <f>IF(M810="","",IF(ISNUMBER(B810),B810,IFERROR(_xlfn.NUMBERVALUE(B810,".",","),0)))</f>
        <v/>
      </c>
      <c r="O810">
        <f>IF(M810="","",IF(ISNUMBER(C810),C810,IFERROR(_xlfn.NUMBERVALUE(C810,".",","),0)))</f>
        <v/>
      </c>
    </row>
    <row r="811">
      <c r="K811">
        <f>IF(OR(LEFT(B811,9)="DOANH THU",LEFT(B811,8)="SỐ LƯỢNG"),A811,IF(A811="","",K810))</f>
        <v/>
      </c>
      <c r="L811">
        <f>IF(A811="","",IF(ISNUMBER(--LEFT(A811,FIND(" - ",A811&amp;" - ")-1)),LEFT(A811,FIND(" - ",A811&amp;" - ")-1),TRIM(A811)))</f>
        <v/>
      </c>
      <c r="M811">
        <f>IF(OR(K811="",K811=A811,A811=""),"",K811&amp;"|"&amp;L811)</f>
        <v/>
      </c>
      <c r="N811">
        <f>IF(M811="","",IF(ISNUMBER(B811),B811,IFERROR(_xlfn.NUMBERVALUE(B811,".",","),0)))</f>
        <v/>
      </c>
      <c r="O811">
        <f>IF(M811="","",IF(ISNUMBER(C811),C811,IFERROR(_xlfn.NUMBERVALUE(C811,".",","),0)))</f>
        <v/>
      </c>
    </row>
    <row r="812">
      <c r="K812">
        <f>IF(OR(LEFT(B812,9)="DOANH THU",LEFT(B812,8)="SỐ LƯỢNG"),A812,IF(A812="","",K811))</f>
        <v/>
      </c>
      <c r="L812">
        <f>IF(A812="","",IF(ISNUMBER(--LEFT(A812,FIND(" - ",A812&amp;" - ")-1)),LEFT(A812,FIND(" - ",A812&amp;" - ")-1),TRIM(A812)))</f>
        <v/>
      </c>
      <c r="M812">
        <f>IF(OR(K812="",K812=A812,A812=""),"",K812&amp;"|"&amp;L812)</f>
        <v/>
      </c>
      <c r="N812">
        <f>IF(M812="","",IF(ISNUMBER(B812),B812,IFERROR(_xlfn.NUMBERVALUE(B812,".",","),0)))</f>
        <v/>
      </c>
      <c r="O812">
        <f>IF(M812="","",IF(ISNUMBER(C812),C812,IFERROR(_xlfn.NUMBERVALUE(C812,".",","),0)))</f>
        <v/>
      </c>
    </row>
    <row r="813">
      <c r="K813">
        <f>IF(OR(LEFT(B813,9)="DOANH THU",LEFT(B813,8)="SỐ LƯỢNG"),A813,IF(A813="","",K812))</f>
        <v/>
      </c>
      <c r="L813">
        <f>IF(A813="","",IF(ISNUMBER(--LEFT(A813,FIND(" - ",A813&amp;" - ")-1)),LEFT(A813,FIND(" - ",A813&amp;" - ")-1),TRIM(A813)))</f>
        <v/>
      </c>
      <c r="M813">
        <f>IF(OR(K813="",K813=A813,A813=""),"",K813&amp;"|"&amp;L813)</f>
        <v/>
      </c>
      <c r="N813">
        <f>IF(M813="","",IF(ISNUMBER(B813),B813,IFERROR(_xlfn.NUMBERVALUE(B813,".",","),0)))</f>
        <v/>
      </c>
      <c r="O813">
        <f>IF(M813="","",IF(ISNUMBER(C813),C813,IFERROR(_xlfn.NUMBERVALUE(C813,".",","),0)))</f>
        <v/>
      </c>
    </row>
    <row r="814">
      <c r="K814">
        <f>IF(OR(LEFT(B814,9)="DOANH THU",LEFT(B814,8)="SỐ LƯỢNG"),A814,IF(A814="","",K813))</f>
        <v/>
      </c>
      <c r="L814">
        <f>IF(A814="","",IF(ISNUMBER(--LEFT(A814,FIND(" - ",A814&amp;" - ")-1)),LEFT(A814,FIND(" - ",A814&amp;" - ")-1),TRIM(A814)))</f>
        <v/>
      </c>
      <c r="M814">
        <f>IF(OR(K814="",K814=A814,A814=""),"",K814&amp;"|"&amp;L814)</f>
        <v/>
      </c>
      <c r="N814">
        <f>IF(M814="","",IF(ISNUMBER(B814),B814,IFERROR(_xlfn.NUMBERVALUE(B814,".",","),0)))</f>
        <v/>
      </c>
      <c r="O814">
        <f>IF(M814="","",IF(ISNUMBER(C814),C814,IFERROR(_xlfn.NUMBERVALUE(C814,".",","),0)))</f>
        <v/>
      </c>
    </row>
    <row r="815">
      <c r="K815">
        <f>IF(OR(LEFT(B815,9)="DOANH THU",LEFT(B815,8)="SỐ LƯỢNG"),A815,IF(A815="","",K814))</f>
        <v/>
      </c>
      <c r="L815">
        <f>IF(A815="","",IF(ISNUMBER(--LEFT(A815,FIND(" - ",A815&amp;" - ")-1)),LEFT(A815,FIND(" - ",A815&amp;" - ")-1),TRIM(A815)))</f>
        <v/>
      </c>
      <c r="M815">
        <f>IF(OR(K815="",K815=A815,A815=""),"",K815&amp;"|"&amp;L815)</f>
        <v/>
      </c>
      <c r="N815">
        <f>IF(M815="","",IF(ISNUMBER(B815),B815,IFERROR(_xlfn.NUMBERVALUE(B815,".",","),0)))</f>
        <v/>
      </c>
      <c r="O815">
        <f>IF(M815="","",IF(ISNUMBER(C815),C815,IFERROR(_xlfn.NUMBERVALUE(C815,".",","),0)))</f>
        <v/>
      </c>
    </row>
    <row r="816">
      <c r="K816">
        <f>IF(OR(LEFT(B816,9)="DOANH THU",LEFT(B816,8)="SỐ LƯỢNG"),A816,IF(A816="","",K815))</f>
        <v/>
      </c>
      <c r="L816">
        <f>IF(A816="","",IF(ISNUMBER(--LEFT(A816,FIND(" - ",A816&amp;" - ")-1)),LEFT(A816,FIND(" - ",A816&amp;" - ")-1),TRIM(A816)))</f>
        <v/>
      </c>
      <c r="M816">
        <f>IF(OR(K816="",K816=A816,A816=""),"",K816&amp;"|"&amp;L816)</f>
        <v/>
      </c>
      <c r="N816">
        <f>IF(M816="","",IF(ISNUMBER(B816),B816,IFERROR(_xlfn.NUMBERVALUE(B816,".",","),0)))</f>
        <v/>
      </c>
      <c r="O816">
        <f>IF(M816="","",IF(ISNUMBER(C816),C816,IFERROR(_xlfn.NUMBERVALUE(C816,".",","),0)))</f>
        <v/>
      </c>
    </row>
    <row r="817">
      <c r="K817">
        <f>IF(OR(LEFT(B817,9)="DOANH THU",LEFT(B817,8)="SỐ LƯỢNG"),A817,IF(A817="","",K816))</f>
        <v/>
      </c>
      <c r="L817">
        <f>IF(A817="","",IF(ISNUMBER(--LEFT(A817,FIND(" - ",A817&amp;" - ")-1)),LEFT(A817,FIND(" - ",A817&amp;" - ")-1),TRIM(A817)))</f>
        <v/>
      </c>
      <c r="M817">
        <f>IF(OR(K817="",K817=A817,A817=""),"",K817&amp;"|"&amp;L817)</f>
        <v/>
      </c>
      <c r="N817">
        <f>IF(M817="","",IF(ISNUMBER(B817),B817,IFERROR(_xlfn.NUMBERVALUE(B817,".",","),0)))</f>
        <v/>
      </c>
      <c r="O817">
        <f>IF(M817="","",IF(ISNUMBER(C817),C817,IFERROR(_xlfn.NUMBERVALUE(C817,".",","),0)))</f>
        <v/>
      </c>
    </row>
    <row r="818">
      <c r="K818">
        <f>IF(OR(LEFT(B818,9)="DOANH THU",LEFT(B818,8)="SỐ LƯỢNG"),A818,IF(A818="","",K817))</f>
        <v/>
      </c>
      <c r="L818">
        <f>IF(A818="","",IF(ISNUMBER(--LEFT(A818,FIND(" - ",A818&amp;" - ")-1)),LEFT(A818,FIND(" - ",A818&amp;" - ")-1),TRIM(A818)))</f>
        <v/>
      </c>
      <c r="M818">
        <f>IF(OR(K818="",K818=A818,A818=""),"",K818&amp;"|"&amp;L818)</f>
        <v/>
      </c>
      <c r="N818">
        <f>IF(M818="","",IF(ISNUMBER(B818),B818,IFERROR(_xlfn.NUMBERVALUE(B818,".",","),0)))</f>
        <v/>
      </c>
      <c r="O818">
        <f>IF(M818="","",IF(ISNUMBER(C818),C818,IFERROR(_xlfn.NUMBERVALUE(C818,".",","),0)))</f>
        <v/>
      </c>
    </row>
    <row r="819">
      <c r="K819">
        <f>IF(OR(LEFT(B819,9)="DOANH THU",LEFT(B819,8)="SỐ LƯỢNG"),A819,IF(A819="","",K818))</f>
        <v/>
      </c>
      <c r="L819">
        <f>IF(A819="","",IF(ISNUMBER(--LEFT(A819,FIND(" - ",A819&amp;" - ")-1)),LEFT(A819,FIND(" - ",A819&amp;" - ")-1),TRIM(A819)))</f>
        <v/>
      </c>
      <c r="M819">
        <f>IF(OR(K819="",K819=A819,A819=""),"",K819&amp;"|"&amp;L819)</f>
        <v/>
      </c>
      <c r="N819">
        <f>IF(M819="","",IF(ISNUMBER(B819),B819,IFERROR(_xlfn.NUMBERVALUE(B819,".",","),0)))</f>
        <v/>
      </c>
      <c r="O819">
        <f>IF(M819="","",IF(ISNUMBER(C819),C819,IFERROR(_xlfn.NUMBERVALUE(C819,".",","),0)))</f>
        <v/>
      </c>
    </row>
    <row r="820">
      <c r="K820">
        <f>IF(OR(LEFT(B820,9)="DOANH THU",LEFT(B820,8)="SỐ LƯỢNG"),A820,IF(A820="","",K819))</f>
        <v/>
      </c>
      <c r="L820">
        <f>IF(A820="","",IF(ISNUMBER(--LEFT(A820,FIND(" - ",A820&amp;" - ")-1)),LEFT(A820,FIND(" - ",A820&amp;" - ")-1),TRIM(A820)))</f>
        <v/>
      </c>
      <c r="M820">
        <f>IF(OR(K820="",K820=A820,A820=""),"",K820&amp;"|"&amp;L820)</f>
        <v/>
      </c>
      <c r="N820">
        <f>IF(M820="","",IF(ISNUMBER(B820),B820,IFERROR(_xlfn.NUMBERVALUE(B820,".",","),0)))</f>
        <v/>
      </c>
      <c r="O820">
        <f>IF(M820="","",IF(ISNUMBER(C820),C820,IFERROR(_xlfn.NUMBERVALUE(C820,".",","),0)))</f>
        <v/>
      </c>
    </row>
    <row r="821">
      <c r="K821">
        <f>IF(OR(LEFT(B821,9)="DOANH THU",LEFT(B821,8)="SỐ LƯỢNG"),A821,IF(A821="","",K820))</f>
        <v/>
      </c>
      <c r="L821">
        <f>IF(A821="","",IF(ISNUMBER(--LEFT(A821,FIND(" - ",A821&amp;" - ")-1)),LEFT(A821,FIND(" - ",A821&amp;" - ")-1),TRIM(A821)))</f>
        <v/>
      </c>
      <c r="M821">
        <f>IF(OR(K821="",K821=A821,A821=""),"",K821&amp;"|"&amp;L821)</f>
        <v/>
      </c>
      <c r="N821">
        <f>IF(M821="","",IF(ISNUMBER(B821),B821,IFERROR(_xlfn.NUMBERVALUE(B821,".",","),0)))</f>
        <v/>
      </c>
      <c r="O821">
        <f>IF(M821="","",IF(ISNUMBER(C821),C821,IFERROR(_xlfn.NUMBERVALUE(C821,".",","),0)))</f>
        <v/>
      </c>
    </row>
    <row r="822">
      <c r="K822">
        <f>IF(OR(LEFT(B822,9)="DOANH THU",LEFT(B822,8)="SỐ LƯỢNG"),A822,IF(A822="","",K821))</f>
        <v/>
      </c>
      <c r="L822">
        <f>IF(A822="","",IF(ISNUMBER(--LEFT(A822,FIND(" - ",A822&amp;" - ")-1)),LEFT(A822,FIND(" - ",A822&amp;" - ")-1),TRIM(A822)))</f>
        <v/>
      </c>
      <c r="M822">
        <f>IF(OR(K822="",K822=A822,A822=""),"",K822&amp;"|"&amp;L822)</f>
        <v/>
      </c>
      <c r="N822">
        <f>IF(M822="","",IF(ISNUMBER(B822),B822,IFERROR(_xlfn.NUMBERVALUE(B822,".",","),0)))</f>
        <v/>
      </c>
      <c r="O822">
        <f>IF(M822="","",IF(ISNUMBER(C822),C822,IFERROR(_xlfn.NUMBERVALUE(C822,".",","),0)))</f>
        <v/>
      </c>
    </row>
    <row r="823">
      <c r="K823">
        <f>IF(OR(LEFT(B823,9)="DOANH THU",LEFT(B823,8)="SỐ LƯỢNG"),A823,IF(A823="","",K822))</f>
        <v/>
      </c>
      <c r="L823">
        <f>IF(A823="","",IF(ISNUMBER(--LEFT(A823,FIND(" - ",A823&amp;" - ")-1)),LEFT(A823,FIND(" - ",A823&amp;" - ")-1),TRIM(A823)))</f>
        <v/>
      </c>
      <c r="M823">
        <f>IF(OR(K823="",K823=A823,A823=""),"",K823&amp;"|"&amp;L823)</f>
        <v/>
      </c>
      <c r="N823">
        <f>IF(M823="","",IF(ISNUMBER(B823),B823,IFERROR(_xlfn.NUMBERVALUE(B823,".",","),0)))</f>
        <v/>
      </c>
      <c r="O823">
        <f>IF(M823="","",IF(ISNUMBER(C823),C823,IFERROR(_xlfn.NUMBERVALUE(C823,".",","),0)))</f>
        <v/>
      </c>
    </row>
    <row r="824">
      <c r="K824">
        <f>IF(OR(LEFT(B824,9)="DOANH THU",LEFT(B824,8)="SỐ LƯỢNG"),A824,IF(A824="","",K823))</f>
        <v/>
      </c>
      <c r="L824">
        <f>IF(A824="","",IF(ISNUMBER(--LEFT(A824,FIND(" - ",A824&amp;" - ")-1)),LEFT(A824,FIND(" - ",A824&amp;" - ")-1),TRIM(A824)))</f>
        <v/>
      </c>
      <c r="M824">
        <f>IF(OR(K824="",K824=A824,A824=""),"",K824&amp;"|"&amp;L824)</f>
        <v/>
      </c>
      <c r="N824">
        <f>IF(M824="","",IF(ISNUMBER(B824),B824,IFERROR(_xlfn.NUMBERVALUE(B824,".",","),0)))</f>
        <v/>
      </c>
      <c r="O824">
        <f>IF(M824="","",IF(ISNUMBER(C824),C824,IFERROR(_xlfn.NUMBERVALUE(C824,".",","),0)))</f>
        <v/>
      </c>
    </row>
    <row r="825">
      <c r="K825">
        <f>IF(OR(LEFT(B825,9)="DOANH THU",LEFT(B825,8)="SỐ LƯỢNG"),A825,IF(A825="","",K824))</f>
        <v/>
      </c>
      <c r="L825">
        <f>IF(A825="","",IF(ISNUMBER(--LEFT(A825,FIND(" - ",A825&amp;" - ")-1)),LEFT(A825,FIND(" - ",A825&amp;" - ")-1),TRIM(A825)))</f>
        <v/>
      </c>
      <c r="M825">
        <f>IF(OR(K825="",K825=A825,A825=""),"",K825&amp;"|"&amp;L825)</f>
        <v/>
      </c>
      <c r="N825">
        <f>IF(M825="","",IF(ISNUMBER(B825),B825,IFERROR(_xlfn.NUMBERVALUE(B825,".",","),0)))</f>
        <v/>
      </c>
      <c r="O825">
        <f>IF(M825="","",IF(ISNUMBER(C825),C825,IFERROR(_xlfn.NUMBERVALUE(C825,".",","),0)))</f>
        <v/>
      </c>
    </row>
    <row r="826">
      <c r="K826">
        <f>IF(OR(LEFT(B826,9)="DOANH THU",LEFT(B826,8)="SỐ LƯỢNG"),A826,IF(A826="","",K825))</f>
        <v/>
      </c>
      <c r="L826">
        <f>IF(A826="","",IF(ISNUMBER(--LEFT(A826,FIND(" - ",A826&amp;" - ")-1)),LEFT(A826,FIND(" - ",A826&amp;" - ")-1),TRIM(A826)))</f>
        <v/>
      </c>
      <c r="M826">
        <f>IF(OR(K826="",K826=A826,A826=""),"",K826&amp;"|"&amp;L826)</f>
        <v/>
      </c>
      <c r="N826">
        <f>IF(M826="","",IF(ISNUMBER(B826),B826,IFERROR(_xlfn.NUMBERVALUE(B826,".",","),0)))</f>
        <v/>
      </c>
      <c r="O826">
        <f>IF(M826="","",IF(ISNUMBER(C826),C826,IFERROR(_xlfn.NUMBERVALUE(C826,".",","),0)))</f>
        <v/>
      </c>
    </row>
    <row r="827">
      <c r="K827">
        <f>IF(OR(LEFT(B827,9)="DOANH THU",LEFT(B827,8)="SỐ LƯỢNG"),A827,IF(A827="","",K826))</f>
        <v/>
      </c>
      <c r="L827">
        <f>IF(A827="","",IF(ISNUMBER(--LEFT(A827,FIND(" - ",A827&amp;" - ")-1)),LEFT(A827,FIND(" - ",A827&amp;" - ")-1),TRIM(A827)))</f>
        <v/>
      </c>
      <c r="M827">
        <f>IF(OR(K827="",K827=A827,A827=""),"",K827&amp;"|"&amp;L827)</f>
        <v/>
      </c>
      <c r="N827">
        <f>IF(M827="","",IF(ISNUMBER(B827),B827,IFERROR(_xlfn.NUMBERVALUE(B827,".",","),0)))</f>
        <v/>
      </c>
      <c r="O827">
        <f>IF(M827="","",IF(ISNUMBER(C827),C827,IFERROR(_xlfn.NUMBERVALUE(C827,".",","),0)))</f>
        <v/>
      </c>
    </row>
    <row r="828">
      <c r="K828">
        <f>IF(OR(LEFT(B828,9)="DOANH THU",LEFT(B828,8)="SỐ LƯỢNG"),A828,IF(A828="","",K827))</f>
        <v/>
      </c>
      <c r="L828">
        <f>IF(A828="","",IF(ISNUMBER(--LEFT(A828,FIND(" - ",A828&amp;" - ")-1)),LEFT(A828,FIND(" - ",A828&amp;" - ")-1),TRIM(A828)))</f>
        <v/>
      </c>
      <c r="M828">
        <f>IF(OR(K828="",K828=A828,A828=""),"",K828&amp;"|"&amp;L828)</f>
        <v/>
      </c>
      <c r="N828">
        <f>IF(M828="","",IF(ISNUMBER(B828),B828,IFERROR(_xlfn.NUMBERVALUE(B828,".",","),0)))</f>
        <v/>
      </c>
      <c r="O828">
        <f>IF(M828="","",IF(ISNUMBER(C828),C828,IFERROR(_xlfn.NUMBERVALUE(C828,".",","),0)))</f>
        <v/>
      </c>
    </row>
    <row r="829">
      <c r="K829">
        <f>IF(OR(LEFT(B829,9)="DOANH THU",LEFT(B829,8)="SỐ LƯỢNG"),A829,IF(A829="","",K828))</f>
        <v/>
      </c>
      <c r="L829">
        <f>IF(A829="","",IF(ISNUMBER(--LEFT(A829,FIND(" - ",A829&amp;" - ")-1)),LEFT(A829,FIND(" - ",A829&amp;" - ")-1),TRIM(A829)))</f>
        <v/>
      </c>
      <c r="M829">
        <f>IF(OR(K829="",K829=A829,A829=""),"",K829&amp;"|"&amp;L829)</f>
        <v/>
      </c>
      <c r="N829">
        <f>IF(M829="","",IF(ISNUMBER(B829),B829,IFERROR(_xlfn.NUMBERVALUE(B829,".",","),0)))</f>
        <v/>
      </c>
      <c r="O829">
        <f>IF(M829="","",IF(ISNUMBER(C829),C829,IFERROR(_xlfn.NUMBERVALUE(C829,".",","),0)))</f>
        <v/>
      </c>
    </row>
    <row r="830">
      <c r="K830">
        <f>IF(OR(LEFT(B830,9)="DOANH THU",LEFT(B830,8)="SỐ LƯỢNG"),A830,IF(A830="","",K829))</f>
        <v/>
      </c>
      <c r="L830">
        <f>IF(A830="","",IF(ISNUMBER(--LEFT(A830,FIND(" - ",A830&amp;" - ")-1)),LEFT(A830,FIND(" - ",A830&amp;" - ")-1),TRIM(A830)))</f>
        <v/>
      </c>
      <c r="M830">
        <f>IF(OR(K830="",K830=A830,A830=""),"",K830&amp;"|"&amp;L830)</f>
        <v/>
      </c>
      <c r="N830">
        <f>IF(M830="","",IF(ISNUMBER(B830),B830,IFERROR(_xlfn.NUMBERVALUE(B830,".",","),0)))</f>
        <v/>
      </c>
      <c r="O830">
        <f>IF(M830="","",IF(ISNUMBER(C830),C830,IFERROR(_xlfn.NUMBERVALUE(C830,".",","),0)))</f>
        <v/>
      </c>
    </row>
    <row r="831">
      <c r="K831">
        <f>IF(OR(LEFT(B831,9)="DOANH THU",LEFT(B831,8)="SỐ LƯỢNG"),A831,IF(A831="","",K830))</f>
        <v/>
      </c>
      <c r="L831">
        <f>IF(A831="","",IF(ISNUMBER(--LEFT(A831,FIND(" - ",A831&amp;" - ")-1)),LEFT(A831,FIND(" - ",A831&amp;" - ")-1),TRIM(A831)))</f>
        <v/>
      </c>
      <c r="M831">
        <f>IF(OR(K831="",K831=A831,A831=""),"",K831&amp;"|"&amp;L831)</f>
        <v/>
      </c>
      <c r="N831">
        <f>IF(M831="","",IF(ISNUMBER(B831),B831,IFERROR(_xlfn.NUMBERVALUE(B831,".",","),0)))</f>
        <v/>
      </c>
      <c r="O831">
        <f>IF(M831="","",IF(ISNUMBER(C831),C831,IFERROR(_xlfn.NUMBERVALUE(C831,".",","),0)))</f>
        <v/>
      </c>
    </row>
    <row r="832">
      <c r="K832">
        <f>IF(OR(LEFT(B832,9)="DOANH THU",LEFT(B832,8)="SỐ LƯỢNG"),A832,IF(A832="","",K831))</f>
        <v/>
      </c>
      <c r="L832">
        <f>IF(A832="","",IF(ISNUMBER(--LEFT(A832,FIND(" - ",A832&amp;" - ")-1)),LEFT(A832,FIND(" - ",A832&amp;" - ")-1),TRIM(A832)))</f>
        <v/>
      </c>
      <c r="M832">
        <f>IF(OR(K832="",K832=A832,A832=""),"",K832&amp;"|"&amp;L832)</f>
        <v/>
      </c>
      <c r="N832">
        <f>IF(M832="","",IF(ISNUMBER(B832),B832,IFERROR(_xlfn.NUMBERVALUE(B832,".",","),0)))</f>
        <v/>
      </c>
      <c r="O832">
        <f>IF(M832="","",IF(ISNUMBER(C832),C832,IFERROR(_xlfn.NUMBERVALUE(C832,".",","),0)))</f>
        <v/>
      </c>
    </row>
    <row r="833">
      <c r="K833">
        <f>IF(OR(LEFT(B833,9)="DOANH THU",LEFT(B833,8)="SỐ LƯỢNG"),A833,IF(A833="","",K832))</f>
        <v/>
      </c>
      <c r="L833">
        <f>IF(A833="","",IF(ISNUMBER(--LEFT(A833,FIND(" - ",A833&amp;" - ")-1)),LEFT(A833,FIND(" - ",A833&amp;" - ")-1),TRIM(A833)))</f>
        <v/>
      </c>
      <c r="M833">
        <f>IF(OR(K833="",K833=A833,A833=""),"",K833&amp;"|"&amp;L833)</f>
        <v/>
      </c>
      <c r="N833">
        <f>IF(M833="","",IF(ISNUMBER(B833),B833,IFERROR(_xlfn.NUMBERVALUE(B833,".",","),0)))</f>
        <v/>
      </c>
      <c r="O833">
        <f>IF(M833="","",IF(ISNUMBER(C833),C833,IFERROR(_xlfn.NUMBERVALUE(C833,".",","),0)))</f>
        <v/>
      </c>
    </row>
    <row r="834">
      <c r="K834">
        <f>IF(OR(LEFT(B834,9)="DOANH THU",LEFT(B834,8)="SỐ LƯỢNG"),A834,IF(A834="","",K833))</f>
        <v/>
      </c>
      <c r="L834">
        <f>IF(A834="","",IF(ISNUMBER(--LEFT(A834,FIND(" - ",A834&amp;" - ")-1)),LEFT(A834,FIND(" - ",A834&amp;" - ")-1),TRIM(A834)))</f>
        <v/>
      </c>
      <c r="M834">
        <f>IF(OR(K834="",K834=A834,A834=""),"",K834&amp;"|"&amp;L834)</f>
        <v/>
      </c>
      <c r="N834">
        <f>IF(M834="","",IF(ISNUMBER(B834),B834,IFERROR(_xlfn.NUMBERVALUE(B834,".",","),0)))</f>
        <v/>
      </c>
      <c r="O834">
        <f>IF(M834="","",IF(ISNUMBER(C834),C834,IFERROR(_xlfn.NUMBERVALUE(C834,".",","),0)))</f>
        <v/>
      </c>
    </row>
    <row r="835">
      <c r="K835">
        <f>IF(OR(LEFT(B835,9)="DOANH THU",LEFT(B835,8)="SỐ LƯỢNG"),A835,IF(A835="","",K834))</f>
        <v/>
      </c>
      <c r="L835">
        <f>IF(A835="","",IF(ISNUMBER(--LEFT(A835,FIND(" - ",A835&amp;" - ")-1)),LEFT(A835,FIND(" - ",A835&amp;" - ")-1),TRIM(A835)))</f>
        <v/>
      </c>
      <c r="M835">
        <f>IF(OR(K835="",K835=A835,A835=""),"",K835&amp;"|"&amp;L835)</f>
        <v/>
      </c>
      <c r="N835">
        <f>IF(M835="","",IF(ISNUMBER(B835),B835,IFERROR(_xlfn.NUMBERVALUE(B835,".",","),0)))</f>
        <v/>
      </c>
      <c r="O835">
        <f>IF(M835="","",IF(ISNUMBER(C835),C835,IFERROR(_xlfn.NUMBERVALUE(C835,".",","),0)))</f>
        <v/>
      </c>
    </row>
    <row r="836">
      <c r="K836">
        <f>IF(OR(LEFT(B836,9)="DOANH THU",LEFT(B836,8)="SỐ LƯỢNG"),A836,IF(A836="","",K835))</f>
        <v/>
      </c>
      <c r="L836">
        <f>IF(A836="","",IF(ISNUMBER(--LEFT(A836,FIND(" - ",A836&amp;" - ")-1)),LEFT(A836,FIND(" - ",A836&amp;" - ")-1),TRIM(A836)))</f>
        <v/>
      </c>
      <c r="M836">
        <f>IF(OR(K836="",K836=A836,A836=""),"",K836&amp;"|"&amp;L836)</f>
        <v/>
      </c>
      <c r="N836">
        <f>IF(M836="","",IF(ISNUMBER(B836),B836,IFERROR(_xlfn.NUMBERVALUE(B836,".",","),0)))</f>
        <v/>
      </c>
      <c r="O836">
        <f>IF(M836="","",IF(ISNUMBER(C836),C836,IFERROR(_xlfn.NUMBERVALUE(C836,".",","),0)))</f>
        <v/>
      </c>
    </row>
    <row r="837">
      <c r="K837">
        <f>IF(OR(LEFT(B837,9)="DOANH THU",LEFT(B837,8)="SỐ LƯỢNG"),A837,IF(A837="","",K836))</f>
        <v/>
      </c>
      <c r="L837">
        <f>IF(A837="","",IF(ISNUMBER(--LEFT(A837,FIND(" - ",A837&amp;" - ")-1)),LEFT(A837,FIND(" - ",A837&amp;" - ")-1),TRIM(A837)))</f>
        <v/>
      </c>
      <c r="M837">
        <f>IF(OR(K837="",K837=A837,A837=""),"",K837&amp;"|"&amp;L837)</f>
        <v/>
      </c>
      <c r="N837">
        <f>IF(M837="","",IF(ISNUMBER(B837),B837,IFERROR(_xlfn.NUMBERVALUE(B837,".",","),0)))</f>
        <v/>
      </c>
      <c r="O837">
        <f>IF(M837="","",IF(ISNUMBER(C837),C837,IFERROR(_xlfn.NUMBERVALUE(C837,".",","),0)))</f>
        <v/>
      </c>
    </row>
    <row r="838">
      <c r="K838">
        <f>IF(OR(LEFT(B838,9)="DOANH THU",LEFT(B838,8)="SỐ LƯỢNG"),A838,IF(A838="","",K837))</f>
        <v/>
      </c>
      <c r="L838">
        <f>IF(A838="","",IF(ISNUMBER(--LEFT(A838,FIND(" - ",A838&amp;" - ")-1)),LEFT(A838,FIND(" - ",A838&amp;" - ")-1),TRIM(A838)))</f>
        <v/>
      </c>
      <c r="M838">
        <f>IF(OR(K838="",K838=A838,A838=""),"",K838&amp;"|"&amp;L838)</f>
        <v/>
      </c>
      <c r="N838">
        <f>IF(M838="","",IF(ISNUMBER(B838),B838,IFERROR(_xlfn.NUMBERVALUE(B838,".",","),0)))</f>
        <v/>
      </c>
      <c r="O838">
        <f>IF(M838="","",IF(ISNUMBER(C838),C838,IFERROR(_xlfn.NUMBERVALUE(C838,".",","),0)))</f>
        <v/>
      </c>
    </row>
    <row r="839">
      <c r="K839">
        <f>IF(OR(LEFT(B839,9)="DOANH THU",LEFT(B839,8)="SỐ LƯỢNG"),A839,IF(A839="","",K838))</f>
        <v/>
      </c>
      <c r="L839">
        <f>IF(A839="","",IF(ISNUMBER(--LEFT(A839,FIND(" - ",A839&amp;" - ")-1)),LEFT(A839,FIND(" - ",A839&amp;" - ")-1),TRIM(A839)))</f>
        <v/>
      </c>
      <c r="M839">
        <f>IF(OR(K839="",K839=A839,A839=""),"",K839&amp;"|"&amp;L839)</f>
        <v/>
      </c>
      <c r="N839">
        <f>IF(M839="","",IF(ISNUMBER(B839),B839,IFERROR(_xlfn.NUMBERVALUE(B839,".",","),0)))</f>
        <v/>
      </c>
      <c r="O839">
        <f>IF(M839="","",IF(ISNUMBER(C839),C839,IFERROR(_xlfn.NUMBERVALUE(C839,".",","),0)))</f>
        <v/>
      </c>
    </row>
    <row r="840">
      <c r="K840">
        <f>IF(OR(LEFT(B840,9)="DOANH THU",LEFT(B840,8)="SỐ LƯỢNG"),A840,IF(A840="","",K839))</f>
        <v/>
      </c>
      <c r="L840">
        <f>IF(A840="","",IF(ISNUMBER(--LEFT(A840,FIND(" - ",A840&amp;" - ")-1)),LEFT(A840,FIND(" - ",A840&amp;" - ")-1),TRIM(A840)))</f>
        <v/>
      </c>
      <c r="M840">
        <f>IF(OR(K840="",K840=A840,A840=""),"",K840&amp;"|"&amp;L840)</f>
        <v/>
      </c>
      <c r="N840">
        <f>IF(M840="","",IF(ISNUMBER(B840),B840,IFERROR(_xlfn.NUMBERVALUE(B840,".",","),0)))</f>
        <v/>
      </c>
      <c r="O840">
        <f>IF(M840="","",IF(ISNUMBER(C840),C840,IFERROR(_xlfn.NUMBERVALUE(C840,".",","),0)))</f>
        <v/>
      </c>
    </row>
    <row r="841">
      <c r="K841">
        <f>IF(OR(LEFT(B841,9)="DOANH THU",LEFT(B841,8)="SỐ LƯỢNG"),A841,IF(A841="","",K840))</f>
        <v/>
      </c>
      <c r="L841">
        <f>IF(A841="","",IF(ISNUMBER(--LEFT(A841,FIND(" - ",A841&amp;" - ")-1)),LEFT(A841,FIND(" - ",A841&amp;" - ")-1),TRIM(A841)))</f>
        <v/>
      </c>
      <c r="M841">
        <f>IF(OR(K841="",K841=A841,A841=""),"",K841&amp;"|"&amp;L841)</f>
        <v/>
      </c>
      <c r="N841">
        <f>IF(M841="","",IF(ISNUMBER(B841),B841,IFERROR(_xlfn.NUMBERVALUE(B841,".",","),0)))</f>
        <v/>
      </c>
      <c r="O841">
        <f>IF(M841="","",IF(ISNUMBER(C841),C841,IFERROR(_xlfn.NUMBERVALUE(C841,".",","),0)))</f>
        <v/>
      </c>
    </row>
    <row r="842">
      <c r="K842">
        <f>IF(OR(LEFT(B842,9)="DOANH THU",LEFT(B842,8)="SỐ LƯỢNG"),A842,IF(A842="","",K841))</f>
        <v/>
      </c>
      <c r="L842">
        <f>IF(A842="","",IF(ISNUMBER(--LEFT(A842,FIND(" - ",A842&amp;" - ")-1)),LEFT(A842,FIND(" - ",A842&amp;" - ")-1),TRIM(A842)))</f>
        <v/>
      </c>
      <c r="M842">
        <f>IF(OR(K842="",K842=A842,A842=""),"",K842&amp;"|"&amp;L842)</f>
        <v/>
      </c>
      <c r="N842">
        <f>IF(M842="","",IF(ISNUMBER(B842),B842,IFERROR(_xlfn.NUMBERVALUE(B842,".",","),0)))</f>
        <v/>
      </c>
      <c r="O842">
        <f>IF(M842="","",IF(ISNUMBER(C842),C842,IFERROR(_xlfn.NUMBERVALUE(C842,".",","),0)))</f>
        <v/>
      </c>
    </row>
    <row r="843">
      <c r="K843">
        <f>IF(OR(LEFT(B843,9)="DOANH THU",LEFT(B843,8)="SỐ LƯỢNG"),A843,IF(A843="","",K842))</f>
        <v/>
      </c>
      <c r="L843">
        <f>IF(A843="","",IF(ISNUMBER(--LEFT(A843,FIND(" - ",A843&amp;" - ")-1)),LEFT(A843,FIND(" - ",A843&amp;" - ")-1),TRIM(A843)))</f>
        <v/>
      </c>
      <c r="M843">
        <f>IF(OR(K843="",K843=A843,A843=""),"",K843&amp;"|"&amp;L843)</f>
        <v/>
      </c>
      <c r="N843">
        <f>IF(M843="","",IF(ISNUMBER(B843),B843,IFERROR(_xlfn.NUMBERVALUE(B843,".",","),0)))</f>
        <v/>
      </c>
      <c r="O843">
        <f>IF(M843="","",IF(ISNUMBER(C843),C843,IFERROR(_xlfn.NUMBERVALUE(C843,".",","),0)))</f>
        <v/>
      </c>
    </row>
    <row r="844">
      <c r="K844">
        <f>IF(OR(LEFT(B844,9)="DOANH THU",LEFT(B844,8)="SỐ LƯỢNG"),A844,IF(A844="","",K843))</f>
        <v/>
      </c>
      <c r="L844">
        <f>IF(A844="","",IF(ISNUMBER(--LEFT(A844,FIND(" - ",A844&amp;" - ")-1)),LEFT(A844,FIND(" - ",A844&amp;" - ")-1),TRIM(A844)))</f>
        <v/>
      </c>
      <c r="M844">
        <f>IF(OR(K844="",K844=A844,A844=""),"",K844&amp;"|"&amp;L844)</f>
        <v/>
      </c>
      <c r="N844">
        <f>IF(M844="","",IF(ISNUMBER(B844),B844,IFERROR(_xlfn.NUMBERVALUE(B844,".",","),0)))</f>
        <v/>
      </c>
      <c r="O844">
        <f>IF(M844="","",IF(ISNUMBER(C844),C844,IFERROR(_xlfn.NUMBERVALUE(C844,".",","),0)))</f>
        <v/>
      </c>
    </row>
    <row r="845">
      <c r="K845">
        <f>IF(OR(LEFT(B845,9)="DOANH THU",LEFT(B845,8)="SỐ LƯỢNG"),A845,IF(A845="","",K844))</f>
        <v/>
      </c>
      <c r="L845">
        <f>IF(A845="","",IF(ISNUMBER(--LEFT(A845,FIND(" - ",A845&amp;" - ")-1)),LEFT(A845,FIND(" - ",A845&amp;" - ")-1),TRIM(A845)))</f>
        <v/>
      </c>
      <c r="M845">
        <f>IF(OR(K845="",K845=A845,A845=""),"",K845&amp;"|"&amp;L845)</f>
        <v/>
      </c>
      <c r="N845">
        <f>IF(M845="","",IF(ISNUMBER(B845),B845,IFERROR(_xlfn.NUMBERVALUE(B845,".",","),0)))</f>
        <v/>
      </c>
      <c r="O845">
        <f>IF(M845="","",IF(ISNUMBER(C845),C845,IFERROR(_xlfn.NUMBERVALUE(C845,".",","),0)))</f>
        <v/>
      </c>
    </row>
    <row r="846">
      <c r="K846">
        <f>IF(OR(LEFT(B846,9)="DOANH THU",LEFT(B846,8)="SỐ LƯỢNG"),A846,IF(A846="","",K845))</f>
        <v/>
      </c>
      <c r="L846">
        <f>IF(A846="","",IF(ISNUMBER(--LEFT(A846,FIND(" - ",A846&amp;" - ")-1)),LEFT(A846,FIND(" - ",A846&amp;" - ")-1),TRIM(A846)))</f>
        <v/>
      </c>
      <c r="M846">
        <f>IF(OR(K846="",K846=A846,A846=""),"",K846&amp;"|"&amp;L846)</f>
        <v/>
      </c>
      <c r="N846">
        <f>IF(M846="","",IF(ISNUMBER(B846),B846,IFERROR(_xlfn.NUMBERVALUE(B846,".",","),0)))</f>
        <v/>
      </c>
      <c r="O846">
        <f>IF(M846="","",IF(ISNUMBER(C846),C846,IFERROR(_xlfn.NUMBERVALUE(C846,".",","),0)))</f>
        <v/>
      </c>
    </row>
    <row r="847">
      <c r="K847">
        <f>IF(OR(LEFT(B847,9)="DOANH THU",LEFT(B847,8)="SỐ LƯỢNG"),A847,IF(A847="","",K846))</f>
        <v/>
      </c>
      <c r="L847">
        <f>IF(A847="","",IF(ISNUMBER(--LEFT(A847,FIND(" - ",A847&amp;" - ")-1)),LEFT(A847,FIND(" - ",A847&amp;" - ")-1),TRIM(A847)))</f>
        <v/>
      </c>
      <c r="M847">
        <f>IF(OR(K847="",K847=A847,A847=""),"",K847&amp;"|"&amp;L847)</f>
        <v/>
      </c>
      <c r="N847">
        <f>IF(M847="","",IF(ISNUMBER(B847),B847,IFERROR(_xlfn.NUMBERVALUE(B847,".",","),0)))</f>
        <v/>
      </c>
      <c r="O847">
        <f>IF(M847="","",IF(ISNUMBER(C847),C847,IFERROR(_xlfn.NUMBERVALUE(C847,".",","),0)))</f>
        <v/>
      </c>
    </row>
    <row r="848">
      <c r="K848">
        <f>IF(OR(LEFT(B848,9)="DOANH THU",LEFT(B848,8)="SỐ LƯỢNG"),A848,IF(A848="","",K847))</f>
        <v/>
      </c>
      <c r="L848">
        <f>IF(A848="","",IF(ISNUMBER(--LEFT(A848,FIND(" - ",A848&amp;" - ")-1)),LEFT(A848,FIND(" - ",A848&amp;" - ")-1),TRIM(A848)))</f>
        <v/>
      </c>
      <c r="M848">
        <f>IF(OR(K848="",K848=A848,A848=""),"",K848&amp;"|"&amp;L848)</f>
        <v/>
      </c>
      <c r="N848">
        <f>IF(M848="","",IF(ISNUMBER(B848),B848,IFERROR(_xlfn.NUMBERVALUE(B848,".",","),0)))</f>
        <v/>
      </c>
      <c r="O848">
        <f>IF(M848="","",IF(ISNUMBER(C848),C848,IFERROR(_xlfn.NUMBERVALUE(C848,".",","),0)))</f>
        <v/>
      </c>
    </row>
    <row r="849">
      <c r="K849">
        <f>IF(OR(LEFT(B849,9)="DOANH THU",LEFT(B849,8)="SỐ LƯỢNG"),A849,IF(A849="","",K848))</f>
        <v/>
      </c>
      <c r="L849">
        <f>IF(A849="","",IF(ISNUMBER(--LEFT(A849,FIND(" - ",A849&amp;" - ")-1)),LEFT(A849,FIND(" - ",A849&amp;" - ")-1),TRIM(A849)))</f>
        <v/>
      </c>
      <c r="M849">
        <f>IF(OR(K849="",K849=A849,A849=""),"",K849&amp;"|"&amp;L849)</f>
        <v/>
      </c>
      <c r="N849">
        <f>IF(M849="","",IF(ISNUMBER(B849),B849,IFERROR(_xlfn.NUMBERVALUE(B849,".",","),0)))</f>
        <v/>
      </c>
      <c r="O849">
        <f>IF(M849="","",IF(ISNUMBER(C849),C849,IFERROR(_xlfn.NUMBERVALUE(C849,".",","),0)))</f>
        <v/>
      </c>
    </row>
    <row r="850">
      <c r="K850">
        <f>IF(OR(LEFT(B850,9)="DOANH THU",LEFT(B850,8)="SỐ LƯỢNG"),A850,IF(A850="","",K849))</f>
        <v/>
      </c>
      <c r="L850">
        <f>IF(A850="","",IF(ISNUMBER(--LEFT(A850,FIND(" - ",A850&amp;" - ")-1)),LEFT(A850,FIND(" - ",A850&amp;" - ")-1),TRIM(A850)))</f>
        <v/>
      </c>
      <c r="M850">
        <f>IF(OR(K850="",K850=A850,A850=""),"",K850&amp;"|"&amp;L850)</f>
        <v/>
      </c>
      <c r="N850">
        <f>IF(M850="","",IF(ISNUMBER(B850),B850,IFERROR(_xlfn.NUMBERVALUE(B850,".",","),0)))</f>
        <v/>
      </c>
      <c r="O850">
        <f>IF(M850="","",IF(ISNUMBER(C850),C850,IFERROR(_xlfn.NUMBERVALUE(C850,".",","),0)))</f>
        <v/>
      </c>
    </row>
    <row r="851">
      <c r="K851">
        <f>IF(OR(LEFT(B851,9)="DOANH THU",LEFT(B851,8)="SỐ LƯỢNG"),A851,IF(A851="","",K850))</f>
        <v/>
      </c>
      <c r="L851">
        <f>IF(A851="","",IF(ISNUMBER(--LEFT(A851,FIND(" - ",A851&amp;" - ")-1)),LEFT(A851,FIND(" - ",A851&amp;" - ")-1),TRIM(A851)))</f>
        <v/>
      </c>
      <c r="M851">
        <f>IF(OR(K851="",K851=A851,A851=""),"",K851&amp;"|"&amp;L851)</f>
        <v/>
      </c>
      <c r="N851">
        <f>IF(M851="","",IF(ISNUMBER(B851),B851,IFERROR(_xlfn.NUMBERVALUE(B851,".",","),0)))</f>
        <v/>
      </c>
      <c r="O851">
        <f>IF(M851="","",IF(ISNUMBER(C851),C851,IFERROR(_xlfn.NUMBERVALUE(C851,".",","),0)))</f>
        <v/>
      </c>
    </row>
    <row r="852">
      <c r="K852">
        <f>IF(OR(LEFT(B852,9)="DOANH THU",LEFT(B852,8)="SỐ LƯỢNG"),A852,IF(A852="","",K851))</f>
        <v/>
      </c>
      <c r="L852">
        <f>IF(A852="","",IF(ISNUMBER(--LEFT(A852,FIND(" - ",A852&amp;" - ")-1)),LEFT(A852,FIND(" - ",A852&amp;" - ")-1),TRIM(A852)))</f>
        <v/>
      </c>
      <c r="M852">
        <f>IF(OR(K852="",K852=A852,A852=""),"",K852&amp;"|"&amp;L852)</f>
        <v/>
      </c>
      <c r="N852">
        <f>IF(M852="","",IF(ISNUMBER(B852),B852,IFERROR(_xlfn.NUMBERVALUE(B852,".",","),0)))</f>
        <v/>
      </c>
      <c r="O852">
        <f>IF(M852="","",IF(ISNUMBER(C852),C852,IFERROR(_xlfn.NUMBERVALUE(C852,".",","),0)))</f>
        <v/>
      </c>
    </row>
    <row r="853">
      <c r="K853">
        <f>IF(OR(LEFT(B853,9)="DOANH THU",LEFT(B853,8)="SỐ LƯỢNG"),A853,IF(A853="","",K852))</f>
        <v/>
      </c>
      <c r="L853">
        <f>IF(A853="","",IF(ISNUMBER(--LEFT(A853,FIND(" - ",A853&amp;" - ")-1)),LEFT(A853,FIND(" - ",A853&amp;" - ")-1),TRIM(A853)))</f>
        <v/>
      </c>
      <c r="M853">
        <f>IF(OR(K853="",K853=A853,A853=""),"",K853&amp;"|"&amp;L853)</f>
        <v/>
      </c>
      <c r="N853">
        <f>IF(M853="","",IF(ISNUMBER(B853),B853,IFERROR(_xlfn.NUMBERVALUE(B853,".",","),0)))</f>
        <v/>
      </c>
      <c r="O853">
        <f>IF(M853="","",IF(ISNUMBER(C853),C853,IFERROR(_xlfn.NUMBERVALUE(C853,".",","),0)))</f>
        <v/>
      </c>
    </row>
    <row r="854">
      <c r="K854">
        <f>IF(OR(LEFT(B854,9)="DOANH THU",LEFT(B854,8)="SỐ LƯỢNG"),A854,IF(A854="","",K853))</f>
        <v/>
      </c>
      <c r="L854">
        <f>IF(A854="","",IF(ISNUMBER(--LEFT(A854,FIND(" - ",A854&amp;" - ")-1)),LEFT(A854,FIND(" - ",A854&amp;" - ")-1),TRIM(A854)))</f>
        <v/>
      </c>
      <c r="M854">
        <f>IF(OR(K854="",K854=A854,A854=""),"",K854&amp;"|"&amp;L854)</f>
        <v/>
      </c>
      <c r="N854">
        <f>IF(M854="","",IF(ISNUMBER(B854),B854,IFERROR(_xlfn.NUMBERVALUE(B854,".",","),0)))</f>
        <v/>
      </c>
      <c r="O854">
        <f>IF(M854="","",IF(ISNUMBER(C854),C854,IFERROR(_xlfn.NUMBERVALUE(C854,".",","),0)))</f>
        <v/>
      </c>
    </row>
    <row r="855">
      <c r="K855">
        <f>IF(OR(LEFT(B855,9)="DOANH THU",LEFT(B855,8)="SỐ LƯỢNG"),A855,IF(A855="","",K854))</f>
        <v/>
      </c>
      <c r="L855">
        <f>IF(A855="","",IF(ISNUMBER(--LEFT(A855,FIND(" - ",A855&amp;" - ")-1)),LEFT(A855,FIND(" - ",A855&amp;" - ")-1),TRIM(A855)))</f>
        <v/>
      </c>
      <c r="M855">
        <f>IF(OR(K855="",K855=A855,A855=""),"",K855&amp;"|"&amp;L855)</f>
        <v/>
      </c>
      <c r="N855">
        <f>IF(M855="","",IF(ISNUMBER(B855),B855,IFERROR(_xlfn.NUMBERVALUE(B855,".",","),0)))</f>
        <v/>
      </c>
      <c r="O855">
        <f>IF(M855="","",IF(ISNUMBER(C855),C855,IFERROR(_xlfn.NUMBERVALUE(C855,".",","),0)))</f>
        <v/>
      </c>
    </row>
    <row r="856">
      <c r="K856">
        <f>IF(OR(LEFT(B856,9)="DOANH THU",LEFT(B856,8)="SỐ LƯỢNG"),A856,IF(A856="","",K855))</f>
        <v/>
      </c>
      <c r="L856">
        <f>IF(A856="","",IF(ISNUMBER(--LEFT(A856,FIND(" - ",A856&amp;" - ")-1)),LEFT(A856,FIND(" - ",A856&amp;" - ")-1),TRIM(A856)))</f>
        <v/>
      </c>
      <c r="M856">
        <f>IF(OR(K856="",K856=A856,A856=""),"",K856&amp;"|"&amp;L856)</f>
        <v/>
      </c>
      <c r="N856">
        <f>IF(M856="","",IF(ISNUMBER(B856),B856,IFERROR(_xlfn.NUMBERVALUE(B856,".",","),0)))</f>
        <v/>
      </c>
      <c r="O856">
        <f>IF(M856="","",IF(ISNUMBER(C856),C856,IFERROR(_xlfn.NUMBERVALUE(C856,".",","),0)))</f>
        <v/>
      </c>
    </row>
    <row r="857">
      <c r="K857">
        <f>IF(OR(LEFT(B857,9)="DOANH THU",LEFT(B857,8)="SỐ LƯỢNG"),A857,IF(A857="","",K856))</f>
        <v/>
      </c>
      <c r="L857">
        <f>IF(A857="","",IF(ISNUMBER(--LEFT(A857,FIND(" - ",A857&amp;" - ")-1)),LEFT(A857,FIND(" - ",A857&amp;" - ")-1),TRIM(A857)))</f>
        <v/>
      </c>
      <c r="M857">
        <f>IF(OR(K857="",K857=A857,A857=""),"",K857&amp;"|"&amp;L857)</f>
        <v/>
      </c>
      <c r="N857">
        <f>IF(M857="","",IF(ISNUMBER(B857),B857,IFERROR(_xlfn.NUMBERVALUE(B857,".",","),0)))</f>
        <v/>
      </c>
      <c r="O857">
        <f>IF(M857="","",IF(ISNUMBER(C857),C857,IFERROR(_xlfn.NUMBERVALUE(C857,".",","),0)))</f>
        <v/>
      </c>
    </row>
    <row r="858">
      <c r="K858">
        <f>IF(OR(LEFT(B858,9)="DOANH THU",LEFT(B858,8)="SỐ LƯỢNG"),A858,IF(A858="","",K857))</f>
        <v/>
      </c>
      <c r="L858">
        <f>IF(A858="","",IF(ISNUMBER(--LEFT(A858,FIND(" - ",A858&amp;" - ")-1)),LEFT(A858,FIND(" - ",A858&amp;" - ")-1),TRIM(A858)))</f>
        <v/>
      </c>
      <c r="M858">
        <f>IF(OR(K858="",K858=A858,A858=""),"",K858&amp;"|"&amp;L858)</f>
        <v/>
      </c>
      <c r="N858">
        <f>IF(M858="","",IF(ISNUMBER(B858),B858,IFERROR(_xlfn.NUMBERVALUE(B858,".",","),0)))</f>
        <v/>
      </c>
      <c r="O858">
        <f>IF(M858="","",IF(ISNUMBER(C858),C858,IFERROR(_xlfn.NUMBERVALUE(C858,".",","),0)))</f>
        <v/>
      </c>
    </row>
    <row r="859">
      <c r="K859">
        <f>IF(OR(LEFT(B859,9)="DOANH THU",LEFT(B859,8)="SỐ LƯỢNG"),A859,IF(A859="","",K858))</f>
        <v/>
      </c>
      <c r="L859">
        <f>IF(A859="","",IF(ISNUMBER(--LEFT(A859,FIND(" - ",A859&amp;" - ")-1)),LEFT(A859,FIND(" - ",A859&amp;" - ")-1),TRIM(A859)))</f>
        <v/>
      </c>
      <c r="M859">
        <f>IF(OR(K859="",K859=A859,A859=""),"",K859&amp;"|"&amp;L859)</f>
        <v/>
      </c>
      <c r="N859">
        <f>IF(M859="","",IF(ISNUMBER(B859),B859,IFERROR(_xlfn.NUMBERVALUE(B859,".",","),0)))</f>
        <v/>
      </c>
      <c r="O859">
        <f>IF(M859="","",IF(ISNUMBER(C859),C859,IFERROR(_xlfn.NUMBERVALUE(C859,".",","),0)))</f>
        <v/>
      </c>
    </row>
    <row r="860">
      <c r="K860">
        <f>IF(OR(LEFT(B860,9)="DOANH THU",LEFT(B860,8)="SỐ LƯỢNG"),A860,IF(A860="","",K859))</f>
        <v/>
      </c>
      <c r="L860">
        <f>IF(A860="","",IF(ISNUMBER(--LEFT(A860,FIND(" - ",A860&amp;" - ")-1)),LEFT(A860,FIND(" - ",A860&amp;" - ")-1),TRIM(A860)))</f>
        <v/>
      </c>
      <c r="M860">
        <f>IF(OR(K860="",K860=A860,A860=""),"",K860&amp;"|"&amp;L860)</f>
        <v/>
      </c>
      <c r="N860">
        <f>IF(M860="","",IF(ISNUMBER(B860),B860,IFERROR(_xlfn.NUMBERVALUE(B860,".",","),0)))</f>
        <v/>
      </c>
      <c r="O860">
        <f>IF(M860="","",IF(ISNUMBER(C860),C860,IFERROR(_xlfn.NUMBERVALUE(C860,".",","),0)))</f>
        <v/>
      </c>
    </row>
    <row r="861">
      <c r="K861">
        <f>IF(OR(LEFT(B861,9)="DOANH THU",LEFT(B861,8)="SỐ LƯỢNG"),A861,IF(A861="","",K860))</f>
        <v/>
      </c>
      <c r="L861">
        <f>IF(A861="","",IF(ISNUMBER(--LEFT(A861,FIND(" - ",A861&amp;" - ")-1)),LEFT(A861,FIND(" - ",A861&amp;" - ")-1),TRIM(A861)))</f>
        <v/>
      </c>
      <c r="M861">
        <f>IF(OR(K861="",K861=A861,A861=""),"",K861&amp;"|"&amp;L861)</f>
        <v/>
      </c>
      <c r="N861">
        <f>IF(M861="","",IF(ISNUMBER(B861),B861,IFERROR(_xlfn.NUMBERVALUE(B861,".",","),0)))</f>
        <v/>
      </c>
      <c r="O861">
        <f>IF(M861="","",IF(ISNUMBER(C861),C861,IFERROR(_xlfn.NUMBERVALUE(C861,".",","),0)))</f>
        <v/>
      </c>
    </row>
    <row r="862">
      <c r="K862">
        <f>IF(OR(LEFT(B862,9)="DOANH THU",LEFT(B862,8)="SỐ LƯỢNG"),A862,IF(A862="","",K861))</f>
        <v/>
      </c>
      <c r="L862">
        <f>IF(A862="","",IF(ISNUMBER(--LEFT(A862,FIND(" - ",A862&amp;" - ")-1)),LEFT(A862,FIND(" - ",A862&amp;" - ")-1),TRIM(A862)))</f>
        <v/>
      </c>
      <c r="M862">
        <f>IF(OR(K862="",K862=A862,A862=""),"",K862&amp;"|"&amp;L862)</f>
        <v/>
      </c>
      <c r="N862">
        <f>IF(M862="","",IF(ISNUMBER(B862),B862,IFERROR(_xlfn.NUMBERVALUE(B862,".",","),0)))</f>
        <v/>
      </c>
      <c r="O862">
        <f>IF(M862="","",IF(ISNUMBER(C862),C862,IFERROR(_xlfn.NUMBERVALUE(C862,".",","),0)))</f>
        <v/>
      </c>
    </row>
    <row r="863">
      <c r="K863">
        <f>IF(OR(LEFT(B863,9)="DOANH THU",LEFT(B863,8)="SỐ LƯỢNG"),A863,IF(A863="","",K862))</f>
        <v/>
      </c>
      <c r="L863">
        <f>IF(A863="","",IF(ISNUMBER(--LEFT(A863,FIND(" - ",A863&amp;" - ")-1)),LEFT(A863,FIND(" - ",A863&amp;" - ")-1),TRIM(A863)))</f>
        <v/>
      </c>
      <c r="M863">
        <f>IF(OR(K863="",K863=A863,A863=""),"",K863&amp;"|"&amp;L863)</f>
        <v/>
      </c>
      <c r="N863">
        <f>IF(M863="","",IF(ISNUMBER(B863),B863,IFERROR(_xlfn.NUMBERVALUE(B863,".",","),0)))</f>
        <v/>
      </c>
      <c r="O863">
        <f>IF(M863="","",IF(ISNUMBER(C863),C863,IFERROR(_xlfn.NUMBERVALUE(C863,".",","),0)))</f>
        <v/>
      </c>
    </row>
    <row r="864">
      <c r="K864">
        <f>IF(OR(LEFT(B864,9)="DOANH THU",LEFT(B864,8)="SỐ LƯỢNG"),A864,IF(A864="","",K863))</f>
        <v/>
      </c>
      <c r="L864">
        <f>IF(A864="","",IF(ISNUMBER(--LEFT(A864,FIND(" - ",A864&amp;" - ")-1)),LEFT(A864,FIND(" - ",A864&amp;" - ")-1),TRIM(A864)))</f>
        <v/>
      </c>
      <c r="M864">
        <f>IF(OR(K864="",K864=A864,A864=""),"",K864&amp;"|"&amp;L864)</f>
        <v/>
      </c>
      <c r="N864">
        <f>IF(M864="","",IF(ISNUMBER(B864),B864,IFERROR(_xlfn.NUMBERVALUE(B864,".",","),0)))</f>
        <v/>
      </c>
      <c r="O864">
        <f>IF(M864="","",IF(ISNUMBER(C864),C864,IFERROR(_xlfn.NUMBERVALUE(C864,".",","),0)))</f>
        <v/>
      </c>
    </row>
    <row r="865">
      <c r="K865">
        <f>IF(OR(LEFT(B865,9)="DOANH THU",LEFT(B865,8)="SỐ LƯỢNG"),A865,IF(A865="","",K864))</f>
        <v/>
      </c>
      <c r="L865">
        <f>IF(A865="","",IF(ISNUMBER(--LEFT(A865,FIND(" - ",A865&amp;" - ")-1)),LEFT(A865,FIND(" - ",A865&amp;" - ")-1),TRIM(A865)))</f>
        <v/>
      </c>
      <c r="M865">
        <f>IF(OR(K865="",K865=A865,A865=""),"",K865&amp;"|"&amp;L865)</f>
        <v/>
      </c>
      <c r="N865">
        <f>IF(M865="","",IF(ISNUMBER(B865),B865,IFERROR(_xlfn.NUMBERVALUE(B865,".",","),0)))</f>
        <v/>
      </c>
      <c r="O865">
        <f>IF(M865="","",IF(ISNUMBER(C865),C865,IFERROR(_xlfn.NUMBERVALUE(C865,".",","),0)))</f>
        <v/>
      </c>
    </row>
    <row r="866">
      <c r="K866">
        <f>IF(OR(LEFT(B866,9)="DOANH THU",LEFT(B866,8)="SỐ LƯỢNG"),A866,IF(A866="","",K865))</f>
        <v/>
      </c>
      <c r="L866">
        <f>IF(A866="","",IF(ISNUMBER(--LEFT(A866,FIND(" - ",A866&amp;" - ")-1)),LEFT(A866,FIND(" - ",A866&amp;" - ")-1),TRIM(A866)))</f>
        <v/>
      </c>
      <c r="M866">
        <f>IF(OR(K866="",K866=A866,A866=""),"",K866&amp;"|"&amp;L866)</f>
        <v/>
      </c>
      <c r="N866">
        <f>IF(M866="","",IF(ISNUMBER(B866),B866,IFERROR(_xlfn.NUMBERVALUE(B866,".",","),0)))</f>
        <v/>
      </c>
      <c r="O866">
        <f>IF(M866="","",IF(ISNUMBER(C866),C866,IFERROR(_xlfn.NUMBERVALUE(C866,".",","),0)))</f>
        <v/>
      </c>
    </row>
    <row r="867">
      <c r="K867">
        <f>IF(OR(LEFT(B867,9)="DOANH THU",LEFT(B867,8)="SỐ LƯỢNG"),A867,IF(A867="","",K866))</f>
        <v/>
      </c>
      <c r="L867">
        <f>IF(A867="","",IF(ISNUMBER(--LEFT(A867,FIND(" - ",A867&amp;" - ")-1)),LEFT(A867,FIND(" - ",A867&amp;" - ")-1),TRIM(A867)))</f>
        <v/>
      </c>
      <c r="M867">
        <f>IF(OR(K867="",K867=A867,A867=""),"",K867&amp;"|"&amp;L867)</f>
        <v/>
      </c>
      <c r="N867">
        <f>IF(M867="","",IF(ISNUMBER(B867),B867,IFERROR(_xlfn.NUMBERVALUE(B867,".",","),0)))</f>
        <v/>
      </c>
      <c r="O867">
        <f>IF(M867="","",IF(ISNUMBER(C867),C867,IFERROR(_xlfn.NUMBERVALUE(C867,".",","),0)))</f>
        <v/>
      </c>
    </row>
    <row r="868">
      <c r="K868">
        <f>IF(OR(LEFT(B868,9)="DOANH THU",LEFT(B868,8)="SỐ LƯỢNG"),A868,IF(A868="","",K867))</f>
        <v/>
      </c>
      <c r="L868">
        <f>IF(A868="","",IF(ISNUMBER(--LEFT(A868,FIND(" - ",A868&amp;" - ")-1)),LEFT(A868,FIND(" - ",A868&amp;" - ")-1),TRIM(A868)))</f>
        <v/>
      </c>
      <c r="M868">
        <f>IF(OR(K868="",K868=A868,A868=""),"",K868&amp;"|"&amp;L868)</f>
        <v/>
      </c>
      <c r="N868">
        <f>IF(M868="","",IF(ISNUMBER(B868),B868,IFERROR(_xlfn.NUMBERVALUE(B868,".",","),0)))</f>
        <v/>
      </c>
      <c r="O868">
        <f>IF(M868="","",IF(ISNUMBER(C868),C868,IFERROR(_xlfn.NUMBERVALUE(C868,".",","),0)))</f>
        <v/>
      </c>
    </row>
    <row r="869">
      <c r="K869">
        <f>IF(OR(LEFT(B869,9)="DOANH THU",LEFT(B869,8)="SỐ LƯỢNG"),A869,IF(A869="","",K868))</f>
        <v/>
      </c>
      <c r="L869">
        <f>IF(A869="","",IF(ISNUMBER(--LEFT(A869,FIND(" - ",A869&amp;" - ")-1)),LEFT(A869,FIND(" - ",A869&amp;" - ")-1),TRIM(A869)))</f>
        <v/>
      </c>
      <c r="M869">
        <f>IF(OR(K869="",K869=A869,A869=""),"",K869&amp;"|"&amp;L869)</f>
        <v/>
      </c>
      <c r="N869">
        <f>IF(M869="","",IF(ISNUMBER(B869),B869,IFERROR(_xlfn.NUMBERVALUE(B869,".",","),0)))</f>
        <v/>
      </c>
      <c r="O869">
        <f>IF(M869="","",IF(ISNUMBER(C869),C869,IFERROR(_xlfn.NUMBERVALUE(C869,".",","),0)))</f>
        <v/>
      </c>
    </row>
    <row r="870">
      <c r="K870">
        <f>IF(OR(LEFT(B870,9)="DOANH THU",LEFT(B870,8)="SỐ LƯỢNG"),A870,IF(A870="","",K869))</f>
        <v/>
      </c>
      <c r="L870">
        <f>IF(A870="","",IF(ISNUMBER(--LEFT(A870,FIND(" - ",A870&amp;" - ")-1)),LEFT(A870,FIND(" - ",A870&amp;" - ")-1),TRIM(A870)))</f>
        <v/>
      </c>
      <c r="M870">
        <f>IF(OR(K870="",K870=A870,A870=""),"",K870&amp;"|"&amp;L870)</f>
        <v/>
      </c>
      <c r="N870">
        <f>IF(M870="","",IF(ISNUMBER(B870),B870,IFERROR(_xlfn.NUMBERVALUE(B870,".",","),0)))</f>
        <v/>
      </c>
      <c r="O870">
        <f>IF(M870="","",IF(ISNUMBER(C870),C870,IFERROR(_xlfn.NUMBERVALUE(C870,".",","),0)))</f>
        <v/>
      </c>
    </row>
    <row r="871">
      <c r="K871">
        <f>IF(OR(LEFT(B871,9)="DOANH THU",LEFT(B871,8)="SỐ LƯỢNG"),A871,IF(A871="","",K870))</f>
        <v/>
      </c>
      <c r="L871">
        <f>IF(A871="","",IF(ISNUMBER(--LEFT(A871,FIND(" - ",A871&amp;" - ")-1)),LEFT(A871,FIND(" - ",A871&amp;" - ")-1),TRIM(A871)))</f>
        <v/>
      </c>
      <c r="M871">
        <f>IF(OR(K871="",K871=A871,A871=""),"",K871&amp;"|"&amp;L871)</f>
        <v/>
      </c>
      <c r="N871">
        <f>IF(M871="","",IF(ISNUMBER(B871),B871,IFERROR(_xlfn.NUMBERVALUE(B871,".",","),0)))</f>
        <v/>
      </c>
      <c r="O871">
        <f>IF(M871="","",IF(ISNUMBER(C871),C871,IFERROR(_xlfn.NUMBERVALUE(C871,".",","),0)))</f>
        <v/>
      </c>
    </row>
    <row r="872">
      <c r="K872">
        <f>IF(OR(LEFT(B872,9)="DOANH THU",LEFT(B872,8)="SỐ LƯỢNG"),A872,IF(A872="","",K871))</f>
        <v/>
      </c>
      <c r="L872">
        <f>IF(A872="","",IF(ISNUMBER(--LEFT(A872,FIND(" - ",A872&amp;" - ")-1)),LEFT(A872,FIND(" - ",A872&amp;" - ")-1),TRIM(A872)))</f>
        <v/>
      </c>
      <c r="M872">
        <f>IF(OR(K872="",K872=A872,A872=""),"",K872&amp;"|"&amp;L872)</f>
        <v/>
      </c>
      <c r="N872">
        <f>IF(M872="","",IF(ISNUMBER(B872),B872,IFERROR(_xlfn.NUMBERVALUE(B872,".",","),0)))</f>
        <v/>
      </c>
      <c r="O872">
        <f>IF(M872="","",IF(ISNUMBER(C872),C872,IFERROR(_xlfn.NUMBERVALUE(C872,".",","),0)))</f>
        <v/>
      </c>
    </row>
    <row r="873">
      <c r="K873">
        <f>IF(OR(LEFT(B873,9)="DOANH THU",LEFT(B873,8)="SỐ LƯỢNG"),A873,IF(A873="","",K872))</f>
        <v/>
      </c>
      <c r="L873">
        <f>IF(A873="","",IF(ISNUMBER(--LEFT(A873,FIND(" - ",A873&amp;" - ")-1)),LEFT(A873,FIND(" - ",A873&amp;" - ")-1),TRIM(A873)))</f>
        <v/>
      </c>
      <c r="M873">
        <f>IF(OR(K873="",K873=A873,A873=""),"",K873&amp;"|"&amp;L873)</f>
        <v/>
      </c>
      <c r="N873">
        <f>IF(M873="","",IF(ISNUMBER(B873),B873,IFERROR(_xlfn.NUMBERVALUE(B873,".",","),0)))</f>
        <v/>
      </c>
      <c r="O873">
        <f>IF(M873="","",IF(ISNUMBER(C873),C873,IFERROR(_xlfn.NUMBERVALUE(C873,".",","),0)))</f>
        <v/>
      </c>
    </row>
    <row r="874">
      <c r="K874">
        <f>IF(OR(LEFT(B874,9)="DOANH THU",LEFT(B874,8)="SỐ LƯỢNG"),A874,IF(A874="","",K873))</f>
        <v/>
      </c>
      <c r="L874">
        <f>IF(A874="","",IF(ISNUMBER(--LEFT(A874,FIND(" - ",A874&amp;" - ")-1)),LEFT(A874,FIND(" - ",A874&amp;" - ")-1),TRIM(A874)))</f>
        <v/>
      </c>
      <c r="M874">
        <f>IF(OR(K874="",K874=A874,A874=""),"",K874&amp;"|"&amp;L874)</f>
        <v/>
      </c>
      <c r="N874">
        <f>IF(M874="","",IF(ISNUMBER(B874),B874,IFERROR(_xlfn.NUMBERVALUE(B874,".",","),0)))</f>
        <v/>
      </c>
      <c r="O874">
        <f>IF(M874="","",IF(ISNUMBER(C874),C874,IFERROR(_xlfn.NUMBERVALUE(C874,".",","),0)))</f>
        <v/>
      </c>
    </row>
    <row r="875">
      <c r="K875">
        <f>IF(OR(LEFT(B875,9)="DOANH THU",LEFT(B875,8)="SỐ LƯỢNG"),A875,IF(A875="","",K874))</f>
        <v/>
      </c>
      <c r="L875">
        <f>IF(A875="","",IF(ISNUMBER(--LEFT(A875,FIND(" - ",A875&amp;" - ")-1)),LEFT(A875,FIND(" - ",A875&amp;" - ")-1),TRIM(A875)))</f>
        <v/>
      </c>
      <c r="M875">
        <f>IF(OR(K875="",K875=A875,A875=""),"",K875&amp;"|"&amp;L875)</f>
        <v/>
      </c>
      <c r="N875">
        <f>IF(M875="","",IF(ISNUMBER(B875),B875,IFERROR(_xlfn.NUMBERVALUE(B875,".",","),0)))</f>
        <v/>
      </c>
      <c r="O875">
        <f>IF(M875="","",IF(ISNUMBER(C875),C875,IFERROR(_xlfn.NUMBERVALUE(C875,".",","),0)))</f>
        <v/>
      </c>
    </row>
    <row r="876">
      <c r="K876">
        <f>IF(OR(LEFT(B876,9)="DOANH THU",LEFT(B876,8)="SỐ LƯỢNG"),A876,IF(A876="","",K875))</f>
        <v/>
      </c>
      <c r="L876">
        <f>IF(A876="","",IF(ISNUMBER(--LEFT(A876,FIND(" - ",A876&amp;" - ")-1)),LEFT(A876,FIND(" - ",A876&amp;" - ")-1),TRIM(A876)))</f>
        <v/>
      </c>
      <c r="M876">
        <f>IF(OR(K876="",K876=A876,A876=""),"",K876&amp;"|"&amp;L876)</f>
        <v/>
      </c>
      <c r="N876">
        <f>IF(M876="","",IF(ISNUMBER(B876),B876,IFERROR(_xlfn.NUMBERVALUE(B876,".",","),0)))</f>
        <v/>
      </c>
      <c r="O876">
        <f>IF(M876="","",IF(ISNUMBER(C876),C876,IFERROR(_xlfn.NUMBERVALUE(C876,".",","),0)))</f>
        <v/>
      </c>
    </row>
    <row r="877">
      <c r="K877">
        <f>IF(OR(LEFT(B877,9)="DOANH THU",LEFT(B877,8)="SỐ LƯỢNG"),A877,IF(A877="","",K876))</f>
        <v/>
      </c>
      <c r="L877">
        <f>IF(A877="","",IF(ISNUMBER(--LEFT(A877,FIND(" - ",A877&amp;" - ")-1)),LEFT(A877,FIND(" - ",A877&amp;" - ")-1),TRIM(A877)))</f>
        <v/>
      </c>
      <c r="M877">
        <f>IF(OR(K877="",K877=A877,A877=""),"",K877&amp;"|"&amp;L877)</f>
        <v/>
      </c>
      <c r="N877">
        <f>IF(M877="","",IF(ISNUMBER(B877),B877,IFERROR(_xlfn.NUMBERVALUE(B877,".",","),0)))</f>
        <v/>
      </c>
      <c r="O877">
        <f>IF(M877="","",IF(ISNUMBER(C877),C877,IFERROR(_xlfn.NUMBERVALUE(C877,".",","),0)))</f>
        <v/>
      </c>
    </row>
    <row r="878">
      <c r="K878">
        <f>IF(OR(LEFT(B878,9)="DOANH THU",LEFT(B878,8)="SỐ LƯỢNG"),A878,IF(A878="","",K877))</f>
        <v/>
      </c>
      <c r="L878">
        <f>IF(A878="","",IF(ISNUMBER(--LEFT(A878,FIND(" - ",A878&amp;" - ")-1)),LEFT(A878,FIND(" - ",A878&amp;" - ")-1),TRIM(A878)))</f>
        <v/>
      </c>
      <c r="M878">
        <f>IF(OR(K878="",K878=A878,A878=""),"",K878&amp;"|"&amp;L878)</f>
        <v/>
      </c>
      <c r="N878">
        <f>IF(M878="","",IF(ISNUMBER(B878),B878,IFERROR(_xlfn.NUMBERVALUE(B878,".",","),0)))</f>
        <v/>
      </c>
      <c r="O878">
        <f>IF(M878="","",IF(ISNUMBER(C878),C878,IFERROR(_xlfn.NUMBERVALUE(C878,".",","),0)))</f>
        <v/>
      </c>
    </row>
    <row r="879">
      <c r="K879">
        <f>IF(OR(LEFT(B879,9)="DOANH THU",LEFT(B879,8)="SỐ LƯỢNG"),A879,IF(A879="","",K878))</f>
        <v/>
      </c>
      <c r="L879">
        <f>IF(A879="","",IF(ISNUMBER(--LEFT(A879,FIND(" - ",A879&amp;" - ")-1)),LEFT(A879,FIND(" - ",A879&amp;" - ")-1),TRIM(A879)))</f>
        <v/>
      </c>
      <c r="M879">
        <f>IF(OR(K879="",K879=A879,A879=""),"",K879&amp;"|"&amp;L879)</f>
        <v/>
      </c>
      <c r="N879">
        <f>IF(M879="","",IF(ISNUMBER(B879),B879,IFERROR(_xlfn.NUMBERVALUE(B879,".",","),0)))</f>
        <v/>
      </c>
      <c r="O879">
        <f>IF(M879="","",IF(ISNUMBER(C879),C879,IFERROR(_xlfn.NUMBERVALUE(C879,".",","),0)))</f>
        <v/>
      </c>
    </row>
    <row r="880">
      <c r="K880">
        <f>IF(OR(LEFT(B880,9)="DOANH THU",LEFT(B880,8)="SỐ LƯỢNG"),A880,IF(A880="","",K879))</f>
        <v/>
      </c>
      <c r="L880">
        <f>IF(A880="","",IF(ISNUMBER(--LEFT(A880,FIND(" - ",A880&amp;" - ")-1)),LEFT(A880,FIND(" - ",A880&amp;" - ")-1),TRIM(A880)))</f>
        <v/>
      </c>
      <c r="M880">
        <f>IF(OR(K880="",K880=A880,A880=""),"",K880&amp;"|"&amp;L880)</f>
        <v/>
      </c>
      <c r="N880">
        <f>IF(M880="","",IF(ISNUMBER(B880),B880,IFERROR(_xlfn.NUMBERVALUE(B880,".",","),0)))</f>
        <v/>
      </c>
      <c r="O880">
        <f>IF(M880="","",IF(ISNUMBER(C880),C880,IFERROR(_xlfn.NUMBERVALUE(C880,".",","),0)))</f>
        <v/>
      </c>
    </row>
    <row r="881">
      <c r="K881">
        <f>IF(OR(LEFT(B881,9)="DOANH THU",LEFT(B881,8)="SỐ LƯỢNG"),A881,IF(A881="","",K880))</f>
        <v/>
      </c>
      <c r="L881">
        <f>IF(A881="","",IF(ISNUMBER(--LEFT(A881,FIND(" - ",A881&amp;" - ")-1)),LEFT(A881,FIND(" - ",A881&amp;" - ")-1),TRIM(A881)))</f>
        <v/>
      </c>
      <c r="M881">
        <f>IF(OR(K881="",K881=A881,A881=""),"",K881&amp;"|"&amp;L881)</f>
        <v/>
      </c>
      <c r="N881">
        <f>IF(M881="","",IF(ISNUMBER(B881),B881,IFERROR(_xlfn.NUMBERVALUE(B881,".",","),0)))</f>
        <v/>
      </c>
      <c r="O881">
        <f>IF(M881="","",IF(ISNUMBER(C881),C881,IFERROR(_xlfn.NUMBERVALUE(C881,".",","),0)))</f>
        <v/>
      </c>
    </row>
    <row r="882">
      <c r="K882">
        <f>IF(OR(LEFT(B882,9)="DOANH THU",LEFT(B882,8)="SỐ LƯỢNG"),A882,IF(A882="","",K881))</f>
        <v/>
      </c>
      <c r="L882">
        <f>IF(A882="","",IF(ISNUMBER(--LEFT(A882,FIND(" - ",A882&amp;" - ")-1)),LEFT(A882,FIND(" - ",A882&amp;" - ")-1),TRIM(A882)))</f>
        <v/>
      </c>
      <c r="M882">
        <f>IF(OR(K882="",K882=A882,A882=""),"",K882&amp;"|"&amp;L882)</f>
        <v/>
      </c>
      <c r="N882">
        <f>IF(M882="","",IF(ISNUMBER(B882),B882,IFERROR(_xlfn.NUMBERVALUE(B882,".",","),0)))</f>
        <v/>
      </c>
      <c r="O882">
        <f>IF(M882="","",IF(ISNUMBER(C882),C882,IFERROR(_xlfn.NUMBERVALUE(C882,".",","),0)))</f>
        <v/>
      </c>
    </row>
    <row r="883">
      <c r="K883">
        <f>IF(OR(LEFT(B883,9)="DOANH THU",LEFT(B883,8)="SỐ LƯỢNG"),A883,IF(A883="","",K882))</f>
        <v/>
      </c>
      <c r="L883">
        <f>IF(A883="","",IF(ISNUMBER(--LEFT(A883,FIND(" - ",A883&amp;" - ")-1)),LEFT(A883,FIND(" - ",A883&amp;" - ")-1),TRIM(A883)))</f>
        <v/>
      </c>
      <c r="M883">
        <f>IF(OR(K883="",K883=A883,A883=""),"",K883&amp;"|"&amp;L883)</f>
        <v/>
      </c>
      <c r="N883">
        <f>IF(M883="","",IF(ISNUMBER(B883),B883,IFERROR(_xlfn.NUMBERVALUE(B883,".",","),0)))</f>
        <v/>
      </c>
      <c r="O883">
        <f>IF(M883="","",IF(ISNUMBER(C883),C883,IFERROR(_xlfn.NUMBERVALUE(C883,".",","),0)))</f>
        <v/>
      </c>
    </row>
    <row r="884">
      <c r="K884">
        <f>IF(OR(LEFT(B884,9)="DOANH THU",LEFT(B884,8)="SỐ LƯỢNG"),A884,IF(A884="","",K883))</f>
        <v/>
      </c>
      <c r="L884">
        <f>IF(A884="","",IF(ISNUMBER(--LEFT(A884,FIND(" - ",A884&amp;" - ")-1)),LEFT(A884,FIND(" - ",A884&amp;" - ")-1),TRIM(A884)))</f>
        <v/>
      </c>
      <c r="M884">
        <f>IF(OR(K884="",K884=A884,A884=""),"",K884&amp;"|"&amp;L884)</f>
        <v/>
      </c>
      <c r="N884">
        <f>IF(M884="","",IF(ISNUMBER(B884),B884,IFERROR(_xlfn.NUMBERVALUE(B884,".",","),0)))</f>
        <v/>
      </c>
      <c r="O884">
        <f>IF(M884="","",IF(ISNUMBER(C884),C884,IFERROR(_xlfn.NUMBERVALUE(C884,".",","),0)))</f>
        <v/>
      </c>
    </row>
    <row r="885">
      <c r="K885">
        <f>IF(OR(LEFT(B885,9)="DOANH THU",LEFT(B885,8)="SỐ LƯỢNG"),A885,IF(A885="","",K884))</f>
        <v/>
      </c>
      <c r="L885">
        <f>IF(A885="","",IF(ISNUMBER(--LEFT(A885,FIND(" - ",A885&amp;" - ")-1)),LEFT(A885,FIND(" - ",A885&amp;" - ")-1),TRIM(A885)))</f>
        <v/>
      </c>
      <c r="M885">
        <f>IF(OR(K885="",K885=A885,A885=""),"",K885&amp;"|"&amp;L885)</f>
        <v/>
      </c>
      <c r="N885">
        <f>IF(M885="","",IF(ISNUMBER(B885),B885,IFERROR(_xlfn.NUMBERVALUE(B885,".",","),0)))</f>
        <v/>
      </c>
      <c r="O885">
        <f>IF(M885="","",IF(ISNUMBER(C885),C885,IFERROR(_xlfn.NUMBERVALUE(C885,".",","),0)))</f>
        <v/>
      </c>
    </row>
    <row r="886">
      <c r="K886">
        <f>IF(OR(LEFT(B886,9)="DOANH THU",LEFT(B886,8)="SỐ LƯỢNG"),A886,IF(A886="","",K885))</f>
        <v/>
      </c>
      <c r="L886">
        <f>IF(A886="","",IF(ISNUMBER(--LEFT(A886,FIND(" - ",A886&amp;" - ")-1)),LEFT(A886,FIND(" - ",A886&amp;" - ")-1),TRIM(A886)))</f>
        <v/>
      </c>
      <c r="M886">
        <f>IF(OR(K886="",K886=A886,A886=""),"",K886&amp;"|"&amp;L886)</f>
        <v/>
      </c>
      <c r="N886">
        <f>IF(M886="","",IF(ISNUMBER(B886),B886,IFERROR(_xlfn.NUMBERVALUE(B886,".",","),0)))</f>
        <v/>
      </c>
      <c r="O886">
        <f>IF(M886="","",IF(ISNUMBER(C886),C886,IFERROR(_xlfn.NUMBERVALUE(C886,".",","),0)))</f>
        <v/>
      </c>
    </row>
    <row r="887">
      <c r="K887">
        <f>IF(OR(LEFT(B887,9)="DOANH THU",LEFT(B887,8)="SỐ LƯỢNG"),A887,IF(A887="","",K886))</f>
        <v/>
      </c>
      <c r="L887">
        <f>IF(A887="","",IF(ISNUMBER(--LEFT(A887,FIND(" - ",A887&amp;" - ")-1)),LEFT(A887,FIND(" - ",A887&amp;" - ")-1),TRIM(A887)))</f>
        <v/>
      </c>
      <c r="M887">
        <f>IF(OR(K887="",K887=A887,A887=""),"",K887&amp;"|"&amp;L887)</f>
        <v/>
      </c>
      <c r="N887">
        <f>IF(M887="","",IF(ISNUMBER(B887),B887,IFERROR(_xlfn.NUMBERVALUE(B887,".",","),0)))</f>
        <v/>
      </c>
      <c r="O887">
        <f>IF(M887="","",IF(ISNUMBER(C887),C887,IFERROR(_xlfn.NUMBERVALUE(C887,".",","),0)))</f>
        <v/>
      </c>
    </row>
    <row r="888">
      <c r="K888">
        <f>IF(OR(LEFT(B888,9)="DOANH THU",LEFT(B888,8)="SỐ LƯỢNG"),A888,IF(A888="","",K887))</f>
        <v/>
      </c>
      <c r="L888">
        <f>IF(A888="","",IF(ISNUMBER(--LEFT(A888,FIND(" - ",A888&amp;" - ")-1)),LEFT(A888,FIND(" - ",A888&amp;" - ")-1),TRIM(A888)))</f>
        <v/>
      </c>
      <c r="M888">
        <f>IF(OR(K888="",K888=A888,A888=""),"",K888&amp;"|"&amp;L888)</f>
        <v/>
      </c>
      <c r="N888">
        <f>IF(M888="","",IF(ISNUMBER(B888),B888,IFERROR(_xlfn.NUMBERVALUE(B888,".",","),0)))</f>
        <v/>
      </c>
      <c r="O888">
        <f>IF(M888="","",IF(ISNUMBER(C888),C888,IFERROR(_xlfn.NUMBERVALUE(C888,".",","),0)))</f>
        <v/>
      </c>
    </row>
    <row r="889">
      <c r="K889">
        <f>IF(OR(LEFT(B889,9)="DOANH THU",LEFT(B889,8)="SỐ LƯỢNG"),A889,IF(A889="","",K888))</f>
        <v/>
      </c>
      <c r="L889">
        <f>IF(A889="","",IF(ISNUMBER(--LEFT(A889,FIND(" - ",A889&amp;" - ")-1)),LEFT(A889,FIND(" - ",A889&amp;" - ")-1),TRIM(A889)))</f>
        <v/>
      </c>
      <c r="M889">
        <f>IF(OR(K889="",K889=A889,A889=""),"",K889&amp;"|"&amp;L889)</f>
        <v/>
      </c>
      <c r="N889">
        <f>IF(M889="","",IF(ISNUMBER(B889),B889,IFERROR(_xlfn.NUMBERVALUE(B889,".",","),0)))</f>
        <v/>
      </c>
      <c r="O889">
        <f>IF(M889="","",IF(ISNUMBER(C889),C889,IFERROR(_xlfn.NUMBERVALUE(C889,".",","),0)))</f>
        <v/>
      </c>
    </row>
    <row r="890">
      <c r="K890">
        <f>IF(OR(LEFT(B890,9)="DOANH THU",LEFT(B890,8)="SỐ LƯỢNG"),A890,IF(A890="","",K889))</f>
        <v/>
      </c>
      <c r="L890">
        <f>IF(A890="","",IF(ISNUMBER(--LEFT(A890,FIND(" - ",A890&amp;" - ")-1)),LEFT(A890,FIND(" - ",A890&amp;" - ")-1),TRIM(A890)))</f>
        <v/>
      </c>
      <c r="M890">
        <f>IF(OR(K890="",K890=A890,A890=""),"",K890&amp;"|"&amp;L890)</f>
        <v/>
      </c>
      <c r="N890">
        <f>IF(M890="","",IF(ISNUMBER(B890),B890,IFERROR(_xlfn.NUMBERVALUE(B890,".",","),0)))</f>
        <v/>
      </c>
      <c r="O890">
        <f>IF(M890="","",IF(ISNUMBER(C890),C890,IFERROR(_xlfn.NUMBERVALUE(C890,".",","),0)))</f>
        <v/>
      </c>
    </row>
    <row r="891">
      <c r="K891">
        <f>IF(OR(LEFT(B891,9)="DOANH THU",LEFT(B891,8)="SỐ LƯỢNG"),A891,IF(A891="","",K890))</f>
        <v/>
      </c>
      <c r="L891">
        <f>IF(A891="","",IF(ISNUMBER(--LEFT(A891,FIND(" - ",A891&amp;" - ")-1)),LEFT(A891,FIND(" - ",A891&amp;" - ")-1),TRIM(A891)))</f>
        <v/>
      </c>
      <c r="M891">
        <f>IF(OR(K891="",K891=A891,A891=""),"",K891&amp;"|"&amp;L891)</f>
        <v/>
      </c>
      <c r="N891">
        <f>IF(M891="","",IF(ISNUMBER(B891),B891,IFERROR(_xlfn.NUMBERVALUE(B891,".",","),0)))</f>
        <v/>
      </c>
      <c r="O891">
        <f>IF(M891="","",IF(ISNUMBER(C891),C891,IFERROR(_xlfn.NUMBERVALUE(C891,".",","),0)))</f>
        <v/>
      </c>
    </row>
    <row r="892">
      <c r="K892">
        <f>IF(OR(LEFT(B892,9)="DOANH THU",LEFT(B892,8)="SỐ LƯỢNG"),A892,IF(A892="","",K891))</f>
        <v/>
      </c>
      <c r="L892">
        <f>IF(A892="","",IF(ISNUMBER(--LEFT(A892,FIND(" - ",A892&amp;" - ")-1)),LEFT(A892,FIND(" - ",A892&amp;" - ")-1),TRIM(A892)))</f>
        <v/>
      </c>
      <c r="M892">
        <f>IF(OR(K892="",K892=A892,A892=""),"",K892&amp;"|"&amp;L892)</f>
        <v/>
      </c>
      <c r="N892">
        <f>IF(M892="","",IF(ISNUMBER(B892),B892,IFERROR(_xlfn.NUMBERVALUE(B892,".",","),0)))</f>
        <v/>
      </c>
      <c r="O892">
        <f>IF(M892="","",IF(ISNUMBER(C892),C892,IFERROR(_xlfn.NUMBERVALUE(C892,".",","),0)))</f>
        <v/>
      </c>
    </row>
    <row r="893">
      <c r="K893">
        <f>IF(OR(LEFT(B893,9)="DOANH THU",LEFT(B893,8)="SỐ LƯỢNG"),A893,IF(A893="","",K892))</f>
        <v/>
      </c>
      <c r="L893">
        <f>IF(A893="","",IF(ISNUMBER(--LEFT(A893,FIND(" - ",A893&amp;" - ")-1)),LEFT(A893,FIND(" - ",A893&amp;" - ")-1),TRIM(A893)))</f>
        <v/>
      </c>
      <c r="M893">
        <f>IF(OR(K893="",K893=A893,A893=""),"",K893&amp;"|"&amp;L893)</f>
        <v/>
      </c>
      <c r="N893">
        <f>IF(M893="","",IF(ISNUMBER(B893),B893,IFERROR(_xlfn.NUMBERVALUE(B893,".",","),0)))</f>
        <v/>
      </c>
      <c r="O893">
        <f>IF(M893="","",IF(ISNUMBER(C893),C893,IFERROR(_xlfn.NUMBERVALUE(C893,".",","),0)))</f>
        <v/>
      </c>
    </row>
    <row r="894">
      <c r="K894">
        <f>IF(OR(LEFT(B894,9)="DOANH THU",LEFT(B894,8)="SỐ LƯỢNG"),A894,IF(A894="","",K893))</f>
        <v/>
      </c>
      <c r="L894">
        <f>IF(A894="","",IF(ISNUMBER(--LEFT(A894,FIND(" - ",A894&amp;" - ")-1)),LEFT(A894,FIND(" - ",A894&amp;" - ")-1),TRIM(A894)))</f>
        <v/>
      </c>
      <c r="M894">
        <f>IF(OR(K894="",K894=A894,A894=""),"",K894&amp;"|"&amp;L894)</f>
        <v/>
      </c>
      <c r="N894">
        <f>IF(M894="","",IF(ISNUMBER(B894),B894,IFERROR(_xlfn.NUMBERVALUE(B894,".",","),0)))</f>
        <v/>
      </c>
      <c r="O894">
        <f>IF(M894="","",IF(ISNUMBER(C894),C894,IFERROR(_xlfn.NUMBERVALUE(C894,".",","),0)))</f>
        <v/>
      </c>
    </row>
    <row r="895">
      <c r="K895">
        <f>IF(OR(LEFT(B895,9)="DOANH THU",LEFT(B895,8)="SỐ LƯỢNG"),A895,IF(A895="","",K894))</f>
        <v/>
      </c>
      <c r="L895">
        <f>IF(A895="","",IF(ISNUMBER(--LEFT(A895,FIND(" - ",A895&amp;" - ")-1)),LEFT(A895,FIND(" - ",A895&amp;" - ")-1),TRIM(A895)))</f>
        <v/>
      </c>
      <c r="M895">
        <f>IF(OR(K895="",K895=A895,A895=""),"",K895&amp;"|"&amp;L895)</f>
        <v/>
      </c>
      <c r="N895">
        <f>IF(M895="","",IF(ISNUMBER(B895),B895,IFERROR(_xlfn.NUMBERVALUE(B895,".",","),0)))</f>
        <v/>
      </c>
      <c r="O895">
        <f>IF(M895="","",IF(ISNUMBER(C895),C895,IFERROR(_xlfn.NUMBERVALUE(C895,".",","),0)))</f>
        <v/>
      </c>
    </row>
    <row r="896">
      <c r="K896">
        <f>IF(OR(LEFT(B896,9)="DOANH THU",LEFT(B896,8)="SỐ LƯỢNG"),A896,IF(A896="","",K895))</f>
        <v/>
      </c>
      <c r="L896">
        <f>IF(A896="","",IF(ISNUMBER(--LEFT(A896,FIND(" - ",A896&amp;" - ")-1)),LEFT(A896,FIND(" - ",A896&amp;" - ")-1),TRIM(A896)))</f>
        <v/>
      </c>
      <c r="M896">
        <f>IF(OR(K896="",K896=A896,A896=""),"",K896&amp;"|"&amp;L896)</f>
        <v/>
      </c>
      <c r="N896">
        <f>IF(M896="","",IF(ISNUMBER(B896),B896,IFERROR(_xlfn.NUMBERVALUE(B896,".",","),0)))</f>
        <v/>
      </c>
      <c r="O896">
        <f>IF(M896="","",IF(ISNUMBER(C896),C896,IFERROR(_xlfn.NUMBERVALUE(C896,".",","),0)))</f>
        <v/>
      </c>
    </row>
    <row r="897">
      <c r="K897">
        <f>IF(OR(LEFT(B897,9)="DOANH THU",LEFT(B897,8)="SỐ LƯỢNG"),A897,IF(A897="","",K896))</f>
        <v/>
      </c>
      <c r="L897">
        <f>IF(A897="","",IF(ISNUMBER(--LEFT(A897,FIND(" - ",A897&amp;" - ")-1)),LEFT(A897,FIND(" - ",A897&amp;" - ")-1),TRIM(A897)))</f>
        <v/>
      </c>
      <c r="M897">
        <f>IF(OR(K897="",K897=A897,A897=""),"",K897&amp;"|"&amp;L897)</f>
        <v/>
      </c>
      <c r="N897">
        <f>IF(M897="","",IF(ISNUMBER(B897),B897,IFERROR(_xlfn.NUMBERVALUE(B897,".",","),0)))</f>
        <v/>
      </c>
      <c r="O897">
        <f>IF(M897="","",IF(ISNUMBER(C897),C897,IFERROR(_xlfn.NUMBERVALUE(C897,".",","),0)))</f>
        <v/>
      </c>
    </row>
    <row r="898">
      <c r="K898">
        <f>IF(OR(LEFT(B898,9)="DOANH THU",LEFT(B898,8)="SỐ LƯỢNG"),A898,IF(A898="","",K897))</f>
        <v/>
      </c>
      <c r="L898">
        <f>IF(A898="","",IF(ISNUMBER(--LEFT(A898,FIND(" - ",A898&amp;" - ")-1)),LEFT(A898,FIND(" - ",A898&amp;" - ")-1),TRIM(A898)))</f>
        <v/>
      </c>
      <c r="M898">
        <f>IF(OR(K898="",K898=A898,A898=""),"",K898&amp;"|"&amp;L898)</f>
        <v/>
      </c>
      <c r="N898">
        <f>IF(M898="","",IF(ISNUMBER(B898),B898,IFERROR(_xlfn.NUMBERVALUE(B898,".",","),0)))</f>
        <v/>
      </c>
      <c r="O898">
        <f>IF(M898="","",IF(ISNUMBER(C898),C898,IFERROR(_xlfn.NUMBERVALUE(C898,".",","),0)))</f>
        <v/>
      </c>
    </row>
    <row r="899">
      <c r="K899">
        <f>IF(OR(LEFT(B899,9)="DOANH THU",LEFT(B899,8)="SỐ LƯỢNG"),A899,IF(A899="","",K898))</f>
        <v/>
      </c>
      <c r="L899">
        <f>IF(A899="","",IF(ISNUMBER(--LEFT(A899,FIND(" - ",A899&amp;" - ")-1)),LEFT(A899,FIND(" - ",A899&amp;" - ")-1),TRIM(A899)))</f>
        <v/>
      </c>
      <c r="M899">
        <f>IF(OR(K899="",K899=A899,A899=""),"",K899&amp;"|"&amp;L899)</f>
        <v/>
      </c>
      <c r="N899">
        <f>IF(M899="","",IF(ISNUMBER(B899),B899,IFERROR(_xlfn.NUMBERVALUE(B899,".",","),0)))</f>
        <v/>
      </c>
      <c r="O899">
        <f>IF(M899="","",IF(ISNUMBER(C899),C899,IFERROR(_xlfn.NUMBERVALUE(C899,".",","),0)))</f>
        <v/>
      </c>
    </row>
    <row r="900">
      <c r="K900">
        <f>IF(OR(LEFT(B900,9)="DOANH THU",LEFT(B900,8)="SỐ LƯỢNG"),A900,IF(A900="","",K899))</f>
        <v/>
      </c>
      <c r="L900">
        <f>IF(A900="","",IF(ISNUMBER(--LEFT(A900,FIND(" - ",A900&amp;" - ")-1)),LEFT(A900,FIND(" - ",A900&amp;" - ")-1),TRIM(A900)))</f>
        <v/>
      </c>
      <c r="M900">
        <f>IF(OR(K900="",K900=A900,A900=""),"",K900&amp;"|"&amp;L900)</f>
        <v/>
      </c>
      <c r="N900">
        <f>IF(M900="","",IF(ISNUMBER(B900),B900,IFERROR(_xlfn.NUMBERVALUE(B900,".",","),0)))</f>
        <v/>
      </c>
      <c r="O900">
        <f>IF(M900="","",IF(ISNUMBER(C900),C900,IFERROR(_xlfn.NUMBERVALUE(C900,".",","),0)))</f>
        <v/>
      </c>
    </row>
    <row r="901">
      <c r="K901">
        <f>IF(OR(LEFT(B901,9)="DOANH THU",LEFT(B901,8)="SỐ LƯỢNG"),A901,IF(A901="","",K900))</f>
        <v/>
      </c>
      <c r="L901">
        <f>IF(A901="","",IF(ISNUMBER(--LEFT(A901,FIND(" - ",A901&amp;" - ")-1)),LEFT(A901,FIND(" - ",A901&amp;" - ")-1),TRIM(A901)))</f>
        <v/>
      </c>
      <c r="M901">
        <f>IF(OR(K901="",K901=A901,A901=""),"",K901&amp;"|"&amp;L901)</f>
        <v/>
      </c>
      <c r="N901">
        <f>IF(M901="","",IF(ISNUMBER(B901),B901,IFERROR(_xlfn.NUMBERVALUE(B901,".",","),0)))</f>
        <v/>
      </c>
      <c r="O901">
        <f>IF(M901="","",IF(ISNUMBER(C901),C901,IFERROR(_xlfn.NUMBERVALUE(C901,".",","),0)))</f>
        <v/>
      </c>
    </row>
    <row r="902">
      <c r="K902">
        <f>IF(OR(LEFT(B902,9)="DOANH THU",LEFT(B902,8)="SỐ LƯỢNG"),A902,IF(A902="","",K901))</f>
        <v/>
      </c>
      <c r="L902">
        <f>IF(A902="","",IF(ISNUMBER(--LEFT(A902,FIND(" - ",A902&amp;" - ")-1)),LEFT(A902,FIND(" - ",A902&amp;" - ")-1),TRIM(A902)))</f>
        <v/>
      </c>
      <c r="M902">
        <f>IF(OR(K902="",K902=A902,A902=""),"",K902&amp;"|"&amp;L902)</f>
        <v/>
      </c>
      <c r="N902">
        <f>IF(M902="","",IF(ISNUMBER(B902),B902,IFERROR(_xlfn.NUMBERVALUE(B902,".",","),0)))</f>
        <v/>
      </c>
      <c r="O902">
        <f>IF(M902="","",IF(ISNUMBER(C902),C902,IFERROR(_xlfn.NUMBERVALUE(C902,".",","),0)))</f>
        <v/>
      </c>
    </row>
    <row r="903">
      <c r="K903">
        <f>IF(OR(LEFT(B903,9)="DOANH THU",LEFT(B903,8)="SỐ LƯỢNG"),A903,IF(A903="","",K902))</f>
        <v/>
      </c>
      <c r="L903">
        <f>IF(A903="","",IF(ISNUMBER(--LEFT(A903,FIND(" - ",A903&amp;" - ")-1)),LEFT(A903,FIND(" - ",A903&amp;" - ")-1),TRIM(A903)))</f>
        <v/>
      </c>
      <c r="M903">
        <f>IF(OR(K903="",K903=A903,A903=""),"",K903&amp;"|"&amp;L903)</f>
        <v/>
      </c>
      <c r="N903">
        <f>IF(M903="","",IF(ISNUMBER(B903),B903,IFERROR(_xlfn.NUMBERVALUE(B903,".",","),0)))</f>
        <v/>
      </c>
      <c r="O903">
        <f>IF(M903="","",IF(ISNUMBER(C903),C903,IFERROR(_xlfn.NUMBERVALUE(C903,".",","),0)))</f>
        <v/>
      </c>
    </row>
    <row r="904">
      <c r="K904">
        <f>IF(OR(LEFT(B904,9)="DOANH THU",LEFT(B904,8)="SỐ LƯỢNG"),A904,IF(A904="","",K903))</f>
        <v/>
      </c>
      <c r="L904">
        <f>IF(A904="","",IF(ISNUMBER(--LEFT(A904,FIND(" - ",A904&amp;" - ")-1)),LEFT(A904,FIND(" - ",A904&amp;" - ")-1),TRIM(A904)))</f>
        <v/>
      </c>
      <c r="M904">
        <f>IF(OR(K904="",K904=A904,A904=""),"",K904&amp;"|"&amp;L904)</f>
        <v/>
      </c>
      <c r="N904">
        <f>IF(M904="","",IF(ISNUMBER(B904),B904,IFERROR(_xlfn.NUMBERVALUE(B904,".",","),0)))</f>
        <v/>
      </c>
      <c r="O904">
        <f>IF(M904="","",IF(ISNUMBER(C904),C904,IFERROR(_xlfn.NUMBERVALUE(C904,".",","),0)))</f>
        <v/>
      </c>
    </row>
    <row r="905">
      <c r="K905">
        <f>IF(OR(LEFT(B905,9)="DOANH THU",LEFT(B905,8)="SỐ LƯỢNG"),A905,IF(A905="","",K904))</f>
        <v/>
      </c>
      <c r="L905">
        <f>IF(A905="","",IF(ISNUMBER(--LEFT(A905,FIND(" - ",A905&amp;" - ")-1)),LEFT(A905,FIND(" - ",A905&amp;" - ")-1),TRIM(A905)))</f>
        <v/>
      </c>
      <c r="M905">
        <f>IF(OR(K905="",K905=A905,A905=""),"",K905&amp;"|"&amp;L905)</f>
        <v/>
      </c>
      <c r="N905">
        <f>IF(M905="","",IF(ISNUMBER(B905),B905,IFERROR(_xlfn.NUMBERVALUE(B905,".",","),0)))</f>
        <v/>
      </c>
      <c r="O905">
        <f>IF(M905="","",IF(ISNUMBER(C905),C905,IFERROR(_xlfn.NUMBERVALUE(C905,".",","),0)))</f>
        <v/>
      </c>
    </row>
    <row r="906">
      <c r="K906">
        <f>IF(OR(LEFT(B906,9)="DOANH THU",LEFT(B906,8)="SỐ LƯỢNG"),A906,IF(A906="","",K905))</f>
        <v/>
      </c>
      <c r="L906">
        <f>IF(A906="","",IF(ISNUMBER(--LEFT(A906,FIND(" - ",A906&amp;" - ")-1)),LEFT(A906,FIND(" - ",A906&amp;" - ")-1),TRIM(A906)))</f>
        <v/>
      </c>
      <c r="M906">
        <f>IF(OR(K906="",K906=A906,A906=""),"",K906&amp;"|"&amp;L906)</f>
        <v/>
      </c>
      <c r="N906">
        <f>IF(M906="","",IF(ISNUMBER(B906),B906,IFERROR(_xlfn.NUMBERVALUE(B906,".",","),0)))</f>
        <v/>
      </c>
      <c r="O906">
        <f>IF(M906="","",IF(ISNUMBER(C906),C906,IFERROR(_xlfn.NUMBERVALUE(C906,".",","),0)))</f>
        <v/>
      </c>
    </row>
    <row r="907">
      <c r="K907">
        <f>IF(OR(LEFT(B907,9)="DOANH THU",LEFT(B907,8)="SỐ LƯỢNG"),A907,IF(A907="","",K906))</f>
        <v/>
      </c>
      <c r="L907">
        <f>IF(A907="","",IF(ISNUMBER(--LEFT(A907,FIND(" - ",A907&amp;" - ")-1)),LEFT(A907,FIND(" - ",A907&amp;" - ")-1),TRIM(A907)))</f>
        <v/>
      </c>
      <c r="M907">
        <f>IF(OR(K907="",K907=A907,A907=""),"",K907&amp;"|"&amp;L907)</f>
        <v/>
      </c>
      <c r="N907">
        <f>IF(M907="","",IF(ISNUMBER(B907),B907,IFERROR(_xlfn.NUMBERVALUE(B907,".",","),0)))</f>
        <v/>
      </c>
      <c r="O907">
        <f>IF(M907="","",IF(ISNUMBER(C907),C907,IFERROR(_xlfn.NUMBERVALUE(C907,".",","),0)))</f>
        <v/>
      </c>
    </row>
    <row r="908">
      <c r="K908">
        <f>IF(OR(LEFT(B908,9)="DOANH THU",LEFT(B908,8)="SỐ LƯỢNG"),A908,IF(A908="","",K907))</f>
        <v/>
      </c>
      <c r="L908">
        <f>IF(A908="","",IF(ISNUMBER(--LEFT(A908,FIND(" - ",A908&amp;" - ")-1)),LEFT(A908,FIND(" - ",A908&amp;" - ")-1),TRIM(A908)))</f>
        <v/>
      </c>
      <c r="M908">
        <f>IF(OR(K908="",K908=A908,A908=""),"",K908&amp;"|"&amp;L908)</f>
        <v/>
      </c>
      <c r="N908">
        <f>IF(M908="","",IF(ISNUMBER(B908),B908,IFERROR(_xlfn.NUMBERVALUE(B908,".",","),0)))</f>
        <v/>
      </c>
      <c r="O908">
        <f>IF(M908="","",IF(ISNUMBER(C908),C908,IFERROR(_xlfn.NUMBERVALUE(C908,".",","),0)))</f>
        <v/>
      </c>
    </row>
    <row r="909">
      <c r="K909">
        <f>IF(OR(LEFT(B909,9)="DOANH THU",LEFT(B909,8)="SỐ LƯỢNG"),A909,IF(A909="","",K908))</f>
        <v/>
      </c>
      <c r="L909">
        <f>IF(A909="","",IF(ISNUMBER(--LEFT(A909,FIND(" - ",A909&amp;" - ")-1)),LEFT(A909,FIND(" - ",A909&amp;" - ")-1),TRIM(A909)))</f>
        <v/>
      </c>
      <c r="M909">
        <f>IF(OR(K909="",K909=A909,A909=""),"",K909&amp;"|"&amp;L909)</f>
        <v/>
      </c>
      <c r="N909">
        <f>IF(M909="","",IF(ISNUMBER(B909),B909,IFERROR(_xlfn.NUMBERVALUE(B909,".",","),0)))</f>
        <v/>
      </c>
      <c r="O909">
        <f>IF(M909="","",IF(ISNUMBER(C909),C909,IFERROR(_xlfn.NUMBERVALUE(C909,".",","),0)))</f>
        <v/>
      </c>
    </row>
    <row r="910">
      <c r="K910">
        <f>IF(OR(LEFT(B910,9)="DOANH THU",LEFT(B910,8)="SỐ LƯỢNG"),A910,IF(A910="","",K909))</f>
        <v/>
      </c>
      <c r="L910">
        <f>IF(A910="","",IF(ISNUMBER(--LEFT(A910,FIND(" - ",A910&amp;" - ")-1)),LEFT(A910,FIND(" - ",A910&amp;" - ")-1),TRIM(A910)))</f>
        <v/>
      </c>
      <c r="M910">
        <f>IF(OR(K910="",K910=A910,A910=""),"",K910&amp;"|"&amp;L910)</f>
        <v/>
      </c>
      <c r="N910">
        <f>IF(M910="","",IF(ISNUMBER(B910),B910,IFERROR(_xlfn.NUMBERVALUE(B910,".",","),0)))</f>
        <v/>
      </c>
      <c r="O910">
        <f>IF(M910="","",IF(ISNUMBER(C910),C910,IFERROR(_xlfn.NUMBERVALUE(C910,".",","),0)))</f>
        <v/>
      </c>
    </row>
    <row r="911">
      <c r="K911">
        <f>IF(OR(LEFT(B911,9)="DOANH THU",LEFT(B911,8)="SỐ LƯỢNG"),A911,IF(A911="","",K910))</f>
        <v/>
      </c>
      <c r="L911">
        <f>IF(A911="","",IF(ISNUMBER(--LEFT(A911,FIND(" - ",A911&amp;" - ")-1)),LEFT(A911,FIND(" - ",A911&amp;" - ")-1),TRIM(A911)))</f>
        <v/>
      </c>
      <c r="M911">
        <f>IF(OR(K911="",K911=A911,A911=""),"",K911&amp;"|"&amp;L911)</f>
        <v/>
      </c>
      <c r="N911">
        <f>IF(M911="","",IF(ISNUMBER(B911),B911,IFERROR(_xlfn.NUMBERVALUE(B911,".",","),0)))</f>
        <v/>
      </c>
      <c r="O911">
        <f>IF(M911="","",IF(ISNUMBER(C911),C911,IFERROR(_xlfn.NUMBERVALUE(C911,".",","),0)))</f>
        <v/>
      </c>
    </row>
    <row r="912">
      <c r="K912">
        <f>IF(OR(LEFT(B912,9)="DOANH THU",LEFT(B912,8)="SỐ LƯỢNG"),A912,IF(A912="","",K911))</f>
        <v/>
      </c>
      <c r="L912">
        <f>IF(A912="","",IF(ISNUMBER(--LEFT(A912,FIND(" - ",A912&amp;" - ")-1)),LEFT(A912,FIND(" - ",A912&amp;" - ")-1),TRIM(A912)))</f>
        <v/>
      </c>
      <c r="M912">
        <f>IF(OR(K912="",K912=A912,A912=""),"",K912&amp;"|"&amp;L912)</f>
        <v/>
      </c>
      <c r="N912">
        <f>IF(M912="","",IF(ISNUMBER(B912),B912,IFERROR(_xlfn.NUMBERVALUE(B912,".",","),0)))</f>
        <v/>
      </c>
      <c r="O912">
        <f>IF(M912="","",IF(ISNUMBER(C912),C912,IFERROR(_xlfn.NUMBERVALUE(C912,".",","),0)))</f>
        <v/>
      </c>
    </row>
    <row r="913">
      <c r="K913">
        <f>IF(OR(LEFT(B913,9)="DOANH THU",LEFT(B913,8)="SỐ LƯỢNG"),A913,IF(A913="","",K912))</f>
        <v/>
      </c>
      <c r="L913">
        <f>IF(A913="","",IF(ISNUMBER(--LEFT(A913,FIND(" - ",A913&amp;" - ")-1)),LEFT(A913,FIND(" - ",A913&amp;" - ")-1),TRIM(A913)))</f>
        <v/>
      </c>
      <c r="M913">
        <f>IF(OR(K913="",K913=A913,A913=""),"",K913&amp;"|"&amp;L913)</f>
        <v/>
      </c>
      <c r="N913">
        <f>IF(M913="","",IF(ISNUMBER(B913),B913,IFERROR(_xlfn.NUMBERVALUE(B913,".",","),0)))</f>
        <v/>
      </c>
      <c r="O913">
        <f>IF(M913="","",IF(ISNUMBER(C913),C913,IFERROR(_xlfn.NUMBERVALUE(C913,".",","),0)))</f>
        <v/>
      </c>
    </row>
    <row r="914">
      <c r="K914">
        <f>IF(OR(LEFT(B914,9)="DOANH THU",LEFT(B914,8)="SỐ LƯỢNG"),A914,IF(A914="","",K913))</f>
        <v/>
      </c>
      <c r="L914">
        <f>IF(A914="","",IF(ISNUMBER(--LEFT(A914,FIND(" - ",A914&amp;" - ")-1)),LEFT(A914,FIND(" - ",A914&amp;" - ")-1),TRIM(A914)))</f>
        <v/>
      </c>
      <c r="M914">
        <f>IF(OR(K914="",K914=A914,A914=""),"",K914&amp;"|"&amp;L914)</f>
        <v/>
      </c>
      <c r="N914">
        <f>IF(M914="","",IF(ISNUMBER(B914),B914,IFERROR(_xlfn.NUMBERVALUE(B914,".",","),0)))</f>
        <v/>
      </c>
      <c r="O914">
        <f>IF(M914="","",IF(ISNUMBER(C914),C914,IFERROR(_xlfn.NUMBERVALUE(C914,".",","),0)))</f>
        <v/>
      </c>
    </row>
    <row r="915">
      <c r="K915">
        <f>IF(OR(LEFT(B915,9)="DOANH THU",LEFT(B915,8)="SỐ LƯỢNG"),A915,IF(A915="","",K914))</f>
        <v/>
      </c>
      <c r="L915">
        <f>IF(A915="","",IF(ISNUMBER(--LEFT(A915,FIND(" - ",A915&amp;" - ")-1)),LEFT(A915,FIND(" - ",A915&amp;" - ")-1),TRIM(A915)))</f>
        <v/>
      </c>
      <c r="M915">
        <f>IF(OR(K915="",K915=A915,A915=""),"",K915&amp;"|"&amp;L915)</f>
        <v/>
      </c>
      <c r="N915">
        <f>IF(M915="","",IF(ISNUMBER(B915),B915,IFERROR(_xlfn.NUMBERVALUE(B915,".",","),0)))</f>
        <v/>
      </c>
      <c r="O915">
        <f>IF(M915="","",IF(ISNUMBER(C915),C915,IFERROR(_xlfn.NUMBERVALUE(C915,".",","),0)))</f>
        <v/>
      </c>
    </row>
    <row r="916">
      <c r="K916">
        <f>IF(OR(LEFT(B916,9)="DOANH THU",LEFT(B916,8)="SỐ LƯỢNG"),A916,IF(A916="","",K915))</f>
        <v/>
      </c>
      <c r="L916">
        <f>IF(A916="","",IF(ISNUMBER(--LEFT(A916,FIND(" - ",A916&amp;" - ")-1)),LEFT(A916,FIND(" - ",A916&amp;" - ")-1),TRIM(A916)))</f>
        <v/>
      </c>
      <c r="M916">
        <f>IF(OR(K916="",K916=A916,A916=""),"",K916&amp;"|"&amp;L916)</f>
        <v/>
      </c>
      <c r="N916">
        <f>IF(M916="","",IF(ISNUMBER(B916),B916,IFERROR(_xlfn.NUMBERVALUE(B916,".",","),0)))</f>
        <v/>
      </c>
      <c r="O916">
        <f>IF(M916="","",IF(ISNUMBER(C916),C916,IFERROR(_xlfn.NUMBERVALUE(C916,".",","),0)))</f>
        <v/>
      </c>
    </row>
    <row r="917">
      <c r="K917">
        <f>IF(OR(LEFT(B917,9)="DOANH THU",LEFT(B917,8)="SỐ LƯỢNG"),A917,IF(A917="","",K916))</f>
        <v/>
      </c>
      <c r="L917">
        <f>IF(A917="","",IF(ISNUMBER(--LEFT(A917,FIND(" - ",A917&amp;" - ")-1)),LEFT(A917,FIND(" - ",A917&amp;" - ")-1),TRIM(A917)))</f>
        <v/>
      </c>
      <c r="M917">
        <f>IF(OR(K917="",K917=A917,A917=""),"",K917&amp;"|"&amp;L917)</f>
        <v/>
      </c>
      <c r="N917">
        <f>IF(M917="","",IF(ISNUMBER(B917),B917,IFERROR(_xlfn.NUMBERVALUE(B917,".",","),0)))</f>
        <v/>
      </c>
      <c r="O917">
        <f>IF(M917="","",IF(ISNUMBER(C917),C917,IFERROR(_xlfn.NUMBERVALUE(C917,".",","),0)))</f>
        <v/>
      </c>
    </row>
    <row r="918">
      <c r="K918">
        <f>IF(OR(LEFT(B918,9)="DOANH THU",LEFT(B918,8)="SỐ LƯỢNG"),A918,IF(A918="","",K917))</f>
        <v/>
      </c>
      <c r="L918">
        <f>IF(A918="","",IF(ISNUMBER(--LEFT(A918,FIND(" - ",A918&amp;" - ")-1)),LEFT(A918,FIND(" - ",A918&amp;" - ")-1),TRIM(A918)))</f>
        <v/>
      </c>
      <c r="M918">
        <f>IF(OR(K918="",K918=A918,A918=""),"",K918&amp;"|"&amp;L918)</f>
        <v/>
      </c>
      <c r="N918">
        <f>IF(M918="","",IF(ISNUMBER(B918),B918,IFERROR(_xlfn.NUMBERVALUE(B918,".",","),0)))</f>
        <v/>
      </c>
      <c r="O918">
        <f>IF(M918="","",IF(ISNUMBER(C918),C918,IFERROR(_xlfn.NUMBERVALUE(C918,".",","),0)))</f>
        <v/>
      </c>
    </row>
    <row r="919">
      <c r="K919">
        <f>IF(OR(LEFT(B919,9)="DOANH THU",LEFT(B919,8)="SỐ LƯỢNG"),A919,IF(A919="","",K918))</f>
        <v/>
      </c>
      <c r="L919">
        <f>IF(A919="","",IF(ISNUMBER(--LEFT(A919,FIND(" - ",A919&amp;" - ")-1)),LEFT(A919,FIND(" - ",A919&amp;" - ")-1),TRIM(A919)))</f>
        <v/>
      </c>
      <c r="M919">
        <f>IF(OR(K919="",K919=A919,A919=""),"",K919&amp;"|"&amp;L919)</f>
        <v/>
      </c>
      <c r="N919">
        <f>IF(M919="","",IF(ISNUMBER(B919),B919,IFERROR(_xlfn.NUMBERVALUE(B919,".",","),0)))</f>
        <v/>
      </c>
      <c r="O919">
        <f>IF(M919="","",IF(ISNUMBER(C919),C919,IFERROR(_xlfn.NUMBERVALUE(C919,".",","),0)))</f>
        <v/>
      </c>
    </row>
    <row r="920">
      <c r="K920">
        <f>IF(OR(LEFT(B920,9)="DOANH THU",LEFT(B920,8)="SỐ LƯỢNG"),A920,IF(A920="","",K919))</f>
        <v/>
      </c>
      <c r="L920">
        <f>IF(A920="","",IF(ISNUMBER(--LEFT(A920,FIND(" - ",A920&amp;" - ")-1)),LEFT(A920,FIND(" - ",A920&amp;" - ")-1),TRIM(A920)))</f>
        <v/>
      </c>
      <c r="M920">
        <f>IF(OR(K920="",K920=A920,A920=""),"",K920&amp;"|"&amp;L920)</f>
        <v/>
      </c>
      <c r="N920">
        <f>IF(M920="","",IF(ISNUMBER(B920),B920,IFERROR(_xlfn.NUMBERVALUE(B920,".",","),0)))</f>
        <v/>
      </c>
      <c r="O920">
        <f>IF(M920="","",IF(ISNUMBER(C920),C920,IFERROR(_xlfn.NUMBERVALUE(C920,".",","),0)))</f>
        <v/>
      </c>
    </row>
    <row r="921">
      <c r="K921">
        <f>IF(OR(LEFT(B921,9)="DOANH THU",LEFT(B921,8)="SỐ LƯỢNG"),A921,IF(A921="","",K920))</f>
        <v/>
      </c>
      <c r="L921">
        <f>IF(A921="","",IF(ISNUMBER(--LEFT(A921,FIND(" - ",A921&amp;" - ")-1)),LEFT(A921,FIND(" - ",A921&amp;" - ")-1),TRIM(A921)))</f>
        <v/>
      </c>
      <c r="M921">
        <f>IF(OR(K921="",K921=A921,A921=""),"",K921&amp;"|"&amp;L921)</f>
        <v/>
      </c>
      <c r="N921">
        <f>IF(M921="","",IF(ISNUMBER(B921),B921,IFERROR(_xlfn.NUMBERVALUE(B921,".",","),0)))</f>
        <v/>
      </c>
      <c r="O921">
        <f>IF(M921="","",IF(ISNUMBER(C921),C921,IFERROR(_xlfn.NUMBERVALUE(C921,".",","),0)))</f>
        <v/>
      </c>
    </row>
    <row r="922">
      <c r="K922">
        <f>IF(OR(LEFT(B922,9)="DOANH THU",LEFT(B922,8)="SỐ LƯỢNG"),A922,IF(A922="","",K921))</f>
        <v/>
      </c>
      <c r="L922">
        <f>IF(A922="","",IF(ISNUMBER(--LEFT(A922,FIND(" - ",A922&amp;" - ")-1)),LEFT(A922,FIND(" - ",A922&amp;" - ")-1),TRIM(A922)))</f>
        <v/>
      </c>
      <c r="M922">
        <f>IF(OR(K922="",K922=A922,A922=""),"",K922&amp;"|"&amp;L922)</f>
        <v/>
      </c>
      <c r="N922">
        <f>IF(M922="","",IF(ISNUMBER(B922),B922,IFERROR(_xlfn.NUMBERVALUE(B922,".",","),0)))</f>
        <v/>
      </c>
      <c r="O922">
        <f>IF(M922="","",IF(ISNUMBER(C922),C922,IFERROR(_xlfn.NUMBERVALUE(C922,".",","),0)))</f>
        <v/>
      </c>
    </row>
    <row r="923">
      <c r="K923">
        <f>IF(OR(LEFT(B923,9)="DOANH THU",LEFT(B923,8)="SỐ LƯỢNG"),A923,IF(A923="","",K922))</f>
        <v/>
      </c>
      <c r="L923">
        <f>IF(A923="","",IF(ISNUMBER(--LEFT(A923,FIND(" - ",A923&amp;" - ")-1)),LEFT(A923,FIND(" - ",A923&amp;" - ")-1),TRIM(A923)))</f>
        <v/>
      </c>
      <c r="M923">
        <f>IF(OR(K923="",K923=A923,A923=""),"",K923&amp;"|"&amp;L923)</f>
        <v/>
      </c>
      <c r="N923">
        <f>IF(M923="","",IF(ISNUMBER(B923),B923,IFERROR(_xlfn.NUMBERVALUE(B923,".",","),0)))</f>
        <v/>
      </c>
      <c r="O923">
        <f>IF(M923="","",IF(ISNUMBER(C923),C923,IFERROR(_xlfn.NUMBERVALUE(C923,".",","),0)))</f>
        <v/>
      </c>
    </row>
    <row r="924">
      <c r="K924">
        <f>IF(OR(LEFT(B924,9)="DOANH THU",LEFT(B924,8)="SỐ LƯỢNG"),A924,IF(A924="","",K923))</f>
        <v/>
      </c>
      <c r="L924">
        <f>IF(A924="","",IF(ISNUMBER(--LEFT(A924,FIND(" - ",A924&amp;" - ")-1)),LEFT(A924,FIND(" - ",A924&amp;" - ")-1),TRIM(A924)))</f>
        <v/>
      </c>
      <c r="M924">
        <f>IF(OR(K924="",K924=A924,A924=""),"",K924&amp;"|"&amp;L924)</f>
        <v/>
      </c>
      <c r="N924">
        <f>IF(M924="","",IF(ISNUMBER(B924),B924,IFERROR(_xlfn.NUMBERVALUE(B924,".",","),0)))</f>
        <v/>
      </c>
      <c r="O924">
        <f>IF(M924="","",IF(ISNUMBER(C924),C924,IFERROR(_xlfn.NUMBERVALUE(C924,".",","),0)))</f>
        <v/>
      </c>
    </row>
    <row r="925">
      <c r="K925">
        <f>IF(OR(LEFT(B925,9)="DOANH THU",LEFT(B925,8)="SỐ LƯỢNG"),A925,IF(A925="","",K924))</f>
        <v/>
      </c>
      <c r="L925">
        <f>IF(A925="","",IF(ISNUMBER(--LEFT(A925,FIND(" - ",A925&amp;" - ")-1)),LEFT(A925,FIND(" - ",A925&amp;" - ")-1),TRIM(A925)))</f>
        <v/>
      </c>
      <c r="M925">
        <f>IF(OR(K925="",K925=A925,A925=""),"",K925&amp;"|"&amp;L925)</f>
        <v/>
      </c>
      <c r="N925">
        <f>IF(M925="","",IF(ISNUMBER(B925),B925,IFERROR(_xlfn.NUMBERVALUE(B925,".",","),0)))</f>
        <v/>
      </c>
      <c r="O925">
        <f>IF(M925="","",IF(ISNUMBER(C925),C925,IFERROR(_xlfn.NUMBERVALUE(C925,".",","),0)))</f>
        <v/>
      </c>
    </row>
    <row r="926">
      <c r="K926">
        <f>IF(OR(LEFT(B926,9)="DOANH THU",LEFT(B926,8)="SỐ LƯỢNG"),A926,IF(A926="","",K925))</f>
        <v/>
      </c>
      <c r="L926">
        <f>IF(A926="","",IF(ISNUMBER(--LEFT(A926,FIND(" - ",A926&amp;" - ")-1)),LEFT(A926,FIND(" - ",A926&amp;" - ")-1),TRIM(A926)))</f>
        <v/>
      </c>
      <c r="M926">
        <f>IF(OR(K926="",K926=A926,A926=""),"",K926&amp;"|"&amp;L926)</f>
        <v/>
      </c>
      <c r="N926">
        <f>IF(M926="","",IF(ISNUMBER(B926),B926,IFERROR(_xlfn.NUMBERVALUE(B926,".",","),0)))</f>
        <v/>
      </c>
      <c r="O926">
        <f>IF(M926="","",IF(ISNUMBER(C926),C926,IFERROR(_xlfn.NUMBERVALUE(C926,".",","),0)))</f>
        <v/>
      </c>
    </row>
    <row r="927">
      <c r="K927">
        <f>IF(OR(LEFT(B927,9)="DOANH THU",LEFT(B927,8)="SỐ LƯỢNG"),A927,IF(A927="","",K926))</f>
        <v/>
      </c>
      <c r="L927">
        <f>IF(A927="","",IF(ISNUMBER(--LEFT(A927,FIND(" - ",A927&amp;" - ")-1)),LEFT(A927,FIND(" - ",A927&amp;" - ")-1),TRIM(A927)))</f>
        <v/>
      </c>
      <c r="M927">
        <f>IF(OR(K927="",K927=A927,A927=""),"",K927&amp;"|"&amp;L927)</f>
        <v/>
      </c>
      <c r="N927">
        <f>IF(M927="","",IF(ISNUMBER(B927),B927,IFERROR(_xlfn.NUMBERVALUE(B927,".",","),0)))</f>
        <v/>
      </c>
      <c r="O927">
        <f>IF(M927="","",IF(ISNUMBER(C927),C927,IFERROR(_xlfn.NUMBERVALUE(C927,".",","),0)))</f>
        <v/>
      </c>
    </row>
    <row r="928">
      <c r="K928">
        <f>IF(OR(LEFT(B928,9)="DOANH THU",LEFT(B928,8)="SỐ LƯỢNG"),A928,IF(A928="","",K927))</f>
        <v/>
      </c>
      <c r="L928">
        <f>IF(A928="","",IF(ISNUMBER(--LEFT(A928,FIND(" - ",A928&amp;" - ")-1)),LEFT(A928,FIND(" - ",A928&amp;" - ")-1),TRIM(A928)))</f>
        <v/>
      </c>
      <c r="M928">
        <f>IF(OR(K928="",K928=A928,A928=""),"",K928&amp;"|"&amp;L928)</f>
        <v/>
      </c>
      <c r="N928">
        <f>IF(M928="","",IF(ISNUMBER(B928),B928,IFERROR(_xlfn.NUMBERVALUE(B928,".",","),0)))</f>
        <v/>
      </c>
      <c r="O928">
        <f>IF(M928="","",IF(ISNUMBER(C928),C928,IFERROR(_xlfn.NUMBERVALUE(C928,".",","),0)))</f>
        <v/>
      </c>
    </row>
    <row r="929">
      <c r="K929">
        <f>IF(OR(LEFT(B929,9)="DOANH THU",LEFT(B929,8)="SỐ LƯỢNG"),A929,IF(A929="","",K928))</f>
        <v/>
      </c>
      <c r="L929">
        <f>IF(A929="","",IF(ISNUMBER(--LEFT(A929,FIND(" - ",A929&amp;" - ")-1)),LEFT(A929,FIND(" - ",A929&amp;" - ")-1),TRIM(A929)))</f>
        <v/>
      </c>
      <c r="M929">
        <f>IF(OR(K929="",K929=A929,A929=""),"",K929&amp;"|"&amp;L929)</f>
        <v/>
      </c>
      <c r="N929">
        <f>IF(M929="","",IF(ISNUMBER(B929),B929,IFERROR(_xlfn.NUMBERVALUE(B929,".",","),0)))</f>
        <v/>
      </c>
      <c r="O929">
        <f>IF(M929="","",IF(ISNUMBER(C929),C929,IFERROR(_xlfn.NUMBERVALUE(C929,".",","),0)))</f>
        <v/>
      </c>
    </row>
    <row r="930">
      <c r="K930">
        <f>IF(OR(LEFT(B930,9)="DOANH THU",LEFT(B930,8)="SỐ LƯỢNG"),A930,IF(A930="","",K929))</f>
        <v/>
      </c>
      <c r="L930">
        <f>IF(A930="","",IF(ISNUMBER(--LEFT(A930,FIND(" - ",A930&amp;" - ")-1)),LEFT(A930,FIND(" - ",A930&amp;" - ")-1),TRIM(A930)))</f>
        <v/>
      </c>
      <c r="M930">
        <f>IF(OR(K930="",K930=A930,A930=""),"",K930&amp;"|"&amp;L930)</f>
        <v/>
      </c>
      <c r="N930">
        <f>IF(M930="","",IF(ISNUMBER(B930),B930,IFERROR(_xlfn.NUMBERVALUE(B930,".",","),0)))</f>
        <v/>
      </c>
      <c r="O930">
        <f>IF(M930="","",IF(ISNUMBER(C930),C930,IFERROR(_xlfn.NUMBERVALUE(C930,".",","),0)))</f>
        <v/>
      </c>
    </row>
    <row r="931">
      <c r="K931">
        <f>IF(OR(LEFT(B931,9)="DOANH THU",LEFT(B931,8)="SỐ LƯỢNG"),A931,IF(A931="","",K930))</f>
        <v/>
      </c>
      <c r="L931">
        <f>IF(A931="","",IF(ISNUMBER(--LEFT(A931,FIND(" - ",A931&amp;" - ")-1)),LEFT(A931,FIND(" - ",A931&amp;" - ")-1),TRIM(A931)))</f>
        <v/>
      </c>
      <c r="M931">
        <f>IF(OR(K931="",K931=A931,A931=""),"",K931&amp;"|"&amp;L931)</f>
        <v/>
      </c>
      <c r="N931">
        <f>IF(M931="","",IF(ISNUMBER(B931),B931,IFERROR(_xlfn.NUMBERVALUE(B931,".",","),0)))</f>
        <v/>
      </c>
      <c r="O931">
        <f>IF(M931="","",IF(ISNUMBER(C931),C931,IFERROR(_xlfn.NUMBERVALUE(C931,".",","),0)))</f>
        <v/>
      </c>
    </row>
    <row r="932">
      <c r="K932">
        <f>IF(OR(LEFT(B932,9)="DOANH THU",LEFT(B932,8)="SỐ LƯỢNG"),A932,IF(A932="","",K931))</f>
        <v/>
      </c>
      <c r="L932">
        <f>IF(A932="","",IF(ISNUMBER(--LEFT(A932,FIND(" - ",A932&amp;" - ")-1)),LEFT(A932,FIND(" - ",A932&amp;" - ")-1),TRIM(A932)))</f>
        <v/>
      </c>
      <c r="M932">
        <f>IF(OR(K932="",K932=A932,A932=""),"",K932&amp;"|"&amp;L932)</f>
        <v/>
      </c>
      <c r="N932">
        <f>IF(M932="","",IF(ISNUMBER(B932),B932,IFERROR(_xlfn.NUMBERVALUE(B932,".",","),0)))</f>
        <v/>
      </c>
      <c r="O932">
        <f>IF(M932="","",IF(ISNUMBER(C932),C932,IFERROR(_xlfn.NUMBERVALUE(C932,".",","),0)))</f>
        <v/>
      </c>
    </row>
    <row r="933">
      <c r="K933">
        <f>IF(OR(LEFT(B933,9)="DOANH THU",LEFT(B933,8)="SỐ LƯỢNG"),A933,IF(A933="","",K932))</f>
        <v/>
      </c>
      <c r="L933">
        <f>IF(A933="","",IF(ISNUMBER(--LEFT(A933,FIND(" - ",A933&amp;" - ")-1)),LEFT(A933,FIND(" - ",A933&amp;" - ")-1),TRIM(A933)))</f>
        <v/>
      </c>
      <c r="M933">
        <f>IF(OR(K933="",K933=A933,A933=""),"",K933&amp;"|"&amp;L933)</f>
        <v/>
      </c>
      <c r="N933">
        <f>IF(M933="","",IF(ISNUMBER(B933),B933,IFERROR(_xlfn.NUMBERVALUE(B933,".",","),0)))</f>
        <v/>
      </c>
      <c r="O933">
        <f>IF(M933="","",IF(ISNUMBER(C933),C933,IFERROR(_xlfn.NUMBERVALUE(C933,".",","),0)))</f>
        <v/>
      </c>
    </row>
    <row r="934">
      <c r="K934">
        <f>IF(OR(LEFT(B934,9)="DOANH THU",LEFT(B934,8)="SỐ LƯỢNG"),A934,IF(A934="","",K933))</f>
        <v/>
      </c>
      <c r="L934">
        <f>IF(A934="","",IF(ISNUMBER(--LEFT(A934,FIND(" - ",A934&amp;" - ")-1)),LEFT(A934,FIND(" - ",A934&amp;" - ")-1),TRIM(A934)))</f>
        <v/>
      </c>
      <c r="M934">
        <f>IF(OR(K934="",K934=A934,A934=""),"",K934&amp;"|"&amp;L934)</f>
        <v/>
      </c>
      <c r="N934">
        <f>IF(M934="","",IF(ISNUMBER(B934),B934,IFERROR(_xlfn.NUMBERVALUE(B934,".",","),0)))</f>
        <v/>
      </c>
      <c r="O934">
        <f>IF(M934="","",IF(ISNUMBER(C934),C934,IFERROR(_xlfn.NUMBERVALUE(C934,".",","),0)))</f>
        <v/>
      </c>
    </row>
    <row r="935">
      <c r="K935">
        <f>IF(OR(LEFT(B935,9)="DOANH THU",LEFT(B935,8)="SỐ LƯỢNG"),A935,IF(A935="","",K934))</f>
        <v/>
      </c>
      <c r="L935">
        <f>IF(A935="","",IF(ISNUMBER(--LEFT(A935,FIND(" - ",A935&amp;" - ")-1)),LEFT(A935,FIND(" - ",A935&amp;" - ")-1),TRIM(A935)))</f>
        <v/>
      </c>
      <c r="M935">
        <f>IF(OR(K935="",K935=A935,A935=""),"",K935&amp;"|"&amp;L935)</f>
        <v/>
      </c>
      <c r="N935">
        <f>IF(M935="","",IF(ISNUMBER(B935),B935,IFERROR(_xlfn.NUMBERVALUE(B935,".",","),0)))</f>
        <v/>
      </c>
      <c r="O935">
        <f>IF(M935="","",IF(ISNUMBER(C935),C935,IFERROR(_xlfn.NUMBERVALUE(C935,".",","),0)))</f>
        <v/>
      </c>
    </row>
    <row r="936">
      <c r="K936">
        <f>IF(OR(LEFT(B936,9)="DOANH THU",LEFT(B936,8)="SỐ LƯỢNG"),A936,IF(A936="","",K935))</f>
        <v/>
      </c>
      <c r="L936">
        <f>IF(A936="","",IF(ISNUMBER(--LEFT(A936,FIND(" - ",A936&amp;" - ")-1)),LEFT(A936,FIND(" - ",A936&amp;" - ")-1),TRIM(A936)))</f>
        <v/>
      </c>
      <c r="M936">
        <f>IF(OR(K936="",K936=A936,A936=""),"",K936&amp;"|"&amp;L936)</f>
        <v/>
      </c>
      <c r="N936">
        <f>IF(M936="","",IF(ISNUMBER(B936),B936,IFERROR(_xlfn.NUMBERVALUE(B936,".",","),0)))</f>
        <v/>
      </c>
      <c r="O936">
        <f>IF(M936="","",IF(ISNUMBER(C936),C936,IFERROR(_xlfn.NUMBERVALUE(C936,".",","),0)))</f>
        <v/>
      </c>
    </row>
    <row r="937">
      <c r="K937">
        <f>IF(OR(LEFT(B937,9)="DOANH THU",LEFT(B937,8)="SỐ LƯỢNG"),A937,IF(A937="","",K936))</f>
        <v/>
      </c>
      <c r="L937">
        <f>IF(A937="","",IF(ISNUMBER(--LEFT(A937,FIND(" - ",A937&amp;" - ")-1)),LEFT(A937,FIND(" - ",A937&amp;" - ")-1),TRIM(A937)))</f>
        <v/>
      </c>
      <c r="M937">
        <f>IF(OR(K937="",K937=A937,A937=""),"",K937&amp;"|"&amp;L937)</f>
        <v/>
      </c>
      <c r="N937">
        <f>IF(M937="","",IF(ISNUMBER(B937),B937,IFERROR(_xlfn.NUMBERVALUE(B937,".",","),0)))</f>
        <v/>
      </c>
      <c r="O937">
        <f>IF(M937="","",IF(ISNUMBER(C937),C937,IFERROR(_xlfn.NUMBERVALUE(C937,".",","),0)))</f>
        <v/>
      </c>
    </row>
    <row r="938">
      <c r="K938">
        <f>IF(OR(LEFT(B938,9)="DOANH THU",LEFT(B938,8)="SỐ LƯỢNG"),A938,IF(A938="","",K937))</f>
        <v/>
      </c>
      <c r="L938">
        <f>IF(A938="","",IF(ISNUMBER(--LEFT(A938,FIND(" - ",A938&amp;" - ")-1)),LEFT(A938,FIND(" - ",A938&amp;" - ")-1),TRIM(A938)))</f>
        <v/>
      </c>
      <c r="M938">
        <f>IF(OR(K938="",K938=A938,A938=""),"",K938&amp;"|"&amp;L938)</f>
        <v/>
      </c>
      <c r="N938">
        <f>IF(M938="","",IF(ISNUMBER(B938),B938,IFERROR(_xlfn.NUMBERVALUE(B938,".",","),0)))</f>
        <v/>
      </c>
      <c r="O938">
        <f>IF(M938="","",IF(ISNUMBER(C938),C938,IFERROR(_xlfn.NUMBERVALUE(C938,".",","),0)))</f>
        <v/>
      </c>
    </row>
    <row r="939">
      <c r="K939">
        <f>IF(OR(LEFT(B939,9)="DOANH THU",LEFT(B939,8)="SỐ LƯỢNG"),A939,IF(A939="","",K938))</f>
        <v/>
      </c>
      <c r="L939">
        <f>IF(A939="","",IF(ISNUMBER(--LEFT(A939,FIND(" - ",A939&amp;" - ")-1)),LEFT(A939,FIND(" - ",A939&amp;" - ")-1),TRIM(A939)))</f>
        <v/>
      </c>
      <c r="M939">
        <f>IF(OR(K939="",K939=A939,A939=""),"",K939&amp;"|"&amp;L939)</f>
        <v/>
      </c>
      <c r="N939">
        <f>IF(M939="","",IF(ISNUMBER(B939),B939,IFERROR(_xlfn.NUMBERVALUE(B939,".",","),0)))</f>
        <v/>
      </c>
      <c r="O939">
        <f>IF(M939="","",IF(ISNUMBER(C939),C939,IFERROR(_xlfn.NUMBERVALUE(C939,".",","),0)))</f>
        <v/>
      </c>
    </row>
    <row r="940">
      <c r="K940">
        <f>IF(OR(LEFT(B940,9)="DOANH THU",LEFT(B940,8)="SỐ LƯỢNG"),A940,IF(A940="","",K939))</f>
        <v/>
      </c>
      <c r="L940">
        <f>IF(A940="","",IF(ISNUMBER(--LEFT(A940,FIND(" - ",A940&amp;" - ")-1)),LEFT(A940,FIND(" - ",A940&amp;" - ")-1),TRIM(A940)))</f>
        <v/>
      </c>
      <c r="M940">
        <f>IF(OR(K940="",K940=A940,A940=""),"",K940&amp;"|"&amp;L940)</f>
        <v/>
      </c>
      <c r="N940">
        <f>IF(M940="","",IF(ISNUMBER(B940),B940,IFERROR(_xlfn.NUMBERVALUE(B940,".",","),0)))</f>
        <v/>
      </c>
      <c r="O940">
        <f>IF(M940="","",IF(ISNUMBER(C940),C940,IFERROR(_xlfn.NUMBERVALUE(C940,".",","),0)))</f>
        <v/>
      </c>
    </row>
    <row r="941">
      <c r="K941">
        <f>IF(OR(LEFT(B941,9)="DOANH THU",LEFT(B941,8)="SỐ LƯỢNG"),A941,IF(A941="","",K940))</f>
        <v/>
      </c>
      <c r="L941">
        <f>IF(A941="","",IF(ISNUMBER(--LEFT(A941,FIND(" - ",A941&amp;" - ")-1)),LEFT(A941,FIND(" - ",A941&amp;" - ")-1),TRIM(A941)))</f>
        <v/>
      </c>
      <c r="M941">
        <f>IF(OR(K941="",K941=A941,A941=""),"",K941&amp;"|"&amp;L941)</f>
        <v/>
      </c>
      <c r="N941">
        <f>IF(M941="","",IF(ISNUMBER(B941),B941,IFERROR(_xlfn.NUMBERVALUE(B941,".",","),0)))</f>
        <v/>
      </c>
      <c r="O941">
        <f>IF(M941="","",IF(ISNUMBER(C941),C941,IFERROR(_xlfn.NUMBERVALUE(C941,".",","),0)))</f>
        <v/>
      </c>
    </row>
    <row r="942">
      <c r="K942">
        <f>IF(OR(LEFT(B942,9)="DOANH THU",LEFT(B942,8)="SỐ LƯỢNG"),A942,IF(A942="","",K941))</f>
        <v/>
      </c>
      <c r="L942">
        <f>IF(A942="","",IF(ISNUMBER(--LEFT(A942,FIND(" - ",A942&amp;" - ")-1)),LEFT(A942,FIND(" - ",A942&amp;" - ")-1),TRIM(A942)))</f>
        <v/>
      </c>
      <c r="M942">
        <f>IF(OR(K942="",K942=A942,A942=""),"",K942&amp;"|"&amp;L942)</f>
        <v/>
      </c>
      <c r="N942">
        <f>IF(M942="","",IF(ISNUMBER(B942),B942,IFERROR(_xlfn.NUMBERVALUE(B942,".",","),0)))</f>
        <v/>
      </c>
      <c r="O942">
        <f>IF(M942="","",IF(ISNUMBER(C942),C942,IFERROR(_xlfn.NUMBERVALUE(C942,".",","),0)))</f>
        <v/>
      </c>
    </row>
    <row r="943">
      <c r="K943">
        <f>IF(OR(LEFT(B943,9)="DOANH THU",LEFT(B943,8)="SỐ LƯỢNG"),A943,IF(A943="","",K942))</f>
        <v/>
      </c>
      <c r="L943">
        <f>IF(A943="","",IF(ISNUMBER(--LEFT(A943,FIND(" - ",A943&amp;" - ")-1)),LEFT(A943,FIND(" - ",A943&amp;" - ")-1),TRIM(A943)))</f>
        <v/>
      </c>
      <c r="M943">
        <f>IF(OR(K943="",K943=A943,A943=""),"",K943&amp;"|"&amp;L943)</f>
        <v/>
      </c>
      <c r="N943">
        <f>IF(M943="","",IF(ISNUMBER(B943),B943,IFERROR(_xlfn.NUMBERVALUE(B943,".",","),0)))</f>
        <v/>
      </c>
      <c r="O943">
        <f>IF(M943="","",IF(ISNUMBER(C943),C943,IFERROR(_xlfn.NUMBERVALUE(C943,".",","),0)))</f>
        <v/>
      </c>
    </row>
    <row r="944">
      <c r="K944">
        <f>IF(OR(LEFT(B944,9)="DOANH THU",LEFT(B944,8)="SỐ LƯỢNG"),A944,IF(A944="","",K943))</f>
        <v/>
      </c>
      <c r="L944">
        <f>IF(A944="","",IF(ISNUMBER(--LEFT(A944,FIND(" - ",A944&amp;" - ")-1)),LEFT(A944,FIND(" - ",A944&amp;" - ")-1),TRIM(A944)))</f>
        <v/>
      </c>
      <c r="M944">
        <f>IF(OR(K944="",K944=A944,A944=""),"",K944&amp;"|"&amp;L944)</f>
        <v/>
      </c>
      <c r="N944">
        <f>IF(M944="","",IF(ISNUMBER(B944),B944,IFERROR(_xlfn.NUMBERVALUE(B944,".",","),0)))</f>
        <v/>
      </c>
      <c r="O944">
        <f>IF(M944="","",IF(ISNUMBER(C944),C944,IFERROR(_xlfn.NUMBERVALUE(C944,".",","),0)))</f>
        <v/>
      </c>
    </row>
    <row r="945">
      <c r="K945">
        <f>IF(OR(LEFT(B945,9)="DOANH THU",LEFT(B945,8)="SỐ LƯỢNG"),A945,IF(A945="","",K944))</f>
        <v/>
      </c>
      <c r="L945">
        <f>IF(A945="","",IF(ISNUMBER(--LEFT(A945,FIND(" - ",A945&amp;" - ")-1)),LEFT(A945,FIND(" - ",A945&amp;" - ")-1),TRIM(A945)))</f>
        <v/>
      </c>
      <c r="M945">
        <f>IF(OR(K945="",K945=A945,A945=""),"",K945&amp;"|"&amp;L945)</f>
        <v/>
      </c>
      <c r="N945">
        <f>IF(M945="","",IF(ISNUMBER(B945),B945,IFERROR(_xlfn.NUMBERVALUE(B945,".",","),0)))</f>
        <v/>
      </c>
      <c r="O945">
        <f>IF(M945="","",IF(ISNUMBER(C945),C945,IFERROR(_xlfn.NUMBERVALUE(C945,".",","),0)))</f>
        <v/>
      </c>
    </row>
    <row r="946">
      <c r="K946">
        <f>IF(OR(LEFT(B946,9)="DOANH THU",LEFT(B946,8)="SỐ LƯỢNG"),A946,IF(A946="","",K945))</f>
        <v/>
      </c>
      <c r="L946">
        <f>IF(A946="","",IF(ISNUMBER(--LEFT(A946,FIND(" - ",A946&amp;" - ")-1)),LEFT(A946,FIND(" - ",A946&amp;" - ")-1),TRIM(A946)))</f>
        <v/>
      </c>
      <c r="M946">
        <f>IF(OR(K946="",K946=A946,A946=""),"",K946&amp;"|"&amp;L946)</f>
        <v/>
      </c>
      <c r="N946">
        <f>IF(M946="","",IF(ISNUMBER(B946),B946,IFERROR(_xlfn.NUMBERVALUE(B946,".",","),0)))</f>
        <v/>
      </c>
      <c r="O946">
        <f>IF(M946="","",IF(ISNUMBER(C946),C946,IFERROR(_xlfn.NUMBERVALUE(C946,".",","),0)))</f>
        <v/>
      </c>
    </row>
    <row r="947">
      <c r="K947">
        <f>IF(OR(LEFT(B947,9)="DOANH THU",LEFT(B947,8)="SỐ LƯỢNG"),A947,IF(A947="","",K946))</f>
        <v/>
      </c>
      <c r="L947">
        <f>IF(A947="","",IF(ISNUMBER(--LEFT(A947,FIND(" - ",A947&amp;" - ")-1)),LEFT(A947,FIND(" - ",A947&amp;" - ")-1),TRIM(A947)))</f>
        <v/>
      </c>
      <c r="M947">
        <f>IF(OR(K947="",K947=A947,A947=""),"",K947&amp;"|"&amp;L947)</f>
        <v/>
      </c>
      <c r="N947">
        <f>IF(M947="","",IF(ISNUMBER(B947),B947,IFERROR(_xlfn.NUMBERVALUE(B947,".",","),0)))</f>
        <v/>
      </c>
      <c r="O947">
        <f>IF(M947="","",IF(ISNUMBER(C947),C947,IFERROR(_xlfn.NUMBERVALUE(C947,".",","),0)))</f>
        <v/>
      </c>
    </row>
    <row r="948">
      <c r="K948">
        <f>IF(OR(LEFT(B948,9)="DOANH THU",LEFT(B948,8)="SỐ LƯỢNG"),A948,IF(A948="","",K947))</f>
        <v/>
      </c>
      <c r="L948">
        <f>IF(A948="","",IF(ISNUMBER(--LEFT(A948,FIND(" - ",A948&amp;" - ")-1)),LEFT(A948,FIND(" - ",A948&amp;" - ")-1),TRIM(A948)))</f>
        <v/>
      </c>
      <c r="M948">
        <f>IF(OR(K948="",K948=A948,A948=""),"",K948&amp;"|"&amp;L948)</f>
        <v/>
      </c>
      <c r="N948">
        <f>IF(M948="","",IF(ISNUMBER(B948),B948,IFERROR(_xlfn.NUMBERVALUE(B948,".",","),0)))</f>
        <v/>
      </c>
      <c r="O948">
        <f>IF(M948="","",IF(ISNUMBER(C948),C948,IFERROR(_xlfn.NUMBERVALUE(C948,".",","),0)))</f>
        <v/>
      </c>
    </row>
    <row r="949">
      <c r="K949">
        <f>IF(OR(LEFT(B949,9)="DOANH THU",LEFT(B949,8)="SỐ LƯỢNG"),A949,IF(A949="","",K948))</f>
        <v/>
      </c>
      <c r="L949">
        <f>IF(A949="","",IF(ISNUMBER(--LEFT(A949,FIND(" - ",A949&amp;" - ")-1)),LEFT(A949,FIND(" - ",A949&amp;" - ")-1),TRIM(A949)))</f>
        <v/>
      </c>
      <c r="M949">
        <f>IF(OR(K949="",K949=A949,A949=""),"",K949&amp;"|"&amp;L949)</f>
        <v/>
      </c>
      <c r="N949">
        <f>IF(M949="","",IF(ISNUMBER(B949),B949,IFERROR(_xlfn.NUMBERVALUE(B949,".",","),0)))</f>
        <v/>
      </c>
      <c r="O949">
        <f>IF(M949="","",IF(ISNUMBER(C949),C949,IFERROR(_xlfn.NUMBERVALUE(C949,".",","),0)))</f>
        <v/>
      </c>
    </row>
    <row r="950">
      <c r="K950">
        <f>IF(OR(LEFT(B950,9)="DOANH THU",LEFT(B950,8)="SỐ LƯỢNG"),A950,IF(A950="","",K949))</f>
        <v/>
      </c>
      <c r="L950">
        <f>IF(A950="","",IF(ISNUMBER(--LEFT(A950,FIND(" - ",A950&amp;" - ")-1)),LEFT(A950,FIND(" - ",A950&amp;" - ")-1),TRIM(A950)))</f>
        <v/>
      </c>
      <c r="M950">
        <f>IF(OR(K950="",K950=A950,A950=""),"",K950&amp;"|"&amp;L950)</f>
        <v/>
      </c>
      <c r="N950">
        <f>IF(M950="","",IF(ISNUMBER(B950),B950,IFERROR(_xlfn.NUMBERVALUE(B950,".",","),0)))</f>
        <v/>
      </c>
      <c r="O950">
        <f>IF(M950="","",IF(ISNUMBER(C950),C950,IFERROR(_xlfn.NUMBERVALUE(C950,".",","),0)))</f>
        <v/>
      </c>
    </row>
    <row r="951">
      <c r="K951">
        <f>IF(OR(LEFT(B951,9)="DOANH THU",LEFT(B951,8)="SỐ LƯỢNG"),A951,IF(A951="","",K950))</f>
        <v/>
      </c>
      <c r="L951">
        <f>IF(A951="","",IF(ISNUMBER(--LEFT(A951,FIND(" - ",A951&amp;" - ")-1)),LEFT(A951,FIND(" - ",A951&amp;" - ")-1),TRIM(A951)))</f>
        <v/>
      </c>
      <c r="M951">
        <f>IF(OR(K951="",K951=A951,A951=""),"",K951&amp;"|"&amp;L951)</f>
        <v/>
      </c>
      <c r="N951">
        <f>IF(M951="","",IF(ISNUMBER(B951),B951,IFERROR(_xlfn.NUMBERVALUE(B951,".",","),0)))</f>
        <v/>
      </c>
      <c r="O951">
        <f>IF(M951="","",IF(ISNUMBER(C951),C951,IFERROR(_xlfn.NUMBERVALUE(C951,".",","),0)))</f>
        <v/>
      </c>
    </row>
    <row r="952">
      <c r="K952">
        <f>IF(OR(LEFT(B952,9)="DOANH THU",LEFT(B952,8)="SỐ LƯỢNG"),A952,IF(A952="","",K951))</f>
        <v/>
      </c>
      <c r="L952">
        <f>IF(A952="","",IF(ISNUMBER(--LEFT(A952,FIND(" - ",A952&amp;" - ")-1)),LEFT(A952,FIND(" - ",A952&amp;" - ")-1),TRIM(A952)))</f>
        <v/>
      </c>
      <c r="M952">
        <f>IF(OR(K952="",K952=A952,A952=""),"",K952&amp;"|"&amp;L952)</f>
        <v/>
      </c>
      <c r="N952">
        <f>IF(M952="","",IF(ISNUMBER(B952),B952,IFERROR(_xlfn.NUMBERVALUE(B952,".",","),0)))</f>
        <v/>
      </c>
      <c r="O952">
        <f>IF(M952="","",IF(ISNUMBER(C952),C952,IFERROR(_xlfn.NUMBERVALUE(C952,".",","),0)))</f>
        <v/>
      </c>
    </row>
    <row r="953">
      <c r="K953">
        <f>IF(OR(LEFT(B953,9)="DOANH THU",LEFT(B953,8)="SỐ LƯỢNG"),A953,IF(A953="","",K952))</f>
        <v/>
      </c>
      <c r="L953">
        <f>IF(A953="","",IF(ISNUMBER(--LEFT(A953,FIND(" - ",A953&amp;" - ")-1)),LEFT(A953,FIND(" - ",A953&amp;" - ")-1),TRIM(A953)))</f>
        <v/>
      </c>
      <c r="M953">
        <f>IF(OR(K953="",K953=A953,A953=""),"",K953&amp;"|"&amp;L953)</f>
        <v/>
      </c>
      <c r="N953">
        <f>IF(M953="","",IF(ISNUMBER(B953),B953,IFERROR(_xlfn.NUMBERVALUE(B953,".",","),0)))</f>
        <v/>
      </c>
      <c r="O953">
        <f>IF(M953="","",IF(ISNUMBER(C953),C953,IFERROR(_xlfn.NUMBERVALUE(C953,".",","),0)))</f>
        <v/>
      </c>
    </row>
    <row r="954">
      <c r="K954">
        <f>IF(OR(LEFT(B954,9)="DOANH THU",LEFT(B954,8)="SỐ LƯỢNG"),A954,IF(A954="","",K953))</f>
        <v/>
      </c>
      <c r="L954">
        <f>IF(A954="","",IF(ISNUMBER(--LEFT(A954,FIND(" - ",A954&amp;" - ")-1)),LEFT(A954,FIND(" - ",A954&amp;" - ")-1),TRIM(A954)))</f>
        <v/>
      </c>
      <c r="M954">
        <f>IF(OR(K954="",K954=A954,A954=""),"",K954&amp;"|"&amp;L954)</f>
        <v/>
      </c>
      <c r="N954">
        <f>IF(M954="","",IF(ISNUMBER(B954),B954,IFERROR(_xlfn.NUMBERVALUE(B954,".",","),0)))</f>
        <v/>
      </c>
      <c r="O954">
        <f>IF(M954="","",IF(ISNUMBER(C954),C954,IFERROR(_xlfn.NUMBERVALUE(C954,".",","),0)))</f>
        <v/>
      </c>
    </row>
    <row r="955">
      <c r="K955">
        <f>IF(OR(LEFT(B955,9)="DOANH THU",LEFT(B955,8)="SỐ LƯỢNG"),A955,IF(A955="","",K954))</f>
        <v/>
      </c>
      <c r="L955">
        <f>IF(A955="","",IF(ISNUMBER(--LEFT(A955,FIND(" - ",A955&amp;" - ")-1)),LEFT(A955,FIND(" - ",A955&amp;" - ")-1),TRIM(A955)))</f>
        <v/>
      </c>
      <c r="M955">
        <f>IF(OR(K955="",K955=A955,A955=""),"",K955&amp;"|"&amp;L955)</f>
        <v/>
      </c>
      <c r="N955">
        <f>IF(M955="","",IF(ISNUMBER(B955),B955,IFERROR(_xlfn.NUMBERVALUE(B955,".",","),0)))</f>
        <v/>
      </c>
      <c r="O955">
        <f>IF(M955="","",IF(ISNUMBER(C955),C955,IFERROR(_xlfn.NUMBERVALUE(C955,".",","),0)))</f>
        <v/>
      </c>
    </row>
    <row r="956">
      <c r="K956">
        <f>IF(OR(LEFT(B956,9)="DOANH THU",LEFT(B956,8)="SỐ LƯỢNG"),A956,IF(A956="","",K955))</f>
        <v/>
      </c>
      <c r="L956">
        <f>IF(A956="","",IF(ISNUMBER(--LEFT(A956,FIND(" - ",A956&amp;" - ")-1)),LEFT(A956,FIND(" - ",A956&amp;" - ")-1),TRIM(A956)))</f>
        <v/>
      </c>
      <c r="M956">
        <f>IF(OR(K956="",K956=A956,A956=""),"",K956&amp;"|"&amp;L956)</f>
        <v/>
      </c>
      <c r="N956">
        <f>IF(M956="","",IF(ISNUMBER(B956),B956,IFERROR(_xlfn.NUMBERVALUE(B956,".",","),0)))</f>
        <v/>
      </c>
      <c r="O956">
        <f>IF(M956="","",IF(ISNUMBER(C956),C956,IFERROR(_xlfn.NUMBERVALUE(C956,".",","),0)))</f>
        <v/>
      </c>
    </row>
    <row r="957">
      <c r="K957">
        <f>IF(OR(LEFT(B957,9)="DOANH THU",LEFT(B957,8)="SỐ LƯỢNG"),A957,IF(A957="","",K956))</f>
        <v/>
      </c>
      <c r="L957">
        <f>IF(A957="","",IF(ISNUMBER(--LEFT(A957,FIND(" - ",A957&amp;" - ")-1)),LEFT(A957,FIND(" - ",A957&amp;" - ")-1),TRIM(A957)))</f>
        <v/>
      </c>
      <c r="M957">
        <f>IF(OR(K957="",K957=A957,A957=""),"",K957&amp;"|"&amp;L957)</f>
        <v/>
      </c>
      <c r="N957">
        <f>IF(M957="","",IF(ISNUMBER(B957),B957,IFERROR(_xlfn.NUMBERVALUE(B957,".",","),0)))</f>
        <v/>
      </c>
      <c r="O957">
        <f>IF(M957="","",IF(ISNUMBER(C957),C957,IFERROR(_xlfn.NUMBERVALUE(C957,".",","),0)))</f>
        <v/>
      </c>
    </row>
    <row r="958">
      <c r="K958">
        <f>IF(OR(LEFT(B958,9)="DOANH THU",LEFT(B958,8)="SỐ LƯỢNG"),A958,IF(A958="","",K957))</f>
        <v/>
      </c>
      <c r="L958">
        <f>IF(A958="","",IF(ISNUMBER(--LEFT(A958,FIND(" - ",A958&amp;" - ")-1)),LEFT(A958,FIND(" - ",A958&amp;" - ")-1),TRIM(A958)))</f>
        <v/>
      </c>
      <c r="M958">
        <f>IF(OR(K958="",K958=A958,A958=""),"",K958&amp;"|"&amp;L958)</f>
        <v/>
      </c>
      <c r="N958">
        <f>IF(M958="","",IF(ISNUMBER(B958),B958,IFERROR(_xlfn.NUMBERVALUE(B958,".",","),0)))</f>
        <v/>
      </c>
      <c r="O958">
        <f>IF(M958="","",IF(ISNUMBER(C958),C958,IFERROR(_xlfn.NUMBERVALUE(C958,".",","),0)))</f>
        <v/>
      </c>
    </row>
    <row r="959">
      <c r="K959">
        <f>IF(OR(LEFT(B959,9)="DOANH THU",LEFT(B959,8)="SỐ LƯỢNG"),A959,IF(A959="","",K958))</f>
        <v/>
      </c>
      <c r="L959">
        <f>IF(A959="","",IF(ISNUMBER(--LEFT(A959,FIND(" - ",A959&amp;" - ")-1)),LEFT(A959,FIND(" - ",A959&amp;" - ")-1),TRIM(A959)))</f>
        <v/>
      </c>
      <c r="M959">
        <f>IF(OR(K959="",K959=A959,A959=""),"",K959&amp;"|"&amp;L959)</f>
        <v/>
      </c>
      <c r="N959">
        <f>IF(M959="","",IF(ISNUMBER(B959),B959,IFERROR(_xlfn.NUMBERVALUE(B959,".",","),0)))</f>
        <v/>
      </c>
      <c r="O959">
        <f>IF(M959="","",IF(ISNUMBER(C959),C959,IFERROR(_xlfn.NUMBERVALUE(C959,".",","),0)))</f>
        <v/>
      </c>
    </row>
    <row r="960">
      <c r="K960">
        <f>IF(OR(LEFT(B960,9)="DOANH THU",LEFT(B960,8)="SỐ LƯỢNG"),A960,IF(A960="","",K959))</f>
        <v/>
      </c>
      <c r="L960">
        <f>IF(A960="","",IF(ISNUMBER(--LEFT(A960,FIND(" - ",A960&amp;" - ")-1)),LEFT(A960,FIND(" - ",A960&amp;" - ")-1),TRIM(A960)))</f>
        <v/>
      </c>
      <c r="M960">
        <f>IF(OR(K960="",K960=A960,A960=""),"",K960&amp;"|"&amp;L960)</f>
        <v/>
      </c>
      <c r="N960">
        <f>IF(M960="","",IF(ISNUMBER(B960),B960,IFERROR(_xlfn.NUMBERVALUE(B960,".",","),0)))</f>
        <v/>
      </c>
      <c r="O960">
        <f>IF(M960="","",IF(ISNUMBER(C960),C960,IFERROR(_xlfn.NUMBERVALUE(C960,".",","),0)))</f>
        <v/>
      </c>
    </row>
    <row r="961">
      <c r="K961">
        <f>IF(OR(LEFT(B961,9)="DOANH THU",LEFT(B961,8)="SỐ LƯỢNG"),A961,IF(A961="","",K960))</f>
        <v/>
      </c>
      <c r="L961">
        <f>IF(A961="","",IF(ISNUMBER(--LEFT(A961,FIND(" - ",A961&amp;" - ")-1)),LEFT(A961,FIND(" - ",A961&amp;" - ")-1),TRIM(A961)))</f>
        <v/>
      </c>
      <c r="M961">
        <f>IF(OR(K961="",K961=A961,A961=""),"",K961&amp;"|"&amp;L961)</f>
        <v/>
      </c>
      <c r="N961">
        <f>IF(M961="","",IF(ISNUMBER(B961),B961,IFERROR(_xlfn.NUMBERVALUE(B961,".",","),0)))</f>
        <v/>
      </c>
      <c r="O961">
        <f>IF(M961="","",IF(ISNUMBER(C961),C961,IFERROR(_xlfn.NUMBERVALUE(C961,".",","),0)))</f>
        <v/>
      </c>
    </row>
    <row r="962">
      <c r="K962">
        <f>IF(OR(LEFT(B962,9)="DOANH THU",LEFT(B962,8)="SỐ LƯỢNG"),A962,IF(A962="","",K961))</f>
        <v/>
      </c>
      <c r="L962">
        <f>IF(A962="","",IF(ISNUMBER(--LEFT(A962,FIND(" - ",A962&amp;" - ")-1)),LEFT(A962,FIND(" - ",A962&amp;" - ")-1),TRIM(A962)))</f>
        <v/>
      </c>
      <c r="M962">
        <f>IF(OR(K962="",K962=A962,A962=""),"",K962&amp;"|"&amp;L962)</f>
        <v/>
      </c>
      <c r="N962">
        <f>IF(M962="","",IF(ISNUMBER(B962),B962,IFERROR(_xlfn.NUMBERVALUE(B962,".",","),0)))</f>
        <v/>
      </c>
      <c r="O962">
        <f>IF(M962="","",IF(ISNUMBER(C962),C962,IFERROR(_xlfn.NUMBERVALUE(C962,".",","),0)))</f>
        <v/>
      </c>
    </row>
    <row r="963">
      <c r="K963">
        <f>IF(OR(LEFT(B963,9)="DOANH THU",LEFT(B963,8)="SỐ LƯỢNG"),A963,IF(A963="","",K962))</f>
        <v/>
      </c>
      <c r="L963">
        <f>IF(A963="","",IF(ISNUMBER(--LEFT(A963,FIND(" - ",A963&amp;" - ")-1)),LEFT(A963,FIND(" - ",A963&amp;" - ")-1),TRIM(A963)))</f>
        <v/>
      </c>
      <c r="M963">
        <f>IF(OR(K963="",K963=A963,A963=""),"",K963&amp;"|"&amp;L963)</f>
        <v/>
      </c>
      <c r="N963">
        <f>IF(M963="","",IF(ISNUMBER(B963),B963,IFERROR(_xlfn.NUMBERVALUE(B963,".",","),0)))</f>
        <v/>
      </c>
      <c r="O963">
        <f>IF(M963="","",IF(ISNUMBER(C963),C963,IFERROR(_xlfn.NUMBERVALUE(C963,".",","),0)))</f>
        <v/>
      </c>
    </row>
    <row r="964">
      <c r="K964">
        <f>IF(OR(LEFT(B964,9)="DOANH THU",LEFT(B964,8)="SỐ LƯỢNG"),A964,IF(A964="","",K963))</f>
        <v/>
      </c>
      <c r="L964">
        <f>IF(A964="","",IF(ISNUMBER(--LEFT(A964,FIND(" - ",A964&amp;" - ")-1)),LEFT(A964,FIND(" - ",A964&amp;" - ")-1),TRIM(A964)))</f>
        <v/>
      </c>
      <c r="M964">
        <f>IF(OR(K964="",K964=A964,A964=""),"",K964&amp;"|"&amp;L964)</f>
        <v/>
      </c>
      <c r="N964">
        <f>IF(M964="","",IF(ISNUMBER(B964),B964,IFERROR(_xlfn.NUMBERVALUE(B964,".",","),0)))</f>
        <v/>
      </c>
      <c r="O964">
        <f>IF(M964="","",IF(ISNUMBER(C964),C964,IFERROR(_xlfn.NUMBERVALUE(C964,".",","),0)))</f>
        <v/>
      </c>
    </row>
    <row r="965">
      <c r="K965">
        <f>IF(OR(LEFT(B965,9)="DOANH THU",LEFT(B965,8)="SỐ LƯỢNG"),A965,IF(A965="","",K964))</f>
        <v/>
      </c>
      <c r="L965">
        <f>IF(A965="","",IF(ISNUMBER(--LEFT(A965,FIND(" - ",A965&amp;" - ")-1)),LEFT(A965,FIND(" - ",A965&amp;" - ")-1),TRIM(A965)))</f>
        <v/>
      </c>
      <c r="M965">
        <f>IF(OR(K965="",K965=A965,A965=""),"",K965&amp;"|"&amp;L965)</f>
        <v/>
      </c>
      <c r="N965">
        <f>IF(M965="","",IF(ISNUMBER(B965),B965,IFERROR(_xlfn.NUMBERVALUE(B965,".",","),0)))</f>
        <v/>
      </c>
      <c r="O965">
        <f>IF(M965="","",IF(ISNUMBER(C965),C965,IFERROR(_xlfn.NUMBERVALUE(C965,".",","),0)))</f>
        <v/>
      </c>
    </row>
    <row r="966">
      <c r="K966">
        <f>IF(OR(LEFT(B966,9)="DOANH THU",LEFT(B966,8)="SỐ LƯỢNG"),A966,IF(A966="","",K965))</f>
        <v/>
      </c>
      <c r="L966">
        <f>IF(A966="","",IF(ISNUMBER(--LEFT(A966,FIND(" - ",A966&amp;" - ")-1)),LEFT(A966,FIND(" - ",A966&amp;" - ")-1),TRIM(A966)))</f>
        <v/>
      </c>
      <c r="M966">
        <f>IF(OR(K966="",K966=A966,A966=""),"",K966&amp;"|"&amp;L966)</f>
        <v/>
      </c>
      <c r="N966">
        <f>IF(M966="","",IF(ISNUMBER(B966),B966,IFERROR(_xlfn.NUMBERVALUE(B966,".",","),0)))</f>
        <v/>
      </c>
      <c r="O966">
        <f>IF(M966="","",IF(ISNUMBER(C966),C966,IFERROR(_xlfn.NUMBERVALUE(C966,".",","),0)))</f>
        <v/>
      </c>
    </row>
    <row r="967">
      <c r="K967">
        <f>IF(OR(LEFT(B967,9)="DOANH THU",LEFT(B967,8)="SỐ LƯỢNG"),A967,IF(A967="","",K966))</f>
        <v/>
      </c>
      <c r="L967">
        <f>IF(A967="","",IF(ISNUMBER(--LEFT(A967,FIND(" - ",A967&amp;" - ")-1)),LEFT(A967,FIND(" - ",A967&amp;" - ")-1),TRIM(A967)))</f>
        <v/>
      </c>
      <c r="M967">
        <f>IF(OR(K967="",K967=A967,A967=""),"",K967&amp;"|"&amp;L967)</f>
        <v/>
      </c>
      <c r="N967">
        <f>IF(M967="","",IF(ISNUMBER(B967),B967,IFERROR(_xlfn.NUMBERVALUE(B967,".",","),0)))</f>
        <v/>
      </c>
      <c r="O967">
        <f>IF(M967="","",IF(ISNUMBER(C967),C967,IFERROR(_xlfn.NUMBERVALUE(C967,".",","),0)))</f>
        <v/>
      </c>
    </row>
    <row r="968">
      <c r="K968">
        <f>IF(OR(LEFT(B968,9)="DOANH THU",LEFT(B968,8)="SỐ LƯỢNG"),A968,IF(A968="","",K967))</f>
        <v/>
      </c>
      <c r="L968">
        <f>IF(A968="","",IF(ISNUMBER(--LEFT(A968,FIND(" - ",A968&amp;" - ")-1)),LEFT(A968,FIND(" - ",A968&amp;" - ")-1),TRIM(A968)))</f>
        <v/>
      </c>
      <c r="M968">
        <f>IF(OR(K968="",K968=A968,A968=""),"",K968&amp;"|"&amp;L968)</f>
        <v/>
      </c>
      <c r="N968">
        <f>IF(M968="","",IF(ISNUMBER(B968),B968,IFERROR(_xlfn.NUMBERVALUE(B968,".",","),0)))</f>
        <v/>
      </c>
      <c r="O968">
        <f>IF(M968="","",IF(ISNUMBER(C968),C968,IFERROR(_xlfn.NUMBERVALUE(C968,".",","),0)))</f>
        <v/>
      </c>
    </row>
    <row r="969">
      <c r="K969">
        <f>IF(OR(LEFT(B969,9)="DOANH THU",LEFT(B969,8)="SỐ LƯỢNG"),A969,IF(A969="","",K968))</f>
        <v/>
      </c>
      <c r="L969">
        <f>IF(A969="","",IF(ISNUMBER(--LEFT(A969,FIND(" - ",A969&amp;" - ")-1)),LEFT(A969,FIND(" - ",A969&amp;" - ")-1),TRIM(A969)))</f>
        <v/>
      </c>
      <c r="M969">
        <f>IF(OR(K969="",K969=A969,A969=""),"",K969&amp;"|"&amp;L969)</f>
        <v/>
      </c>
      <c r="N969">
        <f>IF(M969="","",IF(ISNUMBER(B969),B969,IFERROR(_xlfn.NUMBERVALUE(B969,".",","),0)))</f>
        <v/>
      </c>
      <c r="O969">
        <f>IF(M969="","",IF(ISNUMBER(C969),C969,IFERROR(_xlfn.NUMBERVALUE(C969,".",","),0)))</f>
        <v/>
      </c>
    </row>
    <row r="970">
      <c r="K970">
        <f>IF(OR(LEFT(B970,9)="DOANH THU",LEFT(B970,8)="SỐ LƯỢNG"),A970,IF(A970="","",K969))</f>
        <v/>
      </c>
      <c r="L970">
        <f>IF(A970="","",IF(ISNUMBER(--LEFT(A970,FIND(" - ",A970&amp;" - ")-1)),LEFT(A970,FIND(" - ",A970&amp;" - ")-1),TRIM(A970)))</f>
        <v/>
      </c>
      <c r="M970">
        <f>IF(OR(K970="",K970=A970,A970=""),"",K970&amp;"|"&amp;L970)</f>
        <v/>
      </c>
      <c r="N970">
        <f>IF(M970="","",IF(ISNUMBER(B970),B970,IFERROR(_xlfn.NUMBERVALUE(B970,".",","),0)))</f>
        <v/>
      </c>
      <c r="O970">
        <f>IF(M970="","",IF(ISNUMBER(C970),C970,IFERROR(_xlfn.NUMBERVALUE(C970,".",","),0)))</f>
        <v/>
      </c>
    </row>
    <row r="971">
      <c r="K971">
        <f>IF(OR(LEFT(B971,9)="DOANH THU",LEFT(B971,8)="SỐ LƯỢNG"),A971,IF(A971="","",K970))</f>
        <v/>
      </c>
      <c r="L971">
        <f>IF(A971="","",IF(ISNUMBER(--LEFT(A971,FIND(" - ",A971&amp;" - ")-1)),LEFT(A971,FIND(" - ",A971&amp;" - ")-1),TRIM(A971)))</f>
        <v/>
      </c>
      <c r="M971">
        <f>IF(OR(K971="",K971=A971,A971=""),"",K971&amp;"|"&amp;L971)</f>
        <v/>
      </c>
      <c r="N971">
        <f>IF(M971="","",IF(ISNUMBER(B971),B971,IFERROR(_xlfn.NUMBERVALUE(B971,".",","),0)))</f>
        <v/>
      </c>
      <c r="O971">
        <f>IF(M971="","",IF(ISNUMBER(C971),C971,IFERROR(_xlfn.NUMBERVALUE(C971,".",","),0)))</f>
        <v/>
      </c>
    </row>
    <row r="972">
      <c r="K972">
        <f>IF(OR(LEFT(B972,9)="DOANH THU",LEFT(B972,8)="SỐ LƯỢNG"),A972,IF(A972="","",K971))</f>
        <v/>
      </c>
      <c r="L972">
        <f>IF(A972="","",IF(ISNUMBER(--LEFT(A972,FIND(" - ",A972&amp;" - ")-1)),LEFT(A972,FIND(" - ",A972&amp;" - ")-1),TRIM(A972)))</f>
        <v/>
      </c>
      <c r="M972">
        <f>IF(OR(K972="",K972=A972,A972=""),"",K972&amp;"|"&amp;L972)</f>
        <v/>
      </c>
      <c r="N972">
        <f>IF(M972="","",IF(ISNUMBER(B972),B972,IFERROR(_xlfn.NUMBERVALUE(B972,".",","),0)))</f>
        <v/>
      </c>
      <c r="O972">
        <f>IF(M972="","",IF(ISNUMBER(C972),C972,IFERROR(_xlfn.NUMBERVALUE(C972,".",","),0)))</f>
        <v/>
      </c>
    </row>
    <row r="973">
      <c r="K973">
        <f>IF(OR(LEFT(B973,9)="DOANH THU",LEFT(B973,8)="SỐ LƯỢNG"),A973,IF(A973="","",K972))</f>
        <v/>
      </c>
      <c r="L973">
        <f>IF(A973="","",IF(ISNUMBER(--LEFT(A973,FIND(" - ",A973&amp;" - ")-1)),LEFT(A973,FIND(" - ",A973&amp;" - ")-1),TRIM(A973)))</f>
        <v/>
      </c>
      <c r="M973">
        <f>IF(OR(K973="",K973=A973,A973=""),"",K973&amp;"|"&amp;L973)</f>
        <v/>
      </c>
      <c r="N973">
        <f>IF(M973="","",IF(ISNUMBER(B973),B973,IFERROR(_xlfn.NUMBERVALUE(B973,".",","),0)))</f>
        <v/>
      </c>
      <c r="O973">
        <f>IF(M973="","",IF(ISNUMBER(C973),C973,IFERROR(_xlfn.NUMBERVALUE(C973,".",","),0)))</f>
        <v/>
      </c>
    </row>
    <row r="974">
      <c r="K974">
        <f>IF(OR(LEFT(B974,9)="DOANH THU",LEFT(B974,8)="SỐ LƯỢNG"),A974,IF(A974="","",K973))</f>
        <v/>
      </c>
      <c r="L974">
        <f>IF(A974="","",IF(ISNUMBER(--LEFT(A974,FIND(" - ",A974&amp;" - ")-1)),LEFT(A974,FIND(" - ",A974&amp;" - ")-1),TRIM(A974)))</f>
        <v/>
      </c>
      <c r="M974">
        <f>IF(OR(K974="",K974=A974,A974=""),"",K974&amp;"|"&amp;L974)</f>
        <v/>
      </c>
      <c r="N974">
        <f>IF(M974="","",IF(ISNUMBER(B974),B974,IFERROR(_xlfn.NUMBERVALUE(B974,".",","),0)))</f>
        <v/>
      </c>
      <c r="O974">
        <f>IF(M974="","",IF(ISNUMBER(C974),C974,IFERROR(_xlfn.NUMBERVALUE(C974,".",","),0)))</f>
        <v/>
      </c>
    </row>
    <row r="975">
      <c r="K975">
        <f>IF(OR(LEFT(B975,9)="DOANH THU",LEFT(B975,8)="SỐ LƯỢNG"),A975,IF(A975="","",K974))</f>
        <v/>
      </c>
      <c r="L975">
        <f>IF(A975="","",IF(ISNUMBER(--LEFT(A975,FIND(" - ",A975&amp;" - ")-1)),LEFT(A975,FIND(" - ",A975&amp;" - ")-1),TRIM(A975)))</f>
        <v/>
      </c>
      <c r="M975">
        <f>IF(OR(K975="",K975=A975,A975=""),"",K975&amp;"|"&amp;L975)</f>
        <v/>
      </c>
      <c r="N975">
        <f>IF(M975="","",IF(ISNUMBER(B975),B975,IFERROR(_xlfn.NUMBERVALUE(B975,".",","),0)))</f>
        <v/>
      </c>
      <c r="O975">
        <f>IF(M975="","",IF(ISNUMBER(C975),C975,IFERROR(_xlfn.NUMBERVALUE(C975,".",","),0)))</f>
        <v/>
      </c>
    </row>
    <row r="976">
      <c r="K976">
        <f>IF(OR(LEFT(B976,9)="DOANH THU",LEFT(B976,8)="SỐ LƯỢNG"),A976,IF(A976="","",K975))</f>
        <v/>
      </c>
      <c r="L976">
        <f>IF(A976="","",IF(ISNUMBER(--LEFT(A976,FIND(" - ",A976&amp;" - ")-1)),LEFT(A976,FIND(" - ",A976&amp;" - ")-1),TRIM(A976)))</f>
        <v/>
      </c>
      <c r="M976">
        <f>IF(OR(K976="",K976=A976,A976=""),"",K976&amp;"|"&amp;L976)</f>
        <v/>
      </c>
      <c r="N976">
        <f>IF(M976="","",IF(ISNUMBER(B976),B976,IFERROR(_xlfn.NUMBERVALUE(B976,".",","),0)))</f>
        <v/>
      </c>
      <c r="O976">
        <f>IF(M976="","",IF(ISNUMBER(C976),C976,IFERROR(_xlfn.NUMBERVALUE(C976,".",","),0)))</f>
        <v/>
      </c>
    </row>
    <row r="977">
      <c r="K977">
        <f>IF(OR(LEFT(B977,9)="DOANH THU",LEFT(B977,8)="SỐ LƯỢNG"),A977,IF(A977="","",K976))</f>
        <v/>
      </c>
      <c r="L977">
        <f>IF(A977="","",IF(ISNUMBER(--LEFT(A977,FIND(" - ",A977&amp;" - ")-1)),LEFT(A977,FIND(" - ",A977&amp;" - ")-1),TRIM(A977)))</f>
        <v/>
      </c>
      <c r="M977">
        <f>IF(OR(K977="",K977=A977,A977=""),"",K977&amp;"|"&amp;L977)</f>
        <v/>
      </c>
      <c r="N977">
        <f>IF(M977="","",IF(ISNUMBER(B977),B977,IFERROR(_xlfn.NUMBERVALUE(B977,".",","),0)))</f>
        <v/>
      </c>
      <c r="O977">
        <f>IF(M977="","",IF(ISNUMBER(C977),C977,IFERROR(_xlfn.NUMBERVALUE(C977,".",","),0)))</f>
        <v/>
      </c>
    </row>
    <row r="978">
      <c r="K978">
        <f>IF(OR(LEFT(B978,9)="DOANH THU",LEFT(B978,8)="SỐ LƯỢNG"),A978,IF(A978="","",K977))</f>
        <v/>
      </c>
      <c r="L978">
        <f>IF(A978="","",IF(ISNUMBER(--LEFT(A978,FIND(" - ",A978&amp;" - ")-1)),LEFT(A978,FIND(" - ",A978&amp;" - ")-1),TRIM(A978)))</f>
        <v/>
      </c>
      <c r="M978">
        <f>IF(OR(K978="",K978=A978,A978=""),"",K978&amp;"|"&amp;L978)</f>
        <v/>
      </c>
      <c r="N978">
        <f>IF(M978="","",IF(ISNUMBER(B978),B978,IFERROR(_xlfn.NUMBERVALUE(B978,".",","),0)))</f>
        <v/>
      </c>
      <c r="O978">
        <f>IF(M978="","",IF(ISNUMBER(C978),C978,IFERROR(_xlfn.NUMBERVALUE(C978,".",","),0)))</f>
        <v/>
      </c>
    </row>
    <row r="979">
      <c r="K979">
        <f>IF(OR(LEFT(B979,9)="DOANH THU",LEFT(B979,8)="SỐ LƯỢNG"),A979,IF(A979="","",K978))</f>
        <v/>
      </c>
      <c r="L979">
        <f>IF(A979="","",IF(ISNUMBER(--LEFT(A979,FIND(" - ",A979&amp;" - ")-1)),LEFT(A979,FIND(" - ",A979&amp;" - ")-1),TRIM(A979)))</f>
        <v/>
      </c>
      <c r="M979">
        <f>IF(OR(K979="",K979=A979,A979=""),"",K979&amp;"|"&amp;L979)</f>
        <v/>
      </c>
      <c r="N979">
        <f>IF(M979="","",IF(ISNUMBER(B979),B979,IFERROR(_xlfn.NUMBERVALUE(B979,".",","),0)))</f>
        <v/>
      </c>
      <c r="O979">
        <f>IF(M979="","",IF(ISNUMBER(C979),C979,IFERROR(_xlfn.NUMBERVALUE(C979,".",","),0)))</f>
        <v/>
      </c>
    </row>
    <row r="980">
      <c r="K980">
        <f>IF(OR(LEFT(B980,9)="DOANH THU",LEFT(B980,8)="SỐ LƯỢNG"),A980,IF(A980="","",K979))</f>
        <v/>
      </c>
      <c r="L980">
        <f>IF(A980="","",IF(ISNUMBER(--LEFT(A980,FIND(" - ",A980&amp;" - ")-1)),LEFT(A980,FIND(" - ",A980&amp;" - ")-1),TRIM(A980)))</f>
        <v/>
      </c>
      <c r="M980">
        <f>IF(OR(K980="",K980=A980,A980=""),"",K980&amp;"|"&amp;L980)</f>
        <v/>
      </c>
      <c r="N980">
        <f>IF(M980="","",IF(ISNUMBER(B980),B980,IFERROR(_xlfn.NUMBERVALUE(B980,".",","),0)))</f>
        <v/>
      </c>
      <c r="O980">
        <f>IF(M980="","",IF(ISNUMBER(C980),C980,IFERROR(_xlfn.NUMBERVALUE(C980,".",","),0)))</f>
        <v/>
      </c>
    </row>
    <row r="981">
      <c r="K981">
        <f>IF(OR(LEFT(B981,9)="DOANH THU",LEFT(B981,8)="SỐ LƯỢNG"),A981,IF(A981="","",K980))</f>
        <v/>
      </c>
      <c r="L981">
        <f>IF(A981="","",IF(ISNUMBER(--LEFT(A981,FIND(" - ",A981&amp;" - ")-1)),LEFT(A981,FIND(" - ",A981&amp;" - ")-1),TRIM(A981)))</f>
        <v/>
      </c>
      <c r="M981">
        <f>IF(OR(K981="",K981=A981,A981=""),"",K981&amp;"|"&amp;L981)</f>
        <v/>
      </c>
      <c r="N981">
        <f>IF(M981="","",IF(ISNUMBER(B981),B981,IFERROR(_xlfn.NUMBERVALUE(B981,".",","),0)))</f>
        <v/>
      </c>
      <c r="O981">
        <f>IF(M981="","",IF(ISNUMBER(C981),C981,IFERROR(_xlfn.NUMBERVALUE(C981,".",","),0)))</f>
        <v/>
      </c>
    </row>
    <row r="982">
      <c r="K982">
        <f>IF(OR(LEFT(B982,9)="DOANH THU",LEFT(B982,8)="SỐ LƯỢNG"),A982,IF(A982="","",K981))</f>
        <v/>
      </c>
      <c r="L982">
        <f>IF(A982="","",IF(ISNUMBER(--LEFT(A982,FIND(" - ",A982&amp;" - ")-1)),LEFT(A982,FIND(" - ",A982&amp;" - ")-1),TRIM(A982)))</f>
        <v/>
      </c>
      <c r="M982">
        <f>IF(OR(K982="",K982=A982,A982=""),"",K982&amp;"|"&amp;L982)</f>
        <v/>
      </c>
      <c r="N982">
        <f>IF(M982="","",IF(ISNUMBER(B982),B982,IFERROR(_xlfn.NUMBERVALUE(B982,".",","),0)))</f>
        <v/>
      </c>
      <c r="O982">
        <f>IF(M982="","",IF(ISNUMBER(C982),C982,IFERROR(_xlfn.NUMBERVALUE(C982,".",","),0)))</f>
        <v/>
      </c>
    </row>
    <row r="983">
      <c r="K983">
        <f>IF(OR(LEFT(B983,9)="DOANH THU",LEFT(B983,8)="SỐ LƯỢNG"),A983,IF(A983="","",K982))</f>
        <v/>
      </c>
      <c r="L983">
        <f>IF(A983="","",IF(ISNUMBER(--LEFT(A983,FIND(" - ",A983&amp;" - ")-1)),LEFT(A983,FIND(" - ",A983&amp;" - ")-1),TRIM(A983)))</f>
        <v/>
      </c>
      <c r="M983">
        <f>IF(OR(K983="",K983=A983,A983=""),"",K983&amp;"|"&amp;L983)</f>
        <v/>
      </c>
      <c r="N983">
        <f>IF(M983="","",IF(ISNUMBER(B983),B983,IFERROR(_xlfn.NUMBERVALUE(B983,".",","),0)))</f>
        <v/>
      </c>
      <c r="O983">
        <f>IF(M983="","",IF(ISNUMBER(C983),C983,IFERROR(_xlfn.NUMBERVALUE(C983,".",","),0)))</f>
        <v/>
      </c>
    </row>
    <row r="984">
      <c r="K984">
        <f>IF(OR(LEFT(B984,9)="DOANH THU",LEFT(B984,8)="SỐ LƯỢNG"),A984,IF(A984="","",K983))</f>
        <v/>
      </c>
      <c r="L984">
        <f>IF(A984="","",IF(ISNUMBER(--LEFT(A984,FIND(" - ",A984&amp;" - ")-1)),LEFT(A984,FIND(" - ",A984&amp;" - ")-1),TRIM(A984)))</f>
        <v/>
      </c>
      <c r="M984">
        <f>IF(OR(K984="",K984=A984,A984=""),"",K984&amp;"|"&amp;L984)</f>
        <v/>
      </c>
      <c r="N984">
        <f>IF(M984="","",IF(ISNUMBER(B984),B984,IFERROR(_xlfn.NUMBERVALUE(B984,".",","),0)))</f>
        <v/>
      </c>
      <c r="O984">
        <f>IF(M984="","",IF(ISNUMBER(C984),C984,IFERROR(_xlfn.NUMBERVALUE(C984,".",","),0)))</f>
        <v/>
      </c>
    </row>
    <row r="985">
      <c r="K985">
        <f>IF(OR(LEFT(B985,9)="DOANH THU",LEFT(B985,8)="SỐ LƯỢNG"),A985,IF(A985="","",K984))</f>
        <v/>
      </c>
      <c r="L985">
        <f>IF(A985="","",IF(ISNUMBER(--LEFT(A985,FIND(" - ",A985&amp;" - ")-1)),LEFT(A985,FIND(" - ",A985&amp;" - ")-1),TRIM(A985)))</f>
        <v/>
      </c>
      <c r="M985">
        <f>IF(OR(K985="",K985=A985,A985=""),"",K985&amp;"|"&amp;L985)</f>
        <v/>
      </c>
      <c r="N985">
        <f>IF(M985="","",IF(ISNUMBER(B985),B985,IFERROR(_xlfn.NUMBERVALUE(B985,".",","),0)))</f>
        <v/>
      </c>
      <c r="O985">
        <f>IF(M985="","",IF(ISNUMBER(C985),C985,IFERROR(_xlfn.NUMBERVALUE(C985,".",","),0)))</f>
        <v/>
      </c>
    </row>
    <row r="986">
      <c r="K986">
        <f>IF(OR(LEFT(B986,9)="DOANH THU",LEFT(B986,8)="SỐ LƯỢNG"),A986,IF(A986="","",K985))</f>
        <v/>
      </c>
      <c r="L986">
        <f>IF(A986="","",IF(ISNUMBER(--LEFT(A986,FIND(" - ",A986&amp;" - ")-1)),LEFT(A986,FIND(" - ",A986&amp;" - ")-1),TRIM(A986)))</f>
        <v/>
      </c>
      <c r="M986">
        <f>IF(OR(K986="",K986=A986,A986=""),"",K986&amp;"|"&amp;L986)</f>
        <v/>
      </c>
      <c r="N986">
        <f>IF(M986="","",IF(ISNUMBER(B986),B986,IFERROR(_xlfn.NUMBERVALUE(B986,".",","),0)))</f>
        <v/>
      </c>
      <c r="O986">
        <f>IF(M986="","",IF(ISNUMBER(C986),C986,IFERROR(_xlfn.NUMBERVALUE(C986,".",","),0)))</f>
        <v/>
      </c>
    </row>
    <row r="987">
      <c r="K987">
        <f>IF(OR(LEFT(B987,9)="DOANH THU",LEFT(B987,8)="SỐ LƯỢNG"),A987,IF(A987="","",K986))</f>
        <v/>
      </c>
      <c r="L987">
        <f>IF(A987="","",IF(ISNUMBER(--LEFT(A987,FIND(" - ",A987&amp;" - ")-1)),LEFT(A987,FIND(" - ",A987&amp;" - ")-1),TRIM(A987)))</f>
        <v/>
      </c>
      <c r="M987">
        <f>IF(OR(K987="",K987=A987,A987=""),"",K987&amp;"|"&amp;L987)</f>
        <v/>
      </c>
      <c r="N987">
        <f>IF(M987="","",IF(ISNUMBER(B987),B987,IFERROR(_xlfn.NUMBERVALUE(B987,".",","),0)))</f>
        <v/>
      </c>
      <c r="O987">
        <f>IF(M987="","",IF(ISNUMBER(C987),C987,IFERROR(_xlfn.NUMBERVALUE(C987,".",","),0)))</f>
        <v/>
      </c>
    </row>
    <row r="988">
      <c r="K988">
        <f>IF(OR(LEFT(B988,9)="DOANH THU",LEFT(B988,8)="SỐ LƯỢNG"),A988,IF(A988="","",K987))</f>
        <v/>
      </c>
      <c r="L988">
        <f>IF(A988="","",IF(ISNUMBER(--LEFT(A988,FIND(" - ",A988&amp;" - ")-1)),LEFT(A988,FIND(" - ",A988&amp;" - ")-1),TRIM(A988)))</f>
        <v/>
      </c>
      <c r="M988">
        <f>IF(OR(K988="",K988=A988,A988=""),"",K988&amp;"|"&amp;L988)</f>
        <v/>
      </c>
      <c r="N988">
        <f>IF(M988="","",IF(ISNUMBER(B988),B988,IFERROR(_xlfn.NUMBERVALUE(B988,".",","),0)))</f>
        <v/>
      </c>
      <c r="O988">
        <f>IF(M988="","",IF(ISNUMBER(C988),C988,IFERROR(_xlfn.NUMBERVALUE(C988,".",","),0)))</f>
        <v/>
      </c>
    </row>
    <row r="989">
      <c r="K989">
        <f>IF(OR(LEFT(B989,9)="DOANH THU",LEFT(B989,8)="SỐ LƯỢNG"),A989,IF(A989="","",K988))</f>
        <v/>
      </c>
      <c r="L989">
        <f>IF(A989="","",IF(ISNUMBER(--LEFT(A989,FIND(" - ",A989&amp;" - ")-1)),LEFT(A989,FIND(" - ",A989&amp;" - ")-1),TRIM(A989)))</f>
        <v/>
      </c>
      <c r="M989">
        <f>IF(OR(K989="",K989=A989,A989=""),"",K989&amp;"|"&amp;L989)</f>
        <v/>
      </c>
      <c r="N989">
        <f>IF(M989="","",IF(ISNUMBER(B989),B989,IFERROR(_xlfn.NUMBERVALUE(B989,".",","),0)))</f>
        <v/>
      </c>
      <c r="O989">
        <f>IF(M989="","",IF(ISNUMBER(C989),C989,IFERROR(_xlfn.NUMBERVALUE(C989,".",","),0)))</f>
        <v/>
      </c>
    </row>
    <row r="990">
      <c r="K990">
        <f>IF(OR(LEFT(B990,9)="DOANH THU",LEFT(B990,8)="SỐ LƯỢNG"),A990,IF(A990="","",K989))</f>
        <v/>
      </c>
      <c r="L990">
        <f>IF(A990="","",IF(ISNUMBER(--LEFT(A990,FIND(" - ",A990&amp;" - ")-1)),LEFT(A990,FIND(" - ",A990&amp;" - ")-1),TRIM(A990)))</f>
        <v/>
      </c>
      <c r="M990">
        <f>IF(OR(K990="",K990=A990,A990=""),"",K990&amp;"|"&amp;L990)</f>
        <v/>
      </c>
      <c r="N990">
        <f>IF(M990="","",IF(ISNUMBER(B990),B990,IFERROR(_xlfn.NUMBERVALUE(B990,".",","),0)))</f>
        <v/>
      </c>
      <c r="O990">
        <f>IF(M990="","",IF(ISNUMBER(C990),C990,IFERROR(_xlfn.NUMBERVALUE(C990,".",","),0)))</f>
        <v/>
      </c>
    </row>
    <row r="991">
      <c r="K991">
        <f>IF(OR(LEFT(B991,9)="DOANH THU",LEFT(B991,8)="SỐ LƯỢNG"),A991,IF(A991="","",K990))</f>
        <v/>
      </c>
      <c r="L991">
        <f>IF(A991="","",IF(ISNUMBER(--LEFT(A991,FIND(" - ",A991&amp;" - ")-1)),LEFT(A991,FIND(" - ",A991&amp;" - ")-1),TRIM(A991)))</f>
        <v/>
      </c>
      <c r="M991">
        <f>IF(OR(K991="",K991=A991,A991=""),"",K991&amp;"|"&amp;L991)</f>
        <v/>
      </c>
      <c r="N991">
        <f>IF(M991="","",IF(ISNUMBER(B991),B991,IFERROR(_xlfn.NUMBERVALUE(B991,".",","),0)))</f>
        <v/>
      </c>
      <c r="O991">
        <f>IF(M991="","",IF(ISNUMBER(C991),C991,IFERROR(_xlfn.NUMBERVALUE(C991,".",","),0)))</f>
        <v/>
      </c>
    </row>
    <row r="992">
      <c r="K992">
        <f>IF(OR(LEFT(B992,9)="DOANH THU",LEFT(B992,8)="SỐ LƯỢNG"),A992,IF(A992="","",K991))</f>
        <v/>
      </c>
      <c r="L992">
        <f>IF(A992="","",IF(ISNUMBER(--LEFT(A992,FIND(" - ",A992&amp;" - ")-1)),LEFT(A992,FIND(" - ",A992&amp;" - ")-1),TRIM(A992)))</f>
        <v/>
      </c>
      <c r="M992">
        <f>IF(OR(K992="",K992=A992,A992=""),"",K992&amp;"|"&amp;L992)</f>
        <v/>
      </c>
      <c r="N992">
        <f>IF(M992="","",IF(ISNUMBER(B992),B992,IFERROR(_xlfn.NUMBERVALUE(B992,".",","),0)))</f>
        <v/>
      </c>
      <c r="O992">
        <f>IF(M992="","",IF(ISNUMBER(C992),C992,IFERROR(_xlfn.NUMBERVALUE(C992,".",","),0)))</f>
        <v/>
      </c>
    </row>
    <row r="993">
      <c r="K993">
        <f>IF(OR(LEFT(B993,9)="DOANH THU",LEFT(B993,8)="SỐ LƯỢNG"),A993,IF(A993="","",K992))</f>
        <v/>
      </c>
      <c r="L993">
        <f>IF(A993="","",IF(ISNUMBER(--LEFT(A993,FIND(" - ",A993&amp;" - ")-1)),LEFT(A993,FIND(" - ",A993&amp;" - ")-1),TRIM(A993)))</f>
        <v/>
      </c>
      <c r="M993">
        <f>IF(OR(K993="",K993=A993,A993=""),"",K993&amp;"|"&amp;L993)</f>
        <v/>
      </c>
      <c r="N993">
        <f>IF(M993="","",IF(ISNUMBER(B993),B993,IFERROR(_xlfn.NUMBERVALUE(B993,".",","),0)))</f>
        <v/>
      </c>
      <c r="O993">
        <f>IF(M993="","",IF(ISNUMBER(C993),C993,IFERROR(_xlfn.NUMBERVALUE(C993,".",","),0)))</f>
        <v/>
      </c>
    </row>
    <row r="994">
      <c r="K994">
        <f>IF(OR(LEFT(B994,9)="DOANH THU",LEFT(B994,8)="SỐ LƯỢNG"),A994,IF(A994="","",K993))</f>
        <v/>
      </c>
      <c r="L994">
        <f>IF(A994="","",IF(ISNUMBER(--LEFT(A994,FIND(" - ",A994&amp;" - ")-1)),LEFT(A994,FIND(" - ",A994&amp;" - ")-1),TRIM(A994)))</f>
        <v/>
      </c>
      <c r="M994">
        <f>IF(OR(K994="",K994=A994,A994=""),"",K994&amp;"|"&amp;L994)</f>
        <v/>
      </c>
      <c r="N994">
        <f>IF(M994="","",IF(ISNUMBER(B994),B994,IFERROR(_xlfn.NUMBERVALUE(B994,".",","),0)))</f>
        <v/>
      </c>
      <c r="O994">
        <f>IF(M994="","",IF(ISNUMBER(C994),C994,IFERROR(_xlfn.NUMBERVALUE(C994,".",","),0)))</f>
        <v/>
      </c>
    </row>
    <row r="995">
      <c r="K995">
        <f>IF(OR(LEFT(B995,9)="DOANH THU",LEFT(B995,8)="SỐ LƯỢNG"),A995,IF(A995="","",K994))</f>
        <v/>
      </c>
      <c r="L995">
        <f>IF(A995="","",IF(ISNUMBER(--LEFT(A995,FIND(" - ",A995&amp;" - ")-1)),LEFT(A995,FIND(" - ",A995&amp;" - ")-1),TRIM(A995)))</f>
        <v/>
      </c>
      <c r="M995">
        <f>IF(OR(K995="",K995=A995,A995=""),"",K995&amp;"|"&amp;L995)</f>
        <v/>
      </c>
      <c r="N995">
        <f>IF(M995="","",IF(ISNUMBER(B995),B995,IFERROR(_xlfn.NUMBERVALUE(B995,".",","),0)))</f>
        <v/>
      </c>
      <c r="O995">
        <f>IF(M995="","",IF(ISNUMBER(C995),C995,IFERROR(_xlfn.NUMBERVALUE(C995,".",","),0)))</f>
        <v/>
      </c>
    </row>
    <row r="996">
      <c r="K996">
        <f>IF(OR(LEFT(B996,9)="DOANH THU",LEFT(B996,8)="SỐ LƯỢNG"),A996,IF(A996="","",K995))</f>
        <v/>
      </c>
      <c r="L996">
        <f>IF(A996="","",IF(ISNUMBER(--LEFT(A996,FIND(" - ",A996&amp;" - ")-1)),LEFT(A996,FIND(" - ",A996&amp;" - ")-1),TRIM(A996)))</f>
        <v/>
      </c>
      <c r="M996">
        <f>IF(OR(K996="",K996=A996,A996=""),"",K996&amp;"|"&amp;L996)</f>
        <v/>
      </c>
      <c r="N996">
        <f>IF(M996="","",IF(ISNUMBER(B996),B996,IFERROR(_xlfn.NUMBERVALUE(B996,".",","),0)))</f>
        <v/>
      </c>
      <c r="O996">
        <f>IF(M996="","",IF(ISNUMBER(C996),C996,IFERROR(_xlfn.NUMBERVALUE(C996,".",","),0)))</f>
        <v/>
      </c>
    </row>
    <row r="997">
      <c r="K997">
        <f>IF(OR(LEFT(B997,9)="DOANH THU",LEFT(B997,8)="SỐ LƯỢNG"),A997,IF(A997="","",K996))</f>
        <v/>
      </c>
      <c r="L997">
        <f>IF(A997="","",IF(ISNUMBER(--LEFT(A997,FIND(" - ",A997&amp;" - ")-1)),LEFT(A997,FIND(" - ",A997&amp;" - ")-1),TRIM(A997)))</f>
        <v/>
      </c>
      <c r="M997">
        <f>IF(OR(K997="",K997=A997,A997=""),"",K997&amp;"|"&amp;L997)</f>
        <v/>
      </c>
      <c r="N997">
        <f>IF(M997="","",IF(ISNUMBER(B997),B997,IFERROR(_xlfn.NUMBERVALUE(B997,".",","),0)))</f>
        <v/>
      </c>
      <c r="O997">
        <f>IF(M997="","",IF(ISNUMBER(C997),C997,IFERROR(_xlfn.NUMBERVALUE(C997,".",","),0)))</f>
        <v/>
      </c>
    </row>
    <row r="998">
      <c r="K998">
        <f>IF(OR(LEFT(B998,9)="DOANH THU",LEFT(B998,8)="SỐ LƯỢNG"),A998,IF(A998="","",K997))</f>
        <v/>
      </c>
      <c r="L998">
        <f>IF(A998="","",IF(ISNUMBER(--LEFT(A998,FIND(" - ",A998&amp;" - ")-1)),LEFT(A998,FIND(" - ",A998&amp;" - ")-1),TRIM(A998)))</f>
        <v/>
      </c>
      <c r="M998">
        <f>IF(OR(K998="",K998=A998,A998=""),"",K998&amp;"|"&amp;L998)</f>
        <v/>
      </c>
      <c r="N998">
        <f>IF(M998="","",IF(ISNUMBER(B998),B998,IFERROR(_xlfn.NUMBERVALUE(B998,".",","),0)))</f>
        <v/>
      </c>
      <c r="O998">
        <f>IF(M998="","",IF(ISNUMBER(C998),C998,IFERROR(_xlfn.NUMBERVALUE(C998,".",","),0)))</f>
        <v/>
      </c>
    </row>
    <row r="999">
      <c r="K999">
        <f>IF(OR(LEFT(B999,9)="DOANH THU",LEFT(B999,8)="SỐ LƯỢNG"),A999,IF(A999="","",K998))</f>
        <v/>
      </c>
      <c r="L999">
        <f>IF(A999="","",IF(ISNUMBER(--LEFT(A999,FIND(" - ",A999&amp;" - ")-1)),LEFT(A999,FIND(" - ",A999&amp;" - ")-1),TRIM(A999)))</f>
        <v/>
      </c>
      <c r="M999">
        <f>IF(OR(K999="",K999=A999,A999=""),"",K999&amp;"|"&amp;L999)</f>
        <v/>
      </c>
      <c r="N999">
        <f>IF(M999="","",IF(ISNUMBER(B999),B999,IFERROR(_xlfn.NUMBERVALUE(B999,".",","),0)))</f>
        <v/>
      </c>
      <c r="O999">
        <f>IF(M999="","",IF(ISNUMBER(C999),C999,IFERROR(_xlfn.NUMBERVALUE(C999,".",","),0)))</f>
        <v/>
      </c>
    </row>
    <row r="1000">
      <c r="K1000">
        <f>IF(OR(LEFT(B1000,9)="DOANH THU",LEFT(B1000,8)="SỐ LƯỢNG"),A1000,IF(A1000="","",K999))</f>
        <v/>
      </c>
      <c r="L1000">
        <f>IF(A1000="","",IF(ISNUMBER(--LEFT(A1000,FIND(" - ",A1000&amp;" - ")-1)),LEFT(A1000,FIND(" - ",A1000&amp;" - ")-1),TRIM(A1000)))</f>
        <v/>
      </c>
      <c r="M1000">
        <f>IF(OR(K1000="",K1000=A1000,A1000=""),"",K1000&amp;"|"&amp;L1000)</f>
        <v/>
      </c>
      <c r="N1000">
        <f>IF(M1000="","",IF(ISNUMBER(B1000),B1000,IFERROR(_xlfn.NUMBERVALUE(B1000,".",","),0)))</f>
        <v/>
      </c>
      <c r="O1000">
        <f>IF(M1000="","",IF(ISNUMBER(C1000),C1000,IFERROR(_xlfn.NUMBERVALUE(C1000,".",","),0)))</f>
        <v/>
      </c>
    </row>
    <row r="1001">
      <c r="K1001">
        <f>IF(OR(LEFT(B1001,9)="DOANH THU",LEFT(B1001,8)="SỐ LƯỢNG"),A1001,IF(A1001="","",K1000))</f>
        <v/>
      </c>
      <c r="L1001">
        <f>IF(A1001="","",IF(ISNUMBER(--LEFT(A1001,FIND(" - ",A1001&amp;" - ")-1)),LEFT(A1001,FIND(" - ",A1001&amp;" - ")-1),TRIM(A1001)))</f>
        <v/>
      </c>
      <c r="M1001">
        <f>IF(OR(K1001="",K1001=A1001,A1001=""),"",K1001&amp;"|"&amp;L1001)</f>
        <v/>
      </c>
      <c r="N1001">
        <f>IF(M1001="","",IF(ISNUMBER(B1001),B1001,IFERROR(_xlfn.NUMBERVALUE(B1001,".",","),0)))</f>
        <v/>
      </c>
      <c r="O1001">
        <f>IF(M1001="","",IF(ISNUMBER(C1001),C1001,IFERROR(_xlfn.NUMBERVALUE(C1001,".",","),0)))</f>
        <v/>
      </c>
    </row>
    <row r="1002">
      <c r="K1002">
        <f>IF(OR(LEFT(B1002,9)="DOANH THU",LEFT(B1002,8)="SỐ LƯỢNG"),A1002,IF(A1002="","",K1001))</f>
        <v/>
      </c>
      <c r="L1002">
        <f>IF(A1002="","",IF(ISNUMBER(--LEFT(A1002,FIND(" - ",A1002&amp;" - ")-1)),LEFT(A1002,FIND(" - ",A1002&amp;" - ")-1),TRIM(A1002)))</f>
        <v/>
      </c>
      <c r="M1002">
        <f>IF(OR(K1002="",K1002=A1002,A1002=""),"",K1002&amp;"|"&amp;L1002)</f>
        <v/>
      </c>
      <c r="N1002">
        <f>IF(M1002="","",IF(ISNUMBER(B1002),B1002,IFERROR(_xlfn.NUMBERVALUE(B1002,".",","),0)))</f>
        <v/>
      </c>
      <c r="O1002">
        <f>IF(M1002="","",IF(ISNUMBER(C1002),C1002,IFERROR(_xlfn.NUMBERVALUE(C1002,".",","),0)))</f>
        <v/>
      </c>
    </row>
    <row r="1003">
      <c r="K1003">
        <f>IF(OR(LEFT(B1003,9)="DOANH THU",LEFT(B1003,8)="SỐ LƯỢNG"),A1003,IF(A1003="","",K1002))</f>
        <v/>
      </c>
      <c r="L1003">
        <f>IF(A1003="","",IF(ISNUMBER(--LEFT(A1003,FIND(" - ",A1003&amp;" - ")-1)),LEFT(A1003,FIND(" - ",A1003&amp;" - ")-1),TRIM(A1003)))</f>
        <v/>
      </c>
      <c r="M1003">
        <f>IF(OR(K1003="",K1003=A1003,A1003=""),"",K1003&amp;"|"&amp;L1003)</f>
        <v/>
      </c>
      <c r="N1003">
        <f>IF(M1003="","",IF(ISNUMBER(B1003),B1003,IFERROR(_xlfn.NUMBERVALUE(B1003,".",","),0)))</f>
        <v/>
      </c>
      <c r="O1003">
        <f>IF(M1003="","",IF(ISNUMBER(C1003),C1003,IFERROR(_xlfn.NUMBERVALUE(C1003,".",","),0)))</f>
        <v/>
      </c>
    </row>
    <row r="1004">
      <c r="K1004">
        <f>IF(OR(LEFT(B1004,9)="DOANH THU",LEFT(B1004,8)="SỐ LƯỢNG"),A1004,IF(A1004="","",K1003))</f>
        <v/>
      </c>
      <c r="L1004">
        <f>IF(A1004="","",IF(ISNUMBER(--LEFT(A1004,FIND(" - ",A1004&amp;" - ")-1)),LEFT(A1004,FIND(" - ",A1004&amp;" - ")-1),TRIM(A1004)))</f>
        <v/>
      </c>
      <c r="M1004">
        <f>IF(OR(K1004="",K1004=A1004,A1004=""),"",K1004&amp;"|"&amp;L1004)</f>
        <v/>
      </c>
      <c r="N1004">
        <f>IF(M1004="","",IF(ISNUMBER(B1004),B1004,IFERROR(_xlfn.NUMBERVALUE(B1004,".",","),0)))</f>
        <v/>
      </c>
      <c r="O1004">
        <f>IF(M1004="","",IF(ISNUMBER(C1004),C1004,IFERROR(_xlfn.NUMBERVALUE(C1004,".",","),0)))</f>
        <v/>
      </c>
    </row>
    <row r="1005">
      <c r="K1005">
        <f>IF(OR(LEFT(B1005,9)="DOANH THU",LEFT(B1005,8)="SỐ LƯỢNG"),A1005,IF(A1005="","",K1004))</f>
        <v/>
      </c>
      <c r="L1005">
        <f>IF(A1005="","",IF(ISNUMBER(--LEFT(A1005,FIND(" - ",A1005&amp;" - ")-1)),LEFT(A1005,FIND(" - ",A1005&amp;" - ")-1),TRIM(A1005)))</f>
        <v/>
      </c>
      <c r="M1005">
        <f>IF(OR(K1005="",K1005=A1005,A1005=""),"",K1005&amp;"|"&amp;L1005)</f>
        <v/>
      </c>
      <c r="N1005">
        <f>IF(M1005="","",IF(ISNUMBER(B1005),B1005,IFERROR(_xlfn.NUMBERVALUE(B1005,".",","),0)))</f>
        <v/>
      </c>
      <c r="O1005">
        <f>IF(M1005="","",IF(ISNUMBER(C1005),C1005,IFERROR(_xlfn.NUMBERVALUE(C1005,".",","),0)))</f>
        <v/>
      </c>
    </row>
    <row r="1006">
      <c r="K1006">
        <f>IF(OR(LEFT(B1006,9)="DOANH THU",LEFT(B1006,8)="SỐ LƯỢNG"),A1006,IF(A1006="","",K1005))</f>
        <v/>
      </c>
      <c r="L1006">
        <f>IF(A1006="","",IF(ISNUMBER(--LEFT(A1006,FIND(" - ",A1006&amp;" - ")-1)),LEFT(A1006,FIND(" - ",A1006&amp;" - ")-1),TRIM(A1006)))</f>
        <v/>
      </c>
      <c r="M1006">
        <f>IF(OR(K1006="",K1006=A1006,A1006=""),"",K1006&amp;"|"&amp;L1006)</f>
        <v/>
      </c>
      <c r="N1006">
        <f>IF(M1006="","",IF(ISNUMBER(B1006),B1006,IFERROR(_xlfn.NUMBERVALUE(B1006,".",","),0)))</f>
        <v/>
      </c>
      <c r="O1006">
        <f>IF(M1006="","",IF(ISNUMBER(C1006),C1006,IFERROR(_xlfn.NUMBERVALUE(C1006,".",","),0)))</f>
        <v/>
      </c>
    </row>
    <row r="1007">
      <c r="K1007">
        <f>IF(OR(LEFT(B1007,9)="DOANH THU",LEFT(B1007,8)="SỐ LƯỢNG"),A1007,IF(A1007="","",K1006))</f>
        <v/>
      </c>
      <c r="L1007">
        <f>IF(A1007="","",IF(ISNUMBER(--LEFT(A1007,FIND(" - ",A1007&amp;" - ")-1)),LEFT(A1007,FIND(" - ",A1007&amp;" - ")-1),TRIM(A1007)))</f>
        <v/>
      </c>
      <c r="M1007">
        <f>IF(OR(K1007="",K1007=A1007,A1007=""),"",K1007&amp;"|"&amp;L1007)</f>
        <v/>
      </c>
      <c r="N1007">
        <f>IF(M1007="","",IF(ISNUMBER(B1007),B1007,IFERROR(_xlfn.NUMBERVALUE(B1007,".",","),0)))</f>
        <v/>
      </c>
      <c r="O1007">
        <f>IF(M1007="","",IF(ISNUMBER(C1007),C1007,IFERROR(_xlfn.NUMBERVALUE(C1007,".",","),0)))</f>
        <v/>
      </c>
    </row>
    <row r="1008">
      <c r="K1008">
        <f>IF(OR(LEFT(B1008,9)="DOANH THU",LEFT(B1008,8)="SỐ LƯỢNG"),A1008,IF(A1008="","",K1007))</f>
        <v/>
      </c>
      <c r="L1008">
        <f>IF(A1008="","",IF(ISNUMBER(--LEFT(A1008,FIND(" - ",A1008&amp;" - ")-1)),LEFT(A1008,FIND(" - ",A1008&amp;" - ")-1),TRIM(A1008)))</f>
        <v/>
      </c>
      <c r="M1008">
        <f>IF(OR(K1008="",K1008=A1008,A1008=""),"",K1008&amp;"|"&amp;L1008)</f>
        <v/>
      </c>
      <c r="N1008">
        <f>IF(M1008="","",IF(ISNUMBER(B1008),B1008,IFERROR(_xlfn.NUMBERVALUE(B1008,".",","),0)))</f>
        <v/>
      </c>
      <c r="O1008">
        <f>IF(M1008="","",IF(ISNUMBER(C1008),C1008,IFERROR(_xlfn.NUMBERVALUE(C1008,".",","),0)))</f>
        <v/>
      </c>
    </row>
    <row r="1009">
      <c r="K1009">
        <f>IF(OR(LEFT(B1009,9)="DOANH THU",LEFT(B1009,8)="SỐ LƯỢNG"),A1009,IF(A1009="","",K1008))</f>
        <v/>
      </c>
      <c r="L1009">
        <f>IF(A1009="","",IF(ISNUMBER(--LEFT(A1009,FIND(" - ",A1009&amp;" - ")-1)),LEFT(A1009,FIND(" - ",A1009&amp;" - ")-1),TRIM(A1009)))</f>
        <v/>
      </c>
      <c r="M1009">
        <f>IF(OR(K1009="",K1009=A1009,A1009=""),"",K1009&amp;"|"&amp;L1009)</f>
        <v/>
      </c>
      <c r="N1009">
        <f>IF(M1009="","",IF(ISNUMBER(B1009),B1009,IFERROR(_xlfn.NUMBERVALUE(B1009,".",","),0)))</f>
        <v/>
      </c>
      <c r="O1009">
        <f>IF(M1009="","",IF(ISNUMBER(C1009),C1009,IFERROR(_xlfn.NUMBERVALUE(C1009,".",","),0)))</f>
        <v/>
      </c>
    </row>
    <row r="1010">
      <c r="K1010">
        <f>IF(OR(LEFT(B1010,9)="DOANH THU",LEFT(B1010,8)="SỐ LƯỢNG"),A1010,IF(A1010="","",K1009))</f>
        <v/>
      </c>
      <c r="L1010">
        <f>IF(A1010="","",IF(ISNUMBER(--LEFT(A1010,FIND(" - ",A1010&amp;" - ")-1)),LEFT(A1010,FIND(" - ",A1010&amp;" - ")-1),TRIM(A1010)))</f>
        <v/>
      </c>
      <c r="M1010">
        <f>IF(OR(K1010="",K1010=A1010,A1010=""),"",K1010&amp;"|"&amp;L1010)</f>
        <v/>
      </c>
      <c r="N1010">
        <f>IF(M1010="","",IF(ISNUMBER(B1010),B1010,IFERROR(_xlfn.NUMBERVALUE(B1010,".",","),0)))</f>
        <v/>
      </c>
      <c r="O1010">
        <f>IF(M1010="","",IF(ISNUMBER(C1010),C1010,IFERROR(_xlfn.NUMBERVALUE(C1010,".",","),0)))</f>
        <v/>
      </c>
    </row>
    <row r="1011">
      <c r="K1011">
        <f>IF(OR(LEFT(B1011,9)="DOANH THU",LEFT(B1011,8)="SỐ LƯỢNG"),A1011,IF(A1011="","",K1010))</f>
        <v/>
      </c>
      <c r="L1011">
        <f>IF(A1011="","",IF(ISNUMBER(--LEFT(A1011,FIND(" - ",A1011&amp;" - ")-1)),LEFT(A1011,FIND(" - ",A1011&amp;" - ")-1),TRIM(A1011)))</f>
        <v/>
      </c>
      <c r="M1011">
        <f>IF(OR(K1011="",K1011=A1011,A1011=""),"",K1011&amp;"|"&amp;L1011)</f>
        <v/>
      </c>
      <c r="N1011">
        <f>IF(M1011="","",IF(ISNUMBER(B1011),B1011,IFERROR(_xlfn.NUMBERVALUE(B1011,".",","),0)))</f>
        <v/>
      </c>
      <c r="O1011">
        <f>IF(M1011="","",IF(ISNUMBER(C1011),C1011,IFERROR(_xlfn.NUMBERVALUE(C1011,".",","),0)))</f>
        <v/>
      </c>
    </row>
    <row r="1012">
      <c r="K1012">
        <f>IF(OR(LEFT(B1012,9)="DOANH THU",LEFT(B1012,8)="SỐ LƯỢNG"),A1012,IF(A1012="","",K1011))</f>
        <v/>
      </c>
      <c r="L1012">
        <f>IF(A1012="","",IF(ISNUMBER(--LEFT(A1012,FIND(" - ",A1012&amp;" - ")-1)),LEFT(A1012,FIND(" - ",A1012&amp;" - ")-1),TRIM(A1012)))</f>
        <v/>
      </c>
      <c r="M1012">
        <f>IF(OR(K1012="",K1012=A1012,A1012=""),"",K1012&amp;"|"&amp;L1012)</f>
        <v/>
      </c>
      <c r="N1012">
        <f>IF(M1012="","",IF(ISNUMBER(B1012),B1012,IFERROR(_xlfn.NUMBERVALUE(B1012,".",","),0)))</f>
        <v/>
      </c>
      <c r="O1012">
        <f>IF(M1012="","",IF(ISNUMBER(C1012),C1012,IFERROR(_xlfn.NUMBERVALUE(C1012,".",","),0)))</f>
        <v/>
      </c>
    </row>
    <row r="1013">
      <c r="K1013">
        <f>IF(OR(LEFT(B1013,9)="DOANH THU",LEFT(B1013,8)="SỐ LƯỢNG"),A1013,IF(A1013="","",K1012))</f>
        <v/>
      </c>
      <c r="L1013">
        <f>IF(A1013="","",IF(ISNUMBER(--LEFT(A1013,FIND(" - ",A1013&amp;" - ")-1)),LEFT(A1013,FIND(" - ",A1013&amp;" - ")-1),TRIM(A1013)))</f>
        <v/>
      </c>
      <c r="M1013">
        <f>IF(OR(K1013="",K1013=A1013,A1013=""),"",K1013&amp;"|"&amp;L1013)</f>
        <v/>
      </c>
      <c r="N1013">
        <f>IF(M1013="","",IF(ISNUMBER(B1013),B1013,IFERROR(_xlfn.NUMBERVALUE(B1013,".",","),0)))</f>
        <v/>
      </c>
      <c r="O1013">
        <f>IF(M1013="","",IF(ISNUMBER(C1013),C1013,IFERROR(_xlfn.NUMBERVALUE(C1013,".",","),0)))</f>
        <v/>
      </c>
    </row>
    <row r="1014">
      <c r="K1014">
        <f>IF(OR(LEFT(B1014,9)="DOANH THU",LEFT(B1014,8)="SỐ LƯỢNG"),A1014,IF(A1014="","",K1013))</f>
        <v/>
      </c>
      <c r="L1014">
        <f>IF(A1014="","",IF(ISNUMBER(--LEFT(A1014,FIND(" - ",A1014&amp;" - ")-1)),LEFT(A1014,FIND(" - ",A1014&amp;" - ")-1),TRIM(A1014)))</f>
        <v/>
      </c>
      <c r="M1014">
        <f>IF(OR(K1014="",K1014=A1014,A1014=""),"",K1014&amp;"|"&amp;L1014)</f>
        <v/>
      </c>
      <c r="N1014">
        <f>IF(M1014="","",IF(ISNUMBER(B1014),B1014,IFERROR(_xlfn.NUMBERVALUE(B1014,".",","),0)))</f>
        <v/>
      </c>
      <c r="O1014">
        <f>IF(M1014="","",IF(ISNUMBER(C1014),C1014,IFERROR(_xlfn.NUMBERVALUE(C1014,".",","),0)))</f>
        <v/>
      </c>
    </row>
    <row r="1015">
      <c r="K1015">
        <f>IF(OR(LEFT(B1015,9)="DOANH THU",LEFT(B1015,8)="SỐ LƯỢNG"),A1015,IF(A1015="","",K1014))</f>
        <v/>
      </c>
      <c r="L1015">
        <f>IF(A1015="","",IF(ISNUMBER(--LEFT(A1015,FIND(" - ",A1015&amp;" - ")-1)),LEFT(A1015,FIND(" - ",A1015&amp;" - ")-1),TRIM(A1015)))</f>
        <v/>
      </c>
      <c r="M1015">
        <f>IF(OR(K1015="",K1015=A1015,A1015=""),"",K1015&amp;"|"&amp;L1015)</f>
        <v/>
      </c>
      <c r="N1015">
        <f>IF(M1015="","",IF(ISNUMBER(B1015),B1015,IFERROR(_xlfn.NUMBERVALUE(B1015,".",","),0)))</f>
        <v/>
      </c>
      <c r="O1015">
        <f>IF(M1015="","",IF(ISNUMBER(C1015),C1015,IFERROR(_xlfn.NUMBERVALUE(C1015,".",","),0)))</f>
        <v/>
      </c>
    </row>
    <row r="1016">
      <c r="K1016">
        <f>IF(OR(LEFT(B1016,9)="DOANH THU",LEFT(B1016,8)="SỐ LƯỢNG"),A1016,IF(A1016="","",K1015))</f>
        <v/>
      </c>
      <c r="L1016">
        <f>IF(A1016="","",IF(ISNUMBER(--LEFT(A1016,FIND(" - ",A1016&amp;" - ")-1)),LEFT(A1016,FIND(" - ",A1016&amp;" - ")-1),TRIM(A1016)))</f>
        <v/>
      </c>
      <c r="M1016">
        <f>IF(OR(K1016="",K1016=A1016,A1016=""),"",K1016&amp;"|"&amp;L1016)</f>
        <v/>
      </c>
      <c r="N1016">
        <f>IF(M1016="","",IF(ISNUMBER(B1016),B1016,IFERROR(_xlfn.NUMBERVALUE(B1016,".",","),0)))</f>
        <v/>
      </c>
      <c r="O1016">
        <f>IF(M1016="","",IF(ISNUMBER(C1016),C1016,IFERROR(_xlfn.NUMBERVALUE(C1016,".",","),0)))</f>
        <v/>
      </c>
    </row>
    <row r="1017">
      <c r="K1017">
        <f>IF(OR(LEFT(B1017,9)="DOANH THU",LEFT(B1017,8)="SỐ LƯỢNG"),A1017,IF(A1017="","",K1016))</f>
        <v/>
      </c>
      <c r="L1017">
        <f>IF(A1017="","",IF(ISNUMBER(--LEFT(A1017,FIND(" - ",A1017&amp;" - ")-1)),LEFT(A1017,FIND(" - ",A1017&amp;" - ")-1),TRIM(A1017)))</f>
        <v/>
      </c>
      <c r="M1017">
        <f>IF(OR(K1017="",K1017=A1017,A1017=""),"",K1017&amp;"|"&amp;L1017)</f>
        <v/>
      </c>
      <c r="N1017">
        <f>IF(M1017="","",IF(ISNUMBER(B1017),B1017,IFERROR(_xlfn.NUMBERVALUE(B1017,".",","),0)))</f>
        <v/>
      </c>
      <c r="O1017">
        <f>IF(M1017="","",IF(ISNUMBER(C1017),C1017,IFERROR(_xlfn.NUMBERVALUE(C1017,".",","),0)))</f>
        <v/>
      </c>
    </row>
    <row r="1018">
      <c r="K1018">
        <f>IF(OR(LEFT(B1018,9)="DOANH THU",LEFT(B1018,8)="SỐ LƯỢNG"),A1018,IF(A1018="","",K1017))</f>
        <v/>
      </c>
      <c r="L1018">
        <f>IF(A1018="","",IF(ISNUMBER(--LEFT(A1018,FIND(" - ",A1018&amp;" - ")-1)),LEFT(A1018,FIND(" - ",A1018&amp;" - ")-1),TRIM(A1018)))</f>
        <v/>
      </c>
      <c r="M1018">
        <f>IF(OR(K1018="",K1018=A1018,A1018=""),"",K1018&amp;"|"&amp;L1018)</f>
        <v/>
      </c>
      <c r="N1018">
        <f>IF(M1018="","",IF(ISNUMBER(B1018),B1018,IFERROR(_xlfn.NUMBERVALUE(B1018,".",","),0)))</f>
        <v/>
      </c>
      <c r="O1018">
        <f>IF(M1018="","",IF(ISNUMBER(C1018),C1018,IFERROR(_xlfn.NUMBERVALUE(C1018,".",","),0)))</f>
        <v/>
      </c>
    </row>
    <row r="1019">
      <c r="K1019">
        <f>IF(OR(LEFT(B1019,9)="DOANH THU",LEFT(B1019,8)="SỐ LƯỢNG"),A1019,IF(A1019="","",K1018))</f>
        <v/>
      </c>
      <c r="L1019">
        <f>IF(A1019="","",IF(ISNUMBER(--LEFT(A1019,FIND(" - ",A1019&amp;" - ")-1)),LEFT(A1019,FIND(" - ",A1019&amp;" - ")-1),TRIM(A1019)))</f>
        <v/>
      </c>
      <c r="M1019">
        <f>IF(OR(K1019="",K1019=A1019,A1019=""),"",K1019&amp;"|"&amp;L1019)</f>
        <v/>
      </c>
      <c r="N1019">
        <f>IF(M1019="","",IF(ISNUMBER(B1019),B1019,IFERROR(_xlfn.NUMBERVALUE(B1019,".",","),0)))</f>
        <v/>
      </c>
      <c r="O1019">
        <f>IF(M1019="","",IF(ISNUMBER(C1019),C1019,IFERROR(_xlfn.NUMBERVALUE(C1019,".",","),0)))</f>
        <v/>
      </c>
    </row>
    <row r="1020">
      <c r="K1020">
        <f>IF(OR(LEFT(B1020,9)="DOANH THU",LEFT(B1020,8)="SỐ LƯỢNG"),A1020,IF(A1020="","",K1019))</f>
        <v/>
      </c>
      <c r="L1020">
        <f>IF(A1020="","",IF(ISNUMBER(--LEFT(A1020,FIND(" - ",A1020&amp;" - ")-1)),LEFT(A1020,FIND(" - ",A1020&amp;" - ")-1),TRIM(A1020)))</f>
        <v/>
      </c>
      <c r="M1020">
        <f>IF(OR(K1020="",K1020=A1020,A1020=""),"",K1020&amp;"|"&amp;L1020)</f>
        <v/>
      </c>
      <c r="N1020">
        <f>IF(M1020="","",IF(ISNUMBER(B1020),B1020,IFERROR(_xlfn.NUMBERVALUE(B1020,".",","),0)))</f>
        <v/>
      </c>
      <c r="O1020">
        <f>IF(M1020="","",IF(ISNUMBER(C1020),C1020,IFERROR(_xlfn.NUMBERVALUE(C1020,".",","),0)))</f>
        <v/>
      </c>
    </row>
    <row r="1021">
      <c r="K1021">
        <f>IF(OR(LEFT(B1021,9)="DOANH THU",LEFT(B1021,8)="SỐ LƯỢNG"),A1021,IF(A1021="","",K1020))</f>
        <v/>
      </c>
      <c r="L1021">
        <f>IF(A1021="","",IF(ISNUMBER(--LEFT(A1021,FIND(" - ",A1021&amp;" - ")-1)),LEFT(A1021,FIND(" - ",A1021&amp;" - ")-1),TRIM(A1021)))</f>
        <v/>
      </c>
      <c r="M1021">
        <f>IF(OR(K1021="",K1021=A1021,A1021=""),"",K1021&amp;"|"&amp;L1021)</f>
        <v/>
      </c>
      <c r="N1021">
        <f>IF(M1021="","",IF(ISNUMBER(B1021),B1021,IFERROR(_xlfn.NUMBERVALUE(B1021,".",","),0)))</f>
        <v/>
      </c>
      <c r="O1021">
        <f>IF(M1021="","",IF(ISNUMBER(C1021),C1021,IFERROR(_xlfn.NUMBERVALUE(C1021,".",","),0)))</f>
        <v/>
      </c>
    </row>
    <row r="1022">
      <c r="K1022">
        <f>IF(OR(LEFT(B1022,9)="DOANH THU",LEFT(B1022,8)="SỐ LƯỢNG"),A1022,IF(A1022="","",K1021))</f>
        <v/>
      </c>
      <c r="L1022">
        <f>IF(A1022="","",IF(ISNUMBER(--LEFT(A1022,FIND(" - ",A1022&amp;" - ")-1)),LEFT(A1022,FIND(" - ",A1022&amp;" - ")-1),TRIM(A1022)))</f>
        <v/>
      </c>
      <c r="M1022">
        <f>IF(OR(K1022="",K1022=A1022,A1022=""),"",K1022&amp;"|"&amp;L1022)</f>
        <v/>
      </c>
      <c r="N1022">
        <f>IF(M1022="","",IF(ISNUMBER(B1022),B1022,IFERROR(_xlfn.NUMBERVALUE(B1022,".",","),0)))</f>
        <v/>
      </c>
      <c r="O1022">
        <f>IF(M1022="","",IF(ISNUMBER(C1022),C1022,IFERROR(_xlfn.NUMBERVALUE(C1022,".",","),0)))</f>
        <v/>
      </c>
    </row>
    <row r="1023">
      <c r="K1023">
        <f>IF(OR(LEFT(B1023,9)="DOANH THU",LEFT(B1023,8)="SỐ LƯỢNG"),A1023,IF(A1023="","",K1022))</f>
        <v/>
      </c>
      <c r="L1023">
        <f>IF(A1023="","",IF(ISNUMBER(--LEFT(A1023,FIND(" - ",A1023&amp;" - ")-1)),LEFT(A1023,FIND(" - ",A1023&amp;" - ")-1),TRIM(A1023)))</f>
        <v/>
      </c>
      <c r="M1023">
        <f>IF(OR(K1023="",K1023=A1023,A1023=""),"",K1023&amp;"|"&amp;L1023)</f>
        <v/>
      </c>
      <c r="N1023">
        <f>IF(M1023="","",IF(ISNUMBER(B1023),B1023,IFERROR(_xlfn.NUMBERVALUE(B1023,".",","),0)))</f>
        <v/>
      </c>
      <c r="O1023">
        <f>IF(M1023="","",IF(ISNUMBER(C1023),C1023,IFERROR(_xlfn.NUMBERVALUE(C1023,".",","),0)))</f>
        <v/>
      </c>
    </row>
    <row r="1024">
      <c r="K1024">
        <f>IF(OR(LEFT(B1024,9)="DOANH THU",LEFT(B1024,8)="SỐ LƯỢNG"),A1024,IF(A1024="","",K1023))</f>
        <v/>
      </c>
      <c r="L1024">
        <f>IF(A1024="","",IF(ISNUMBER(--LEFT(A1024,FIND(" - ",A1024&amp;" - ")-1)),LEFT(A1024,FIND(" - ",A1024&amp;" - ")-1),TRIM(A1024)))</f>
        <v/>
      </c>
      <c r="M1024">
        <f>IF(OR(K1024="",K1024=A1024,A1024=""),"",K1024&amp;"|"&amp;L1024)</f>
        <v/>
      </c>
      <c r="N1024">
        <f>IF(M1024="","",IF(ISNUMBER(B1024),B1024,IFERROR(_xlfn.NUMBERVALUE(B1024,".",","),0)))</f>
        <v/>
      </c>
      <c r="O1024">
        <f>IF(M1024="","",IF(ISNUMBER(C1024),C1024,IFERROR(_xlfn.NUMBERVALUE(C1024,".",","),0)))</f>
        <v/>
      </c>
    </row>
    <row r="1025">
      <c r="K1025">
        <f>IF(OR(LEFT(B1025,9)="DOANH THU",LEFT(B1025,8)="SỐ LƯỢNG"),A1025,IF(A1025="","",K1024))</f>
        <v/>
      </c>
      <c r="L1025">
        <f>IF(A1025="","",IF(ISNUMBER(--LEFT(A1025,FIND(" - ",A1025&amp;" - ")-1)),LEFT(A1025,FIND(" - ",A1025&amp;" - ")-1),TRIM(A1025)))</f>
        <v/>
      </c>
      <c r="M1025">
        <f>IF(OR(K1025="",K1025=A1025,A1025=""),"",K1025&amp;"|"&amp;L1025)</f>
        <v/>
      </c>
      <c r="N1025">
        <f>IF(M1025="","",IF(ISNUMBER(B1025),B1025,IFERROR(_xlfn.NUMBERVALUE(B1025,".",","),0)))</f>
        <v/>
      </c>
      <c r="O1025">
        <f>IF(M1025="","",IF(ISNUMBER(C1025),C1025,IFERROR(_xlfn.NUMBERVALUE(C1025,".",","),0)))</f>
        <v/>
      </c>
    </row>
    <row r="1026">
      <c r="K1026">
        <f>IF(OR(LEFT(B1026,9)="DOANH THU",LEFT(B1026,8)="SỐ LƯỢNG"),A1026,IF(A1026="","",K1025))</f>
        <v/>
      </c>
      <c r="L1026">
        <f>IF(A1026="","",IF(ISNUMBER(--LEFT(A1026,FIND(" - ",A1026&amp;" - ")-1)),LEFT(A1026,FIND(" - ",A1026&amp;" - ")-1),TRIM(A1026)))</f>
        <v/>
      </c>
      <c r="M1026">
        <f>IF(OR(K1026="",K1026=A1026,A1026=""),"",K1026&amp;"|"&amp;L1026)</f>
        <v/>
      </c>
      <c r="N1026">
        <f>IF(M1026="","",IF(ISNUMBER(B1026),B1026,IFERROR(_xlfn.NUMBERVALUE(B1026,".",","),0)))</f>
        <v/>
      </c>
      <c r="O1026">
        <f>IF(M1026="","",IF(ISNUMBER(C1026),C1026,IFERROR(_xlfn.NUMBERVALUE(C1026,".",","),0)))</f>
        <v/>
      </c>
    </row>
    <row r="1027">
      <c r="K1027">
        <f>IF(OR(LEFT(B1027,9)="DOANH THU",LEFT(B1027,8)="SỐ LƯỢNG"),A1027,IF(A1027="","",K1026))</f>
        <v/>
      </c>
      <c r="L1027">
        <f>IF(A1027="","",IF(ISNUMBER(--LEFT(A1027,FIND(" - ",A1027&amp;" - ")-1)),LEFT(A1027,FIND(" - ",A1027&amp;" - ")-1),TRIM(A1027)))</f>
        <v/>
      </c>
      <c r="M1027">
        <f>IF(OR(K1027="",K1027=A1027,A1027=""),"",K1027&amp;"|"&amp;L1027)</f>
        <v/>
      </c>
      <c r="N1027">
        <f>IF(M1027="","",IF(ISNUMBER(B1027),B1027,IFERROR(_xlfn.NUMBERVALUE(B1027,".",","),0)))</f>
        <v/>
      </c>
      <c r="O1027">
        <f>IF(M1027="","",IF(ISNUMBER(C1027),C1027,IFERROR(_xlfn.NUMBERVALUE(C1027,".",","),0)))</f>
        <v/>
      </c>
    </row>
    <row r="1028">
      <c r="K1028">
        <f>IF(OR(LEFT(B1028,9)="DOANH THU",LEFT(B1028,8)="SỐ LƯỢNG"),A1028,IF(A1028="","",K1027))</f>
        <v/>
      </c>
      <c r="L1028">
        <f>IF(A1028="","",IF(ISNUMBER(--LEFT(A1028,FIND(" - ",A1028&amp;" - ")-1)),LEFT(A1028,FIND(" - ",A1028&amp;" - ")-1),TRIM(A1028)))</f>
        <v/>
      </c>
      <c r="M1028">
        <f>IF(OR(K1028="",K1028=A1028,A1028=""),"",K1028&amp;"|"&amp;L1028)</f>
        <v/>
      </c>
      <c r="N1028">
        <f>IF(M1028="","",IF(ISNUMBER(B1028),B1028,IFERROR(_xlfn.NUMBERVALUE(B1028,".",","),0)))</f>
        <v/>
      </c>
      <c r="O1028">
        <f>IF(M1028="","",IF(ISNUMBER(C1028),C1028,IFERROR(_xlfn.NUMBERVALUE(C1028,".",","),0)))</f>
        <v/>
      </c>
    </row>
    <row r="1029">
      <c r="K1029">
        <f>IF(OR(LEFT(B1029,9)="DOANH THU",LEFT(B1029,8)="SỐ LƯỢNG"),A1029,IF(A1029="","",K1028))</f>
        <v/>
      </c>
      <c r="L1029">
        <f>IF(A1029="","",IF(ISNUMBER(--LEFT(A1029,FIND(" - ",A1029&amp;" - ")-1)),LEFT(A1029,FIND(" - ",A1029&amp;" - ")-1),TRIM(A1029)))</f>
        <v/>
      </c>
      <c r="M1029">
        <f>IF(OR(K1029="",K1029=A1029,A1029=""),"",K1029&amp;"|"&amp;L1029)</f>
        <v/>
      </c>
      <c r="N1029">
        <f>IF(M1029="","",IF(ISNUMBER(B1029),B1029,IFERROR(_xlfn.NUMBERVALUE(B1029,".",","),0)))</f>
        <v/>
      </c>
      <c r="O1029">
        <f>IF(M1029="","",IF(ISNUMBER(C1029),C1029,IFERROR(_xlfn.NUMBERVALUE(C1029,".",","),0)))</f>
        <v/>
      </c>
    </row>
    <row r="1030">
      <c r="K1030">
        <f>IF(OR(LEFT(B1030,9)="DOANH THU",LEFT(B1030,8)="SỐ LƯỢNG"),A1030,IF(A1030="","",K1029))</f>
        <v/>
      </c>
      <c r="L1030">
        <f>IF(A1030="","",IF(ISNUMBER(--LEFT(A1030,FIND(" - ",A1030&amp;" - ")-1)),LEFT(A1030,FIND(" - ",A1030&amp;" - ")-1),TRIM(A1030)))</f>
        <v/>
      </c>
      <c r="M1030">
        <f>IF(OR(K1030="",K1030=A1030,A1030=""),"",K1030&amp;"|"&amp;L1030)</f>
        <v/>
      </c>
      <c r="N1030">
        <f>IF(M1030="","",IF(ISNUMBER(B1030),B1030,IFERROR(_xlfn.NUMBERVALUE(B1030,".",","),0)))</f>
        <v/>
      </c>
      <c r="O1030">
        <f>IF(M1030="","",IF(ISNUMBER(C1030),C1030,IFERROR(_xlfn.NUMBERVALUE(C1030,".",","),0)))</f>
        <v/>
      </c>
    </row>
    <row r="1031">
      <c r="K1031">
        <f>IF(OR(LEFT(B1031,9)="DOANH THU",LEFT(B1031,8)="SỐ LƯỢNG"),A1031,IF(A1031="","",K1030))</f>
        <v/>
      </c>
      <c r="L1031">
        <f>IF(A1031="","",IF(ISNUMBER(--LEFT(A1031,FIND(" - ",A1031&amp;" - ")-1)),LEFT(A1031,FIND(" - ",A1031&amp;" - ")-1),TRIM(A1031)))</f>
        <v/>
      </c>
      <c r="M1031">
        <f>IF(OR(K1031="",K1031=A1031,A1031=""),"",K1031&amp;"|"&amp;L1031)</f>
        <v/>
      </c>
      <c r="N1031">
        <f>IF(M1031="","",IF(ISNUMBER(B1031),B1031,IFERROR(_xlfn.NUMBERVALUE(B1031,".",","),0)))</f>
        <v/>
      </c>
      <c r="O1031">
        <f>IF(M1031="","",IF(ISNUMBER(C1031),C1031,IFERROR(_xlfn.NUMBERVALUE(C1031,".",","),0)))</f>
        <v/>
      </c>
    </row>
    <row r="1032">
      <c r="K1032">
        <f>IF(OR(LEFT(B1032,9)="DOANH THU",LEFT(B1032,8)="SỐ LƯỢNG"),A1032,IF(A1032="","",K1031))</f>
        <v/>
      </c>
      <c r="L1032">
        <f>IF(A1032="","",IF(ISNUMBER(--LEFT(A1032,FIND(" - ",A1032&amp;" - ")-1)),LEFT(A1032,FIND(" - ",A1032&amp;" - ")-1),TRIM(A1032)))</f>
        <v/>
      </c>
      <c r="M1032">
        <f>IF(OR(K1032="",K1032=A1032,A1032=""),"",K1032&amp;"|"&amp;L1032)</f>
        <v/>
      </c>
      <c r="N1032">
        <f>IF(M1032="","",IF(ISNUMBER(B1032),B1032,IFERROR(_xlfn.NUMBERVALUE(B1032,".",","),0)))</f>
        <v/>
      </c>
      <c r="O1032">
        <f>IF(M1032="","",IF(ISNUMBER(C1032),C1032,IFERROR(_xlfn.NUMBERVALUE(C1032,".",","),0)))</f>
        <v/>
      </c>
    </row>
    <row r="1033">
      <c r="K1033">
        <f>IF(OR(LEFT(B1033,9)="DOANH THU",LEFT(B1033,8)="SỐ LƯỢNG"),A1033,IF(A1033="","",K1032))</f>
        <v/>
      </c>
      <c r="L1033">
        <f>IF(A1033="","",IF(ISNUMBER(--LEFT(A1033,FIND(" - ",A1033&amp;" - ")-1)),LEFT(A1033,FIND(" - ",A1033&amp;" - ")-1),TRIM(A1033)))</f>
        <v/>
      </c>
      <c r="M1033">
        <f>IF(OR(K1033="",K1033=A1033,A1033=""),"",K1033&amp;"|"&amp;L1033)</f>
        <v/>
      </c>
      <c r="N1033">
        <f>IF(M1033="","",IF(ISNUMBER(B1033),B1033,IFERROR(_xlfn.NUMBERVALUE(B1033,".",","),0)))</f>
        <v/>
      </c>
      <c r="O1033">
        <f>IF(M1033="","",IF(ISNUMBER(C1033),C1033,IFERROR(_xlfn.NUMBERVALUE(C1033,".",","),0)))</f>
        <v/>
      </c>
    </row>
    <row r="1034">
      <c r="K1034">
        <f>IF(OR(LEFT(B1034,9)="DOANH THU",LEFT(B1034,8)="SỐ LƯỢNG"),A1034,IF(A1034="","",K1033))</f>
        <v/>
      </c>
      <c r="L1034">
        <f>IF(A1034="","",IF(ISNUMBER(--LEFT(A1034,FIND(" - ",A1034&amp;" - ")-1)),LEFT(A1034,FIND(" - ",A1034&amp;" - ")-1),TRIM(A1034)))</f>
        <v/>
      </c>
      <c r="M1034">
        <f>IF(OR(K1034="",K1034=A1034,A1034=""),"",K1034&amp;"|"&amp;L1034)</f>
        <v/>
      </c>
      <c r="N1034">
        <f>IF(M1034="","",IF(ISNUMBER(B1034),B1034,IFERROR(_xlfn.NUMBERVALUE(B1034,".",","),0)))</f>
        <v/>
      </c>
      <c r="O1034">
        <f>IF(M1034="","",IF(ISNUMBER(C1034),C1034,IFERROR(_xlfn.NUMBERVALUE(C1034,".",","),0)))</f>
        <v/>
      </c>
    </row>
    <row r="1035">
      <c r="K1035">
        <f>IF(OR(LEFT(B1035,9)="DOANH THU",LEFT(B1035,8)="SỐ LƯỢNG"),A1035,IF(A1035="","",K1034))</f>
        <v/>
      </c>
      <c r="L1035">
        <f>IF(A1035="","",IF(ISNUMBER(--LEFT(A1035,FIND(" - ",A1035&amp;" - ")-1)),LEFT(A1035,FIND(" - ",A1035&amp;" - ")-1),TRIM(A1035)))</f>
        <v/>
      </c>
      <c r="M1035">
        <f>IF(OR(K1035="",K1035=A1035,A1035=""),"",K1035&amp;"|"&amp;L1035)</f>
        <v/>
      </c>
      <c r="N1035">
        <f>IF(M1035="","",IF(ISNUMBER(B1035),B1035,IFERROR(_xlfn.NUMBERVALUE(B1035,".",","),0)))</f>
        <v/>
      </c>
      <c r="O1035">
        <f>IF(M1035="","",IF(ISNUMBER(C1035),C1035,IFERROR(_xlfn.NUMBERVALUE(C1035,".",","),0)))</f>
        <v/>
      </c>
    </row>
    <row r="1036">
      <c r="K1036">
        <f>IF(OR(LEFT(B1036,9)="DOANH THU",LEFT(B1036,8)="SỐ LƯỢNG"),A1036,IF(A1036="","",K1035))</f>
        <v/>
      </c>
      <c r="L1036">
        <f>IF(A1036="","",IF(ISNUMBER(--LEFT(A1036,FIND(" - ",A1036&amp;" - ")-1)),LEFT(A1036,FIND(" - ",A1036&amp;" - ")-1),TRIM(A1036)))</f>
        <v/>
      </c>
      <c r="M1036">
        <f>IF(OR(K1036="",K1036=A1036,A1036=""),"",K1036&amp;"|"&amp;L1036)</f>
        <v/>
      </c>
      <c r="N1036">
        <f>IF(M1036="","",IF(ISNUMBER(B1036),B1036,IFERROR(_xlfn.NUMBERVALUE(B1036,".",","),0)))</f>
        <v/>
      </c>
      <c r="O1036">
        <f>IF(M1036="","",IF(ISNUMBER(C1036),C1036,IFERROR(_xlfn.NUMBERVALUE(C1036,".",","),0)))</f>
        <v/>
      </c>
    </row>
    <row r="1037">
      <c r="K1037">
        <f>IF(OR(LEFT(B1037,9)="DOANH THU",LEFT(B1037,8)="SỐ LƯỢNG"),A1037,IF(A1037="","",K1036))</f>
        <v/>
      </c>
      <c r="L1037">
        <f>IF(A1037="","",IF(ISNUMBER(--LEFT(A1037,FIND(" - ",A1037&amp;" - ")-1)),LEFT(A1037,FIND(" - ",A1037&amp;" - ")-1),TRIM(A1037)))</f>
        <v/>
      </c>
      <c r="M1037">
        <f>IF(OR(K1037="",K1037=A1037,A1037=""),"",K1037&amp;"|"&amp;L1037)</f>
        <v/>
      </c>
      <c r="N1037">
        <f>IF(M1037="","",IF(ISNUMBER(B1037),B1037,IFERROR(_xlfn.NUMBERVALUE(B1037,".",","),0)))</f>
        <v/>
      </c>
      <c r="O1037">
        <f>IF(M1037="","",IF(ISNUMBER(C1037),C1037,IFERROR(_xlfn.NUMBERVALUE(C1037,".",","),0)))</f>
        <v/>
      </c>
    </row>
    <row r="1038">
      <c r="K1038">
        <f>IF(OR(LEFT(B1038,9)="DOANH THU",LEFT(B1038,8)="SỐ LƯỢNG"),A1038,IF(A1038="","",K1037))</f>
        <v/>
      </c>
      <c r="L1038">
        <f>IF(A1038="","",IF(ISNUMBER(--LEFT(A1038,FIND(" - ",A1038&amp;" - ")-1)),LEFT(A1038,FIND(" - ",A1038&amp;" - ")-1),TRIM(A1038)))</f>
        <v/>
      </c>
      <c r="M1038">
        <f>IF(OR(K1038="",K1038=A1038,A1038=""),"",K1038&amp;"|"&amp;L1038)</f>
        <v/>
      </c>
      <c r="N1038">
        <f>IF(M1038="","",IF(ISNUMBER(B1038),B1038,IFERROR(_xlfn.NUMBERVALUE(B1038,".",","),0)))</f>
        <v/>
      </c>
      <c r="O1038">
        <f>IF(M1038="","",IF(ISNUMBER(C1038),C1038,IFERROR(_xlfn.NUMBERVALUE(C1038,".",","),0)))</f>
        <v/>
      </c>
    </row>
    <row r="1039">
      <c r="K1039">
        <f>IF(OR(LEFT(B1039,9)="DOANH THU",LEFT(B1039,8)="SỐ LƯỢNG"),A1039,IF(A1039="","",K1038))</f>
        <v/>
      </c>
      <c r="L1039">
        <f>IF(A1039="","",IF(ISNUMBER(--LEFT(A1039,FIND(" - ",A1039&amp;" - ")-1)),LEFT(A1039,FIND(" - ",A1039&amp;" - ")-1),TRIM(A1039)))</f>
        <v/>
      </c>
      <c r="M1039">
        <f>IF(OR(K1039="",K1039=A1039,A1039=""),"",K1039&amp;"|"&amp;L1039)</f>
        <v/>
      </c>
      <c r="N1039">
        <f>IF(M1039="","",IF(ISNUMBER(B1039),B1039,IFERROR(_xlfn.NUMBERVALUE(B1039,".",","),0)))</f>
        <v/>
      </c>
      <c r="O1039">
        <f>IF(M1039="","",IF(ISNUMBER(C1039),C1039,IFERROR(_xlfn.NUMBERVALUE(C1039,".",","),0)))</f>
        <v/>
      </c>
    </row>
    <row r="1040">
      <c r="K1040">
        <f>IF(OR(LEFT(B1040,9)="DOANH THU",LEFT(B1040,8)="SỐ LƯỢNG"),A1040,IF(A1040="","",K1039))</f>
        <v/>
      </c>
      <c r="L1040">
        <f>IF(A1040="","",IF(ISNUMBER(--LEFT(A1040,FIND(" - ",A1040&amp;" - ")-1)),LEFT(A1040,FIND(" - ",A1040&amp;" - ")-1),TRIM(A1040)))</f>
        <v/>
      </c>
      <c r="M1040">
        <f>IF(OR(K1040="",K1040=A1040,A1040=""),"",K1040&amp;"|"&amp;L1040)</f>
        <v/>
      </c>
      <c r="N1040">
        <f>IF(M1040="","",IF(ISNUMBER(B1040),B1040,IFERROR(_xlfn.NUMBERVALUE(B1040,".",","),0)))</f>
        <v/>
      </c>
      <c r="O1040">
        <f>IF(M1040="","",IF(ISNUMBER(C1040),C1040,IFERROR(_xlfn.NUMBERVALUE(C1040,".",","),0)))</f>
        <v/>
      </c>
    </row>
    <row r="1041">
      <c r="K1041">
        <f>IF(OR(LEFT(B1041,9)="DOANH THU",LEFT(B1041,8)="SỐ LƯỢNG"),A1041,IF(A1041="","",K1040))</f>
        <v/>
      </c>
      <c r="L1041">
        <f>IF(A1041="","",IF(ISNUMBER(--LEFT(A1041,FIND(" - ",A1041&amp;" - ")-1)),LEFT(A1041,FIND(" - ",A1041&amp;" - ")-1),TRIM(A1041)))</f>
        <v/>
      </c>
      <c r="M1041">
        <f>IF(OR(K1041="",K1041=A1041,A1041=""),"",K1041&amp;"|"&amp;L1041)</f>
        <v/>
      </c>
      <c r="N1041">
        <f>IF(M1041="","",IF(ISNUMBER(B1041),B1041,IFERROR(_xlfn.NUMBERVALUE(B1041,".",","),0)))</f>
        <v/>
      </c>
      <c r="O1041">
        <f>IF(M1041="","",IF(ISNUMBER(C1041),C1041,IFERROR(_xlfn.NUMBERVALUE(C1041,".",","),0)))</f>
        <v/>
      </c>
    </row>
    <row r="1042">
      <c r="K1042">
        <f>IF(OR(LEFT(B1042,9)="DOANH THU",LEFT(B1042,8)="SỐ LƯỢNG"),A1042,IF(A1042="","",K1041))</f>
        <v/>
      </c>
      <c r="L1042">
        <f>IF(A1042="","",IF(ISNUMBER(--LEFT(A1042,FIND(" - ",A1042&amp;" - ")-1)),LEFT(A1042,FIND(" - ",A1042&amp;" - ")-1),TRIM(A1042)))</f>
        <v/>
      </c>
      <c r="M1042">
        <f>IF(OR(K1042="",K1042=A1042,A1042=""),"",K1042&amp;"|"&amp;L1042)</f>
        <v/>
      </c>
      <c r="N1042">
        <f>IF(M1042="","",IF(ISNUMBER(B1042),B1042,IFERROR(_xlfn.NUMBERVALUE(B1042,".",","),0)))</f>
        <v/>
      </c>
      <c r="O1042">
        <f>IF(M1042="","",IF(ISNUMBER(C1042),C1042,IFERROR(_xlfn.NUMBERVALUE(C1042,".",","),0)))</f>
        <v/>
      </c>
    </row>
    <row r="1043">
      <c r="K1043">
        <f>IF(OR(LEFT(B1043,9)="DOANH THU",LEFT(B1043,8)="SỐ LƯỢNG"),A1043,IF(A1043="","",K1042))</f>
        <v/>
      </c>
      <c r="L1043">
        <f>IF(A1043="","",IF(ISNUMBER(--LEFT(A1043,FIND(" - ",A1043&amp;" - ")-1)),LEFT(A1043,FIND(" - ",A1043&amp;" - ")-1),TRIM(A1043)))</f>
        <v/>
      </c>
      <c r="M1043">
        <f>IF(OR(K1043="",K1043=A1043,A1043=""),"",K1043&amp;"|"&amp;L1043)</f>
        <v/>
      </c>
      <c r="N1043">
        <f>IF(M1043="","",IF(ISNUMBER(B1043),B1043,IFERROR(_xlfn.NUMBERVALUE(B1043,".",","),0)))</f>
        <v/>
      </c>
      <c r="O1043">
        <f>IF(M1043="","",IF(ISNUMBER(C1043),C1043,IFERROR(_xlfn.NUMBERVALUE(C1043,".",","),0)))</f>
        <v/>
      </c>
    </row>
    <row r="1044">
      <c r="K1044">
        <f>IF(OR(LEFT(B1044,9)="DOANH THU",LEFT(B1044,8)="SỐ LƯỢNG"),A1044,IF(A1044="","",K1043))</f>
        <v/>
      </c>
      <c r="L1044">
        <f>IF(A1044="","",IF(ISNUMBER(--LEFT(A1044,FIND(" - ",A1044&amp;" - ")-1)),LEFT(A1044,FIND(" - ",A1044&amp;" - ")-1),TRIM(A1044)))</f>
        <v/>
      </c>
      <c r="M1044">
        <f>IF(OR(K1044="",K1044=A1044,A1044=""),"",K1044&amp;"|"&amp;L1044)</f>
        <v/>
      </c>
      <c r="N1044">
        <f>IF(M1044="","",IF(ISNUMBER(B1044),B1044,IFERROR(_xlfn.NUMBERVALUE(B1044,".",","),0)))</f>
        <v/>
      </c>
      <c r="O1044">
        <f>IF(M1044="","",IF(ISNUMBER(C1044),C1044,IFERROR(_xlfn.NUMBERVALUE(C1044,".",","),0)))</f>
        <v/>
      </c>
    </row>
    <row r="1045">
      <c r="K1045">
        <f>IF(OR(LEFT(B1045,9)="DOANH THU",LEFT(B1045,8)="SỐ LƯỢNG"),A1045,IF(A1045="","",K1044))</f>
        <v/>
      </c>
      <c r="L1045">
        <f>IF(A1045="","",IF(ISNUMBER(--LEFT(A1045,FIND(" - ",A1045&amp;" - ")-1)),LEFT(A1045,FIND(" - ",A1045&amp;" - ")-1),TRIM(A1045)))</f>
        <v/>
      </c>
      <c r="M1045">
        <f>IF(OR(K1045="",K1045=A1045,A1045=""),"",K1045&amp;"|"&amp;L1045)</f>
        <v/>
      </c>
      <c r="N1045">
        <f>IF(M1045="","",IF(ISNUMBER(B1045),B1045,IFERROR(_xlfn.NUMBERVALUE(B1045,".",","),0)))</f>
        <v/>
      </c>
      <c r="O1045">
        <f>IF(M1045="","",IF(ISNUMBER(C1045),C1045,IFERROR(_xlfn.NUMBERVALUE(C1045,".",","),0)))</f>
        <v/>
      </c>
    </row>
    <row r="1046">
      <c r="K1046">
        <f>IF(OR(LEFT(B1046,9)="DOANH THU",LEFT(B1046,8)="SỐ LƯỢNG"),A1046,IF(A1046="","",K1045))</f>
        <v/>
      </c>
      <c r="L1046">
        <f>IF(A1046="","",IF(ISNUMBER(--LEFT(A1046,FIND(" - ",A1046&amp;" - ")-1)),LEFT(A1046,FIND(" - ",A1046&amp;" - ")-1),TRIM(A1046)))</f>
        <v/>
      </c>
      <c r="M1046">
        <f>IF(OR(K1046="",K1046=A1046,A1046=""),"",K1046&amp;"|"&amp;L1046)</f>
        <v/>
      </c>
      <c r="N1046">
        <f>IF(M1046="","",IF(ISNUMBER(B1046),B1046,IFERROR(_xlfn.NUMBERVALUE(B1046,".",","),0)))</f>
        <v/>
      </c>
      <c r="O1046">
        <f>IF(M1046="","",IF(ISNUMBER(C1046),C1046,IFERROR(_xlfn.NUMBERVALUE(C1046,".",","),0)))</f>
        <v/>
      </c>
    </row>
    <row r="1047">
      <c r="K1047">
        <f>IF(OR(LEFT(B1047,9)="DOANH THU",LEFT(B1047,8)="SỐ LƯỢNG"),A1047,IF(A1047="","",K1046))</f>
        <v/>
      </c>
      <c r="L1047">
        <f>IF(A1047="","",IF(ISNUMBER(--LEFT(A1047,FIND(" - ",A1047&amp;" - ")-1)),LEFT(A1047,FIND(" - ",A1047&amp;" - ")-1),TRIM(A1047)))</f>
        <v/>
      </c>
      <c r="M1047">
        <f>IF(OR(K1047="",K1047=A1047,A1047=""),"",K1047&amp;"|"&amp;L1047)</f>
        <v/>
      </c>
      <c r="N1047">
        <f>IF(M1047="","",IF(ISNUMBER(B1047),B1047,IFERROR(_xlfn.NUMBERVALUE(B1047,".",","),0)))</f>
        <v/>
      </c>
      <c r="O1047">
        <f>IF(M1047="","",IF(ISNUMBER(C1047),C1047,IFERROR(_xlfn.NUMBERVALUE(C1047,".",","),0)))</f>
        <v/>
      </c>
    </row>
    <row r="1048">
      <c r="K1048">
        <f>IF(OR(LEFT(B1048,9)="DOANH THU",LEFT(B1048,8)="SỐ LƯỢNG"),A1048,IF(A1048="","",K1047))</f>
        <v/>
      </c>
      <c r="L1048">
        <f>IF(A1048="","",IF(ISNUMBER(--LEFT(A1048,FIND(" - ",A1048&amp;" - ")-1)),LEFT(A1048,FIND(" - ",A1048&amp;" - ")-1),TRIM(A1048)))</f>
        <v/>
      </c>
      <c r="M1048">
        <f>IF(OR(K1048="",K1048=A1048,A1048=""),"",K1048&amp;"|"&amp;L1048)</f>
        <v/>
      </c>
      <c r="N1048">
        <f>IF(M1048="","",IF(ISNUMBER(B1048),B1048,IFERROR(_xlfn.NUMBERVALUE(B1048,".",","),0)))</f>
        <v/>
      </c>
      <c r="O1048">
        <f>IF(M1048="","",IF(ISNUMBER(C1048),C1048,IFERROR(_xlfn.NUMBERVALUE(C1048,".",","),0)))</f>
        <v/>
      </c>
    </row>
    <row r="1049">
      <c r="K1049">
        <f>IF(OR(LEFT(B1049,9)="DOANH THU",LEFT(B1049,8)="SỐ LƯỢNG"),A1049,IF(A1049="","",K1048))</f>
        <v/>
      </c>
      <c r="L1049">
        <f>IF(A1049="","",IF(ISNUMBER(--LEFT(A1049,FIND(" - ",A1049&amp;" - ")-1)),LEFT(A1049,FIND(" - ",A1049&amp;" - ")-1),TRIM(A1049)))</f>
        <v/>
      </c>
      <c r="M1049">
        <f>IF(OR(K1049="",K1049=A1049,A1049=""),"",K1049&amp;"|"&amp;L1049)</f>
        <v/>
      </c>
      <c r="N1049">
        <f>IF(M1049="","",IF(ISNUMBER(B1049),B1049,IFERROR(_xlfn.NUMBERVALUE(B1049,".",","),0)))</f>
        <v/>
      </c>
      <c r="O1049">
        <f>IF(M1049="","",IF(ISNUMBER(C1049),C1049,IFERROR(_xlfn.NUMBERVALUE(C1049,".",","),0)))</f>
        <v/>
      </c>
    </row>
    <row r="1050">
      <c r="K1050">
        <f>IF(OR(LEFT(B1050,9)="DOANH THU",LEFT(B1050,8)="SỐ LƯỢNG"),A1050,IF(A1050="","",K1049))</f>
        <v/>
      </c>
      <c r="L1050">
        <f>IF(A1050="","",IF(ISNUMBER(--LEFT(A1050,FIND(" - ",A1050&amp;" - ")-1)),LEFT(A1050,FIND(" - ",A1050&amp;" - ")-1),TRIM(A1050)))</f>
        <v/>
      </c>
      <c r="M1050">
        <f>IF(OR(K1050="",K1050=A1050,A1050=""),"",K1050&amp;"|"&amp;L1050)</f>
        <v/>
      </c>
      <c r="N1050">
        <f>IF(M1050="","",IF(ISNUMBER(B1050),B1050,IFERROR(_xlfn.NUMBERVALUE(B1050,".",","),0)))</f>
        <v/>
      </c>
      <c r="O1050">
        <f>IF(M1050="","",IF(ISNUMBER(C1050),C1050,IFERROR(_xlfn.NUMBERVALUE(C1050,".",","),0)))</f>
        <v/>
      </c>
    </row>
    <row r="1051">
      <c r="K1051">
        <f>IF(OR(LEFT(B1051,9)="DOANH THU",LEFT(B1051,8)="SỐ LƯỢNG"),A1051,IF(A1051="","",K1050))</f>
        <v/>
      </c>
      <c r="L1051">
        <f>IF(A1051="","",IF(ISNUMBER(--LEFT(A1051,FIND(" - ",A1051&amp;" - ")-1)),LEFT(A1051,FIND(" - ",A1051&amp;" - ")-1),TRIM(A1051)))</f>
        <v/>
      </c>
      <c r="M1051">
        <f>IF(OR(K1051="",K1051=A1051,A1051=""),"",K1051&amp;"|"&amp;L1051)</f>
        <v/>
      </c>
      <c r="N1051">
        <f>IF(M1051="","",IF(ISNUMBER(B1051),B1051,IFERROR(_xlfn.NUMBERVALUE(B1051,".",","),0)))</f>
        <v/>
      </c>
      <c r="O1051">
        <f>IF(M1051="","",IF(ISNUMBER(C1051),C1051,IFERROR(_xlfn.NUMBERVALUE(C1051,".",","),0)))</f>
        <v/>
      </c>
    </row>
    <row r="1052">
      <c r="K1052">
        <f>IF(OR(LEFT(B1052,9)="DOANH THU",LEFT(B1052,8)="SỐ LƯỢNG"),A1052,IF(A1052="","",K1051))</f>
        <v/>
      </c>
      <c r="L1052">
        <f>IF(A1052="","",IF(ISNUMBER(--LEFT(A1052,FIND(" - ",A1052&amp;" - ")-1)),LEFT(A1052,FIND(" - ",A1052&amp;" - ")-1),TRIM(A1052)))</f>
        <v/>
      </c>
      <c r="M1052">
        <f>IF(OR(K1052="",K1052=A1052,A1052=""),"",K1052&amp;"|"&amp;L1052)</f>
        <v/>
      </c>
      <c r="N1052">
        <f>IF(M1052="","",IF(ISNUMBER(B1052),B1052,IFERROR(_xlfn.NUMBERVALUE(B1052,".",","),0)))</f>
        <v/>
      </c>
      <c r="O1052">
        <f>IF(M1052="","",IF(ISNUMBER(C1052),C1052,IFERROR(_xlfn.NUMBERVALUE(C1052,".",","),0)))</f>
        <v/>
      </c>
    </row>
    <row r="1053">
      <c r="K1053">
        <f>IF(OR(LEFT(B1053,9)="DOANH THU",LEFT(B1053,8)="SỐ LƯỢNG"),A1053,IF(A1053="","",K1052))</f>
        <v/>
      </c>
      <c r="L1053">
        <f>IF(A1053="","",IF(ISNUMBER(--LEFT(A1053,FIND(" - ",A1053&amp;" - ")-1)),LEFT(A1053,FIND(" - ",A1053&amp;" - ")-1),TRIM(A1053)))</f>
        <v/>
      </c>
      <c r="M1053">
        <f>IF(OR(K1053="",K1053=A1053,A1053=""),"",K1053&amp;"|"&amp;L1053)</f>
        <v/>
      </c>
      <c r="N1053">
        <f>IF(M1053="","",IF(ISNUMBER(B1053),B1053,IFERROR(_xlfn.NUMBERVALUE(B1053,".",","),0)))</f>
        <v/>
      </c>
      <c r="O1053">
        <f>IF(M1053="","",IF(ISNUMBER(C1053),C1053,IFERROR(_xlfn.NUMBERVALUE(C1053,".",","),0)))</f>
        <v/>
      </c>
    </row>
    <row r="1054">
      <c r="K1054">
        <f>IF(OR(LEFT(B1054,9)="DOANH THU",LEFT(B1054,8)="SỐ LƯỢNG"),A1054,IF(A1054="","",K1053))</f>
        <v/>
      </c>
      <c r="L1054">
        <f>IF(A1054="","",IF(ISNUMBER(--LEFT(A1054,FIND(" - ",A1054&amp;" - ")-1)),LEFT(A1054,FIND(" - ",A1054&amp;" - ")-1),TRIM(A1054)))</f>
        <v/>
      </c>
      <c r="M1054">
        <f>IF(OR(K1054="",K1054=A1054,A1054=""),"",K1054&amp;"|"&amp;L1054)</f>
        <v/>
      </c>
      <c r="N1054">
        <f>IF(M1054="","",IF(ISNUMBER(B1054),B1054,IFERROR(_xlfn.NUMBERVALUE(B1054,".",","),0)))</f>
        <v/>
      </c>
      <c r="O1054">
        <f>IF(M1054="","",IF(ISNUMBER(C1054),C1054,IFERROR(_xlfn.NUMBERVALUE(C1054,".",","),0)))</f>
        <v/>
      </c>
    </row>
    <row r="1055">
      <c r="K1055">
        <f>IF(OR(LEFT(B1055,9)="DOANH THU",LEFT(B1055,8)="SỐ LƯỢNG"),A1055,IF(A1055="","",K1054))</f>
        <v/>
      </c>
      <c r="L1055">
        <f>IF(A1055="","",IF(ISNUMBER(--LEFT(A1055,FIND(" - ",A1055&amp;" - ")-1)),LEFT(A1055,FIND(" - ",A1055&amp;" - ")-1),TRIM(A1055)))</f>
        <v/>
      </c>
      <c r="M1055">
        <f>IF(OR(K1055="",K1055=A1055,A1055=""),"",K1055&amp;"|"&amp;L1055)</f>
        <v/>
      </c>
      <c r="N1055">
        <f>IF(M1055="","",IF(ISNUMBER(B1055),B1055,IFERROR(_xlfn.NUMBERVALUE(B1055,".",","),0)))</f>
        <v/>
      </c>
      <c r="O1055">
        <f>IF(M1055="","",IF(ISNUMBER(C1055),C1055,IFERROR(_xlfn.NUMBERVALUE(C1055,".",","),0)))</f>
        <v/>
      </c>
    </row>
    <row r="1056">
      <c r="K1056">
        <f>IF(OR(LEFT(B1056,9)="DOANH THU",LEFT(B1056,8)="SỐ LƯỢNG"),A1056,IF(A1056="","",K1055))</f>
        <v/>
      </c>
      <c r="L1056">
        <f>IF(A1056="","",IF(ISNUMBER(--LEFT(A1056,FIND(" - ",A1056&amp;" - ")-1)),LEFT(A1056,FIND(" - ",A1056&amp;" - ")-1),TRIM(A1056)))</f>
        <v/>
      </c>
      <c r="M1056">
        <f>IF(OR(K1056="",K1056=A1056,A1056=""),"",K1056&amp;"|"&amp;L1056)</f>
        <v/>
      </c>
      <c r="N1056">
        <f>IF(M1056="","",IF(ISNUMBER(B1056),B1056,IFERROR(_xlfn.NUMBERVALUE(B1056,".",","),0)))</f>
        <v/>
      </c>
      <c r="O1056">
        <f>IF(M1056="","",IF(ISNUMBER(C1056),C1056,IFERROR(_xlfn.NUMBERVALUE(C1056,".",","),0)))</f>
        <v/>
      </c>
    </row>
    <row r="1057">
      <c r="K1057">
        <f>IF(OR(LEFT(B1057,9)="DOANH THU",LEFT(B1057,8)="SỐ LƯỢNG"),A1057,IF(A1057="","",K1056))</f>
        <v/>
      </c>
      <c r="L1057">
        <f>IF(A1057="","",IF(ISNUMBER(--LEFT(A1057,FIND(" - ",A1057&amp;" - ")-1)),LEFT(A1057,FIND(" - ",A1057&amp;" - ")-1),TRIM(A1057)))</f>
        <v/>
      </c>
      <c r="M1057">
        <f>IF(OR(K1057="",K1057=A1057,A1057=""),"",K1057&amp;"|"&amp;L1057)</f>
        <v/>
      </c>
      <c r="N1057">
        <f>IF(M1057="","",IF(ISNUMBER(B1057),B1057,IFERROR(_xlfn.NUMBERVALUE(B1057,".",","),0)))</f>
        <v/>
      </c>
      <c r="O1057">
        <f>IF(M1057="","",IF(ISNUMBER(C1057),C1057,IFERROR(_xlfn.NUMBERVALUE(C1057,".",","),0)))</f>
        <v/>
      </c>
    </row>
    <row r="1058">
      <c r="K1058">
        <f>IF(OR(LEFT(B1058,9)="DOANH THU",LEFT(B1058,8)="SỐ LƯỢNG"),A1058,IF(A1058="","",K1057))</f>
        <v/>
      </c>
      <c r="L1058">
        <f>IF(A1058="","",IF(ISNUMBER(--LEFT(A1058,FIND(" - ",A1058&amp;" - ")-1)),LEFT(A1058,FIND(" - ",A1058&amp;" - ")-1),TRIM(A1058)))</f>
        <v/>
      </c>
      <c r="M1058">
        <f>IF(OR(K1058="",K1058=A1058,A1058=""),"",K1058&amp;"|"&amp;L1058)</f>
        <v/>
      </c>
      <c r="N1058">
        <f>IF(M1058="","",IF(ISNUMBER(B1058),B1058,IFERROR(_xlfn.NUMBERVALUE(B1058,".",","),0)))</f>
        <v/>
      </c>
      <c r="O1058">
        <f>IF(M1058="","",IF(ISNUMBER(C1058),C1058,IFERROR(_xlfn.NUMBERVALUE(C1058,".",","),0)))</f>
        <v/>
      </c>
    </row>
    <row r="1059">
      <c r="K1059">
        <f>IF(OR(LEFT(B1059,9)="DOANH THU",LEFT(B1059,8)="SỐ LƯỢNG"),A1059,IF(A1059="","",K1058))</f>
        <v/>
      </c>
      <c r="L1059">
        <f>IF(A1059="","",IF(ISNUMBER(--LEFT(A1059,FIND(" - ",A1059&amp;" - ")-1)),LEFT(A1059,FIND(" - ",A1059&amp;" - ")-1),TRIM(A1059)))</f>
        <v/>
      </c>
      <c r="M1059">
        <f>IF(OR(K1059="",K1059=A1059,A1059=""),"",K1059&amp;"|"&amp;L1059)</f>
        <v/>
      </c>
      <c r="N1059">
        <f>IF(M1059="","",IF(ISNUMBER(B1059),B1059,IFERROR(_xlfn.NUMBERVALUE(B1059,".",","),0)))</f>
        <v/>
      </c>
      <c r="O1059">
        <f>IF(M1059="","",IF(ISNUMBER(C1059),C1059,IFERROR(_xlfn.NUMBERVALUE(C1059,".",","),0)))</f>
        <v/>
      </c>
    </row>
    <row r="1060">
      <c r="K1060">
        <f>IF(OR(LEFT(B1060,9)="DOANH THU",LEFT(B1060,8)="SỐ LƯỢNG"),A1060,IF(A1060="","",K1059))</f>
        <v/>
      </c>
      <c r="L1060">
        <f>IF(A1060="","",IF(ISNUMBER(--LEFT(A1060,FIND(" - ",A1060&amp;" - ")-1)),LEFT(A1060,FIND(" - ",A1060&amp;" - ")-1),TRIM(A1060)))</f>
        <v/>
      </c>
      <c r="M1060">
        <f>IF(OR(K1060="",K1060=A1060,A1060=""),"",K1060&amp;"|"&amp;L1060)</f>
        <v/>
      </c>
      <c r="N1060">
        <f>IF(M1060="","",IF(ISNUMBER(B1060),B1060,IFERROR(_xlfn.NUMBERVALUE(B1060,".",","),0)))</f>
        <v/>
      </c>
      <c r="O1060">
        <f>IF(M1060="","",IF(ISNUMBER(C1060),C1060,IFERROR(_xlfn.NUMBERVALUE(C1060,".",","),0)))</f>
        <v/>
      </c>
    </row>
    <row r="1061">
      <c r="K1061">
        <f>IF(OR(LEFT(B1061,9)="DOANH THU",LEFT(B1061,8)="SỐ LƯỢNG"),A1061,IF(A1061="","",K1060))</f>
        <v/>
      </c>
      <c r="L1061">
        <f>IF(A1061="","",IF(ISNUMBER(--LEFT(A1061,FIND(" - ",A1061&amp;" - ")-1)),LEFT(A1061,FIND(" - ",A1061&amp;" - ")-1),TRIM(A1061)))</f>
        <v/>
      </c>
      <c r="M1061">
        <f>IF(OR(K1061="",K1061=A1061,A1061=""),"",K1061&amp;"|"&amp;L1061)</f>
        <v/>
      </c>
      <c r="N1061">
        <f>IF(M1061="","",IF(ISNUMBER(B1061),B1061,IFERROR(_xlfn.NUMBERVALUE(B1061,".",","),0)))</f>
        <v/>
      </c>
      <c r="O1061">
        <f>IF(M1061="","",IF(ISNUMBER(C1061),C1061,IFERROR(_xlfn.NUMBERVALUE(C1061,".",","),0)))</f>
        <v/>
      </c>
    </row>
    <row r="1062">
      <c r="K1062">
        <f>IF(OR(LEFT(B1062,9)="DOANH THU",LEFT(B1062,8)="SỐ LƯỢNG"),A1062,IF(A1062="","",K1061))</f>
        <v/>
      </c>
      <c r="L1062">
        <f>IF(A1062="","",IF(ISNUMBER(--LEFT(A1062,FIND(" - ",A1062&amp;" - ")-1)),LEFT(A1062,FIND(" - ",A1062&amp;" - ")-1),TRIM(A1062)))</f>
        <v/>
      </c>
      <c r="M1062">
        <f>IF(OR(K1062="",K1062=A1062,A1062=""),"",K1062&amp;"|"&amp;L1062)</f>
        <v/>
      </c>
      <c r="N1062">
        <f>IF(M1062="","",IF(ISNUMBER(B1062),B1062,IFERROR(_xlfn.NUMBERVALUE(B1062,".",","),0)))</f>
        <v/>
      </c>
      <c r="O1062">
        <f>IF(M1062="","",IF(ISNUMBER(C1062),C1062,IFERROR(_xlfn.NUMBERVALUE(C1062,".",","),0)))</f>
        <v/>
      </c>
    </row>
    <row r="1063">
      <c r="K1063">
        <f>IF(OR(LEFT(B1063,9)="DOANH THU",LEFT(B1063,8)="SỐ LƯỢNG"),A1063,IF(A1063="","",K1062))</f>
        <v/>
      </c>
      <c r="L1063">
        <f>IF(A1063="","",IF(ISNUMBER(--LEFT(A1063,FIND(" - ",A1063&amp;" - ")-1)),LEFT(A1063,FIND(" - ",A1063&amp;" - ")-1),TRIM(A1063)))</f>
        <v/>
      </c>
      <c r="M1063">
        <f>IF(OR(K1063="",K1063=A1063,A1063=""),"",K1063&amp;"|"&amp;L1063)</f>
        <v/>
      </c>
      <c r="N1063">
        <f>IF(M1063="","",IF(ISNUMBER(B1063),B1063,IFERROR(_xlfn.NUMBERVALUE(B1063,".",","),0)))</f>
        <v/>
      </c>
      <c r="O1063">
        <f>IF(M1063="","",IF(ISNUMBER(C1063),C1063,IFERROR(_xlfn.NUMBERVALUE(C1063,".",","),0)))</f>
        <v/>
      </c>
    </row>
    <row r="1064">
      <c r="K1064">
        <f>IF(OR(LEFT(B1064,9)="DOANH THU",LEFT(B1064,8)="SỐ LƯỢNG"),A1064,IF(A1064="","",K1063))</f>
        <v/>
      </c>
      <c r="L1064">
        <f>IF(A1064="","",IF(ISNUMBER(--LEFT(A1064,FIND(" - ",A1064&amp;" - ")-1)),LEFT(A1064,FIND(" - ",A1064&amp;" - ")-1),TRIM(A1064)))</f>
        <v/>
      </c>
      <c r="M1064">
        <f>IF(OR(K1064="",K1064=A1064,A1064=""),"",K1064&amp;"|"&amp;L1064)</f>
        <v/>
      </c>
      <c r="N1064">
        <f>IF(M1064="","",IF(ISNUMBER(B1064),B1064,IFERROR(_xlfn.NUMBERVALUE(B1064,".",","),0)))</f>
        <v/>
      </c>
      <c r="O1064">
        <f>IF(M1064="","",IF(ISNUMBER(C1064),C1064,IFERROR(_xlfn.NUMBERVALUE(C1064,".",","),0)))</f>
        <v/>
      </c>
    </row>
    <row r="1065">
      <c r="K1065">
        <f>IF(OR(LEFT(B1065,9)="DOANH THU",LEFT(B1065,8)="SỐ LƯỢNG"),A1065,IF(A1065="","",K1064))</f>
        <v/>
      </c>
      <c r="L1065">
        <f>IF(A1065="","",IF(ISNUMBER(--LEFT(A1065,FIND(" - ",A1065&amp;" - ")-1)),LEFT(A1065,FIND(" - ",A1065&amp;" - ")-1),TRIM(A1065)))</f>
        <v/>
      </c>
      <c r="M1065">
        <f>IF(OR(K1065="",K1065=A1065,A1065=""),"",K1065&amp;"|"&amp;L1065)</f>
        <v/>
      </c>
      <c r="N1065">
        <f>IF(M1065="","",IF(ISNUMBER(B1065),B1065,IFERROR(_xlfn.NUMBERVALUE(B1065,".",","),0)))</f>
        <v/>
      </c>
      <c r="O1065">
        <f>IF(M1065="","",IF(ISNUMBER(C1065),C1065,IFERROR(_xlfn.NUMBERVALUE(C1065,".",","),0)))</f>
        <v/>
      </c>
    </row>
    <row r="1066">
      <c r="K1066">
        <f>IF(OR(LEFT(B1066,9)="DOANH THU",LEFT(B1066,8)="SỐ LƯỢNG"),A1066,IF(A1066="","",K1065))</f>
        <v/>
      </c>
      <c r="L1066">
        <f>IF(A1066="","",IF(ISNUMBER(--LEFT(A1066,FIND(" - ",A1066&amp;" - ")-1)),LEFT(A1066,FIND(" - ",A1066&amp;" - ")-1),TRIM(A1066)))</f>
        <v/>
      </c>
      <c r="M1066">
        <f>IF(OR(K1066="",K1066=A1066,A1066=""),"",K1066&amp;"|"&amp;L1066)</f>
        <v/>
      </c>
      <c r="N1066">
        <f>IF(M1066="","",IF(ISNUMBER(B1066),B1066,IFERROR(_xlfn.NUMBERVALUE(B1066,".",","),0)))</f>
        <v/>
      </c>
      <c r="O1066">
        <f>IF(M1066="","",IF(ISNUMBER(C1066),C1066,IFERROR(_xlfn.NUMBERVALUE(C1066,".",","),0)))</f>
        <v/>
      </c>
    </row>
    <row r="1067">
      <c r="K1067">
        <f>IF(OR(LEFT(B1067,9)="DOANH THU",LEFT(B1067,8)="SỐ LƯỢNG"),A1067,IF(A1067="","",K1066))</f>
        <v/>
      </c>
      <c r="L1067">
        <f>IF(A1067="","",IF(ISNUMBER(--LEFT(A1067,FIND(" - ",A1067&amp;" - ")-1)),LEFT(A1067,FIND(" - ",A1067&amp;" - ")-1),TRIM(A1067)))</f>
        <v/>
      </c>
      <c r="M1067">
        <f>IF(OR(K1067="",K1067=A1067,A1067=""),"",K1067&amp;"|"&amp;L1067)</f>
        <v/>
      </c>
      <c r="N1067">
        <f>IF(M1067="","",IF(ISNUMBER(B1067),B1067,IFERROR(_xlfn.NUMBERVALUE(B1067,".",","),0)))</f>
        <v/>
      </c>
      <c r="O1067">
        <f>IF(M1067="","",IF(ISNUMBER(C1067),C1067,IFERROR(_xlfn.NUMBERVALUE(C1067,".",","),0)))</f>
        <v/>
      </c>
    </row>
    <row r="1068">
      <c r="K1068">
        <f>IF(OR(LEFT(B1068,9)="DOANH THU",LEFT(B1068,8)="SỐ LƯỢNG"),A1068,IF(A1068="","",K1067))</f>
        <v/>
      </c>
      <c r="L1068">
        <f>IF(A1068="","",IF(ISNUMBER(--LEFT(A1068,FIND(" - ",A1068&amp;" - ")-1)),LEFT(A1068,FIND(" - ",A1068&amp;" - ")-1),TRIM(A1068)))</f>
        <v/>
      </c>
      <c r="M1068">
        <f>IF(OR(K1068="",K1068=A1068,A1068=""),"",K1068&amp;"|"&amp;L1068)</f>
        <v/>
      </c>
      <c r="N1068">
        <f>IF(M1068="","",IF(ISNUMBER(B1068),B1068,IFERROR(_xlfn.NUMBERVALUE(B1068,".",","),0)))</f>
        <v/>
      </c>
      <c r="O1068">
        <f>IF(M1068="","",IF(ISNUMBER(C1068),C1068,IFERROR(_xlfn.NUMBERVALUE(C1068,".",","),0)))</f>
        <v/>
      </c>
    </row>
    <row r="1069">
      <c r="K1069">
        <f>IF(OR(LEFT(B1069,9)="DOANH THU",LEFT(B1069,8)="SỐ LƯỢNG"),A1069,IF(A1069="","",K1068))</f>
        <v/>
      </c>
      <c r="L1069">
        <f>IF(A1069="","",IF(ISNUMBER(--LEFT(A1069,FIND(" - ",A1069&amp;" - ")-1)),LEFT(A1069,FIND(" - ",A1069&amp;" - ")-1),TRIM(A1069)))</f>
        <v/>
      </c>
      <c r="M1069">
        <f>IF(OR(K1069="",K1069=A1069,A1069=""),"",K1069&amp;"|"&amp;L1069)</f>
        <v/>
      </c>
      <c r="N1069">
        <f>IF(M1069="","",IF(ISNUMBER(B1069),B1069,IFERROR(_xlfn.NUMBERVALUE(B1069,".",","),0)))</f>
        <v/>
      </c>
      <c r="O1069">
        <f>IF(M1069="","",IF(ISNUMBER(C1069),C1069,IFERROR(_xlfn.NUMBERVALUE(C1069,".",","),0)))</f>
        <v/>
      </c>
    </row>
    <row r="1070">
      <c r="K1070">
        <f>IF(OR(LEFT(B1070,9)="DOANH THU",LEFT(B1070,8)="SỐ LƯỢNG"),A1070,IF(A1070="","",K1069))</f>
        <v/>
      </c>
      <c r="L1070">
        <f>IF(A1070="","",IF(ISNUMBER(--LEFT(A1070,FIND(" - ",A1070&amp;" - ")-1)),LEFT(A1070,FIND(" - ",A1070&amp;" - ")-1),TRIM(A1070)))</f>
        <v/>
      </c>
      <c r="M1070">
        <f>IF(OR(K1070="",K1070=A1070,A1070=""),"",K1070&amp;"|"&amp;L1070)</f>
        <v/>
      </c>
      <c r="N1070">
        <f>IF(M1070="","",IF(ISNUMBER(B1070),B1070,IFERROR(_xlfn.NUMBERVALUE(B1070,".",","),0)))</f>
        <v/>
      </c>
      <c r="O1070">
        <f>IF(M1070="","",IF(ISNUMBER(C1070),C1070,IFERROR(_xlfn.NUMBERVALUE(C1070,".",","),0)))</f>
        <v/>
      </c>
    </row>
    <row r="1071">
      <c r="K1071">
        <f>IF(OR(LEFT(B1071,9)="DOANH THU",LEFT(B1071,8)="SỐ LƯỢNG"),A1071,IF(A1071="","",K1070))</f>
        <v/>
      </c>
      <c r="L1071">
        <f>IF(A1071="","",IF(ISNUMBER(--LEFT(A1071,FIND(" - ",A1071&amp;" - ")-1)),LEFT(A1071,FIND(" - ",A1071&amp;" - ")-1),TRIM(A1071)))</f>
        <v/>
      </c>
      <c r="M1071">
        <f>IF(OR(K1071="",K1071=A1071,A1071=""),"",K1071&amp;"|"&amp;L1071)</f>
        <v/>
      </c>
      <c r="N1071">
        <f>IF(M1071="","",IF(ISNUMBER(B1071),B1071,IFERROR(_xlfn.NUMBERVALUE(B1071,".",","),0)))</f>
        <v/>
      </c>
      <c r="O1071">
        <f>IF(M1071="","",IF(ISNUMBER(C1071),C1071,IFERROR(_xlfn.NUMBERVALUE(C1071,".",","),0)))</f>
        <v/>
      </c>
    </row>
    <row r="1072">
      <c r="K1072">
        <f>IF(OR(LEFT(B1072,9)="DOANH THU",LEFT(B1072,8)="SỐ LƯỢNG"),A1072,IF(A1072="","",K1071))</f>
        <v/>
      </c>
      <c r="L1072">
        <f>IF(A1072="","",IF(ISNUMBER(--LEFT(A1072,FIND(" - ",A1072&amp;" - ")-1)),LEFT(A1072,FIND(" - ",A1072&amp;" - ")-1),TRIM(A1072)))</f>
        <v/>
      </c>
      <c r="M1072">
        <f>IF(OR(K1072="",K1072=A1072,A1072=""),"",K1072&amp;"|"&amp;L1072)</f>
        <v/>
      </c>
      <c r="N1072">
        <f>IF(M1072="","",IF(ISNUMBER(B1072),B1072,IFERROR(_xlfn.NUMBERVALUE(B1072,".",","),0)))</f>
        <v/>
      </c>
      <c r="O1072">
        <f>IF(M1072="","",IF(ISNUMBER(C1072),C1072,IFERROR(_xlfn.NUMBERVALUE(C1072,".",","),0)))</f>
        <v/>
      </c>
    </row>
    <row r="1073">
      <c r="K1073">
        <f>IF(OR(LEFT(B1073,9)="DOANH THU",LEFT(B1073,8)="SỐ LƯỢNG"),A1073,IF(A1073="","",K1072))</f>
        <v/>
      </c>
      <c r="L1073">
        <f>IF(A1073="","",IF(ISNUMBER(--LEFT(A1073,FIND(" - ",A1073&amp;" - ")-1)),LEFT(A1073,FIND(" - ",A1073&amp;" - ")-1),TRIM(A1073)))</f>
        <v/>
      </c>
      <c r="M1073">
        <f>IF(OR(K1073="",K1073=A1073,A1073=""),"",K1073&amp;"|"&amp;L1073)</f>
        <v/>
      </c>
      <c r="N1073">
        <f>IF(M1073="","",IF(ISNUMBER(B1073),B1073,IFERROR(_xlfn.NUMBERVALUE(B1073,".",","),0)))</f>
        <v/>
      </c>
      <c r="O1073">
        <f>IF(M1073="","",IF(ISNUMBER(C1073),C1073,IFERROR(_xlfn.NUMBERVALUE(C1073,".",","),0)))</f>
        <v/>
      </c>
    </row>
    <row r="1074">
      <c r="K1074">
        <f>IF(OR(LEFT(B1074,9)="DOANH THU",LEFT(B1074,8)="SỐ LƯỢNG"),A1074,IF(A1074="","",K1073))</f>
        <v/>
      </c>
      <c r="L1074">
        <f>IF(A1074="","",IF(ISNUMBER(--LEFT(A1074,FIND(" - ",A1074&amp;" - ")-1)),LEFT(A1074,FIND(" - ",A1074&amp;" - ")-1),TRIM(A1074)))</f>
        <v/>
      </c>
      <c r="M1074">
        <f>IF(OR(K1074="",K1074=A1074,A1074=""),"",K1074&amp;"|"&amp;L1074)</f>
        <v/>
      </c>
      <c r="N1074">
        <f>IF(M1074="","",IF(ISNUMBER(B1074),B1074,IFERROR(_xlfn.NUMBERVALUE(B1074,".",","),0)))</f>
        <v/>
      </c>
      <c r="O1074">
        <f>IF(M1074="","",IF(ISNUMBER(C1074),C1074,IFERROR(_xlfn.NUMBERVALUE(C1074,".",","),0)))</f>
        <v/>
      </c>
    </row>
    <row r="1075">
      <c r="K1075">
        <f>IF(OR(LEFT(B1075,9)="DOANH THU",LEFT(B1075,8)="SỐ LƯỢNG"),A1075,IF(A1075="","",K1074))</f>
        <v/>
      </c>
      <c r="L1075">
        <f>IF(A1075="","",IF(ISNUMBER(--LEFT(A1075,FIND(" - ",A1075&amp;" - ")-1)),LEFT(A1075,FIND(" - ",A1075&amp;" - ")-1),TRIM(A1075)))</f>
        <v/>
      </c>
      <c r="M1075">
        <f>IF(OR(K1075="",K1075=A1075,A1075=""),"",K1075&amp;"|"&amp;L1075)</f>
        <v/>
      </c>
      <c r="N1075">
        <f>IF(M1075="","",IF(ISNUMBER(B1075),B1075,IFERROR(_xlfn.NUMBERVALUE(B1075,".",","),0)))</f>
        <v/>
      </c>
      <c r="O1075">
        <f>IF(M1075="","",IF(ISNUMBER(C1075),C1075,IFERROR(_xlfn.NUMBERVALUE(C1075,".",","),0)))</f>
        <v/>
      </c>
    </row>
    <row r="1076">
      <c r="K1076">
        <f>IF(OR(LEFT(B1076,9)="DOANH THU",LEFT(B1076,8)="SỐ LƯỢNG"),A1076,IF(A1076="","",K1075))</f>
        <v/>
      </c>
      <c r="L1076">
        <f>IF(A1076="","",IF(ISNUMBER(--LEFT(A1076,FIND(" - ",A1076&amp;" - ")-1)),LEFT(A1076,FIND(" - ",A1076&amp;" - ")-1),TRIM(A1076)))</f>
        <v/>
      </c>
      <c r="M1076">
        <f>IF(OR(K1076="",K1076=A1076,A1076=""),"",K1076&amp;"|"&amp;L1076)</f>
        <v/>
      </c>
      <c r="N1076">
        <f>IF(M1076="","",IF(ISNUMBER(B1076),B1076,IFERROR(_xlfn.NUMBERVALUE(B1076,".",","),0)))</f>
        <v/>
      </c>
      <c r="O1076">
        <f>IF(M1076="","",IF(ISNUMBER(C1076),C1076,IFERROR(_xlfn.NUMBERVALUE(C1076,".",","),0)))</f>
        <v/>
      </c>
    </row>
    <row r="1077">
      <c r="K1077">
        <f>IF(OR(LEFT(B1077,9)="DOANH THU",LEFT(B1077,8)="SỐ LƯỢNG"),A1077,IF(A1077="","",K1076))</f>
        <v/>
      </c>
      <c r="L1077">
        <f>IF(A1077="","",IF(ISNUMBER(--LEFT(A1077,FIND(" - ",A1077&amp;" - ")-1)),LEFT(A1077,FIND(" - ",A1077&amp;" - ")-1),TRIM(A1077)))</f>
        <v/>
      </c>
      <c r="M1077">
        <f>IF(OR(K1077="",K1077=A1077,A1077=""),"",K1077&amp;"|"&amp;L1077)</f>
        <v/>
      </c>
      <c r="N1077">
        <f>IF(M1077="","",IF(ISNUMBER(B1077),B1077,IFERROR(_xlfn.NUMBERVALUE(B1077,".",","),0)))</f>
        <v/>
      </c>
      <c r="O1077">
        <f>IF(M1077="","",IF(ISNUMBER(C1077),C1077,IFERROR(_xlfn.NUMBERVALUE(C1077,".",","),0)))</f>
        <v/>
      </c>
    </row>
    <row r="1078">
      <c r="K1078">
        <f>IF(OR(LEFT(B1078,9)="DOANH THU",LEFT(B1078,8)="SỐ LƯỢNG"),A1078,IF(A1078="","",K1077))</f>
        <v/>
      </c>
      <c r="L1078">
        <f>IF(A1078="","",IF(ISNUMBER(--LEFT(A1078,FIND(" - ",A1078&amp;" - ")-1)),LEFT(A1078,FIND(" - ",A1078&amp;" - ")-1),TRIM(A1078)))</f>
        <v/>
      </c>
      <c r="M1078">
        <f>IF(OR(K1078="",K1078=A1078,A1078=""),"",K1078&amp;"|"&amp;L1078)</f>
        <v/>
      </c>
      <c r="N1078">
        <f>IF(M1078="","",IF(ISNUMBER(B1078),B1078,IFERROR(_xlfn.NUMBERVALUE(B1078,".",","),0)))</f>
        <v/>
      </c>
      <c r="O1078">
        <f>IF(M1078="","",IF(ISNUMBER(C1078),C1078,IFERROR(_xlfn.NUMBERVALUE(C1078,".",","),0)))</f>
        <v/>
      </c>
    </row>
    <row r="1079">
      <c r="K1079">
        <f>IF(OR(LEFT(B1079,9)="DOANH THU",LEFT(B1079,8)="SỐ LƯỢNG"),A1079,IF(A1079="","",K1078))</f>
        <v/>
      </c>
      <c r="L1079">
        <f>IF(A1079="","",IF(ISNUMBER(--LEFT(A1079,FIND(" - ",A1079&amp;" - ")-1)),LEFT(A1079,FIND(" - ",A1079&amp;" - ")-1),TRIM(A1079)))</f>
        <v/>
      </c>
      <c r="M1079">
        <f>IF(OR(K1079="",K1079=A1079,A1079=""),"",K1079&amp;"|"&amp;L1079)</f>
        <v/>
      </c>
      <c r="N1079">
        <f>IF(M1079="","",IF(ISNUMBER(B1079),B1079,IFERROR(_xlfn.NUMBERVALUE(B1079,".",","),0)))</f>
        <v/>
      </c>
      <c r="O1079">
        <f>IF(M1079="","",IF(ISNUMBER(C1079),C1079,IFERROR(_xlfn.NUMBERVALUE(C1079,".",","),0)))</f>
        <v/>
      </c>
    </row>
    <row r="1080">
      <c r="K1080">
        <f>IF(OR(LEFT(B1080,9)="DOANH THU",LEFT(B1080,8)="SỐ LƯỢNG"),A1080,IF(A1080="","",K1079))</f>
        <v/>
      </c>
      <c r="L1080">
        <f>IF(A1080="","",IF(ISNUMBER(--LEFT(A1080,FIND(" - ",A1080&amp;" - ")-1)),LEFT(A1080,FIND(" - ",A1080&amp;" - ")-1),TRIM(A1080)))</f>
        <v/>
      </c>
      <c r="M1080">
        <f>IF(OR(K1080="",K1080=A1080,A1080=""),"",K1080&amp;"|"&amp;L1080)</f>
        <v/>
      </c>
      <c r="N1080">
        <f>IF(M1080="","",IF(ISNUMBER(B1080),B1080,IFERROR(_xlfn.NUMBERVALUE(B1080,".",","),0)))</f>
        <v/>
      </c>
      <c r="O1080">
        <f>IF(M1080="","",IF(ISNUMBER(C1080),C1080,IFERROR(_xlfn.NUMBERVALUE(C1080,".",","),0)))</f>
        <v/>
      </c>
    </row>
    <row r="1081">
      <c r="K1081">
        <f>IF(OR(LEFT(B1081,9)="DOANH THU",LEFT(B1081,8)="SỐ LƯỢNG"),A1081,IF(A1081="","",K1080))</f>
        <v/>
      </c>
      <c r="L1081">
        <f>IF(A1081="","",IF(ISNUMBER(--LEFT(A1081,FIND(" - ",A1081&amp;" - ")-1)),LEFT(A1081,FIND(" - ",A1081&amp;" - ")-1),TRIM(A1081)))</f>
        <v/>
      </c>
      <c r="M1081">
        <f>IF(OR(K1081="",K1081=A1081,A1081=""),"",K1081&amp;"|"&amp;L1081)</f>
        <v/>
      </c>
      <c r="N1081">
        <f>IF(M1081="","",IF(ISNUMBER(B1081),B1081,IFERROR(_xlfn.NUMBERVALUE(B1081,".",","),0)))</f>
        <v/>
      </c>
      <c r="O1081">
        <f>IF(M1081="","",IF(ISNUMBER(C1081),C1081,IFERROR(_xlfn.NUMBERVALUE(C1081,".",","),0)))</f>
        <v/>
      </c>
    </row>
    <row r="1082">
      <c r="K1082">
        <f>IF(OR(LEFT(B1082,9)="DOANH THU",LEFT(B1082,8)="SỐ LƯỢNG"),A1082,IF(A1082="","",K1081))</f>
        <v/>
      </c>
      <c r="L1082">
        <f>IF(A1082="","",IF(ISNUMBER(--LEFT(A1082,FIND(" - ",A1082&amp;" - ")-1)),LEFT(A1082,FIND(" - ",A1082&amp;" - ")-1),TRIM(A1082)))</f>
        <v/>
      </c>
      <c r="M1082">
        <f>IF(OR(K1082="",K1082=A1082,A1082=""),"",K1082&amp;"|"&amp;L1082)</f>
        <v/>
      </c>
      <c r="N1082">
        <f>IF(M1082="","",IF(ISNUMBER(B1082),B1082,IFERROR(_xlfn.NUMBERVALUE(B1082,".",","),0)))</f>
        <v/>
      </c>
      <c r="O1082">
        <f>IF(M1082="","",IF(ISNUMBER(C1082),C1082,IFERROR(_xlfn.NUMBERVALUE(C1082,".",","),0)))</f>
        <v/>
      </c>
    </row>
    <row r="1083">
      <c r="K1083">
        <f>IF(OR(LEFT(B1083,9)="DOANH THU",LEFT(B1083,8)="SỐ LƯỢNG"),A1083,IF(A1083="","",K1082))</f>
        <v/>
      </c>
      <c r="L1083">
        <f>IF(A1083="","",IF(ISNUMBER(--LEFT(A1083,FIND(" - ",A1083&amp;" - ")-1)),LEFT(A1083,FIND(" - ",A1083&amp;" - ")-1),TRIM(A1083)))</f>
        <v/>
      </c>
      <c r="M1083">
        <f>IF(OR(K1083="",K1083=A1083,A1083=""),"",K1083&amp;"|"&amp;L1083)</f>
        <v/>
      </c>
      <c r="N1083">
        <f>IF(M1083="","",IF(ISNUMBER(B1083),B1083,IFERROR(_xlfn.NUMBERVALUE(B1083,".",","),0)))</f>
        <v/>
      </c>
      <c r="O1083">
        <f>IF(M1083="","",IF(ISNUMBER(C1083),C1083,IFERROR(_xlfn.NUMBERVALUE(C1083,".",","),0)))</f>
        <v/>
      </c>
    </row>
    <row r="1084">
      <c r="K1084">
        <f>IF(OR(LEFT(B1084,9)="DOANH THU",LEFT(B1084,8)="SỐ LƯỢNG"),A1084,IF(A1084="","",K1083))</f>
        <v/>
      </c>
      <c r="L1084">
        <f>IF(A1084="","",IF(ISNUMBER(--LEFT(A1084,FIND(" - ",A1084&amp;" - ")-1)),LEFT(A1084,FIND(" - ",A1084&amp;" - ")-1),TRIM(A1084)))</f>
        <v/>
      </c>
      <c r="M1084">
        <f>IF(OR(K1084="",K1084=A1084,A1084=""),"",K1084&amp;"|"&amp;L1084)</f>
        <v/>
      </c>
      <c r="N1084">
        <f>IF(M1084="","",IF(ISNUMBER(B1084),B1084,IFERROR(_xlfn.NUMBERVALUE(B1084,".",","),0)))</f>
        <v/>
      </c>
      <c r="O1084">
        <f>IF(M1084="","",IF(ISNUMBER(C1084),C1084,IFERROR(_xlfn.NUMBERVALUE(C1084,".",","),0)))</f>
        <v/>
      </c>
    </row>
    <row r="1085">
      <c r="K1085">
        <f>IF(OR(LEFT(B1085,9)="DOANH THU",LEFT(B1085,8)="SỐ LƯỢNG"),A1085,IF(A1085="","",K1084))</f>
        <v/>
      </c>
      <c r="L1085">
        <f>IF(A1085="","",IF(ISNUMBER(--LEFT(A1085,FIND(" - ",A1085&amp;" - ")-1)),LEFT(A1085,FIND(" - ",A1085&amp;" - ")-1),TRIM(A1085)))</f>
        <v/>
      </c>
      <c r="M1085">
        <f>IF(OR(K1085="",K1085=A1085,A1085=""),"",K1085&amp;"|"&amp;L1085)</f>
        <v/>
      </c>
      <c r="N1085">
        <f>IF(M1085="","",IF(ISNUMBER(B1085),B1085,IFERROR(_xlfn.NUMBERVALUE(B1085,".",","),0)))</f>
        <v/>
      </c>
      <c r="O1085">
        <f>IF(M1085="","",IF(ISNUMBER(C1085),C1085,IFERROR(_xlfn.NUMBERVALUE(C1085,".",","),0)))</f>
        <v/>
      </c>
    </row>
    <row r="1086">
      <c r="K1086">
        <f>IF(OR(LEFT(B1086,9)="DOANH THU",LEFT(B1086,8)="SỐ LƯỢNG"),A1086,IF(A1086="","",K1085))</f>
        <v/>
      </c>
      <c r="L1086">
        <f>IF(A1086="","",IF(ISNUMBER(--LEFT(A1086,FIND(" - ",A1086&amp;" - ")-1)),LEFT(A1086,FIND(" - ",A1086&amp;" - ")-1),TRIM(A1086)))</f>
        <v/>
      </c>
      <c r="M1086">
        <f>IF(OR(K1086="",K1086=A1086,A1086=""),"",K1086&amp;"|"&amp;L1086)</f>
        <v/>
      </c>
      <c r="N1086">
        <f>IF(M1086="","",IF(ISNUMBER(B1086),B1086,IFERROR(_xlfn.NUMBERVALUE(B1086,".",","),0)))</f>
        <v/>
      </c>
      <c r="O1086">
        <f>IF(M1086="","",IF(ISNUMBER(C1086),C1086,IFERROR(_xlfn.NUMBERVALUE(C1086,".",","),0)))</f>
        <v/>
      </c>
    </row>
    <row r="1087">
      <c r="K1087">
        <f>IF(OR(LEFT(B1087,9)="DOANH THU",LEFT(B1087,8)="SỐ LƯỢNG"),A1087,IF(A1087="","",K1086))</f>
        <v/>
      </c>
      <c r="L1087">
        <f>IF(A1087="","",IF(ISNUMBER(--LEFT(A1087,FIND(" - ",A1087&amp;" - ")-1)),LEFT(A1087,FIND(" - ",A1087&amp;" - ")-1),TRIM(A1087)))</f>
        <v/>
      </c>
      <c r="M1087">
        <f>IF(OR(K1087="",K1087=A1087,A1087=""),"",K1087&amp;"|"&amp;L1087)</f>
        <v/>
      </c>
      <c r="N1087">
        <f>IF(M1087="","",IF(ISNUMBER(B1087),B1087,IFERROR(_xlfn.NUMBERVALUE(B1087,".",","),0)))</f>
        <v/>
      </c>
      <c r="O1087">
        <f>IF(M1087="","",IF(ISNUMBER(C1087),C1087,IFERROR(_xlfn.NUMBERVALUE(C1087,".",","),0)))</f>
        <v/>
      </c>
    </row>
    <row r="1088">
      <c r="K1088">
        <f>IF(OR(LEFT(B1088,9)="DOANH THU",LEFT(B1088,8)="SỐ LƯỢNG"),A1088,IF(A1088="","",K1087))</f>
        <v/>
      </c>
      <c r="L1088">
        <f>IF(A1088="","",IF(ISNUMBER(--LEFT(A1088,FIND(" - ",A1088&amp;" - ")-1)),LEFT(A1088,FIND(" - ",A1088&amp;" - ")-1),TRIM(A1088)))</f>
        <v/>
      </c>
      <c r="M1088">
        <f>IF(OR(K1088="",K1088=A1088,A1088=""),"",K1088&amp;"|"&amp;L1088)</f>
        <v/>
      </c>
      <c r="N1088">
        <f>IF(M1088="","",IF(ISNUMBER(B1088),B1088,IFERROR(_xlfn.NUMBERVALUE(B1088,".",","),0)))</f>
        <v/>
      </c>
      <c r="O1088">
        <f>IF(M1088="","",IF(ISNUMBER(C1088),C1088,IFERROR(_xlfn.NUMBERVALUE(C1088,".",","),0)))</f>
        <v/>
      </c>
    </row>
    <row r="1089">
      <c r="K1089">
        <f>IF(OR(LEFT(B1089,9)="DOANH THU",LEFT(B1089,8)="SỐ LƯỢNG"),A1089,IF(A1089="","",K1088))</f>
        <v/>
      </c>
      <c r="L1089">
        <f>IF(A1089="","",IF(ISNUMBER(--LEFT(A1089,FIND(" - ",A1089&amp;" - ")-1)),LEFT(A1089,FIND(" - ",A1089&amp;" - ")-1),TRIM(A1089)))</f>
        <v/>
      </c>
      <c r="M1089">
        <f>IF(OR(K1089="",K1089=A1089,A1089=""),"",K1089&amp;"|"&amp;L1089)</f>
        <v/>
      </c>
      <c r="N1089">
        <f>IF(M1089="","",IF(ISNUMBER(B1089),B1089,IFERROR(_xlfn.NUMBERVALUE(B1089,".",","),0)))</f>
        <v/>
      </c>
      <c r="O1089">
        <f>IF(M1089="","",IF(ISNUMBER(C1089),C1089,IFERROR(_xlfn.NUMBERVALUE(C1089,".",","),0)))</f>
        <v/>
      </c>
    </row>
    <row r="1090">
      <c r="K1090">
        <f>IF(OR(LEFT(B1090,9)="DOANH THU",LEFT(B1090,8)="SỐ LƯỢNG"),A1090,IF(A1090="","",K1089))</f>
        <v/>
      </c>
      <c r="L1090">
        <f>IF(A1090="","",IF(ISNUMBER(--LEFT(A1090,FIND(" - ",A1090&amp;" - ")-1)),LEFT(A1090,FIND(" - ",A1090&amp;" - ")-1),TRIM(A1090)))</f>
        <v/>
      </c>
      <c r="M1090">
        <f>IF(OR(K1090="",K1090=A1090,A1090=""),"",K1090&amp;"|"&amp;L1090)</f>
        <v/>
      </c>
      <c r="N1090">
        <f>IF(M1090="","",IF(ISNUMBER(B1090),B1090,IFERROR(_xlfn.NUMBERVALUE(B1090,".",","),0)))</f>
        <v/>
      </c>
      <c r="O1090">
        <f>IF(M1090="","",IF(ISNUMBER(C1090),C1090,IFERROR(_xlfn.NUMBERVALUE(C1090,".",","),0)))</f>
        <v/>
      </c>
    </row>
    <row r="1091">
      <c r="K1091">
        <f>IF(OR(LEFT(B1091,9)="DOANH THU",LEFT(B1091,8)="SỐ LƯỢNG"),A1091,IF(A1091="","",K1090))</f>
        <v/>
      </c>
      <c r="L1091">
        <f>IF(A1091="","",IF(ISNUMBER(--LEFT(A1091,FIND(" - ",A1091&amp;" - ")-1)),LEFT(A1091,FIND(" - ",A1091&amp;" - ")-1),TRIM(A1091)))</f>
        <v/>
      </c>
      <c r="M1091">
        <f>IF(OR(K1091="",K1091=A1091,A1091=""),"",K1091&amp;"|"&amp;L1091)</f>
        <v/>
      </c>
      <c r="N1091">
        <f>IF(M1091="","",IF(ISNUMBER(B1091),B1091,IFERROR(_xlfn.NUMBERVALUE(B1091,".",","),0)))</f>
        <v/>
      </c>
      <c r="O1091">
        <f>IF(M1091="","",IF(ISNUMBER(C1091),C1091,IFERROR(_xlfn.NUMBERVALUE(C1091,".",","),0)))</f>
        <v/>
      </c>
    </row>
    <row r="1092">
      <c r="K1092">
        <f>IF(OR(LEFT(B1092,9)="DOANH THU",LEFT(B1092,8)="SỐ LƯỢNG"),A1092,IF(A1092="","",K1091))</f>
        <v/>
      </c>
      <c r="L1092">
        <f>IF(A1092="","",IF(ISNUMBER(--LEFT(A1092,FIND(" - ",A1092&amp;" - ")-1)),LEFT(A1092,FIND(" - ",A1092&amp;" - ")-1),TRIM(A1092)))</f>
        <v/>
      </c>
      <c r="M1092">
        <f>IF(OR(K1092="",K1092=A1092,A1092=""),"",K1092&amp;"|"&amp;L1092)</f>
        <v/>
      </c>
      <c r="N1092">
        <f>IF(M1092="","",IF(ISNUMBER(B1092),B1092,IFERROR(_xlfn.NUMBERVALUE(B1092,".",","),0)))</f>
        <v/>
      </c>
      <c r="O1092">
        <f>IF(M1092="","",IF(ISNUMBER(C1092),C1092,IFERROR(_xlfn.NUMBERVALUE(C1092,".",","),0)))</f>
        <v/>
      </c>
    </row>
    <row r="1093">
      <c r="K1093">
        <f>IF(OR(LEFT(B1093,9)="DOANH THU",LEFT(B1093,8)="SỐ LƯỢNG"),A1093,IF(A1093="","",K1092))</f>
        <v/>
      </c>
      <c r="L1093">
        <f>IF(A1093="","",IF(ISNUMBER(--LEFT(A1093,FIND(" - ",A1093&amp;" - ")-1)),LEFT(A1093,FIND(" - ",A1093&amp;" - ")-1),TRIM(A1093)))</f>
        <v/>
      </c>
      <c r="M1093">
        <f>IF(OR(K1093="",K1093=A1093,A1093=""),"",K1093&amp;"|"&amp;L1093)</f>
        <v/>
      </c>
      <c r="N1093">
        <f>IF(M1093="","",IF(ISNUMBER(B1093),B1093,IFERROR(_xlfn.NUMBERVALUE(B1093,".",","),0)))</f>
        <v/>
      </c>
      <c r="O1093">
        <f>IF(M1093="","",IF(ISNUMBER(C1093),C1093,IFERROR(_xlfn.NUMBERVALUE(C1093,".",","),0)))</f>
        <v/>
      </c>
    </row>
    <row r="1094">
      <c r="K1094">
        <f>IF(OR(LEFT(B1094,9)="DOANH THU",LEFT(B1094,8)="SỐ LƯỢNG"),A1094,IF(A1094="","",K1093))</f>
        <v/>
      </c>
      <c r="L1094">
        <f>IF(A1094="","",IF(ISNUMBER(--LEFT(A1094,FIND(" - ",A1094&amp;" - ")-1)),LEFT(A1094,FIND(" - ",A1094&amp;" - ")-1),TRIM(A1094)))</f>
        <v/>
      </c>
      <c r="M1094">
        <f>IF(OR(K1094="",K1094=A1094,A1094=""),"",K1094&amp;"|"&amp;L1094)</f>
        <v/>
      </c>
      <c r="N1094">
        <f>IF(M1094="","",IF(ISNUMBER(B1094),B1094,IFERROR(_xlfn.NUMBERVALUE(B1094,".",","),0)))</f>
        <v/>
      </c>
      <c r="O1094">
        <f>IF(M1094="","",IF(ISNUMBER(C1094),C1094,IFERROR(_xlfn.NUMBERVALUE(C1094,".",","),0)))</f>
        <v/>
      </c>
    </row>
    <row r="1095">
      <c r="K1095">
        <f>IF(OR(LEFT(B1095,9)="DOANH THU",LEFT(B1095,8)="SỐ LƯỢNG"),A1095,IF(A1095="","",K1094))</f>
        <v/>
      </c>
      <c r="L1095">
        <f>IF(A1095="","",IF(ISNUMBER(--LEFT(A1095,FIND(" - ",A1095&amp;" - ")-1)),LEFT(A1095,FIND(" - ",A1095&amp;" - ")-1),TRIM(A1095)))</f>
        <v/>
      </c>
      <c r="M1095">
        <f>IF(OR(K1095="",K1095=A1095,A1095=""),"",K1095&amp;"|"&amp;L1095)</f>
        <v/>
      </c>
      <c r="N1095">
        <f>IF(M1095="","",IF(ISNUMBER(B1095),B1095,IFERROR(_xlfn.NUMBERVALUE(B1095,".",","),0)))</f>
        <v/>
      </c>
      <c r="O1095">
        <f>IF(M1095="","",IF(ISNUMBER(C1095),C1095,IFERROR(_xlfn.NUMBERVALUE(C1095,".",","),0)))</f>
        <v/>
      </c>
    </row>
    <row r="1096">
      <c r="K1096">
        <f>IF(OR(LEFT(B1096,9)="DOANH THU",LEFT(B1096,8)="SỐ LƯỢNG"),A1096,IF(A1096="","",K1095))</f>
        <v/>
      </c>
      <c r="L1096">
        <f>IF(A1096="","",IF(ISNUMBER(--LEFT(A1096,FIND(" - ",A1096&amp;" - ")-1)),LEFT(A1096,FIND(" - ",A1096&amp;" - ")-1),TRIM(A1096)))</f>
        <v/>
      </c>
      <c r="M1096">
        <f>IF(OR(K1096="",K1096=A1096,A1096=""),"",K1096&amp;"|"&amp;L1096)</f>
        <v/>
      </c>
      <c r="N1096">
        <f>IF(M1096="","",IF(ISNUMBER(B1096),B1096,IFERROR(_xlfn.NUMBERVALUE(B1096,".",","),0)))</f>
        <v/>
      </c>
      <c r="O1096">
        <f>IF(M1096="","",IF(ISNUMBER(C1096),C1096,IFERROR(_xlfn.NUMBERVALUE(C1096,".",","),0)))</f>
        <v/>
      </c>
    </row>
    <row r="1097">
      <c r="K1097">
        <f>IF(OR(LEFT(B1097,9)="DOANH THU",LEFT(B1097,8)="SỐ LƯỢNG"),A1097,IF(A1097="","",K1096))</f>
        <v/>
      </c>
      <c r="L1097">
        <f>IF(A1097="","",IF(ISNUMBER(--LEFT(A1097,FIND(" - ",A1097&amp;" - ")-1)),LEFT(A1097,FIND(" - ",A1097&amp;" - ")-1),TRIM(A1097)))</f>
        <v/>
      </c>
      <c r="M1097">
        <f>IF(OR(K1097="",K1097=A1097,A1097=""),"",K1097&amp;"|"&amp;L1097)</f>
        <v/>
      </c>
      <c r="N1097">
        <f>IF(M1097="","",IF(ISNUMBER(B1097),B1097,IFERROR(_xlfn.NUMBERVALUE(B1097,".",","),0)))</f>
        <v/>
      </c>
      <c r="O1097">
        <f>IF(M1097="","",IF(ISNUMBER(C1097),C1097,IFERROR(_xlfn.NUMBERVALUE(C1097,".",","),0)))</f>
        <v/>
      </c>
    </row>
    <row r="1098">
      <c r="K1098">
        <f>IF(OR(LEFT(B1098,9)="DOANH THU",LEFT(B1098,8)="SỐ LƯỢNG"),A1098,IF(A1098="","",K1097))</f>
        <v/>
      </c>
      <c r="L1098">
        <f>IF(A1098="","",IF(ISNUMBER(--LEFT(A1098,FIND(" - ",A1098&amp;" - ")-1)),LEFT(A1098,FIND(" - ",A1098&amp;" - ")-1),TRIM(A1098)))</f>
        <v/>
      </c>
      <c r="M1098">
        <f>IF(OR(K1098="",K1098=A1098,A1098=""),"",K1098&amp;"|"&amp;L1098)</f>
        <v/>
      </c>
      <c r="N1098">
        <f>IF(M1098="","",IF(ISNUMBER(B1098),B1098,IFERROR(_xlfn.NUMBERVALUE(B1098,".",","),0)))</f>
        <v/>
      </c>
      <c r="O1098">
        <f>IF(M1098="","",IF(ISNUMBER(C1098),C1098,IFERROR(_xlfn.NUMBERVALUE(C1098,".",","),0)))</f>
        <v/>
      </c>
    </row>
    <row r="1099">
      <c r="K1099">
        <f>IF(OR(LEFT(B1099,9)="DOANH THU",LEFT(B1099,8)="SỐ LƯỢNG"),A1099,IF(A1099="","",K1098))</f>
        <v/>
      </c>
      <c r="L1099">
        <f>IF(A1099="","",IF(ISNUMBER(--LEFT(A1099,FIND(" - ",A1099&amp;" - ")-1)),LEFT(A1099,FIND(" - ",A1099&amp;" - ")-1),TRIM(A1099)))</f>
        <v/>
      </c>
      <c r="M1099">
        <f>IF(OR(K1099="",K1099=A1099,A1099=""),"",K1099&amp;"|"&amp;L1099)</f>
        <v/>
      </c>
      <c r="N1099">
        <f>IF(M1099="","",IF(ISNUMBER(B1099),B1099,IFERROR(_xlfn.NUMBERVALUE(B1099,".",","),0)))</f>
        <v/>
      </c>
      <c r="O1099">
        <f>IF(M1099="","",IF(ISNUMBER(C1099),C1099,IFERROR(_xlfn.NUMBERVALUE(C1099,".",","),0)))</f>
        <v/>
      </c>
    </row>
    <row r="1100">
      <c r="K1100">
        <f>IF(OR(LEFT(B1100,9)="DOANH THU",LEFT(B1100,8)="SỐ LƯỢNG"),A1100,IF(A1100="","",K1099))</f>
        <v/>
      </c>
      <c r="L1100">
        <f>IF(A1100="","",IF(ISNUMBER(--LEFT(A1100,FIND(" - ",A1100&amp;" - ")-1)),LEFT(A1100,FIND(" - ",A1100&amp;" - ")-1),TRIM(A1100)))</f>
        <v/>
      </c>
      <c r="M1100">
        <f>IF(OR(K1100="",K1100=A1100,A1100=""),"",K1100&amp;"|"&amp;L1100)</f>
        <v/>
      </c>
      <c r="N1100">
        <f>IF(M1100="","",IF(ISNUMBER(B1100),B1100,IFERROR(_xlfn.NUMBERVALUE(B1100,".",","),0)))</f>
        <v/>
      </c>
      <c r="O1100">
        <f>IF(M1100="","",IF(ISNUMBER(C1100),C1100,IFERROR(_xlfn.NUMBERVALUE(C1100,".",","),0)))</f>
        <v/>
      </c>
    </row>
    <row r="1101">
      <c r="K1101">
        <f>IF(OR(LEFT(B1101,9)="DOANH THU",LEFT(B1101,8)="SỐ LƯỢNG"),A1101,IF(A1101="","",K1100))</f>
        <v/>
      </c>
      <c r="L1101">
        <f>IF(A1101="","",IF(ISNUMBER(--LEFT(A1101,FIND(" - ",A1101&amp;" - ")-1)),LEFT(A1101,FIND(" - ",A1101&amp;" - ")-1),TRIM(A1101)))</f>
        <v/>
      </c>
      <c r="M1101">
        <f>IF(OR(K1101="",K1101=A1101,A1101=""),"",K1101&amp;"|"&amp;L1101)</f>
        <v/>
      </c>
      <c r="N1101">
        <f>IF(M1101="","",IF(ISNUMBER(B1101),B1101,IFERROR(_xlfn.NUMBERVALUE(B1101,".",","),0)))</f>
        <v/>
      </c>
      <c r="O1101">
        <f>IF(M1101="","",IF(ISNUMBER(C1101),C1101,IFERROR(_xlfn.NUMBERVALUE(C1101,".",","),0)))</f>
        <v/>
      </c>
    </row>
    <row r="1102">
      <c r="K1102">
        <f>IF(OR(LEFT(B1102,9)="DOANH THU",LEFT(B1102,8)="SỐ LƯỢNG"),A1102,IF(A1102="","",K1101))</f>
        <v/>
      </c>
      <c r="L1102">
        <f>IF(A1102="","",IF(ISNUMBER(--LEFT(A1102,FIND(" - ",A1102&amp;" - ")-1)),LEFT(A1102,FIND(" - ",A1102&amp;" - ")-1),TRIM(A1102)))</f>
        <v/>
      </c>
      <c r="M1102">
        <f>IF(OR(K1102="",K1102=A1102,A1102=""),"",K1102&amp;"|"&amp;L1102)</f>
        <v/>
      </c>
      <c r="N1102">
        <f>IF(M1102="","",IF(ISNUMBER(B1102),B1102,IFERROR(_xlfn.NUMBERVALUE(B1102,".",","),0)))</f>
        <v/>
      </c>
      <c r="O1102">
        <f>IF(M1102="","",IF(ISNUMBER(C1102),C1102,IFERROR(_xlfn.NUMBERVALUE(C1102,".",","),0)))</f>
        <v/>
      </c>
    </row>
    <row r="1103">
      <c r="K1103">
        <f>IF(OR(LEFT(B1103,9)="DOANH THU",LEFT(B1103,8)="SỐ LƯỢNG"),A1103,IF(A1103="","",K1102))</f>
        <v/>
      </c>
      <c r="L1103">
        <f>IF(A1103="","",IF(ISNUMBER(--LEFT(A1103,FIND(" - ",A1103&amp;" - ")-1)),LEFT(A1103,FIND(" - ",A1103&amp;" - ")-1),TRIM(A1103)))</f>
        <v/>
      </c>
      <c r="M1103">
        <f>IF(OR(K1103="",K1103=A1103,A1103=""),"",K1103&amp;"|"&amp;L1103)</f>
        <v/>
      </c>
      <c r="N1103">
        <f>IF(M1103="","",IF(ISNUMBER(B1103),B1103,IFERROR(_xlfn.NUMBERVALUE(B1103,".",","),0)))</f>
        <v/>
      </c>
      <c r="O1103">
        <f>IF(M1103="","",IF(ISNUMBER(C1103),C1103,IFERROR(_xlfn.NUMBERVALUE(C1103,".",","),0)))</f>
        <v/>
      </c>
    </row>
    <row r="1104">
      <c r="K1104">
        <f>IF(OR(LEFT(B1104,9)="DOANH THU",LEFT(B1104,8)="SỐ LƯỢNG"),A1104,IF(A1104="","",K1103))</f>
        <v/>
      </c>
      <c r="L1104">
        <f>IF(A1104="","",IF(ISNUMBER(--LEFT(A1104,FIND(" - ",A1104&amp;" - ")-1)),LEFT(A1104,FIND(" - ",A1104&amp;" - ")-1),TRIM(A1104)))</f>
        <v/>
      </c>
      <c r="M1104">
        <f>IF(OR(K1104="",K1104=A1104,A1104=""),"",K1104&amp;"|"&amp;L1104)</f>
        <v/>
      </c>
      <c r="N1104">
        <f>IF(M1104="","",IF(ISNUMBER(B1104),B1104,IFERROR(_xlfn.NUMBERVALUE(B1104,".",","),0)))</f>
        <v/>
      </c>
      <c r="O1104">
        <f>IF(M1104="","",IF(ISNUMBER(C1104),C1104,IFERROR(_xlfn.NUMBERVALUE(C1104,".",","),0)))</f>
        <v/>
      </c>
    </row>
    <row r="1105">
      <c r="K1105">
        <f>IF(OR(LEFT(B1105,9)="DOANH THU",LEFT(B1105,8)="SỐ LƯỢNG"),A1105,IF(A1105="","",K1104))</f>
        <v/>
      </c>
      <c r="L1105">
        <f>IF(A1105="","",IF(ISNUMBER(--LEFT(A1105,FIND(" - ",A1105&amp;" - ")-1)),LEFT(A1105,FIND(" - ",A1105&amp;" - ")-1),TRIM(A1105)))</f>
        <v/>
      </c>
      <c r="M1105">
        <f>IF(OR(K1105="",K1105=A1105,A1105=""),"",K1105&amp;"|"&amp;L1105)</f>
        <v/>
      </c>
      <c r="N1105">
        <f>IF(M1105="","",IF(ISNUMBER(B1105),B1105,IFERROR(_xlfn.NUMBERVALUE(B1105,".",","),0)))</f>
        <v/>
      </c>
      <c r="O1105">
        <f>IF(M1105="","",IF(ISNUMBER(C1105),C1105,IFERROR(_xlfn.NUMBERVALUE(C1105,".",","),0)))</f>
        <v/>
      </c>
    </row>
    <row r="1106">
      <c r="K1106">
        <f>IF(OR(LEFT(B1106,9)="DOANH THU",LEFT(B1106,8)="SỐ LƯỢNG"),A1106,IF(A1106="","",K1105))</f>
        <v/>
      </c>
      <c r="L1106">
        <f>IF(A1106="","",IF(ISNUMBER(--LEFT(A1106,FIND(" - ",A1106&amp;" - ")-1)),LEFT(A1106,FIND(" - ",A1106&amp;" - ")-1),TRIM(A1106)))</f>
        <v/>
      </c>
      <c r="M1106">
        <f>IF(OR(K1106="",K1106=A1106,A1106=""),"",K1106&amp;"|"&amp;L1106)</f>
        <v/>
      </c>
      <c r="N1106">
        <f>IF(M1106="","",IF(ISNUMBER(B1106),B1106,IFERROR(_xlfn.NUMBERVALUE(B1106,".",","),0)))</f>
        <v/>
      </c>
      <c r="O1106">
        <f>IF(M1106="","",IF(ISNUMBER(C1106),C1106,IFERROR(_xlfn.NUMBERVALUE(C1106,".",","),0)))</f>
        <v/>
      </c>
    </row>
    <row r="1107">
      <c r="K1107">
        <f>IF(OR(LEFT(B1107,9)="DOANH THU",LEFT(B1107,8)="SỐ LƯỢNG"),A1107,IF(A1107="","",K1106))</f>
        <v/>
      </c>
      <c r="L1107">
        <f>IF(A1107="","",IF(ISNUMBER(--LEFT(A1107,FIND(" - ",A1107&amp;" - ")-1)),LEFT(A1107,FIND(" - ",A1107&amp;" - ")-1),TRIM(A1107)))</f>
        <v/>
      </c>
      <c r="M1107">
        <f>IF(OR(K1107="",K1107=A1107,A1107=""),"",K1107&amp;"|"&amp;L1107)</f>
        <v/>
      </c>
      <c r="N1107">
        <f>IF(M1107="","",IF(ISNUMBER(B1107),B1107,IFERROR(_xlfn.NUMBERVALUE(B1107,".",","),0)))</f>
        <v/>
      </c>
      <c r="O1107">
        <f>IF(M1107="","",IF(ISNUMBER(C1107),C1107,IFERROR(_xlfn.NUMBERVALUE(C1107,".",","),0)))</f>
        <v/>
      </c>
    </row>
    <row r="1108">
      <c r="K1108">
        <f>IF(OR(LEFT(B1108,9)="DOANH THU",LEFT(B1108,8)="SỐ LƯỢNG"),A1108,IF(A1108="","",K1107))</f>
        <v/>
      </c>
      <c r="L1108">
        <f>IF(A1108="","",IF(ISNUMBER(--LEFT(A1108,FIND(" - ",A1108&amp;" - ")-1)),LEFT(A1108,FIND(" - ",A1108&amp;" - ")-1),TRIM(A1108)))</f>
        <v/>
      </c>
      <c r="M1108">
        <f>IF(OR(K1108="",K1108=A1108,A1108=""),"",K1108&amp;"|"&amp;L1108)</f>
        <v/>
      </c>
      <c r="N1108">
        <f>IF(M1108="","",IF(ISNUMBER(B1108),B1108,IFERROR(_xlfn.NUMBERVALUE(B1108,".",","),0)))</f>
        <v/>
      </c>
      <c r="O1108">
        <f>IF(M1108="","",IF(ISNUMBER(C1108),C1108,IFERROR(_xlfn.NUMBERVALUE(C1108,".",","),0)))</f>
        <v/>
      </c>
    </row>
    <row r="1109">
      <c r="K1109">
        <f>IF(OR(LEFT(B1109,9)="DOANH THU",LEFT(B1109,8)="SỐ LƯỢNG"),A1109,IF(A1109="","",K1108))</f>
        <v/>
      </c>
      <c r="L1109">
        <f>IF(A1109="","",IF(ISNUMBER(--LEFT(A1109,FIND(" - ",A1109&amp;" - ")-1)),LEFT(A1109,FIND(" - ",A1109&amp;" - ")-1),TRIM(A1109)))</f>
        <v/>
      </c>
      <c r="M1109">
        <f>IF(OR(K1109="",K1109=A1109,A1109=""),"",K1109&amp;"|"&amp;L1109)</f>
        <v/>
      </c>
      <c r="N1109">
        <f>IF(M1109="","",IF(ISNUMBER(B1109),B1109,IFERROR(_xlfn.NUMBERVALUE(B1109,".",","),0)))</f>
        <v/>
      </c>
      <c r="O1109">
        <f>IF(M1109="","",IF(ISNUMBER(C1109),C1109,IFERROR(_xlfn.NUMBERVALUE(C1109,".",","),0)))</f>
        <v/>
      </c>
    </row>
    <row r="1110">
      <c r="K1110">
        <f>IF(OR(LEFT(B1110,9)="DOANH THU",LEFT(B1110,8)="SỐ LƯỢNG"),A1110,IF(A1110="","",K1109))</f>
        <v/>
      </c>
      <c r="L1110">
        <f>IF(A1110="","",IF(ISNUMBER(--LEFT(A1110,FIND(" - ",A1110&amp;" - ")-1)),LEFT(A1110,FIND(" - ",A1110&amp;" - ")-1),TRIM(A1110)))</f>
        <v/>
      </c>
      <c r="M1110">
        <f>IF(OR(K1110="",K1110=A1110,A1110=""),"",K1110&amp;"|"&amp;L1110)</f>
        <v/>
      </c>
      <c r="N1110">
        <f>IF(M1110="","",IF(ISNUMBER(B1110),B1110,IFERROR(_xlfn.NUMBERVALUE(B1110,".",","),0)))</f>
        <v/>
      </c>
      <c r="O1110">
        <f>IF(M1110="","",IF(ISNUMBER(C1110),C1110,IFERROR(_xlfn.NUMBERVALUE(C1110,".",","),0)))</f>
        <v/>
      </c>
    </row>
    <row r="1111">
      <c r="K1111">
        <f>IF(OR(LEFT(B1111,9)="DOANH THU",LEFT(B1111,8)="SỐ LƯỢNG"),A1111,IF(A1111="","",K1110))</f>
        <v/>
      </c>
      <c r="L1111">
        <f>IF(A1111="","",IF(ISNUMBER(--LEFT(A1111,FIND(" - ",A1111&amp;" - ")-1)),LEFT(A1111,FIND(" - ",A1111&amp;" - ")-1),TRIM(A1111)))</f>
        <v/>
      </c>
      <c r="M1111">
        <f>IF(OR(K1111="",K1111=A1111,A1111=""),"",K1111&amp;"|"&amp;L1111)</f>
        <v/>
      </c>
      <c r="N1111">
        <f>IF(M1111="","",IF(ISNUMBER(B1111),B1111,IFERROR(_xlfn.NUMBERVALUE(B1111,".",","),0)))</f>
        <v/>
      </c>
      <c r="O1111">
        <f>IF(M1111="","",IF(ISNUMBER(C1111),C1111,IFERROR(_xlfn.NUMBERVALUE(C1111,".",","),0)))</f>
        <v/>
      </c>
    </row>
    <row r="1112">
      <c r="K1112">
        <f>IF(OR(LEFT(B1112,9)="DOANH THU",LEFT(B1112,8)="SỐ LƯỢNG"),A1112,IF(A1112="","",K1111))</f>
        <v/>
      </c>
      <c r="L1112">
        <f>IF(A1112="","",IF(ISNUMBER(--LEFT(A1112,FIND(" - ",A1112&amp;" - ")-1)),LEFT(A1112,FIND(" - ",A1112&amp;" - ")-1),TRIM(A1112)))</f>
        <v/>
      </c>
      <c r="M1112">
        <f>IF(OR(K1112="",K1112=A1112,A1112=""),"",K1112&amp;"|"&amp;L1112)</f>
        <v/>
      </c>
      <c r="N1112">
        <f>IF(M1112="","",IF(ISNUMBER(B1112),B1112,IFERROR(_xlfn.NUMBERVALUE(B1112,".",","),0)))</f>
        <v/>
      </c>
      <c r="O1112">
        <f>IF(M1112="","",IF(ISNUMBER(C1112),C1112,IFERROR(_xlfn.NUMBERVALUE(C1112,".",","),0)))</f>
        <v/>
      </c>
    </row>
    <row r="1113">
      <c r="K1113">
        <f>IF(OR(LEFT(B1113,9)="DOANH THU",LEFT(B1113,8)="SỐ LƯỢNG"),A1113,IF(A1113="","",K1112))</f>
        <v/>
      </c>
      <c r="L1113">
        <f>IF(A1113="","",IF(ISNUMBER(--LEFT(A1113,FIND(" - ",A1113&amp;" - ")-1)),LEFT(A1113,FIND(" - ",A1113&amp;" - ")-1),TRIM(A1113)))</f>
        <v/>
      </c>
      <c r="M1113">
        <f>IF(OR(K1113="",K1113=A1113,A1113=""),"",K1113&amp;"|"&amp;L1113)</f>
        <v/>
      </c>
      <c r="N1113">
        <f>IF(M1113="","",IF(ISNUMBER(B1113),B1113,IFERROR(_xlfn.NUMBERVALUE(B1113,".",","),0)))</f>
        <v/>
      </c>
      <c r="O1113">
        <f>IF(M1113="","",IF(ISNUMBER(C1113),C1113,IFERROR(_xlfn.NUMBERVALUE(C1113,".",","),0)))</f>
        <v/>
      </c>
    </row>
    <row r="1114">
      <c r="K1114">
        <f>IF(OR(LEFT(B1114,9)="DOANH THU",LEFT(B1114,8)="SỐ LƯỢNG"),A1114,IF(A1114="","",K1113))</f>
        <v/>
      </c>
      <c r="L1114">
        <f>IF(A1114="","",IF(ISNUMBER(--LEFT(A1114,FIND(" - ",A1114&amp;" - ")-1)),LEFT(A1114,FIND(" - ",A1114&amp;" - ")-1),TRIM(A1114)))</f>
        <v/>
      </c>
      <c r="M1114">
        <f>IF(OR(K1114="",K1114=A1114,A1114=""),"",K1114&amp;"|"&amp;L1114)</f>
        <v/>
      </c>
      <c r="N1114">
        <f>IF(M1114="","",IF(ISNUMBER(B1114),B1114,IFERROR(_xlfn.NUMBERVALUE(B1114,".",","),0)))</f>
        <v/>
      </c>
      <c r="O1114">
        <f>IF(M1114="","",IF(ISNUMBER(C1114),C1114,IFERROR(_xlfn.NUMBERVALUE(C1114,".",","),0)))</f>
        <v/>
      </c>
    </row>
    <row r="1115">
      <c r="K1115">
        <f>IF(OR(LEFT(B1115,9)="DOANH THU",LEFT(B1115,8)="SỐ LƯỢNG"),A1115,IF(A1115="","",K1114))</f>
        <v/>
      </c>
      <c r="L1115">
        <f>IF(A1115="","",IF(ISNUMBER(--LEFT(A1115,FIND(" - ",A1115&amp;" - ")-1)),LEFT(A1115,FIND(" - ",A1115&amp;" - ")-1),TRIM(A1115)))</f>
        <v/>
      </c>
      <c r="M1115">
        <f>IF(OR(K1115="",K1115=A1115,A1115=""),"",K1115&amp;"|"&amp;L1115)</f>
        <v/>
      </c>
      <c r="N1115">
        <f>IF(M1115="","",IF(ISNUMBER(B1115),B1115,IFERROR(_xlfn.NUMBERVALUE(B1115,".",","),0)))</f>
        <v/>
      </c>
      <c r="O1115">
        <f>IF(M1115="","",IF(ISNUMBER(C1115),C1115,IFERROR(_xlfn.NUMBERVALUE(C1115,".",","),0)))</f>
        <v/>
      </c>
    </row>
    <row r="1116">
      <c r="K1116">
        <f>IF(OR(LEFT(B1116,9)="DOANH THU",LEFT(B1116,8)="SỐ LƯỢNG"),A1116,IF(A1116="","",K1115))</f>
        <v/>
      </c>
      <c r="L1116">
        <f>IF(A1116="","",IF(ISNUMBER(--LEFT(A1116,FIND(" - ",A1116&amp;" - ")-1)),LEFT(A1116,FIND(" - ",A1116&amp;" - ")-1),TRIM(A1116)))</f>
        <v/>
      </c>
      <c r="M1116">
        <f>IF(OR(K1116="",K1116=A1116,A1116=""),"",K1116&amp;"|"&amp;L1116)</f>
        <v/>
      </c>
      <c r="N1116">
        <f>IF(M1116="","",IF(ISNUMBER(B1116),B1116,IFERROR(_xlfn.NUMBERVALUE(B1116,".",","),0)))</f>
        <v/>
      </c>
      <c r="O1116">
        <f>IF(M1116="","",IF(ISNUMBER(C1116),C1116,IFERROR(_xlfn.NUMBERVALUE(C1116,".",","),0)))</f>
        <v/>
      </c>
    </row>
    <row r="1117">
      <c r="K1117">
        <f>IF(OR(LEFT(B1117,9)="DOANH THU",LEFT(B1117,8)="SỐ LƯỢNG"),A1117,IF(A1117="","",K1116))</f>
        <v/>
      </c>
      <c r="L1117">
        <f>IF(A1117="","",IF(ISNUMBER(--LEFT(A1117,FIND(" - ",A1117&amp;" - ")-1)),LEFT(A1117,FIND(" - ",A1117&amp;" - ")-1),TRIM(A1117)))</f>
        <v/>
      </c>
      <c r="M1117">
        <f>IF(OR(K1117="",K1117=A1117,A1117=""),"",K1117&amp;"|"&amp;L1117)</f>
        <v/>
      </c>
      <c r="N1117">
        <f>IF(M1117="","",IF(ISNUMBER(B1117),B1117,IFERROR(_xlfn.NUMBERVALUE(B1117,".",","),0)))</f>
        <v/>
      </c>
      <c r="O1117">
        <f>IF(M1117="","",IF(ISNUMBER(C1117),C1117,IFERROR(_xlfn.NUMBERVALUE(C1117,".",","),0)))</f>
        <v/>
      </c>
    </row>
    <row r="1118">
      <c r="K1118">
        <f>IF(OR(LEFT(B1118,9)="DOANH THU",LEFT(B1118,8)="SỐ LƯỢNG"),A1118,IF(A1118="","",K1117))</f>
        <v/>
      </c>
      <c r="L1118">
        <f>IF(A1118="","",IF(ISNUMBER(--LEFT(A1118,FIND(" - ",A1118&amp;" - ")-1)),LEFT(A1118,FIND(" - ",A1118&amp;" - ")-1),TRIM(A1118)))</f>
        <v/>
      </c>
      <c r="M1118">
        <f>IF(OR(K1118="",K1118=A1118,A1118=""),"",K1118&amp;"|"&amp;L1118)</f>
        <v/>
      </c>
      <c r="N1118">
        <f>IF(M1118="","",IF(ISNUMBER(B1118),B1118,IFERROR(_xlfn.NUMBERVALUE(B1118,".",","),0)))</f>
        <v/>
      </c>
      <c r="O1118">
        <f>IF(M1118="","",IF(ISNUMBER(C1118),C1118,IFERROR(_xlfn.NUMBERVALUE(C1118,".",","),0)))</f>
        <v/>
      </c>
    </row>
    <row r="1119">
      <c r="K1119">
        <f>IF(OR(LEFT(B1119,9)="DOANH THU",LEFT(B1119,8)="SỐ LƯỢNG"),A1119,IF(A1119="","",K1118))</f>
        <v/>
      </c>
      <c r="L1119">
        <f>IF(A1119="","",IF(ISNUMBER(--LEFT(A1119,FIND(" - ",A1119&amp;" - ")-1)),LEFT(A1119,FIND(" - ",A1119&amp;" - ")-1),TRIM(A1119)))</f>
        <v/>
      </c>
      <c r="M1119">
        <f>IF(OR(K1119="",K1119=A1119,A1119=""),"",K1119&amp;"|"&amp;L1119)</f>
        <v/>
      </c>
      <c r="N1119">
        <f>IF(M1119="","",IF(ISNUMBER(B1119),B1119,IFERROR(_xlfn.NUMBERVALUE(B1119,".",","),0)))</f>
        <v/>
      </c>
      <c r="O1119">
        <f>IF(M1119="","",IF(ISNUMBER(C1119),C1119,IFERROR(_xlfn.NUMBERVALUE(C1119,".",","),0)))</f>
        <v/>
      </c>
    </row>
    <row r="1120">
      <c r="K1120">
        <f>IF(OR(LEFT(B1120,9)="DOANH THU",LEFT(B1120,8)="SỐ LƯỢNG"),A1120,IF(A1120="","",K1119))</f>
        <v/>
      </c>
      <c r="L1120">
        <f>IF(A1120="","",IF(ISNUMBER(--LEFT(A1120,FIND(" - ",A1120&amp;" - ")-1)),LEFT(A1120,FIND(" - ",A1120&amp;" - ")-1),TRIM(A1120)))</f>
        <v/>
      </c>
      <c r="M1120">
        <f>IF(OR(K1120="",K1120=A1120,A1120=""),"",K1120&amp;"|"&amp;L1120)</f>
        <v/>
      </c>
      <c r="N1120">
        <f>IF(M1120="","",IF(ISNUMBER(B1120),B1120,IFERROR(_xlfn.NUMBERVALUE(B1120,".",","),0)))</f>
        <v/>
      </c>
      <c r="O1120">
        <f>IF(M1120="","",IF(ISNUMBER(C1120),C1120,IFERROR(_xlfn.NUMBERVALUE(C1120,".",","),0)))</f>
        <v/>
      </c>
    </row>
    <row r="1121">
      <c r="K1121">
        <f>IF(OR(LEFT(B1121,9)="DOANH THU",LEFT(B1121,8)="SỐ LƯỢNG"),A1121,IF(A1121="","",K1120))</f>
        <v/>
      </c>
      <c r="L1121">
        <f>IF(A1121="","",IF(ISNUMBER(--LEFT(A1121,FIND(" - ",A1121&amp;" - ")-1)),LEFT(A1121,FIND(" - ",A1121&amp;" - ")-1),TRIM(A1121)))</f>
        <v/>
      </c>
      <c r="M1121">
        <f>IF(OR(K1121="",K1121=A1121,A1121=""),"",K1121&amp;"|"&amp;L1121)</f>
        <v/>
      </c>
      <c r="N1121">
        <f>IF(M1121="","",IF(ISNUMBER(B1121),B1121,IFERROR(_xlfn.NUMBERVALUE(B1121,".",","),0)))</f>
        <v/>
      </c>
      <c r="O1121">
        <f>IF(M1121="","",IF(ISNUMBER(C1121),C1121,IFERROR(_xlfn.NUMBERVALUE(C1121,".",","),0)))</f>
        <v/>
      </c>
    </row>
    <row r="1122">
      <c r="K1122">
        <f>IF(OR(LEFT(B1122,9)="DOANH THU",LEFT(B1122,8)="SỐ LƯỢNG"),A1122,IF(A1122="","",K1121))</f>
        <v/>
      </c>
      <c r="L1122">
        <f>IF(A1122="","",IF(ISNUMBER(--LEFT(A1122,FIND(" - ",A1122&amp;" - ")-1)),LEFT(A1122,FIND(" - ",A1122&amp;" - ")-1),TRIM(A1122)))</f>
        <v/>
      </c>
      <c r="M1122">
        <f>IF(OR(K1122="",K1122=A1122,A1122=""),"",K1122&amp;"|"&amp;L1122)</f>
        <v/>
      </c>
      <c r="N1122">
        <f>IF(M1122="","",IF(ISNUMBER(B1122),B1122,IFERROR(_xlfn.NUMBERVALUE(B1122,".",","),0)))</f>
        <v/>
      </c>
      <c r="O1122">
        <f>IF(M1122="","",IF(ISNUMBER(C1122),C1122,IFERROR(_xlfn.NUMBERVALUE(C1122,".",","),0)))</f>
        <v/>
      </c>
    </row>
    <row r="1123">
      <c r="K1123">
        <f>IF(OR(LEFT(B1123,9)="DOANH THU",LEFT(B1123,8)="SỐ LƯỢNG"),A1123,IF(A1123="","",K1122))</f>
        <v/>
      </c>
      <c r="L1123">
        <f>IF(A1123="","",IF(ISNUMBER(--LEFT(A1123,FIND(" - ",A1123&amp;" - ")-1)),LEFT(A1123,FIND(" - ",A1123&amp;" - ")-1),TRIM(A1123)))</f>
        <v/>
      </c>
      <c r="M1123">
        <f>IF(OR(K1123="",K1123=A1123,A1123=""),"",K1123&amp;"|"&amp;L1123)</f>
        <v/>
      </c>
      <c r="N1123">
        <f>IF(M1123="","",IF(ISNUMBER(B1123),B1123,IFERROR(_xlfn.NUMBERVALUE(B1123,".",","),0)))</f>
        <v/>
      </c>
      <c r="O1123">
        <f>IF(M1123="","",IF(ISNUMBER(C1123),C1123,IFERROR(_xlfn.NUMBERVALUE(C1123,".",","),0)))</f>
        <v/>
      </c>
    </row>
    <row r="1124">
      <c r="K1124">
        <f>IF(OR(LEFT(B1124,9)="DOANH THU",LEFT(B1124,8)="SỐ LƯỢNG"),A1124,IF(A1124="","",K1123))</f>
        <v/>
      </c>
      <c r="L1124">
        <f>IF(A1124="","",IF(ISNUMBER(--LEFT(A1124,FIND(" - ",A1124&amp;" - ")-1)),LEFT(A1124,FIND(" - ",A1124&amp;" - ")-1),TRIM(A1124)))</f>
        <v/>
      </c>
      <c r="M1124">
        <f>IF(OR(K1124="",K1124=A1124,A1124=""),"",K1124&amp;"|"&amp;L1124)</f>
        <v/>
      </c>
      <c r="N1124">
        <f>IF(M1124="","",IF(ISNUMBER(B1124),B1124,IFERROR(_xlfn.NUMBERVALUE(B1124,".",","),0)))</f>
        <v/>
      </c>
      <c r="O1124">
        <f>IF(M1124="","",IF(ISNUMBER(C1124),C1124,IFERROR(_xlfn.NUMBERVALUE(C1124,".",","),0)))</f>
        <v/>
      </c>
    </row>
    <row r="1125">
      <c r="K1125">
        <f>IF(OR(LEFT(B1125,9)="DOANH THU",LEFT(B1125,8)="SỐ LƯỢNG"),A1125,IF(A1125="","",K1124))</f>
        <v/>
      </c>
      <c r="L1125">
        <f>IF(A1125="","",IF(ISNUMBER(--LEFT(A1125,FIND(" - ",A1125&amp;" - ")-1)),LEFT(A1125,FIND(" - ",A1125&amp;" - ")-1),TRIM(A1125)))</f>
        <v/>
      </c>
      <c r="M1125">
        <f>IF(OR(K1125="",K1125=A1125,A1125=""),"",K1125&amp;"|"&amp;L1125)</f>
        <v/>
      </c>
      <c r="N1125">
        <f>IF(M1125="","",IF(ISNUMBER(B1125),B1125,IFERROR(_xlfn.NUMBERVALUE(B1125,".",","),0)))</f>
        <v/>
      </c>
      <c r="O1125">
        <f>IF(M1125="","",IF(ISNUMBER(C1125),C1125,IFERROR(_xlfn.NUMBERVALUE(C1125,".",","),0)))</f>
        <v/>
      </c>
    </row>
    <row r="1126">
      <c r="K1126">
        <f>IF(OR(LEFT(B1126,9)="DOANH THU",LEFT(B1126,8)="SỐ LƯỢNG"),A1126,IF(A1126="","",K1125))</f>
        <v/>
      </c>
      <c r="L1126">
        <f>IF(A1126="","",IF(ISNUMBER(--LEFT(A1126,FIND(" - ",A1126&amp;" - ")-1)),LEFT(A1126,FIND(" - ",A1126&amp;" - ")-1),TRIM(A1126)))</f>
        <v/>
      </c>
      <c r="M1126">
        <f>IF(OR(K1126="",K1126=A1126,A1126=""),"",K1126&amp;"|"&amp;L1126)</f>
        <v/>
      </c>
      <c r="N1126">
        <f>IF(M1126="","",IF(ISNUMBER(B1126),B1126,IFERROR(_xlfn.NUMBERVALUE(B1126,".",","),0)))</f>
        <v/>
      </c>
      <c r="O1126">
        <f>IF(M1126="","",IF(ISNUMBER(C1126),C1126,IFERROR(_xlfn.NUMBERVALUE(C1126,".",","),0)))</f>
        <v/>
      </c>
    </row>
    <row r="1127">
      <c r="K1127">
        <f>IF(OR(LEFT(B1127,9)="DOANH THU",LEFT(B1127,8)="SỐ LƯỢNG"),A1127,IF(A1127="","",K1126))</f>
        <v/>
      </c>
      <c r="L1127">
        <f>IF(A1127="","",IF(ISNUMBER(--LEFT(A1127,FIND(" - ",A1127&amp;" - ")-1)),LEFT(A1127,FIND(" - ",A1127&amp;" - ")-1),TRIM(A1127)))</f>
        <v/>
      </c>
      <c r="M1127">
        <f>IF(OR(K1127="",K1127=A1127,A1127=""),"",K1127&amp;"|"&amp;L1127)</f>
        <v/>
      </c>
      <c r="N1127">
        <f>IF(M1127="","",IF(ISNUMBER(B1127),B1127,IFERROR(_xlfn.NUMBERVALUE(B1127,".",","),0)))</f>
        <v/>
      </c>
      <c r="O1127">
        <f>IF(M1127="","",IF(ISNUMBER(C1127),C1127,IFERROR(_xlfn.NUMBERVALUE(C1127,".",","),0)))</f>
        <v/>
      </c>
    </row>
    <row r="1128">
      <c r="K1128">
        <f>IF(OR(LEFT(B1128,9)="DOANH THU",LEFT(B1128,8)="SỐ LƯỢNG"),A1128,IF(A1128="","",K1127))</f>
        <v/>
      </c>
      <c r="L1128">
        <f>IF(A1128="","",IF(ISNUMBER(--LEFT(A1128,FIND(" - ",A1128&amp;" - ")-1)),LEFT(A1128,FIND(" - ",A1128&amp;" - ")-1),TRIM(A1128)))</f>
        <v/>
      </c>
      <c r="M1128">
        <f>IF(OR(K1128="",K1128=A1128,A1128=""),"",K1128&amp;"|"&amp;L1128)</f>
        <v/>
      </c>
      <c r="N1128">
        <f>IF(M1128="","",IF(ISNUMBER(B1128),B1128,IFERROR(_xlfn.NUMBERVALUE(B1128,".",","),0)))</f>
        <v/>
      </c>
      <c r="O1128">
        <f>IF(M1128="","",IF(ISNUMBER(C1128),C1128,IFERROR(_xlfn.NUMBERVALUE(C1128,".",","),0)))</f>
        <v/>
      </c>
    </row>
    <row r="1129">
      <c r="K1129">
        <f>IF(OR(LEFT(B1129,9)="DOANH THU",LEFT(B1129,8)="SỐ LƯỢNG"),A1129,IF(A1129="","",K1128))</f>
        <v/>
      </c>
      <c r="L1129">
        <f>IF(A1129="","",IF(ISNUMBER(--LEFT(A1129,FIND(" - ",A1129&amp;" - ")-1)),LEFT(A1129,FIND(" - ",A1129&amp;" - ")-1),TRIM(A1129)))</f>
        <v/>
      </c>
      <c r="M1129">
        <f>IF(OR(K1129="",K1129=A1129,A1129=""),"",K1129&amp;"|"&amp;L1129)</f>
        <v/>
      </c>
      <c r="N1129">
        <f>IF(M1129="","",IF(ISNUMBER(B1129),B1129,IFERROR(_xlfn.NUMBERVALUE(B1129,".",","),0)))</f>
        <v/>
      </c>
      <c r="O1129">
        <f>IF(M1129="","",IF(ISNUMBER(C1129),C1129,IFERROR(_xlfn.NUMBERVALUE(C1129,".",","),0)))</f>
        <v/>
      </c>
    </row>
    <row r="1130">
      <c r="K1130">
        <f>IF(OR(LEFT(B1130,9)="DOANH THU",LEFT(B1130,8)="SỐ LƯỢNG"),A1130,IF(A1130="","",K1129))</f>
        <v/>
      </c>
      <c r="L1130">
        <f>IF(A1130="","",IF(ISNUMBER(--LEFT(A1130,FIND(" - ",A1130&amp;" - ")-1)),LEFT(A1130,FIND(" - ",A1130&amp;" - ")-1),TRIM(A1130)))</f>
        <v/>
      </c>
      <c r="M1130">
        <f>IF(OR(K1130="",K1130=A1130,A1130=""),"",K1130&amp;"|"&amp;L1130)</f>
        <v/>
      </c>
      <c r="N1130">
        <f>IF(M1130="","",IF(ISNUMBER(B1130),B1130,IFERROR(_xlfn.NUMBERVALUE(B1130,".",","),0)))</f>
        <v/>
      </c>
      <c r="O1130">
        <f>IF(M1130="","",IF(ISNUMBER(C1130),C1130,IFERROR(_xlfn.NUMBERVALUE(C1130,".",","),0)))</f>
        <v/>
      </c>
    </row>
    <row r="1131">
      <c r="K1131">
        <f>IF(OR(LEFT(B1131,9)="DOANH THU",LEFT(B1131,8)="SỐ LƯỢNG"),A1131,IF(A1131="","",K1130))</f>
        <v/>
      </c>
      <c r="L1131">
        <f>IF(A1131="","",IF(ISNUMBER(--LEFT(A1131,FIND(" - ",A1131&amp;" - ")-1)),LEFT(A1131,FIND(" - ",A1131&amp;" - ")-1),TRIM(A1131)))</f>
        <v/>
      </c>
      <c r="M1131">
        <f>IF(OR(K1131="",K1131=A1131,A1131=""),"",K1131&amp;"|"&amp;L1131)</f>
        <v/>
      </c>
      <c r="N1131">
        <f>IF(M1131="","",IF(ISNUMBER(B1131),B1131,IFERROR(_xlfn.NUMBERVALUE(B1131,".",","),0)))</f>
        <v/>
      </c>
      <c r="O1131">
        <f>IF(M1131="","",IF(ISNUMBER(C1131),C1131,IFERROR(_xlfn.NUMBERVALUE(C1131,".",","),0)))</f>
        <v/>
      </c>
    </row>
    <row r="1132">
      <c r="K1132">
        <f>IF(OR(LEFT(B1132,9)="DOANH THU",LEFT(B1132,8)="SỐ LƯỢNG"),A1132,IF(A1132="","",K1131))</f>
        <v/>
      </c>
      <c r="L1132">
        <f>IF(A1132="","",IF(ISNUMBER(--LEFT(A1132,FIND(" - ",A1132&amp;" - ")-1)),LEFT(A1132,FIND(" - ",A1132&amp;" - ")-1),TRIM(A1132)))</f>
        <v/>
      </c>
      <c r="M1132">
        <f>IF(OR(K1132="",K1132=A1132,A1132=""),"",K1132&amp;"|"&amp;L1132)</f>
        <v/>
      </c>
      <c r="N1132">
        <f>IF(M1132="","",IF(ISNUMBER(B1132),B1132,IFERROR(_xlfn.NUMBERVALUE(B1132,".",","),0)))</f>
        <v/>
      </c>
      <c r="O1132">
        <f>IF(M1132="","",IF(ISNUMBER(C1132),C1132,IFERROR(_xlfn.NUMBERVALUE(C1132,".",","),0)))</f>
        <v/>
      </c>
    </row>
    <row r="1133">
      <c r="K1133">
        <f>IF(OR(LEFT(B1133,9)="DOANH THU",LEFT(B1133,8)="SỐ LƯỢNG"),A1133,IF(A1133="","",K1132))</f>
        <v/>
      </c>
      <c r="L1133">
        <f>IF(A1133="","",IF(ISNUMBER(--LEFT(A1133,FIND(" - ",A1133&amp;" - ")-1)),LEFT(A1133,FIND(" - ",A1133&amp;" - ")-1),TRIM(A1133)))</f>
        <v/>
      </c>
      <c r="M1133">
        <f>IF(OR(K1133="",K1133=A1133,A1133=""),"",K1133&amp;"|"&amp;L1133)</f>
        <v/>
      </c>
      <c r="N1133">
        <f>IF(M1133="","",IF(ISNUMBER(B1133),B1133,IFERROR(_xlfn.NUMBERVALUE(B1133,".",","),0)))</f>
        <v/>
      </c>
      <c r="O1133">
        <f>IF(M1133="","",IF(ISNUMBER(C1133),C1133,IFERROR(_xlfn.NUMBERVALUE(C1133,".",","),0)))</f>
        <v/>
      </c>
    </row>
    <row r="1134">
      <c r="K1134">
        <f>IF(OR(LEFT(B1134,9)="DOANH THU",LEFT(B1134,8)="SỐ LƯỢNG"),A1134,IF(A1134="","",K1133))</f>
        <v/>
      </c>
      <c r="L1134">
        <f>IF(A1134="","",IF(ISNUMBER(--LEFT(A1134,FIND(" - ",A1134&amp;" - ")-1)),LEFT(A1134,FIND(" - ",A1134&amp;" - ")-1),TRIM(A1134)))</f>
        <v/>
      </c>
      <c r="M1134">
        <f>IF(OR(K1134="",K1134=A1134,A1134=""),"",K1134&amp;"|"&amp;L1134)</f>
        <v/>
      </c>
      <c r="N1134">
        <f>IF(M1134="","",IF(ISNUMBER(B1134),B1134,IFERROR(_xlfn.NUMBERVALUE(B1134,".",","),0)))</f>
        <v/>
      </c>
      <c r="O1134">
        <f>IF(M1134="","",IF(ISNUMBER(C1134),C1134,IFERROR(_xlfn.NUMBERVALUE(C1134,".",","),0)))</f>
        <v/>
      </c>
    </row>
    <row r="1135">
      <c r="K1135">
        <f>IF(OR(LEFT(B1135,9)="DOANH THU",LEFT(B1135,8)="SỐ LƯỢNG"),A1135,IF(A1135="","",K1134))</f>
        <v/>
      </c>
      <c r="L1135">
        <f>IF(A1135="","",IF(ISNUMBER(--LEFT(A1135,FIND(" - ",A1135&amp;" - ")-1)),LEFT(A1135,FIND(" - ",A1135&amp;" - ")-1),TRIM(A1135)))</f>
        <v/>
      </c>
      <c r="M1135">
        <f>IF(OR(K1135="",K1135=A1135,A1135=""),"",K1135&amp;"|"&amp;L1135)</f>
        <v/>
      </c>
      <c r="N1135">
        <f>IF(M1135="","",IF(ISNUMBER(B1135),B1135,IFERROR(_xlfn.NUMBERVALUE(B1135,".",","),0)))</f>
        <v/>
      </c>
      <c r="O1135">
        <f>IF(M1135="","",IF(ISNUMBER(C1135),C1135,IFERROR(_xlfn.NUMBERVALUE(C1135,".",","),0)))</f>
        <v/>
      </c>
    </row>
    <row r="1136">
      <c r="K1136">
        <f>IF(OR(LEFT(B1136,9)="DOANH THU",LEFT(B1136,8)="SỐ LƯỢNG"),A1136,IF(A1136="","",K1135))</f>
        <v/>
      </c>
      <c r="L1136">
        <f>IF(A1136="","",IF(ISNUMBER(--LEFT(A1136,FIND(" - ",A1136&amp;" - ")-1)),LEFT(A1136,FIND(" - ",A1136&amp;" - ")-1),TRIM(A1136)))</f>
        <v/>
      </c>
      <c r="M1136">
        <f>IF(OR(K1136="",K1136=A1136,A1136=""),"",K1136&amp;"|"&amp;L1136)</f>
        <v/>
      </c>
      <c r="N1136">
        <f>IF(M1136="","",IF(ISNUMBER(B1136),B1136,IFERROR(_xlfn.NUMBERVALUE(B1136,".",","),0)))</f>
        <v/>
      </c>
      <c r="O1136">
        <f>IF(M1136="","",IF(ISNUMBER(C1136),C1136,IFERROR(_xlfn.NUMBERVALUE(C1136,".",","),0)))</f>
        <v/>
      </c>
    </row>
    <row r="1137">
      <c r="K1137">
        <f>IF(OR(LEFT(B1137,9)="DOANH THU",LEFT(B1137,8)="SỐ LƯỢNG"),A1137,IF(A1137="","",K1136))</f>
        <v/>
      </c>
      <c r="L1137">
        <f>IF(A1137="","",IF(ISNUMBER(--LEFT(A1137,FIND(" - ",A1137&amp;" - ")-1)),LEFT(A1137,FIND(" - ",A1137&amp;" - ")-1),TRIM(A1137)))</f>
        <v/>
      </c>
      <c r="M1137">
        <f>IF(OR(K1137="",K1137=A1137,A1137=""),"",K1137&amp;"|"&amp;L1137)</f>
        <v/>
      </c>
      <c r="N1137">
        <f>IF(M1137="","",IF(ISNUMBER(B1137),B1137,IFERROR(_xlfn.NUMBERVALUE(B1137,".",","),0)))</f>
        <v/>
      </c>
      <c r="O1137">
        <f>IF(M1137="","",IF(ISNUMBER(C1137),C1137,IFERROR(_xlfn.NUMBERVALUE(C1137,".",","),0)))</f>
        <v/>
      </c>
    </row>
    <row r="1138">
      <c r="K1138">
        <f>IF(OR(LEFT(B1138,9)="DOANH THU",LEFT(B1138,8)="SỐ LƯỢNG"),A1138,IF(A1138="","",K1137))</f>
        <v/>
      </c>
      <c r="L1138">
        <f>IF(A1138="","",IF(ISNUMBER(--LEFT(A1138,FIND(" - ",A1138&amp;" - ")-1)),LEFT(A1138,FIND(" - ",A1138&amp;" - ")-1),TRIM(A1138)))</f>
        <v/>
      </c>
      <c r="M1138">
        <f>IF(OR(K1138="",K1138=A1138,A1138=""),"",K1138&amp;"|"&amp;L1138)</f>
        <v/>
      </c>
      <c r="N1138">
        <f>IF(M1138="","",IF(ISNUMBER(B1138),B1138,IFERROR(_xlfn.NUMBERVALUE(B1138,".",","),0)))</f>
        <v/>
      </c>
      <c r="O1138">
        <f>IF(M1138="","",IF(ISNUMBER(C1138),C1138,IFERROR(_xlfn.NUMBERVALUE(C1138,".",","),0)))</f>
        <v/>
      </c>
    </row>
    <row r="1139">
      <c r="K1139">
        <f>IF(OR(LEFT(B1139,9)="DOANH THU",LEFT(B1139,8)="SỐ LƯỢNG"),A1139,IF(A1139="","",K1138))</f>
        <v/>
      </c>
      <c r="L1139">
        <f>IF(A1139="","",IF(ISNUMBER(--LEFT(A1139,FIND(" - ",A1139&amp;" - ")-1)),LEFT(A1139,FIND(" - ",A1139&amp;" - ")-1),TRIM(A1139)))</f>
        <v/>
      </c>
      <c r="M1139">
        <f>IF(OR(K1139="",K1139=A1139,A1139=""),"",K1139&amp;"|"&amp;L1139)</f>
        <v/>
      </c>
      <c r="N1139">
        <f>IF(M1139="","",IF(ISNUMBER(B1139),B1139,IFERROR(_xlfn.NUMBERVALUE(B1139,".",","),0)))</f>
        <v/>
      </c>
      <c r="O1139">
        <f>IF(M1139="","",IF(ISNUMBER(C1139),C1139,IFERROR(_xlfn.NUMBERVALUE(C1139,".",","),0)))</f>
        <v/>
      </c>
    </row>
    <row r="1140">
      <c r="K1140">
        <f>IF(OR(LEFT(B1140,9)="DOANH THU",LEFT(B1140,8)="SỐ LƯỢNG"),A1140,IF(A1140="","",K1139))</f>
        <v/>
      </c>
      <c r="L1140">
        <f>IF(A1140="","",IF(ISNUMBER(--LEFT(A1140,FIND(" - ",A1140&amp;" - ")-1)),LEFT(A1140,FIND(" - ",A1140&amp;" - ")-1),TRIM(A1140)))</f>
        <v/>
      </c>
      <c r="M1140">
        <f>IF(OR(K1140="",K1140=A1140,A1140=""),"",K1140&amp;"|"&amp;L1140)</f>
        <v/>
      </c>
      <c r="N1140">
        <f>IF(M1140="","",IF(ISNUMBER(B1140),B1140,IFERROR(_xlfn.NUMBERVALUE(B1140,".",","),0)))</f>
        <v/>
      </c>
      <c r="O1140">
        <f>IF(M1140="","",IF(ISNUMBER(C1140),C1140,IFERROR(_xlfn.NUMBERVALUE(C1140,".",","),0)))</f>
        <v/>
      </c>
    </row>
    <row r="1141">
      <c r="K1141">
        <f>IF(OR(LEFT(B1141,9)="DOANH THU",LEFT(B1141,8)="SỐ LƯỢNG"),A1141,IF(A1141="","",K1140))</f>
        <v/>
      </c>
      <c r="L1141">
        <f>IF(A1141="","",IF(ISNUMBER(--LEFT(A1141,FIND(" - ",A1141&amp;" - ")-1)),LEFT(A1141,FIND(" - ",A1141&amp;" - ")-1),TRIM(A1141)))</f>
        <v/>
      </c>
      <c r="M1141">
        <f>IF(OR(K1141="",K1141=A1141,A1141=""),"",K1141&amp;"|"&amp;L1141)</f>
        <v/>
      </c>
      <c r="N1141">
        <f>IF(M1141="","",IF(ISNUMBER(B1141),B1141,IFERROR(_xlfn.NUMBERVALUE(B1141,".",","),0)))</f>
        <v/>
      </c>
      <c r="O1141">
        <f>IF(M1141="","",IF(ISNUMBER(C1141),C1141,IFERROR(_xlfn.NUMBERVALUE(C1141,".",","),0)))</f>
        <v/>
      </c>
    </row>
    <row r="1142">
      <c r="K1142">
        <f>IF(OR(LEFT(B1142,9)="DOANH THU",LEFT(B1142,8)="SỐ LƯỢNG"),A1142,IF(A1142="","",K1141))</f>
        <v/>
      </c>
      <c r="L1142">
        <f>IF(A1142="","",IF(ISNUMBER(--LEFT(A1142,FIND(" - ",A1142&amp;" - ")-1)),LEFT(A1142,FIND(" - ",A1142&amp;" - ")-1),TRIM(A1142)))</f>
        <v/>
      </c>
      <c r="M1142">
        <f>IF(OR(K1142="",K1142=A1142,A1142=""),"",K1142&amp;"|"&amp;L1142)</f>
        <v/>
      </c>
      <c r="N1142">
        <f>IF(M1142="","",IF(ISNUMBER(B1142),B1142,IFERROR(_xlfn.NUMBERVALUE(B1142,".",","),0)))</f>
        <v/>
      </c>
      <c r="O1142">
        <f>IF(M1142="","",IF(ISNUMBER(C1142),C1142,IFERROR(_xlfn.NUMBERVALUE(C1142,".",","),0)))</f>
        <v/>
      </c>
    </row>
    <row r="1143">
      <c r="K1143">
        <f>IF(OR(LEFT(B1143,9)="DOANH THU",LEFT(B1143,8)="SỐ LƯỢNG"),A1143,IF(A1143="","",K1142))</f>
        <v/>
      </c>
      <c r="L1143">
        <f>IF(A1143="","",IF(ISNUMBER(--LEFT(A1143,FIND(" - ",A1143&amp;" - ")-1)),LEFT(A1143,FIND(" - ",A1143&amp;" - ")-1),TRIM(A1143)))</f>
        <v/>
      </c>
      <c r="M1143">
        <f>IF(OR(K1143="",K1143=A1143,A1143=""),"",K1143&amp;"|"&amp;L1143)</f>
        <v/>
      </c>
      <c r="N1143">
        <f>IF(M1143="","",IF(ISNUMBER(B1143),B1143,IFERROR(_xlfn.NUMBERVALUE(B1143,".",","),0)))</f>
        <v/>
      </c>
      <c r="O1143">
        <f>IF(M1143="","",IF(ISNUMBER(C1143),C1143,IFERROR(_xlfn.NUMBERVALUE(C1143,".",","),0)))</f>
        <v/>
      </c>
    </row>
    <row r="1144">
      <c r="K1144">
        <f>IF(OR(LEFT(B1144,9)="DOANH THU",LEFT(B1144,8)="SỐ LƯỢNG"),A1144,IF(A1144="","",K1143))</f>
        <v/>
      </c>
      <c r="L1144">
        <f>IF(A1144="","",IF(ISNUMBER(--LEFT(A1144,FIND(" - ",A1144&amp;" - ")-1)),LEFT(A1144,FIND(" - ",A1144&amp;" - ")-1),TRIM(A1144)))</f>
        <v/>
      </c>
      <c r="M1144">
        <f>IF(OR(K1144="",K1144=A1144,A1144=""),"",K1144&amp;"|"&amp;L1144)</f>
        <v/>
      </c>
      <c r="N1144">
        <f>IF(M1144="","",IF(ISNUMBER(B1144),B1144,IFERROR(_xlfn.NUMBERVALUE(B1144,".",","),0)))</f>
        <v/>
      </c>
      <c r="O1144">
        <f>IF(M1144="","",IF(ISNUMBER(C1144),C1144,IFERROR(_xlfn.NUMBERVALUE(C1144,".",","),0)))</f>
        <v/>
      </c>
    </row>
    <row r="1145">
      <c r="K1145">
        <f>IF(OR(LEFT(B1145,9)="DOANH THU",LEFT(B1145,8)="SỐ LƯỢNG"),A1145,IF(A1145="","",K1144))</f>
        <v/>
      </c>
      <c r="L1145">
        <f>IF(A1145="","",IF(ISNUMBER(--LEFT(A1145,FIND(" - ",A1145&amp;" - ")-1)),LEFT(A1145,FIND(" - ",A1145&amp;" - ")-1),TRIM(A1145)))</f>
        <v/>
      </c>
      <c r="M1145">
        <f>IF(OR(K1145="",K1145=A1145,A1145=""),"",K1145&amp;"|"&amp;L1145)</f>
        <v/>
      </c>
      <c r="N1145">
        <f>IF(M1145="","",IF(ISNUMBER(B1145),B1145,IFERROR(_xlfn.NUMBERVALUE(B1145,".",","),0)))</f>
        <v/>
      </c>
      <c r="O1145">
        <f>IF(M1145="","",IF(ISNUMBER(C1145),C1145,IFERROR(_xlfn.NUMBERVALUE(C1145,".",","),0)))</f>
        <v/>
      </c>
    </row>
    <row r="1146">
      <c r="K1146">
        <f>IF(OR(LEFT(B1146,9)="DOANH THU",LEFT(B1146,8)="SỐ LƯỢNG"),A1146,IF(A1146="","",K1145))</f>
        <v/>
      </c>
      <c r="L1146">
        <f>IF(A1146="","",IF(ISNUMBER(--LEFT(A1146,FIND(" - ",A1146&amp;" - ")-1)),LEFT(A1146,FIND(" - ",A1146&amp;" - ")-1),TRIM(A1146)))</f>
        <v/>
      </c>
      <c r="M1146">
        <f>IF(OR(K1146="",K1146=A1146,A1146=""),"",K1146&amp;"|"&amp;L1146)</f>
        <v/>
      </c>
      <c r="N1146">
        <f>IF(M1146="","",IF(ISNUMBER(B1146),B1146,IFERROR(_xlfn.NUMBERVALUE(B1146,".",","),0)))</f>
        <v/>
      </c>
      <c r="O1146">
        <f>IF(M1146="","",IF(ISNUMBER(C1146),C1146,IFERROR(_xlfn.NUMBERVALUE(C1146,".",","),0)))</f>
        <v/>
      </c>
    </row>
    <row r="1147">
      <c r="K1147">
        <f>IF(OR(LEFT(B1147,9)="DOANH THU",LEFT(B1147,8)="SỐ LƯỢNG"),A1147,IF(A1147="","",K1146))</f>
        <v/>
      </c>
      <c r="L1147">
        <f>IF(A1147="","",IF(ISNUMBER(--LEFT(A1147,FIND(" - ",A1147&amp;" - ")-1)),LEFT(A1147,FIND(" - ",A1147&amp;" - ")-1),TRIM(A1147)))</f>
        <v/>
      </c>
      <c r="M1147">
        <f>IF(OR(K1147="",K1147=A1147,A1147=""),"",K1147&amp;"|"&amp;L1147)</f>
        <v/>
      </c>
      <c r="N1147">
        <f>IF(M1147="","",IF(ISNUMBER(B1147),B1147,IFERROR(_xlfn.NUMBERVALUE(B1147,".",","),0)))</f>
        <v/>
      </c>
      <c r="O1147">
        <f>IF(M1147="","",IF(ISNUMBER(C1147),C1147,IFERROR(_xlfn.NUMBERVALUE(C1147,".",","),0)))</f>
        <v/>
      </c>
    </row>
    <row r="1148">
      <c r="K1148">
        <f>IF(OR(LEFT(B1148,9)="DOANH THU",LEFT(B1148,8)="SỐ LƯỢNG"),A1148,IF(A1148="","",K1147))</f>
        <v/>
      </c>
      <c r="L1148">
        <f>IF(A1148="","",IF(ISNUMBER(--LEFT(A1148,FIND(" - ",A1148&amp;" - ")-1)),LEFT(A1148,FIND(" - ",A1148&amp;" - ")-1),TRIM(A1148)))</f>
        <v/>
      </c>
      <c r="M1148">
        <f>IF(OR(K1148="",K1148=A1148,A1148=""),"",K1148&amp;"|"&amp;L1148)</f>
        <v/>
      </c>
      <c r="N1148">
        <f>IF(M1148="","",IF(ISNUMBER(B1148),B1148,IFERROR(_xlfn.NUMBERVALUE(B1148,".",","),0)))</f>
        <v/>
      </c>
      <c r="O1148">
        <f>IF(M1148="","",IF(ISNUMBER(C1148),C1148,IFERROR(_xlfn.NUMBERVALUE(C1148,".",","),0)))</f>
        <v/>
      </c>
    </row>
    <row r="1149">
      <c r="K1149">
        <f>IF(OR(LEFT(B1149,9)="DOANH THU",LEFT(B1149,8)="SỐ LƯỢNG"),A1149,IF(A1149="","",K1148))</f>
        <v/>
      </c>
      <c r="L1149">
        <f>IF(A1149="","",IF(ISNUMBER(--LEFT(A1149,FIND(" - ",A1149&amp;" - ")-1)),LEFT(A1149,FIND(" - ",A1149&amp;" - ")-1),TRIM(A1149)))</f>
        <v/>
      </c>
      <c r="M1149">
        <f>IF(OR(K1149="",K1149=A1149,A1149=""),"",K1149&amp;"|"&amp;L1149)</f>
        <v/>
      </c>
      <c r="N1149">
        <f>IF(M1149="","",IF(ISNUMBER(B1149),B1149,IFERROR(_xlfn.NUMBERVALUE(B1149,".",","),0)))</f>
        <v/>
      </c>
      <c r="O1149">
        <f>IF(M1149="","",IF(ISNUMBER(C1149),C1149,IFERROR(_xlfn.NUMBERVALUE(C1149,".",","),0)))</f>
        <v/>
      </c>
    </row>
    <row r="1150">
      <c r="K1150">
        <f>IF(OR(LEFT(B1150,9)="DOANH THU",LEFT(B1150,8)="SỐ LƯỢNG"),A1150,IF(A1150="","",K1149))</f>
        <v/>
      </c>
      <c r="L1150">
        <f>IF(A1150="","",IF(ISNUMBER(--LEFT(A1150,FIND(" - ",A1150&amp;" - ")-1)),LEFT(A1150,FIND(" - ",A1150&amp;" - ")-1),TRIM(A1150)))</f>
        <v/>
      </c>
      <c r="M1150">
        <f>IF(OR(K1150="",K1150=A1150,A1150=""),"",K1150&amp;"|"&amp;L1150)</f>
        <v/>
      </c>
      <c r="N1150">
        <f>IF(M1150="","",IF(ISNUMBER(B1150),B1150,IFERROR(_xlfn.NUMBERVALUE(B1150,".",","),0)))</f>
        <v/>
      </c>
      <c r="O1150">
        <f>IF(M1150="","",IF(ISNUMBER(C1150),C1150,IFERROR(_xlfn.NUMBERVALUE(C1150,".",","),0)))</f>
        <v/>
      </c>
    </row>
    <row r="1151">
      <c r="K1151">
        <f>IF(OR(LEFT(B1151,9)="DOANH THU",LEFT(B1151,8)="SỐ LƯỢNG"),A1151,IF(A1151="","",K1150))</f>
        <v/>
      </c>
      <c r="L1151">
        <f>IF(A1151="","",IF(ISNUMBER(--LEFT(A1151,FIND(" - ",A1151&amp;" - ")-1)),LEFT(A1151,FIND(" - ",A1151&amp;" - ")-1),TRIM(A1151)))</f>
        <v/>
      </c>
      <c r="M1151">
        <f>IF(OR(K1151="",K1151=A1151,A1151=""),"",K1151&amp;"|"&amp;L1151)</f>
        <v/>
      </c>
      <c r="N1151">
        <f>IF(M1151="","",IF(ISNUMBER(B1151),B1151,IFERROR(_xlfn.NUMBERVALUE(B1151,".",","),0)))</f>
        <v/>
      </c>
      <c r="O1151">
        <f>IF(M1151="","",IF(ISNUMBER(C1151),C1151,IFERROR(_xlfn.NUMBERVALUE(C1151,".",","),0)))</f>
        <v/>
      </c>
    </row>
    <row r="1152">
      <c r="K1152">
        <f>IF(OR(LEFT(B1152,9)="DOANH THU",LEFT(B1152,8)="SỐ LƯỢNG"),A1152,IF(A1152="","",K1151))</f>
        <v/>
      </c>
      <c r="L1152">
        <f>IF(A1152="","",IF(ISNUMBER(--LEFT(A1152,FIND(" - ",A1152&amp;" - ")-1)),LEFT(A1152,FIND(" - ",A1152&amp;" - ")-1),TRIM(A1152)))</f>
        <v/>
      </c>
      <c r="M1152">
        <f>IF(OR(K1152="",K1152=A1152,A1152=""),"",K1152&amp;"|"&amp;L1152)</f>
        <v/>
      </c>
      <c r="N1152">
        <f>IF(M1152="","",IF(ISNUMBER(B1152),B1152,IFERROR(_xlfn.NUMBERVALUE(B1152,".",","),0)))</f>
        <v/>
      </c>
      <c r="O1152">
        <f>IF(M1152="","",IF(ISNUMBER(C1152),C1152,IFERROR(_xlfn.NUMBERVALUE(C1152,".",","),0)))</f>
        <v/>
      </c>
    </row>
    <row r="1153">
      <c r="K1153">
        <f>IF(OR(LEFT(B1153,9)="DOANH THU",LEFT(B1153,8)="SỐ LƯỢNG"),A1153,IF(A1153="","",K1152))</f>
        <v/>
      </c>
      <c r="L1153">
        <f>IF(A1153="","",IF(ISNUMBER(--LEFT(A1153,FIND(" - ",A1153&amp;" - ")-1)),LEFT(A1153,FIND(" - ",A1153&amp;" - ")-1),TRIM(A1153)))</f>
        <v/>
      </c>
      <c r="M1153">
        <f>IF(OR(K1153="",K1153=A1153,A1153=""),"",K1153&amp;"|"&amp;L1153)</f>
        <v/>
      </c>
      <c r="N1153">
        <f>IF(M1153="","",IF(ISNUMBER(B1153),B1153,IFERROR(_xlfn.NUMBERVALUE(B1153,".",","),0)))</f>
        <v/>
      </c>
      <c r="O1153">
        <f>IF(M1153="","",IF(ISNUMBER(C1153),C1153,IFERROR(_xlfn.NUMBERVALUE(C1153,".",","),0)))</f>
        <v/>
      </c>
    </row>
    <row r="1154">
      <c r="K1154">
        <f>IF(OR(LEFT(B1154,9)="DOANH THU",LEFT(B1154,8)="SỐ LƯỢNG"),A1154,IF(A1154="","",K1153))</f>
        <v/>
      </c>
      <c r="L1154">
        <f>IF(A1154="","",IF(ISNUMBER(--LEFT(A1154,FIND(" - ",A1154&amp;" - ")-1)),LEFT(A1154,FIND(" - ",A1154&amp;" - ")-1),TRIM(A1154)))</f>
        <v/>
      </c>
      <c r="M1154">
        <f>IF(OR(K1154="",K1154=A1154,A1154=""),"",K1154&amp;"|"&amp;L1154)</f>
        <v/>
      </c>
      <c r="N1154">
        <f>IF(M1154="","",IF(ISNUMBER(B1154),B1154,IFERROR(_xlfn.NUMBERVALUE(B1154,".",","),0)))</f>
        <v/>
      </c>
      <c r="O1154">
        <f>IF(M1154="","",IF(ISNUMBER(C1154),C1154,IFERROR(_xlfn.NUMBERVALUE(C1154,".",","),0)))</f>
        <v/>
      </c>
    </row>
    <row r="1155">
      <c r="K1155">
        <f>IF(OR(LEFT(B1155,9)="DOANH THU",LEFT(B1155,8)="SỐ LƯỢNG"),A1155,IF(A1155="","",K1154))</f>
        <v/>
      </c>
      <c r="L1155">
        <f>IF(A1155="","",IF(ISNUMBER(--LEFT(A1155,FIND(" - ",A1155&amp;" - ")-1)),LEFT(A1155,FIND(" - ",A1155&amp;" - ")-1),TRIM(A1155)))</f>
        <v/>
      </c>
      <c r="M1155">
        <f>IF(OR(K1155="",K1155=A1155,A1155=""),"",K1155&amp;"|"&amp;L1155)</f>
        <v/>
      </c>
      <c r="N1155">
        <f>IF(M1155="","",IF(ISNUMBER(B1155),B1155,IFERROR(_xlfn.NUMBERVALUE(B1155,".",","),0)))</f>
        <v/>
      </c>
      <c r="O1155">
        <f>IF(M1155="","",IF(ISNUMBER(C1155),C1155,IFERROR(_xlfn.NUMBERVALUE(C1155,".",","),0)))</f>
        <v/>
      </c>
    </row>
    <row r="1156">
      <c r="K1156">
        <f>IF(OR(LEFT(B1156,9)="DOANH THU",LEFT(B1156,8)="SỐ LƯỢNG"),A1156,IF(A1156="","",K1155))</f>
        <v/>
      </c>
      <c r="L1156">
        <f>IF(A1156="","",IF(ISNUMBER(--LEFT(A1156,FIND(" - ",A1156&amp;" - ")-1)),LEFT(A1156,FIND(" - ",A1156&amp;" - ")-1),TRIM(A1156)))</f>
        <v/>
      </c>
      <c r="M1156">
        <f>IF(OR(K1156="",K1156=A1156,A1156=""),"",K1156&amp;"|"&amp;L1156)</f>
        <v/>
      </c>
      <c r="N1156">
        <f>IF(M1156="","",IF(ISNUMBER(B1156),B1156,IFERROR(_xlfn.NUMBERVALUE(B1156,".",","),0)))</f>
        <v/>
      </c>
      <c r="O1156">
        <f>IF(M1156="","",IF(ISNUMBER(C1156),C1156,IFERROR(_xlfn.NUMBERVALUE(C1156,".",","),0)))</f>
        <v/>
      </c>
    </row>
    <row r="1157">
      <c r="K1157">
        <f>IF(OR(LEFT(B1157,9)="DOANH THU",LEFT(B1157,8)="SỐ LƯỢNG"),A1157,IF(A1157="","",K1156))</f>
        <v/>
      </c>
      <c r="L1157">
        <f>IF(A1157="","",IF(ISNUMBER(--LEFT(A1157,FIND(" - ",A1157&amp;" - ")-1)),LEFT(A1157,FIND(" - ",A1157&amp;" - ")-1),TRIM(A1157)))</f>
        <v/>
      </c>
      <c r="M1157">
        <f>IF(OR(K1157="",K1157=A1157,A1157=""),"",K1157&amp;"|"&amp;L1157)</f>
        <v/>
      </c>
      <c r="N1157">
        <f>IF(M1157="","",IF(ISNUMBER(B1157),B1157,IFERROR(_xlfn.NUMBERVALUE(B1157,".",","),0)))</f>
        <v/>
      </c>
      <c r="O1157">
        <f>IF(M1157="","",IF(ISNUMBER(C1157),C1157,IFERROR(_xlfn.NUMBERVALUE(C1157,".",","),0)))</f>
        <v/>
      </c>
    </row>
    <row r="1158">
      <c r="K1158">
        <f>IF(OR(LEFT(B1158,9)="DOANH THU",LEFT(B1158,8)="SỐ LƯỢNG"),A1158,IF(A1158="","",K1157))</f>
        <v/>
      </c>
      <c r="L1158">
        <f>IF(A1158="","",IF(ISNUMBER(--LEFT(A1158,FIND(" - ",A1158&amp;" - ")-1)),LEFT(A1158,FIND(" - ",A1158&amp;" - ")-1),TRIM(A1158)))</f>
        <v/>
      </c>
      <c r="M1158">
        <f>IF(OR(K1158="",K1158=A1158,A1158=""),"",K1158&amp;"|"&amp;L1158)</f>
        <v/>
      </c>
      <c r="N1158">
        <f>IF(M1158="","",IF(ISNUMBER(B1158),B1158,IFERROR(_xlfn.NUMBERVALUE(B1158,".",","),0)))</f>
        <v/>
      </c>
      <c r="O1158">
        <f>IF(M1158="","",IF(ISNUMBER(C1158),C1158,IFERROR(_xlfn.NUMBERVALUE(C1158,".",","),0)))</f>
        <v/>
      </c>
    </row>
    <row r="1159">
      <c r="K1159">
        <f>IF(OR(LEFT(B1159,9)="DOANH THU",LEFT(B1159,8)="SỐ LƯỢNG"),A1159,IF(A1159="","",K1158))</f>
        <v/>
      </c>
      <c r="L1159">
        <f>IF(A1159="","",IF(ISNUMBER(--LEFT(A1159,FIND(" - ",A1159&amp;" - ")-1)),LEFT(A1159,FIND(" - ",A1159&amp;" - ")-1),TRIM(A1159)))</f>
        <v/>
      </c>
      <c r="M1159">
        <f>IF(OR(K1159="",K1159=A1159,A1159=""),"",K1159&amp;"|"&amp;L1159)</f>
        <v/>
      </c>
      <c r="N1159">
        <f>IF(M1159="","",IF(ISNUMBER(B1159),B1159,IFERROR(_xlfn.NUMBERVALUE(B1159,".",","),0)))</f>
        <v/>
      </c>
      <c r="O1159">
        <f>IF(M1159="","",IF(ISNUMBER(C1159),C1159,IFERROR(_xlfn.NUMBERVALUE(C1159,".",","),0)))</f>
        <v/>
      </c>
    </row>
    <row r="1160">
      <c r="K1160">
        <f>IF(OR(LEFT(B1160,9)="DOANH THU",LEFT(B1160,8)="SỐ LƯỢNG"),A1160,IF(A1160="","",K1159))</f>
        <v/>
      </c>
      <c r="L1160">
        <f>IF(A1160="","",IF(ISNUMBER(--LEFT(A1160,FIND(" - ",A1160&amp;" - ")-1)),LEFT(A1160,FIND(" - ",A1160&amp;" - ")-1),TRIM(A1160)))</f>
        <v/>
      </c>
      <c r="M1160">
        <f>IF(OR(K1160="",K1160=A1160,A1160=""),"",K1160&amp;"|"&amp;L1160)</f>
        <v/>
      </c>
      <c r="N1160">
        <f>IF(M1160="","",IF(ISNUMBER(B1160),B1160,IFERROR(_xlfn.NUMBERVALUE(B1160,".",","),0)))</f>
        <v/>
      </c>
      <c r="O1160">
        <f>IF(M1160="","",IF(ISNUMBER(C1160),C1160,IFERROR(_xlfn.NUMBERVALUE(C1160,".",","),0)))</f>
        <v/>
      </c>
    </row>
    <row r="1161">
      <c r="K1161">
        <f>IF(OR(LEFT(B1161,9)="DOANH THU",LEFT(B1161,8)="SỐ LƯỢNG"),A1161,IF(A1161="","",K1160))</f>
        <v/>
      </c>
      <c r="L1161">
        <f>IF(A1161="","",IF(ISNUMBER(--LEFT(A1161,FIND(" - ",A1161&amp;" - ")-1)),LEFT(A1161,FIND(" - ",A1161&amp;" - ")-1),TRIM(A1161)))</f>
        <v/>
      </c>
      <c r="M1161">
        <f>IF(OR(K1161="",K1161=A1161,A1161=""),"",K1161&amp;"|"&amp;L1161)</f>
        <v/>
      </c>
      <c r="N1161">
        <f>IF(M1161="","",IF(ISNUMBER(B1161),B1161,IFERROR(_xlfn.NUMBERVALUE(B1161,".",","),0)))</f>
        <v/>
      </c>
      <c r="O1161">
        <f>IF(M1161="","",IF(ISNUMBER(C1161),C1161,IFERROR(_xlfn.NUMBERVALUE(C1161,".",","),0)))</f>
        <v/>
      </c>
    </row>
    <row r="1162">
      <c r="K1162">
        <f>IF(OR(LEFT(B1162,9)="DOANH THU",LEFT(B1162,8)="SỐ LƯỢNG"),A1162,IF(A1162="","",K1161))</f>
        <v/>
      </c>
      <c r="L1162">
        <f>IF(A1162="","",IF(ISNUMBER(--LEFT(A1162,FIND(" - ",A1162&amp;" - ")-1)),LEFT(A1162,FIND(" - ",A1162&amp;" - ")-1),TRIM(A1162)))</f>
        <v/>
      </c>
      <c r="M1162">
        <f>IF(OR(K1162="",K1162=A1162,A1162=""),"",K1162&amp;"|"&amp;L1162)</f>
        <v/>
      </c>
      <c r="N1162">
        <f>IF(M1162="","",IF(ISNUMBER(B1162),B1162,IFERROR(_xlfn.NUMBERVALUE(B1162,".",","),0)))</f>
        <v/>
      </c>
      <c r="O1162">
        <f>IF(M1162="","",IF(ISNUMBER(C1162),C1162,IFERROR(_xlfn.NUMBERVALUE(C1162,".",","),0)))</f>
        <v/>
      </c>
    </row>
    <row r="1163">
      <c r="K1163">
        <f>IF(OR(LEFT(B1163,9)="DOANH THU",LEFT(B1163,8)="SỐ LƯỢNG"),A1163,IF(A1163="","",K1162))</f>
        <v/>
      </c>
      <c r="L1163">
        <f>IF(A1163="","",IF(ISNUMBER(--LEFT(A1163,FIND(" - ",A1163&amp;" - ")-1)),LEFT(A1163,FIND(" - ",A1163&amp;" - ")-1),TRIM(A1163)))</f>
        <v/>
      </c>
      <c r="M1163">
        <f>IF(OR(K1163="",K1163=A1163,A1163=""),"",K1163&amp;"|"&amp;L1163)</f>
        <v/>
      </c>
      <c r="N1163">
        <f>IF(M1163="","",IF(ISNUMBER(B1163),B1163,IFERROR(_xlfn.NUMBERVALUE(B1163,".",","),0)))</f>
        <v/>
      </c>
      <c r="O1163">
        <f>IF(M1163="","",IF(ISNUMBER(C1163),C1163,IFERROR(_xlfn.NUMBERVALUE(C1163,".",","),0)))</f>
        <v/>
      </c>
    </row>
    <row r="1164">
      <c r="K1164">
        <f>IF(OR(LEFT(B1164,9)="DOANH THU",LEFT(B1164,8)="SỐ LƯỢNG"),A1164,IF(A1164="","",K1163))</f>
        <v/>
      </c>
      <c r="L1164">
        <f>IF(A1164="","",IF(ISNUMBER(--LEFT(A1164,FIND(" - ",A1164&amp;" - ")-1)),LEFT(A1164,FIND(" - ",A1164&amp;" - ")-1),TRIM(A1164)))</f>
        <v/>
      </c>
      <c r="M1164">
        <f>IF(OR(K1164="",K1164=A1164,A1164=""),"",K1164&amp;"|"&amp;L1164)</f>
        <v/>
      </c>
      <c r="N1164">
        <f>IF(M1164="","",IF(ISNUMBER(B1164),B1164,IFERROR(_xlfn.NUMBERVALUE(B1164,".",","),0)))</f>
        <v/>
      </c>
      <c r="O1164">
        <f>IF(M1164="","",IF(ISNUMBER(C1164),C1164,IFERROR(_xlfn.NUMBERVALUE(C1164,".",","),0)))</f>
        <v/>
      </c>
    </row>
    <row r="1165">
      <c r="K1165">
        <f>IF(OR(LEFT(B1165,9)="DOANH THU",LEFT(B1165,8)="SỐ LƯỢNG"),A1165,IF(A1165="","",K1164))</f>
        <v/>
      </c>
      <c r="L1165">
        <f>IF(A1165="","",IF(ISNUMBER(--LEFT(A1165,FIND(" - ",A1165&amp;" - ")-1)),LEFT(A1165,FIND(" - ",A1165&amp;" - ")-1),TRIM(A1165)))</f>
        <v/>
      </c>
      <c r="M1165">
        <f>IF(OR(K1165="",K1165=A1165,A1165=""),"",K1165&amp;"|"&amp;L1165)</f>
        <v/>
      </c>
      <c r="N1165">
        <f>IF(M1165="","",IF(ISNUMBER(B1165),B1165,IFERROR(_xlfn.NUMBERVALUE(B1165,".",","),0)))</f>
        <v/>
      </c>
      <c r="O1165">
        <f>IF(M1165="","",IF(ISNUMBER(C1165),C1165,IFERROR(_xlfn.NUMBERVALUE(C1165,".",","),0)))</f>
        <v/>
      </c>
    </row>
    <row r="1166">
      <c r="K1166">
        <f>IF(OR(LEFT(B1166,9)="DOANH THU",LEFT(B1166,8)="SỐ LƯỢNG"),A1166,IF(A1166="","",K1165))</f>
        <v/>
      </c>
      <c r="L1166">
        <f>IF(A1166="","",IF(ISNUMBER(--LEFT(A1166,FIND(" - ",A1166&amp;" - ")-1)),LEFT(A1166,FIND(" - ",A1166&amp;" - ")-1),TRIM(A1166)))</f>
        <v/>
      </c>
      <c r="M1166">
        <f>IF(OR(K1166="",K1166=A1166,A1166=""),"",K1166&amp;"|"&amp;L1166)</f>
        <v/>
      </c>
      <c r="N1166">
        <f>IF(M1166="","",IF(ISNUMBER(B1166),B1166,IFERROR(_xlfn.NUMBERVALUE(B1166,".",","),0)))</f>
        <v/>
      </c>
      <c r="O1166">
        <f>IF(M1166="","",IF(ISNUMBER(C1166),C1166,IFERROR(_xlfn.NUMBERVALUE(C1166,".",","),0)))</f>
        <v/>
      </c>
    </row>
    <row r="1167">
      <c r="K1167">
        <f>IF(OR(LEFT(B1167,9)="DOANH THU",LEFT(B1167,8)="SỐ LƯỢNG"),A1167,IF(A1167="","",K1166))</f>
        <v/>
      </c>
      <c r="L1167">
        <f>IF(A1167="","",IF(ISNUMBER(--LEFT(A1167,FIND(" - ",A1167&amp;" - ")-1)),LEFT(A1167,FIND(" - ",A1167&amp;" - ")-1),TRIM(A1167)))</f>
        <v/>
      </c>
      <c r="M1167">
        <f>IF(OR(K1167="",K1167=A1167,A1167=""),"",K1167&amp;"|"&amp;L1167)</f>
        <v/>
      </c>
      <c r="N1167">
        <f>IF(M1167="","",IF(ISNUMBER(B1167),B1167,IFERROR(_xlfn.NUMBERVALUE(B1167,".",","),0)))</f>
        <v/>
      </c>
      <c r="O1167">
        <f>IF(M1167="","",IF(ISNUMBER(C1167),C1167,IFERROR(_xlfn.NUMBERVALUE(C1167,".",","),0)))</f>
        <v/>
      </c>
    </row>
    <row r="1168">
      <c r="K1168">
        <f>IF(OR(LEFT(B1168,9)="DOANH THU",LEFT(B1168,8)="SỐ LƯỢNG"),A1168,IF(A1168="","",K1167))</f>
        <v/>
      </c>
      <c r="L1168">
        <f>IF(A1168="","",IF(ISNUMBER(--LEFT(A1168,FIND(" - ",A1168&amp;" - ")-1)),LEFT(A1168,FIND(" - ",A1168&amp;" - ")-1),TRIM(A1168)))</f>
        <v/>
      </c>
      <c r="M1168">
        <f>IF(OR(K1168="",K1168=A1168,A1168=""),"",K1168&amp;"|"&amp;L1168)</f>
        <v/>
      </c>
      <c r="N1168">
        <f>IF(M1168="","",IF(ISNUMBER(B1168),B1168,IFERROR(_xlfn.NUMBERVALUE(B1168,".",","),0)))</f>
        <v/>
      </c>
      <c r="O1168">
        <f>IF(M1168="","",IF(ISNUMBER(C1168),C1168,IFERROR(_xlfn.NUMBERVALUE(C1168,".",","),0)))</f>
        <v/>
      </c>
    </row>
    <row r="1169">
      <c r="K1169">
        <f>IF(OR(LEFT(B1169,9)="DOANH THU",LEFT(B1169,8)="SỐ LƯỢNG"),A1169,IF(A1169="","",K1168))</f>
        <v/>
      </c>
      <c r="L1169">
        <f>IF(A1169="","",IF(ISNUMBER(--LEFT(A1169,FIND(" - ",A1169&amp;" - ")-1)),LEFT(A1169,FIND(" - ",A1169&amp;" - ")-1),TRIM(A1169)))</f>
        <v/>
      </c>
      <c r="M1169">
        <f>IF(OR(K1169="",K1169=A1169,A1169=""),"",K1169&amp;"|"&amp;L1169)</f>
        <v/>
      </c>
      <c r="N1169">
        <f>IF(M1169="","",IF(ISNUMBER(B1169),B1169,IFERROR(_xlfn.NUMBERVALUE(B1169,".",","),0)))</f>
        <v/>
      </c>
      <c r="O1169">
        <f>IF(M1169="","",IF(ISNUMBER(C1169),C1169,IFERROR(_xlfn.NUMBERVALUE(C1169,".",","),0)))</f>
        <v/>
      </c>
    </row>
    <row r="1170">
      <c r="K1170">
        <f>IF(OR(LEFT(B1170,9)="DOANH THU",LEFT(B1170,8)="SỐ LƯỢNG"),A1170,IF(A1170="","",K1169))</f>
        <v/>
      </c>
      <c r="L1170">
        <f>IF(A1170="","",IF(ISNUMBER(--LEFT(A1170,FIND(" - ",A1170&amp;" - ")-1)),LEFT(A1170,FIND(" - ",A1170&amp;" - ")-1),TRIM(A1170)))</f>
        <v/>
      </c>
      <c r="M1170">
        <f>IF(OR(K1170="",K1170=A1170,A1170=""),"",K1170&amp;"|"&amp;L1170)</f>
        <v/>
      </c>
      <c r="N1170">
        <f>IF(M1170="","",IF(ISNUMBER(B1170),B1170,IFERROR(_xlfn.NUMBERVALUE(B1170,".",","),0)))</f>
        <v/>
      </c>
      <c r="O1170">
        <f>IF(M1170="","",IF(ISNUMBER(C1170),C1170,IFERROR(_xlfn.NUMBERVALUE(C1170,".",","),0)))</f>
        <v/>
      </c>
    </row>
    <row r="1171">
      <c r="K1171">
        <f>IF(OR(LEFT(B1171,9)="DOANH THU",LEFT(B1171,8)="SỐ LƯỢNG"),A1171,IF(A1171="","",K1170))</f>
        <v/>
      </c>
      <c r="L1171">
        <f>IF(A1171="","",IF(ISNUMBER(--LEFT(A1171,FIND(" - ",A1171&amp;" - ")-1)),LEFT(A1171,FIND(" - ",A1171&amp;" - ")-1),TRIM(A1171)))</f>
        <v/>
      </c>
      <c r="M1171">
        <f>IF(OR(K1171="",K1171=A1171,A1171=""),"",K1171&amp;"|"&amp;L1171)</f>
        <v/>
      </c>
      <c r="N1171">
        <f>IF(M1171="","",IF(ISNUMBER(B1171),B1171,IFERROR(_xlfn.NUMBERVALUE(B1171,".",","),0)))</f>
        <v/>
      </c>
      <c r="O1171">
        <f>IF(M1171="","",IF(ISNUMBER(C1171),C1171,IFERROR(_xlfn.NUMBERVALUE(C1171,".",","),0)))</f>
        <v/>
      </c>
    </row>
    <row r="1172">
      <c r="K1172">
        <f>IF(OR(LEFT(B1172,9)="DOANH THU",LEFT(B1172,8)="SỐ LƯỢNG"),A1172,IF(A1172="","",K1171))</f>
        <v/>
      </c>
      <c r="L1172">
        <f>IF(A1172="","",IF(ISNUMBER(--LEFT(A1172,FIND(" - ",A1172&amp;" - ")-1)),LEFT(A1172,FIND(" - ",A1172&amp;" - ")-1),TRIM(A1172)))</f>
        <v/>
      </c>
      <c r="M1172">
        <f>IF(OR(K1172="",K1172=A1172,A1172=""),"",K1172&amp;"|"&amp;L1172)</f>
        <v/>
      </c>
      <c r="N1172">
        <f>IF(M1172="","",IF(ISNUMBER(B1172),B1172,IFERROR(_xlfn.NUMBERVALUE(B1172,".",","),0)))</f>
        <v/>
      </c>
      <c r="O1172">
        <f>IF(M1172="","",IF(ISNUMBER(C1172),C1172,IFERROR(_xlfn.NUMBERVALUE(C1172,".",","),0)))</f>
        <v/>
      </c>
    </row>
    <row r="1173">
      <c r="K1173">
        <f>IF(OR(LEFT(B1173,9)="DOANH THU",LEFT(B1173,8)="SỐ LƯỢNG"),A1173,IF(A1173="","",K1172))</f>
        <v/>
      </c>
      <c r="L1173">
        <f>IF(A1173="","",IF(ISNUMBER(--LEFT(A1173,FIND(" - ",A1173&amp;" - ")-1)),LEFT(A1173,FIND(" - ",A1173&amp;" - ")-1),TRIM(A1173)))</f>
        <v/>
      </c>
      <c r="M1173">
        <f>IF(OR(K1173="",K1173=A1173,A1173=""),"",K1173&amp;"|"&amp;L1173)</f>
        <v/>
      </c>
      <c r="N1173">
        <f>IF(M1173="","",IF(ISNUMBER(B1173),B1173,IFERROR(_xlfn.NUMBERVALUE(B1173,".",","),0)))</f>
        <v/>
      </c>
      <c r="O1173">
        <f>IF(M1173="","",IF(ISNUMBER(C1173),C1173,IFERROR(_xlfn.NUMBERVALUE(C1173,".",","),0)))</f>
        <v/>
      </c>
    </row>
    <row r="1174">
      <c r="K1174">
        <f>IF(OR(LEFT(B1174,9)="DOANH THU",LEFT(B1174,8)="SỐ LƯỢNG"),A1174,IF(A1174="","",K1173))</f>
        <v/>
      </c>
      <c r="L1174">
        <f>IF(A1174="","",IF(ISNUMBER(--LEFT(A1174,FIND(" - ",A1174&amp;" - ")-1)),LEFT(A1174,FIND(" - ",A1174&amp;" - ")-1),TRIM(A1174)))</f>
        <v/>
      </c>
      <c r="M1174">
        <f>IF(OR(K1174="",K1174=A1174,A1174=""),"",K1174&amp;"|"&amp;L1174)</f>
        <v/>
      </c>
      <c r="N1174">
        <f>IF(M1174="","",IF(ISNUMBER(B1174),B1174,IFERROR(_xlfn.NUMBERVALUE(B1174,".",","),0)))</f>
        <v/>
      </c>
      <c r="O1174">
        <f>IF(M1174="","",IF(ISNUMBER(C1174),C1174,IFERROR(_xlfn.NUMBERVALUE(C1174,".",","),0)))</f>
        <v/>
      </c>
    </row>
    <row r="1175">
      <c r="K1175">
        <f>IF(OR(LEFT(B1175,9)="DOANH THU",LEFT(B1175,8)="SỐ LƯỢNG"),A1175,IF(A1175="","",K1174))</f>
        <v/>
      </c>
      <c r="L1175">
        <f>IF(A1175="","",IF(ISNUMBER(--LEFT(A1175,FIND(" - ",A1175&amp;" - ")-1)),LEFT(A1175,FIND(" - ",A1175&amp;" - ")-1),TRIM(A1175)))</f>
        <v/>
      </c>
      <c r="M1175">
        <f>IF(OR(K1175="",K1175=A1175,A1175=""),"",K1175&amp;"|"&amp;L1175)</f>
        <v/>
      </c>
      <c r="N1175">
        <f>IF(M1175="","",IF(ISNUMBER(B1175),B1175,IFERROR(_xlfn.NUMBERVALUE(B1175,".",","),0)))</f>
        <v/>
      </c>
      <c r="O1175">
        <f>IF(M1175="","",IF(ISNUMBER(C1175),C1175,IFERROR(_xlfn.NUMBERVALUE(C1175,".",","),0)))</f>
        <v/>
      </c>
    </row>
    <row r="1176">
      <c r="K1176">
        <f>IF(OR(LEFT(B1176,9)="DOANH THU",LEFT(B1176,8)="SỐ LƯỢNG"),A1176,IF(A1176="","",K1175))</f>
        <v/>
      </c>
      <c r="L1176">
        <f>IF(A1176="","",IF(ISNUMBER(--LEFT(A1176,FIND(" - ",A1176&amp;" - ")-1)),LEFT(A1176,FIND(" - ",A1176&amp;" - ")-1),TRIM(A1176)))</f>
        <v/>
      </c>
      <c r="M1176">
        <f>IF(OR(K1176="",K1176=A1176,A1176=""),"",K1176&amp;"|"&amp;L1176)</f>
        <v/>
      </c>
      <c r="N1176">
        <f>IF(M1176="","",IF(ISNUMBER(B1176),B1176,IFERROR(_xlfn.NUMBERVALUE(B1176,".",","),0)))</f>
        <v/>
      </c>
      <c r="O1176">
        <f>IF(M1176="","",IF(ISNUMBER(C1176),C1176,IFERROR(_xlfn.NUMBERVALUE(C1176,".",","),0)))</f>
        <v/>
      </c>
    </row>
    <row r="1177">
      <c r="K1177">
        <f>IF(OR(LEFT(B1177,9)="DOANH THU",LEFT(B1177,8)="SỐ LƯỢNG"),A1177,IF(A1177="","",K1176))</f>
        <v/>
      </c>
      <c r="L1177">
        <f>IF(A1177="","",IF(ISNUMBER(--LEFT(A1177,FIND(" - ",A1177&amp;" - ")-1)),LEFT(A1177,FIND(" - ",A1177&amp;" - ")-1),TRIM(A1177)))</f>
        <v/>
      </c>
      <c r="M1177">
        <f>IF(OR(K1177="",K1177=A1177,A1177=""),"",K1177&amp;"|"&amp;L1177)</f>
        <v/>
      </c>
      <c r="N1177">
        <f>IF(M1177="","",IF(ISNUMBER(B1177),B1177,IFERROR(_xlfn.NUMBERVALUE(B1177,".",","),0)))</f>
        <v/>
      </c>
      <c r="O1177">
        <f>IF(M1177="","",IF(ISNUMBER(C1177),C1177,IFERROR(_xlfn.NUMBERVALUE(C1177,".",","),0)))</f>
        <v/>
      </c>
    </row>
    <row r="1178">
      <c r="K1178">
        <f>IF(OR(LEFT(B1178,9)="DOANH THU",LEFT(B1178,8)="SỐ LƯỢNG"),A1178,IF(A1178="","",K1177))</f>
        <v/>
      </c>
      <c r="L1178">
        <f>IF(A1178="","",IF(ISNUMBER(--LEFT(A1178,FIND(" - ",A1178&amp;" - ")-1)),LEFT(A1178,FIND(" - ",A1178&amp;" - ")-1),TRIM(A1178)))</f>
        <v/>
      </c>
      <c r="M1178">
        <f>IF(OR(K1178="",K1178=A1178,A1178=""),"",K1178&amp;"|"&amp;L1178)</f>
        <v/>
      </c>
      <c r="N1178">
        <f>IF(M1178="","",IF(ISNUMBER(B1178),B1178,IFERROR(_xlfn.NUMBERVALUE(B1178,".",","),0)))</f>
        <v/>
      </c>
      <c r="O1178">
        <f>IF(M1178="","",IF(ISNUMBER(C1178),C1178,IFERROR(_xlfn.NUMBERVALUE(C1178,".",","),0)))</f>
        <v/>
      </c>
    </row>
    <row r="1179">
      <c r="K1179">
        <f>IF(OR(LEFT(B1179,9)="DOANH THU",LEFT(B1179,8)="SỐ LƯỢNG"),A1179,IF(A1179="","",K1178))</f>
        <v/>
      </c>
      <c r="L1179">
        <f>IF(A1179="","",IF(ISNUMBER(--LEFT(A1179,FIND(" - ",A1179&amp;" - ")-1)),LEFT(A1179,FIND(" - ",A1179&amp;" - ")-1),TRIM(A1179)))</f>
        <v/>
      </c>
      <c r="M1179">
        <f>IF(OR(K1179="",K1179=A1179,A1179=""),"",K1179&amp;"|"&amp;L1179)</f>
        <v/>
      </c>
      <c r="N1179">
        <f>IF(M1179="","",IF(ISNUMBER(B1179),B1179,IFERROR(_xlfn.NUMBERVALUE(B1179,".",","),0)))</f>
        <v/>
      </c>
      <c r="O1179">
        <f>IF(M1179="","",IF(ISNUMBER(C1179),C1179,IFERROR(_xlfn.NUMBERVALUE(C1179,".",","),0)))</f>
        <v/>
      </c>
    </row>
    <row r="1180">
      <c r="K1180">
        <f>IF(OR(LEFT(B1180,9)="DOANH THU",LEFT(B1180,8)="SỐ LƯỢNG"),A1180,IF(A1180="","",K1179))</f>
        <v/>
      </c>
      <c r="L1180">
        <f>IF(A1180="","",IF(ISNUMBER(--LEFT(A1180,FIND(" - ",A1180&amp;" - ")-1)),LEFT(A1180,FIND(" - ",A1180&amp;" - ")-1),TRIM(A1180)))</f>
        <v/>
      </c>
      <c r="M1180">
        <f>IF(OR(K1180="",K1180=A1180,A1180=""),"",K1180&amp;"|"&amp;L1180)</f>
        <v/>
      </c>
      <c r="N1180">
        <f>IF(M1180="","",IF(ISNUMBER(B1180),B1180,IFERROR(_xlfn.NUMBERVALUE(B1180,".",","),0)))</f>
        <v/>
      </c>
      <c r="O1180">
        <f>IF(M1180="","",IF(ISNUMBER(C1180),C1180,IFERROR(_xlfn.NUMBERVALUE(C1180,".",","),0)))</f>
        <v/>
      </c>
    </row>
    <row r="1181">
      <c r="K1181">
        <f>IF(OR(LEFT(B1181,9)="DOANH THU",LEFT(B1181,8)="SỐ LƯỢNG"),A1181,IF(A1181="","",K1180))</f>
        <v/>
      </c>
      <c r="L1181">
        <f>IF(A1181="","",IF(ISNUMBER(--LEFT(A1181,FIND(" - ",A1181&amp;" - ")-1)),LEFT(A1181,FIND(" - ",A1181&amp;" - ")-1),TRIM(A1181)))</f>
        <v/>
      </c>
      <c r="M1181">
        <f>IF(OR(K1181="",K1181=A1181,A1181=""),"",K1181&amp;"|"&amp;L1181)</f>
        <v/>
      </c>
      <c r="N1181">
        <f>IF(M1181="","",IF(ISNUMBER(B1181),B1181,IFERROR(_xlfn.NUMBERVALUE(B1181,".",","),0)))</f>
        <v/>
      </c>
      <c r="O1181">
        <f>IF(M1181="","",IF(ISNUMBER(C1181),C1181,IFERROR(_xlfn.NUMBERVALUE(C1181,".",","),0)))</f>
        <v/>
      </c>
    </row>
    <row r="1182">
      <c r="K1182">
        <f>IF(OR(LEFT(B1182,9)="DOANH THU",LEFT(B1182,8)="SỐ LƯỢNG"),A1182,IF(A1182="","",K1181))</f>
        <v/>
      </c>
      <c r="L1182">
        <f>IF(A1182="","",IF(ISNUMBER(--LEFT(A1182,FIND(" - ",A1182&amp;" - ")-1)),LEFT(A1182,FIND(" - ",A1182&amp;" - ")-1),TRIM(A1182)))</f>
        <v/>
      </c>
      <c r="M1182">
        <f>IF(OR(K1182="",K1182=A1182,A1182=""),"",K1182&amp;"|"&amp;L1182)</f>
        <v/>
      </c>
      <c r="N1182">
        <f>IF(M1182="","",IF(ISNUMBER(B1182),B1182,IFERROR(_xlfn.NUMBERVALUE(B1182,".",","),0)))</f>
        <v/>
      </c>
      <c r="O1182">
        <f>IF(M1182="","",IF(ISNUMBER(C1182),C1182,IFERROR(_xlfn.NUMBERVALUE(C1182,".",","),0)))</f>
        <v/>
      </c>
    </row>
    <row r="1183">
      <c r="K1183">
        <f>IF(OR(LEFT(B1183,9)="DOANH THU",LEFT(B1183,8)="SỐ LƯỢNG"),A1183,IF(A1183="","",K1182))</f>
        <v/>
      </c>
      <c r="L1183">
        <f>IF(A1183="","",IF(ISNUMBER(--LEFT(A1183,FIND(" - ",A1183&amp;" - ")-1)),LEFT(A1183,FIND(" - ",A1183&amp;" - ")-1),TRIM(A1183)))</f>
        <v/>
      </c>
      <c r="M1183">
        <f>IF(OR(K1183="",K1183=A1183,A1183=""),"",K1183&amp;"|"&amp;L1183)</f>
        <v/>
      </c>
      <c r="N1183">
        <f>IF(M1183="","",IF(ISNUMBER(B1183),B1183,IFERROR(_xlfn.NUMBERVALUE(B1183,".",","),0)))</f>
        <v/>
      </c>
      <c r="O1183">
        <f>IF(M1183="","",IF(ISNUMBER(C1183),C1183,IFERROR(_xlfn.NUMBERVALUE(C1183,".",","),0)))</f>
        <v/>
      </c>
    </row>
    <row r="1184">
      <c r="K1184">
        <f>IF(OR(LEFT(B1184,9)="DOANH THU",LEFT(B1184,8)="SỐ LƯỢNG"),A1184,IF(A1184="","",K1183))</f>
        <v/>
      </c>
      <c r="L1184">
        <f>IF(A1184="","",IF(ISNUMBER(--LEFT(A1184,FIND(" - ",A1184&amp;" - ")-1)),LEFT(A1184,FIND(" - ",A1184&amp;" - ")-1),TRIM(A1184)))</f>
        <v/>
      </c>
      <c r="M1184">
        <f>IF(OR(K1184="",K1184=A1184,A1184=""),"",K1184&amp;"|"&amp;L1184)</f>
        <v/>
      </c>
      <c r="N1184">
        <f>IF(M1184="","",IF(ISNUMBER(B1184),B1184,IFERROR(_xlfn.NUMBERVALUE(B1184,".",","),0)))</f>
        <v/>
      </c>
      <c r="O1184">
        <f>IF(M1184="","",IF(ISNUMBER(C1184),C1184,IFERROR(_xlfn.NUMBERVALUE(C1184,".",","),0)))</f>
        <v/>
      </c>
    </row>
    <row r="1185">
      <c r="K1185">
        <f>IF(OR(LEFT(B1185,9)="DOANH THU",LEFT(B1185,8)="SỐ LƯỢNG"),A1185,IF(A1185="","",K1184))</f>
        <v/>
      </c>
      <c r="L1185">
        <f>IF(A1185="","",IF(ISNUMBER(--LEFT(A1185,FIND(" - ",A1185&amp;" - ")-1)),LEFT(A1185,FIND(" - ",A1185&amp;" - ")-1),TRIM(A1185)))</f>
        <v/>
      </c>
      <c r="M1185">
        <f>IF(OR(K1185="",K1185=A1185,A1185=""),"",K1185&amp;"|"&amp;L1185)</f>
        <v/>
      </c>
      <c r="N1185">
        <f>IF(M1185="","",IF(ISNUMBER(B1185),B1185,IFERROR(_xlfn.NUMBERVALUE(B1185,".",","),0)))</f>
        <v/>
      </c>
      <c r="O1185">
        <f>IF(M1185="","",IF(ISNUMBER(C1185),C1185,IFERROR(_xlfn.NUMBERVALUE(C1185,".",","),0)))</f>
        <v/>
      </c>
    </row>
    <row r="1186">
      <c r="K1186">
        <f>IF(OR(LEFT(B1186,9)="DOANH THU",LEFT(B1186,8)="SỐ LƯỢNG"),A1186,IF(A1186="","",K1185))</f>
        <v/>
      </c>
      <c r="L1186">
        <f>IF(A1186="","",IF(ISNUMBER(--LEFT(A1186,FIND(" - ",A1186&amp;" - ")-1)),LEFT(A1186,FIND(" - ",A1186&amp;" - ")-1),TRIM(A1186)))</f>
        <v/>
      </c>
      <c r="M1186">
        <f>IF(OR(K1186="",K1186=A1186,A1186=""),"",K1186&amp;"|"&amp;L1186)</f>
        <v/>
      </c>
      <c r="N1186">
        <f>IF(M1186="","",IF(ISNUMBER(B1186),B1186,IFERROR(_xlfn.NUMBERVALUE(B1186,".",","),0)))</f>
        <v/>
      </c>
      <c r="O1186">
        <f>IF(M1186="","",IF(ISNUMBER(C1186),C1186,IFERROR(_xlfn.NUMBERVALUE(C1186,".",","),0)))</f>
        <v/>
      </c>
    </row>
    <row r="1187">
      <c r="K1187">
        <f>IF(OR(LEFT(B1187,9)="DOANH THU",LEFT(B1187,8)="SỐ LƯỢNG"),A1187,IF(A1187="","",K1186))</f>
        <v/>
      </c>
      <c r="L1187">
        <f>IF(A1187="","",IF(ISNUMBER(--LEFT(A1187,FIND(" - ",A1187&amp;" - ")-1)),LEFT(A1187,FIND(" - ",A1187&amp;" - ")-1),TRIM(A1187)))</f>
        <v/>
      </c>
      <c r="M1187">
        <f>IF(OR(K1187="",K1187=A1187,A1187=""),"",K1187&amp;"|"&amp;L1187)</f>
        <v/>
      </c>
      <c r="N1187">
        <f>IF(M1187="","",IF(ISNUMBER(B1187),B1187,IFERROR(_xlfn.NUMBERVALUE(B1187,".",","),0)))</f>
        <v/>
      </c>
      <c r="O1187">
        <f>IF(M1187="","",IF(ISNUMBER(C1187),C1187,IFERROR(_xlfn.NUMBERVALUE(C1187,".",","),0)))</f>
        <v/>
      </c>
    </row>
    <row r="1188">
      <c r="K1188">
        <f>IF(OR(LEFT(B1188,9)="DOANH THU",LEFT(B1188,8)="SỐ LƯỢNG"),A1188,IF(A1188="","",K1187))</f>
        <v/>
      </c>
      <c r="L1188">
        <f>IF(A1188="","",IF(ISNUMBER(--LEFT(A1188,FIND(" - ",A1188&amp;" - ")-1)),LEFT(A1188,FIND(" - ",A1188&amp;" - ")-1),TRIM(A1188)))</f>
        <v/>
      </c>
      <c r="M1188">
        <f>IF(OR(K1188="",K1188=A1188,A1188=""),"",K1188&amp;"|"&amp;L1188)</f>
        <v/>
      </c>
      <c r="N1188">
        <f>IF(M1188="","",IF(ISNUMBER(B1188),B1188,IFERROR(_xlfn.NUMBERVALUE(B1188,".",","),0)))</f>
        <v/>
      </c>
      <c r="O1188">
        <f>IF(M1188="","",IF(ISNUMBER(C1188),C1188,IFERROR(_xlfn.NUMBERVALUE(C1188,".",","),0)))</f>
        <v/>
      </c>
    </row>
    <row r="1189">
      <c r="K1189">
        <f>IF(OR(LEFT(B1189,9)="DOANH THU",LEFT(B1189,8)="SỐ LƯỢNG"),A1189,IF(A1189="","",K1188))</f>
        <v/>
      </c>
      <c r="L1189">
        <f>IF(A1189="","",IF(ISNUMBER(--LEFT(A1189,FIND(" - ",A1189&amp;" - ")-1)),LEFT(A1189,FIND(" - ",A1189&amp;" - ")-1),TRIM(A1189)))</f>
        <v/>
      </c>
      <c r="M1189">
        <f>IF(OR(K1189="",K1189=A1189,A1189=""),"",K1189&amp;"|"&amp;L1189)</f>
        <v/>
      </c>
      <c r="N1189">
        <f>IF(M1189="","",IF(ISNUMBER(B1189),B1189,IFERROR(_xlfn.NUMBERVALUE(B1189,".",","),0)))</f>
        <v/>
      </c>
      <c r="O1189">
        <f>IF(M1189="","",IF(ISNUMBER(C1189),C1189,IFERROR(_xlfn.NUMBERVALUE(C1189,".",","),0)))</f>
        <v/>
      </c>
    </row>
    <row r="1190">
      <c r="K1190">
        <f>IF(OR(LEFT(B1190,9)="DOANH THU",LEFT(B1190,8)="SỐ LƯỢNG"),A1190,IF(A1190="","",K1189))</f>
        <v/>
      </c>
      <c r="L1190">
        <f>IF(A1190="","",IF(ISNUMBER(--LEFT(A1190,FIND(" - ",A1190&amp;" - ")-1)),LEFT(A1190,FIND(" - ",A1190&amp;" - ")-1),TRIM(A1190)))</f>
        <v/>
      </c>
      <c r="M1190">
        <f>IF(OR(K1190="",K1190=A1190,A1190=""),"",K1190&amp;"|"&amp;L1190)</f>
        <v/>
      </c>
      <c r="N1190">
        <f>IF(M1190="","",IF(ISNUMBER(B1190),B1190,IFERROR(_xlfn.NUMBERVALUE(B1190,".",","),0)))</f>
        <v/>
      </c>
      <c r="O1190">
        <f>IF(M1190="","",IF(ISNUMBER(C1190),C1190,IFERROR(_xlfn.NUMBERVALUE(C1190,".",","),0)))</f>
        <v/>
      </c>
    </row>
    <row r="1191">
      <c r="K1191">
        <f>IF(OR(LEFT(B1191,9)="DOANH THU",LEFT(B1191,8)="SỐ LƯỢNG"),A1191,IF(A1191="","",K1190))</f>
        <v/>
      </c>
      <c r="L1191">
        <f>IF(A1191="","",IF(ISNUMBER(--LEFT(A1191,FIND(" - ",A1191&amp;" - ")-1)),LEFT(A1191,FIND(" - ",A1191&amp;" - ")-1),TRIM(A1191)))</f>
        <v/>
      </c>
      <c r="M1191">
        <f>IF(OR(K1191="",K1191=A1191,A1191=""),"",K1191&amp;"|"&amp;L1191)</f>
        <v/>
      </c>
      <c r="N1191">
        <f>IF(M1191="","",IF(ISNUMBER(B1191),B1191,IFERROR(_xlfn.NUMBERVALUE(B1191,".",","),0)))</f>
        <v/>
      </c>
      <c r="O1191">
        <f>IF(M1191="","",IF(ISNUMBER(C1191),C1191,IFERROR(_xlfn.NUMBERVALUE(C1191,".",","),0)))</f>
        <v/>
      </c>
    </row>
    <row r="1192">
      <c r="K1192">
        <f>IF(OR(LEFT(B1192,9)="DOANH THU",LEFT(B1192,8)="SỐ LƯỢNG"),A1192,IF(A1192="","",K1191))</f>
        <v/>
      </c>
      <c r="L1192">
        <f>IF(A1192="","",IF(ISNUMBER(--LEFT(A1192,FIND(" - ",A1192&amp;" - ")-1)),LEFT(A1192,FIND(" - ",A1192&amp;" - ")-1),TRIM(A1192)))</f>
        <v/>
      </c>
      <c r="M1192">
        <f>IF(OR(K1192="",K1192=A1192,A1192=""),"",K1192&amp;"|"&amp;L1192)</f>
        <v/>
      </c>
      <c r="N1192">
        <f>IF(M1192="","",IF(ISNUMBER(B1192),B1192,IFERROR(_xlfn.NUMBERVALUE(B1192,".",","),0)))</f>
        <v/>
      </c>
      <c r="O1192">
        <f>IF(M1192="","",IF(ISNUMBER(C1192),C1192,IFERROR(_xlfn.NUMBERVALUE(C1192,".",","),0)))</f>
        <v/>
      </c>
    </row>
    <row r="1193">
      <c r="K1193">
        <f>IF(OR(LEFT(B1193,9)="DOANH THU",LEFT(B1193,8)="SỐ LƯỢNG"),A1193,IF(A1193="","",K1192))</f>
        <v/>
      </c>
      <c r="L1193">
        <f>IF(A1193="","",IF(ISNUMBER(--LEFT(A1193,FIND(" - ",A1193&amp;" - ")-1)),LEFT(A1193,FIND(" - ",A1193&amp;" - ")-1),TRIM(A1193)))</f>
        <v/>
      </c>
      <c r="M1193">
        <f>IF(OR(K1193="",K1193=A1193,A1193=""),"",K1193&amp;"|"&amp;L1193)</f>
        <v/>
      </c>
      <c r="N1193">
        <f>IF(M1193="","",IF(ISNUMBER(B1193),B1193,IFERROR(_xlfn.NUMBERVALUE(B1193,".",","),0)))</f>
        <v/>
      </c>
      <c r="O1193">
        <f>IF(M1193="","",IF(ISNUMBER(C1193),C1193,IFERROR(_xlfn.NUMBERVALUE(C1193,".",","),0)))</f>
        <v/>
      </c>
    </row>
    <row r="1194">
      <c r="K1194">
        <f>IF(OR(LEFT(B1194,9)="DOANH THU",LEFT(B1194,8)="SỐ LƯỢNG"),A1194,IF(A1194="","",K1193))</f>
        <v/>
      </c>
      <c r="L1194">
        <f>IF(A1194="","",IF(ISNUMBER(--LEFT(A1194,FIND(" - ",A1194&amp;" - ")-1)),LEFT(A1194,FIND(" - ",A1194&amp;" - ")-1),TRIM(A1194)))</f>
        <v/>
      </c>
      <c r="M1194">
        <f>IF(OR(K1194="",K1194=A1194,A1194=""),"",K1194&amp;"|"&amp;L1194)</f>
        <v/>
      </c>
      <c r="N1194">
        <f>IF(M1194="","",IF(ISNUMBER(B1194),B1194,IFERROR(_xlfn.NUMBERVALUE(B1194,".",","),0)))</f>
        <v/>
      </c>
      <c r="O1194">
        <f>IF(M1194="","",IF(ISNUMBER(C1194),C1194,IFERROR(_xlfn.NUMBERVALUE(C1194,".",","),0)))</f>
        <v/>
      </c>
    </row>
    <row r="1195">
      <c r="K1195">
        <f>IF(OR(LEFT(B1195,9)="DOANH THU",LEFT(B1195,8)="SỐ LƯỢNG"),A1195,IF(A1195="","",K1194))</f>
        <v/>
      </c>
      <c r="L1195">
        <f>IF(A1195="","",IF(ISNUMBER(--LEFT(A1195,FIND(" - ",A1195&amp;" - ")-1)),LEFT(A1195,FIND(" - ",A1195&amp;" - ")-1),TRIM(A1195)))</f>
        <v/>
      </c>
      <c r="M1195">
        <f>IF(OR(K1195="",K1195=A1195,A1195=""),"",K1195&amp;"|"&amp;L1195)</f>
        <v/>
      </c>
      <c r="N1195">
        <f>IF(M1195="","",IF(ISNUMBER(B1195),B1195,IFERROR(_xlfn.NUMBERVALUE(B1195,".",","),0)))</f>
        <v/>
      </c>
      <c r="O1195">
        <f>IF(M1195="","",IF(ISNUMBER(C1195),C1195,IFERROR(_xlfn.NUMBERVALUE(C1195,".",","),0)))</f>
        <v/>
      </c>
    </row>
    <row r="1196">
      <c r="K1196">
        <f>IF(OR(LEFT(B1196,9)="DOANH THU",LEFT(B1196,8)="SỐ LƯỢNG"),A1196,IF(A1196="","",K1195))</f>
        <v/>
      </c>
      <c r="L1196">
        <f>IF(A1196="","",IF(ISNUMBER(--LEFT(A1196,FIND(" - ",A1196&amp;" - ")-1)),LEFT(A1196,FIND(" - ",A1196&amp;" - ")-1),TRIM(A1196)))</f>
        <v/>
      </c>
      <c r="M1196">
        <f>IF(OR(K1196="",K1196=A1196,A1196=""),"",K1196&amp;"|"&amp;L1196)</f>
        <v/>
      </c>
      <c r="N1196">
        <f>IF(M1196="","",IF(ISNUMBER(B1196),B1196,IFERROR(_xlfn.NUMBERVALUE(B1196,".",","),0)))</f>
        <v/>
      </c>
      <c r="O1196">
        <f>IF(M1196="","",IF(ISNUMBER(C1196),C1196,IFERROR(_xlfn.NUMBERVALUE(C1196,".",","),0)))</f>
        <v/>
      </c>
    </row>
    <row r="1197">
      <c r="K1197">
        <f>IF(OR(LEFT(B1197,9)="DOANH THU",LEFT(B1197,8)="SỐ LƯỢNG"),A1197,IF(A1197="","",K1196))</f>
        <v/>
      </c>
      <c r="L1197">
        <f>IF(A1197="","",IF(ISNUMBER(--LEFT(A1197,FIND(" - ",A1197&amp;" - ")-1)),LEFT(A1197,FIND(" - ",A1197&amp;" - ")-1),TRIM(A1197)))</f>
        <v/>
      </c>
      <c r="M1197">
        <f>IF(OR(K1197="",K1197=A1197,A1197=""),"",K1197&amp;"|"&amp;L1197)</f>
        <v/>
      </c>
      <c r="N1197">
        <f>IF(M1197="","",IF(ISNUMBER(B1197),B1197,IFERROR(_xlfn.NUMBERVALUE(B1197,".",","),0)))</f>
        <v/>
      </c>
      <c r="O1197">
        <f>IF(M1197="","",IF(ISNUMBER(C1197),C1197,IFERROR(_xlfn.NUMBERVALUE(C1197,".",","),0)))</f>
        <v/>
      </c>
    </row>
    <row r="1198">
      <c r="K1198">
        <f>IF(OR(LEFT(B1198,9)="DOANH THU",LEFT(B1198,8)="SỐ LƯỢNG"),A1198,IF(A1198="","",K1197))</f>
        <v/>
      </c>
      <c r="L1198">
        <f>IF(A1198="","",IF(ISNUMBER(--LEFT(A1198,FIND(" - ",A1198&amp;" - ")-1)),LEFT(A1198,FIND(" - ",A1198&amp;" - ")-1),TRIM(A1198)))</f>
        <v/>
      </c>
      <c r="M1198">
        <f>IF(OR(K1198="",K1198=A1198,A1198=""),"",K1198&amp;"|"&amp;L1198)</f>
        <v/>
      </c>
      <c r="N1198">
        <f>IF(M1198="","",IF(ISNUMBER(B1198),B1198,IFERROR(_xlfn.NUMBERVALUE(B1198,".",","),0)))</f>
        <v/>
      </c>
      <c r="O1198">
        <f>IF(M1198="","",IF(ISNUMBER(C1198),C1198,IFERROR(_xlfn.NUMBERVALUE(C1198,".",","),0)))</f>
        <v/>
      </c>
    </row>
    <row r="1199">
      <c r="K1199">
        <f>IF(OR(LEFT(B1199,9)="DOANH THU",LEFT(B1199,8)="SỐ LƯỢNG"),A1199,IF(A1199="","",K1198))</f>
        <v/>
      </c>
      <c r="L1199">
        <f>IF(A1199="","",IF(ISNUMBER(--LEFT(A1199,FIND(" - ",A1199&amp;" - ")-1)),LEFT(A1199,FIND(" - ",A1199&amp;" - ")-1),TRIM(A1199)))</f>
        <v/>
      </c>
      <c r="M1199">
        <f>IF(OR(K1199="",K1199=A1199,A1199=""),"",K1199&amp;"|"&amp;L1199)</f>
        <v/>
      </c>
      <c r="N1199">
        <f>IF(M1199="","",IF(ISNUMBER(B1199),B1199,IFERROR(_xlfn.NUMBERVALUE(B1199,".",","),0)))</f>
        <v/>
      </c>
      <c r="O1199">
        <f>IF(M1199="","",IF(ISNUMBER(C1199),C1199,IFERROR(_xlfn.NUMBERVALUE(C1199,".",","),0)))</f>
        <v/>
      </c>
    </row>
    <row r="1200">
      <c r="K1200">
        <f>IF(OR(LEFT(B1200,9)="DOANH THU",LEFT(B1200,8)="SỐ LƯỢNG"),A1200,IF(A1200="","",K1199))</f>
        <v/>
      </c>
      <c r="L1200">
        <f>IF(A1200="","",IF(ISNUMBER(--LEFT(A1200,FIND(" - ",A1200&amp;" - ")-1)),LEFT(A1200,FIND(" - ",A1200&amp;" - ")-1),TRIM(A1200)))</f>
        <v/>
      </c>
      <c r="M1200">
        <f>IF(OR(K1200="",K1200=A1200,A1200=""),"",K1200&amp;"|"&amp;L1200)</f>
        <v/>
      </c>
      <c r="N1200">
        <f>IF(M1200="","",IF(ISNUMBER(B1200),B1200,IFERROR(_xlfn.NUMBERVALUE(B1200,".",","),0)))</f>
        <v/>
      </c>
      <c r="O1200">
        <f>IF(M1200="","",IF(ISNUMBER(C1200),C1200,IFERROR(_xlfn.NUMBERVALUE(C1200,".",","),0)))</f>
        <v/>
      </c>
    </row>
    <row r="1201">
      <c r="K1201">
        <f>IF(OR(LEFT(B1201,9)="DOANH THU",LEFT(B1201,8)="SỐ LƯỢNG"),A1201,IF(A1201="","",K1200))</f>
        <v/>
      </c>
      <c r="L1201">
        <f>IF(A1201="","",IF(ISNUMBER(--LEFT(A1201,FIND(" - ",A1201&amp;" - ")-1)),LEFT(A1201,FIND(" - ",A1201&amp;" - ")-1),TRIM(A1201)))</f>
        <v/>
      </c>
      <c r="M1201">
        <f>IF(OR(K1201="",K1201=A1201,A1201=""),"",K1201&amp;"|"&amp;L1201)</f>
        <v/>
      </c>
      <c r="N1201">
        <f>IF(M1201="","",IF(ISNUMBER(B1201),B1201,IFERROR(_xlfn.NUMBERVALUE(B1201,".",","),0)))</f>
        <v/>
      </c>
      <c r="O1201">
        <f>IF(M1201="","",IF(ISNUMBER(C1201),C1201,IFERROR(_xlfn.NUMBERVALUE(C1201,".",","),0)))</f>
        <v/>
      </c>
    </row>
    <row r="1202">
      <c r="K1202">
        <f>IF(OR(LEFT(B1202,9)="DOANH THU",LEFT(B1202,8)="SỐ LƯỢNG"),A1202,IF(A1202="","",K1201))</f>
        <v/>
      </c>
      <c r="L1202">
        <f>IF(A1202="","",IF(ISNUMBER(--LEFT(A1202,FIND(" - ",A1202&amp;" - ")-1)),LEFT(A1202,FIND(" - ",A1202&amp;" - ")-1),TRIM(A1202)))</f>
        <v/>
      </c>
      <c r="M1202">
        <f>IF(OR(K1202="",K1202=A1202,A1202=""),"",K1202&amp;"|"&amp;L1202)</f>
        <v/>
      </c>
      <c r="N1202">
        <f>IF(M1202="","",IF(ISNUMBER(B1202),B1202,IFERROR(_xlfn.NUMBERVALUE(B1202,".",","),0)))</f>
        <v/>
      </c>
      <c r="O1202">
        <f>IF(M1202="","",IF(ISNUMBER(C1202),C1202,IFERROR(_xlfn.NUMBERVALUE(C1202,".",","),0)))</f>
        <v/>
      </c>
    </row>
    <row r="1203">
      <c r="K1203">
        <f>IF(OR(LEFT(B1203,9)="DOANH THU",LEFT(B1203,8)="SỐ LƯỢNG"),A1203,IF(A1203="","",K1202))</f>
        <v/>
      </c>
      <c r="L1203">
        <f>IF(A1203="","",IF(ISNUMBER(--LEFT(A1203,FIND(" - ",A1203&amp;" - ")-1)),LEFT(A1203,FIND(" - ",A1203&amp;" - ")-1),TRIM(A1203)))</f>
        <v/>
      </c>
      <c r="M1203">
        <f>IF(OR(K1203="",K1203=A1203,A1203=""),"",K1203&amp;"|"&amp;L1203)</f>
        <v/>
      </c>
      <c r="N1203">
        <f>IF(M1203="","",IF(ISNUMBER(B1203),B1203,IFERROR(_xlfn.NUMBERVALUE(B1203,".",","),0)))</f>
        <v/>
      </c>
      <c r="O1203">
        <f>IF(M1203="","",IF(ISNUMBER(C1203),C1203,IFERROR(_xlfn.NUMBERVALUE(C1203,".",","),0)))</f>
        <v/>
      </c>
    </row>
    <row r="1204">
      <c r="K1204">
        <f>IF(OR(LEFT(B1204,9)="DOANH THU",LEFT(B1204,8)="SỐ LƯỢNG"),A1204,IF(A1204="","",K1203))</f>
        <v/>
      </c>
      <c r="L1204">
        <f>IF(A1204="","",IF(ISNUMBER(--LEFT(A1204,FIND(" - ",A1204&amp;" - ")-1)),LEFT(A1204,FIND(" - ",A1204&amp;" - ")-1),TRIM(A1204)))</f>
        <v/>
      </c>
      <c r="M1204">
        <f>IF(OR(K1204="",K1204=A1204,A1204=""),"",K1204&amp;"|"&amp;L1204)</f>
        <v/>
      </c>
      <c r="N1204">
        <f>IF(M1204="","",IF(ISNUMBER(B1204),B1204,IFERROR(_xlfn.NUMBERVALUE(B1204,".",","),0)))</f>
        <v/>
      </c>
      <c r="O1204">
        <f>IF(M1204="","",IF(ISNUMBER(C1204),C1204,IFERROR(_xlfn.NUMBERVALUE(C1204,".",","),0)))</f>
        <v/>
      </c>
    </row>
    <row r="1205">
      <c r="K1205">
        <f>IF(OR(LEFT(B1205,9)="DOANH THU",LEFT(B1205,8)="SỐ LƯỢNG"),A1205,IF(A1205="","",K1204))</f>
        <v/>
      </c>
      <c r="L1205">
        <f>IF(A1205="","",IF(ISNUMBER(--LEFT(A1205,FIND(" - ",A1205&amp;" - ")-1)),LEFT(A1205,FIND(" - ",A1205&amp;" - ")-1),TRIM(A1205)))</f>
        <v/>
      </c>
      <c r="M1205">
        <f>IF(OR(K1205="",K1205=A1205,A1205=""),"",K1205&amp;"|"&amp;L1205)</f>
        <v/>
      </c>
      <c r="N1205">
        <f>IF(M1205="","",IF(ISNUMBER(B1205),B1205,IFERROR(_xlfn.NUMBERVALUE(B1205,".",","),0)))</f>
        <v/>
      </c>
      <c r="O1205">
        <f>IF(M1205="","",IF(ISNUMBER(C1205),C1205,IFERROR(_xlfn.NUMBERVALUE(C1205,".",","),0)))</f>
        <v/>
      </c>
    </row>
    <row r="1206">
      <c r="K1206">
        <f>IF(OR(LEFT(B1206,9)="DOANH THU",LEFT(B1206,8)="SỐ LƯỢNG"),A1206,IF(A1206="","",K1205))</f>
        <v/>
      </c>
      <c r="L1206">
        <f>IF(A1206="","",IF(ISNUMBER(--LEFT(A1206,FIND(" - ",A1206&amp;" - ")-1)),LEFT(A1206,FIND(" - ",A1206&amp;" - ")-1),TRIM(A1206)))</f>
        <v/>
      </c>
      <c r="M1206">
        <f>IF(OR(K1206="",K1206=A1206,A1206=""),"",K1206&amp;"|"&amp;L1206)</f>
        <v/>
      </c>
      <c r="N1206">
        <f>IF(M1206="","",IF(ISNUMBER(B1206),B1206,IFERROR(_xlfn.NUMBERVALUE(B1206,".",","),0)))</f>
        <v/>
      </c>
      <c r="O1206">
        <f>IF(M1206="","",IF(ISNUMBER(C1206),C1206,IFERROR(_xlfn.NUMBERVALUE(C1206,".",","),0)))</f>
        <v/>
      </c>
    </row>
    <row r="1207">
      <c r="K1207">
        <f>IF(OR(LEFT(B1207,9)="DOANH THU",LEFT(B1207,8)="SỐ LƯỢNG"),A1207,IF(A1207="","",K1206))</f>
        <v/>
      </c>
      <c r="L1207">
        <f>IF(A1207="","",IF(ISNUMBER(--LEFT(A1207,FIND(" - ",A1207&amp;" - ")-1)),LEFT(A1207,FIND(" - ",A1207&amp;" - ")-1),TRIM(A1207)))</f>
        <v/>
      </c>
      <c r="M1207">
        <f>IF(OR(K1207="",K1207=A1207,A1207=""),"",K1207&amp;"|"&amp;L1207)</f>
        <v/>
      </c>
      <c r="N1207">
        <f>IF(M1207="","",IF(ISNUMBER(B1207),B1207,IFERROR(_xlfn.NUMBERVALUE(B1207,".",","),0)))</f>
        <v/>
      </c>
      <c r="O1207">
        <f>IF(M1207="","",IF(ISNUMBER(C1207),C1207,IFERROR(_xlfn.NUMBERVALUE(C1207,".",","),0)))</f>
        <v/>
      </c>
    </row>
    <row r="1208">
      <c r="K1208">
        <f>IF(OR(LEFT(B1208,9)="DOANH THU",LEFT(B1208,8)="SỐ LƯỢNG"),A1208,IF(A1208="","",K1207))</f>
        <v/>
      </c>
      <c r="L1208">
        <f>IF(A1208="","",IF(ISNUMBER(--LEFT(A1208,FIND(" - ",A1208&amp;" - ")-1)),LEFT(A1208,FIND(" - ",A1208&amp;" - ")-1),TRIM(A1208)))</f>
        <v/>
      </c>
      <c r="M1208">
        <f>IF(OR(K1208="",K1208=A1208,A1208=""),"",K1208&amp;"|"&amp;L1208)</f>
        <v/>
      </c>
      <c r="N1208">
        <f>IF(M1208="","",IF(ISNUMBER(B1208),B1208,IFERROR(_xlfn.NUMBERVALUE(B1208,".",","),0)))</f>
        <v/>
      </c>
      <c r="O1208">
        <f>IF(M1208="","",IF(ISNUMBER(C1208),C1208,IFERROR(_xlfn.NUMBERVALUE(C1208,".",","),0)))</f>
        <v/>
      </c>
    </row>
    <row r="1209">
      <c r="K1209">
        <f>IF(OR(LEFT(B1209,9)="DOANH THU",LEFT(B1209,8)="SỐ LƯỢNG"),A1209,IF(A1209="","",K1208))</f>
        <v/>
      </c>
      <c r="L1209">
        <f>IF(A1209="","",IF(ISNUMBER(--LEFT(A1209,FIND(" - ",A1209&amp;" - ")-1)),LEFT(A1209,FIND(" - ",A1209&amp;" - ")-1),TRIM(A1209)))</f>
        <v/>
      </c>
      <c r="M1209">
        <f>IF(OR(K1209="",K1209=A1209,A1209=""),"",K1209&amp;"|"&amp;L1209)</f>
        <v/>
      </c>
      <c r="N1209">
        <f>IF(M1209="","",IF(ISNUMBER(B1209),B1209,IFERROR(_xlfn.NUMBERVALUE(B1209,".",","),0)))</f>
        <v/>
      </c>
      <c r="O1209">
        <f>IF(M1209="","",IF(ISNUMBER(C1209),C1209,IFERROR(_xlfn.NUMBERVALUE(C1209,".",","),0)))</f>
        <v/>
      </c>
    </row>
    <row r="1210">
      <c r="K1210">
        <f>IF(OR(LEFT(B1210,9)="DOANH THU",LEFT(B1210,8)="SỐ LƯỢNG"),A1210,IF(A1210="","",K1209))</f>
        <v/>
      </c>
      <c r="L1210">
        <f>IF(A1210="","",IF(ISNUMBER(--LEFT(A1210,FIND(" - ",A1210&amp;" - ")-1)),LEFT(A1210,FIND(" - ",A1210&amp;" - ")-1),TRIM(A1210)))</f>
        <v/>
      </c>
      <c r="M1210">
        <f>IF(OR(K1210="",K1210=A1210,A1210=""),"",K1210&amp;"|"&amp;L1210)</f>
        <v/>
      </c>
      <c r="N1210">
        <f>IF(M1210="","",IF(ISNUMBER(B1210),B1210,IFERROR(_xlfn.NUMBERVALUE(B1210,".",","),0)))</f>
        <v/>
      </c>
      <c r="O1210">
        <f>IF(M1210="","",IF(ISNUMBER(C1210),C1210,IFERROR(_xlfn.NUMBERVALUE(C1210,".",","),0)))</f>
        <v/>
      </c>
    </row>
    <row r="1211">
      <c r="K1211">
        <f>IF(OR(LEFT(B1211,9)="DOANH THU",LEFT(B1211,8)="SỐ LƯỢNG"),A1211,IF(A1211="","",K1210))</f>
        <v/>
      </c>
      <c r="L1211">
        <f>IF(A1211="","",IF(ISNUMBER(--LEFT(A1211,FIND(" - ",A1211&amp;" - ")-1)),LEFT(A1211,FIND(" - ",A1211&amp;" - ")-1),TRIM(A1211)))</f>
        <v/>
      </c>
      <c r="M1211">
        <f>IF(OR(K1211="",K1211=A1211,A1211=""),"",K1211&amp;"|"&amp;L1211)</f>
        <v/>
      </c>
      <c r="N1211">
        <f>IF(M1211="","",IF(ISNUMBER(B1211),B1211,IFERROR(_xlfn.NUMBERVALUE(B1211,".",","),0)))</f>
        <v/>
      </c>
      <c r="O1211">
        <f>IF(M1211="","",IF(ISNUMBER(C1211),C1211,IFERROR(_xlfn.NUMBERVALUE(C1211,".",","),0)))</f>
        <v/>
      </c>
    </row>
    <row r="1212">
      <c r="K1212">
        <f>IF(OR(LEFT(B1212,9)="DOANH THU",LEFT(B1212,8)="SỐ LƯỢNG"),A1212,IF(A1212="","",K1211))</f>
        <v/>
      </c>
      <c r="L1212">
        <f>IF(A1212="","",IF(ISNUMBER(--LEFT(A1212,FIND(" - ",A1212&amp;" - ")-1)),LEFT(A1212,FIND(" - ",A1212&amp;" - ")-1),TRIM(A1212)))</f>
        <v/>
      </c>
      <c r="M1212">
        <f>IF(OR(K1212="",K1212=A1212,A1212=""),"",K1212&amp;"|"&amp;L1212)</f>
        <v/>
      </c>
      <c r="N1212">
        <f>IF(M1212="","",IF(ISNUMBER(B1212),B1212,IFERROR(_xlfn.NUMBERVALUE(B1212,".",","),0)))</f>
        <v/>
      </c>
      <c r="O1212">
        <f>IF(M1212="","",IF(ISNUMBER(C1212),C1212,IFERROR(_xlfn.NUMBERVALUE(C1212,".",","),0)))</f>
        <v/>
      </c>
    </row>
    <row r="1213">
      <c r="K1213">
        <f>IF(OR(LEFT(B1213,9)="DOANH THU",LEFT(B1213,8)="SỐ LƯỢNG"),A1213,IF(A1213="","",K1212))</f>
        <v/>
      </c>
      <c r="L1213">
        <f>IF(A1213="","",IF(ISNUMBER(--LEFT(A1213,FIND(" - ",A1213&amp;" - ")-1)),LEFT(A1213,FIND(" - ",A1213&amp;" - ")-1),TRIM(A1213)))</f>
        <v/>
      </c>
      <c r="M1213">
        <f>IF(OR(K1213="",K1213=A1213,A1213=""),"",K1213&amp;"|"&amp;L1213)</f>
        <v/>
      </c>
      <c r="N1213">
        <f>IF(M1213="","",IF(ISNUMBER(B1213),B1213,IFERROR(_xlfn.NUMBERVALUE(B1213,".",","),0)))</f>
        <v/>
      </c>
      <c r="O1213">
        <f>IF(M1213="","",IF(ISNUMBER(C1213),C1213,IFERROR(_xlfn.NUMBERVALUE(C1213,".",","),0)))</f>
        <v/>
      </c>
    </row>
    <row r="1214">
      <c r="K1214">
        <f>IF(OR(LEFT(B1214,9)="DOANH THU",LEFT(B1214,8)="SỐ LƯỢNG"),A1214,IF(A1214="","",K1213))</f>
        <v/>
      </c>
      <c r="L1214">
        <f>IF(A1214="","",IF(ISNUMBER(--LEFT(A1214,FIND(" - ",A1214&amp;" - ")-1)),LEFT(A1214,FIND(" - ",A1214&amp;" - ")-1),TRIM(A1214)))</f>
        <v/>
      </c>
      <c r="M1214">
        <f>IF(OR(K1214="",K1214=A1214,A1214=""),"",K1214&amp;"|"&amp;L1214)</f>
        <v/>
      </c>
      <c r="N1214">
        <f>IF(M1214="","",IF(ISNUMBER(B1214),B1214,IFERROR(_xlfn.NUMBERVALUE(B1214,".",","),0)))</f>
        <v/>
      </c>
      <c r="O1214">
        <f>IF(M1214="","",IF(ISNUMBER(C1214),C1214,IFERROR(_xlfn.NUMBERVALUE(C1214,".",","),0)))</f>
        <v/>
      </c>
    </row>
    <row r="1215">
      <c r="K1215">
        <f>IF(OR(LEFT(B1215,9)="DOANH THU",LEFT(B1215,8)="SỐ LƯỢNG"),A1215,IF(A1215="","",K1214))</f>
        <v/>
      </c>
      <c r="L1215">
        <f>IF(A1215="","",IF(ISNUMBER(--LEFT(A1215,FIND(" - ",A1215&amp;" - ")-1)),LEFT(A1215,FIND(" - ",A1215&amp;" - ")-1),TRIM(A1215)))</f>
        <v/>
      </c>
      <c r="M1215">
        <f>IF(OR(K1215="",K1215=A1215,A1215=""),"",K1215&amp;"|"&amp;L1215)</f>
        <v/>
      </c>
      <c r="N1215">
        <f>IF(M1215="","",IF(ISNUMBER(B1215),B1215,IFERROR(_xlfn.NUMBERVALUE(B1215,".",","),0)))</f>
        <v/>
      </c>
      <c r="O1215">
        <f>IF(M1215="","",IF(ISNUMBER(C1215),C1215,IFERROR(_xlfn.NUMBERVALUE(C1215,".",","),0)))</f>
        <v/>
      </c>
    </row>
    <row r="1216">
      <c r="K1216">
        <f>IF(OR(LEFT(B1216,9)="DOANH THU",LEFT(B1216,8)="SỐ LƯỢNG"),A1216,IF(A1216="","",K1215))</f>
        <v/>
      </c>
      <c r="L1216">
        <f>IF(A1216="","",IF(ISNUMBER(--LEFT(A1216,FIND(" - ",A1216&amp;" - ")-1)),LEFT(A1216,FIND(" - ",A1216&amp;" - ")-1),TRIM(A1216)))</f>
        <v/>
      </c>
      <c r="M1216">
        <f>IF(OR(K1216="",K1216=A1216,A1216=""),"",K1216&amp;"|"&amp;L1216)</f>
        <v/>
      </c>
      <c r="N1216">
        <f>IF(M1216="","",IF(ISNUMBER(B1216),B1216,IFERROR(_xlfn.NUMBERVALUE(B1216,".",","),0)))</f>
        <v/>
      </c>
      <c r="O1216">
        <f>IF(M1216="","",IF(ISNUMBER(C1216),C1216,IFERROR(_xlfn.NUMBERVALUE(C1216,".",","),0)))</f>
        <v/>
      </c>
    </row>
    <row r="1217">
      <c r="K1217">
        <f>IF(OR(LEFT(B1217,9)="DOANH THU",LEFT(B1217,8)="SỐ LƯỢNG"),A1217,IF(A1217="","",K1216))</f>
        <v/>
      </c>
      <c r="L1217">
        <f>IF(A1217="","",IF(ISNUMBER(--LEFT(A1217,FIND(" - ",A1217&amp;" - ")-1)),LEFT(A1217,FIND(" - ",A1217&amp;" - ")-1),TRIM(A1217)))</f>
        <v/>
      </c>
      <c r="M1217">
        <f>IF(OR(K1217="",K1217=A1217,A1217=""),"",K1217&amp;"|"&amp;L1217)</f>
        <v/>
      </c>
      <c r="N1217">
        <f>IF(M1217="","",IF(ISNUMBER(B1217),B1217,IFERROR(_xlfn.NUMBERVALUE(B1217,".",","),0)))</f>
        <v/>
      </c>
      <c r="O1217">
        <f>IF(M1217="","",IF(ISNUMBER(C1217),C1217,IFERROR(_xlfn.NUMBERVALUE(C1217,".",","),0)))</f>
        <v/>
      </c>
    </row>
    <row r="1218">
      <c r="K1218">
        <f>IF(OR(LEFT(B1218,9)="DOANH THU",LEFT(B1218,8)="SỐ LƯỢNG"),A1218,IF(A1218="","",K1217))</f>
        <v/>
      </c>
      <c r="L1218">
        <f>IF(A1218="","",IF(ISNUMBER(--LEFT(A1218,FIND(" - ",A1218&amp;" - ")-1)),LEFT(A1218,FIND(" - ",A1218&amp;" - ")-1),TRIM(A1218)))</f>
        <v/>
      </c>
      <c r="M1218">
        <f>IF(OR(K1218="",K1218=A1218,A1218=""),"",K1218&amp;"|"&amp;L1218)</f>
        <v/>
      </c>
      <c r="N1218">
        <f>IF(M1218="","",IF(ISNUMBER(B1218),B1218,IFERROR(_xlfn.NUMBERVALUE(B1218,".",","),0)))</f>
        <v/>
      </c>
      <c r="O1218">
        <f>IF(M1218="","",IF(ISNUMBER(C1218),C1218,IFERROR(_xlfn.NUMBERVALUE(C1218,".",","),0)))</f>
        <v/>
      </c>
    </row>
    <row r="1219">
      <c r="K1219">
        <f>IF(OR(LEFT(B1219,9)="DOANH THU",LEFT(B1219,8)="SỐ LƯỢNG"),A1219,IF(A1219="","",K1218))</f>
        <v/>
      </c>
      <c r="L1219">
        <f>IF(A1219="","",IF(ISNUMBER(--LEFT(A1219,FIND(" - ",A1219&amp;" - ")-1)),LEFT(A1219,FIND(" - ",A1219&amp;" - ")-1),TRIM(A1219)))</f>
        <v/>
      </c>
      <c r="M1219">
        <f>IF(OR(K1219="",K1219=A1219,A1219=""),"",K1219&amp;"|"&amp;L1219)</f>
        <v/>
      </c>
      <c r="N1219">
        <f>IF(M1219="","",IF(ISNUMBER(B1219),B1219,IFERROR(_xlfn.NUMBERVALUE(B1219,".",","),0)))</f>
        <v/>
      </c>
      <c r="O1219">
        <f>IF(M1219="","",IF(ISNUMBER(C1219),C1219,IFERROR(_xlfn.NUMBERVALUE(C1219,".",","),0)))</f>
        <v/>
      </c>
    </row>
    <row r="1220">
      <c r="K1220">
        <f>IF(OR(LEFT(B1220,9)="DOANH THU",LEFT(B1220,8)="SỐ LƯỢNG"),A1220,IF(A1220="","",K1219))</f>
        <v/>
      </c>
      <c r="L1220">
        <f>IF(A1220="","",IF(ISNUMBER(--LEFT(A1220,FIND(" - ",A1220&amp;" - ")-1)),LEFT(A1220,FIND(" - ",A1220&amp;" - ")-1),TRIM(A1220)))</f>
        <v/>
      </c>
      <c r="M1220">
        <f>IF(OR(K1220="",K1220=A1220,A1220=""),"",K1220&amp;"|"&amp;L1220)</f>
        <v/>
      </c>
      <c r="N1220">
        <f>IF(M1220="","",IF(ISNUMBER(B1220),B1220,IFERROR(_xlfn.NUMBERVALUE(B1220,".",","),0)))</f>
        <v/>
      </c>
      <c r="O1220">
        <f>IF(M1220="","",IF(ISNUMBER(C1220),C1220,IFERROR(_xlfn.NUMBERVALUE(C1220,".",","),0)))</f>
        <v/>
      </c>
    </row>
    <row r="1221">
      <c r="K1221">
        <f>IF(OR(LEFT(B1221,9)="DOANH THU",LEFT(B1221,8)="SỐ LƯỢNG"),A1221,IF(A1221="","",K1220))</f>
        <v/>
      </c>
      <c r="L1221">
        <f>IF(A1221="","",IF(ISNUMBER(--LEFT(A1221,FIND(" - ",A1221&amp;" - ")-1)),LEFT(A1221,FIND(" - ",A1221&amp;" - ")-1),TRIM(A1221)))</f>
        <v/>
      </c>
      <c r="M1221">
        <f>IF(OR(K1221="",K1221=A1221,A1221=""),"",K1221&amp;"|"&amp;L1221)</f>
        <v/>
      </c>
      <c r="N1221">
        <f>IF(M1221="","",IF(ISNUMBER(B1221),B1221,IFERROR(_xlfn.NUMBERVALUE(B1221,".",","),0)))</f>
        <v/>
      </c>
      <c r="O1221">
        <f>IF(M1221="","",IF(ISNUMBER(C1221),C1221,IFERROR(_xlfn.NUMBERVALUE(C1221,".",","),0)))</f>
        <v/>
      </c>
    </row>
    <row r="1222">
      <c r="K1222">
        <f>IF(OR(LEFT(B1222,9)="DOANH THU",LEFT(B1222,8)="SỐ LƯỢNG"),A1222,IF(A1222="","",K1221))</f>
        <v/>
      </c>
      <c r="L1222">
        <f>IF(A1222="","",IF(ISNUMBER(--LEFT(A1222,FIND(" - ",A1222&amp;" - ")-1)),LEFT(A1222,FIND(" - ",A1222&amp;" - ")-1),TRIM(A1222)))</f>
        <v/>
      </c>
      <c r="M1222">
        <f>IF(OR(K1222="",K1222=A1222,A1222=""),"",K1222&amp;"|"&amp;L1222)</f>
        <v/>
      </c>
      <c r="N1222">
        <f>IF(M1222="","",IF(ISNUMBER(B1222),B1222,IFERROR(_xlfn.NUMBERVALUE(B1222,".",","),0)))</f>
        <v/>
      </c>
      <c r="O1222">
        <f>IF(M1222="","",IF(ISNUMBER(C1222),C1222,IFERROR(_xlfn.NUMBERVALUE(C1222,".",","),0)))</f>
        <v/>
      </c>
    </row>
    <row r="1223">
      <c r="K1223">
        <f>IF(OR(LEFT(B1223,9)="DOANH THU",LEFT(B1223,8)="SỐ LƯỢNG"),A1223,IF(A1223="","",K1222))</f>
        <v/>
      </c>
      <c r="L1223">
        <f>IF(A1223="","",IF(ISNUMBER(--LEFT(A1223,FIND(" - ",A1223&amp;" - ")-1)),LEFT(A1223,FIND(" - ",A1223&amp;" - ")-1),TRIM(A1223)))</f>
        <v/>
      </c>
      <c r="M1223">
        <f>IF(OR(K1223="",K1223=A1223,A1223=""),"",K1223&amp;"|"&amp;L1223)</f>
        <v/>
      </c>
      <c r="N1223">
        <f>IF(M1223="","",IF(ISNUMBER(B1223),B1223,IFERROR(_xlfn.NUMBERVALUE(B1223,".",","),0)))</f>
        <v/>
      </c>
      <c r="O1223">
        <f>IF(M1223="","",IF(ISNUMBER(C1223),C1223,IFERROR(_xlfn.NUMBERVALUE(C1223,".",","),0)))</f>
        <v/>
      </c>
    </row>
    <row r="1224">
      <c r="K1224">
        <f>IF(OR(LEFT(B1224,9)="DOANH THU",LEFT(B1224,8)="SỐ LƯỢNG"),A1224,IF(A1224="","",K1223))</f>
        <v/>
      </c>
      <c r="L1224">
        <f>IF(A1224="","",IF(ISNUMBER(--LEFT(A1224,FIND(" - ",A1224&amp;" - ")-1)),LEFT(A1224,FIND(" - ",A1224&amp;" - ")-1),TRIM(A1224)))</f>
        <v/>
      </c>
      <c r="M1224">
        <f>IF(OR(K1224="",K1224=A1224,A1224=""),"",K1224&amp;"|"&amp;L1224)</f>
        <v/>
      </c>
      <c r="N1224">
        <f>IF(M1224="","",IF(ISNUMBER(B1224),B1224,IFERROR(_xlfn.NUMBERVALUE(B1224,".",","),0)))</f>
        <v/>
      </c>
      <c r="O1224">
        <f>IF(M1224="","",IF(ISNUMBER(C1224),C1224,IFERROR(_xlfn.NUMBERVALUE(C1224,".",","),0)))</f>
        <v/>
      </c>
    </row>
    <row r="1225">
      <c r="K1225">
        <f>IF(OR(LEFT(B1225,9)="DOANH THU",LEFT(B1225,8)="SỐ LƯỢNG"),A1225,IF(A1225="","",K1224))</f>
        <v/>
      </c>
      <c r="L1225">
        <f>IF(A1225="","",IF(ISNUMBER(--LEFT(A1225,FIND(" - ",A1225&amp;" - ")-1)),LEFT(A1225,FIND(" - ",A1225&amp;" - ")-1),TRIM(A1225)))</f>
        <v/>
      </c>
      <c r="M1225">
        <f>IF(OR(K1225="",K1225=A1225,A1225=""),"",K1225&amp;"|"&amp;L1225)</f>
        <v/>
      </c>
      <c r="N1225">
        <f>IF(M1225="","",IF(ISNUMBER(B1225),B1225,IFERROR(_xlfn.NUMBERVALUE(B1225,".",","),0)))</f>
        <v/>
      </c>
      <c r="O1225">
        <f>IF(M1225="","",IF(ISNUMBER(C1225),C1225,IFERROR(_xlfn.NUMBERVALUE(C1225,".",","),0)))</f>
        <v/>
      </c>
    </row>
    <row r="1226">
      <c r="K1226">
        <f>IF(OR(LEFT(B1226,9)="DOANH THU",LEFT(B1226,8)="SỐ LƯỢNG"),A1226,IF(A1226="","",K1225))</f>
        <v/>
      </c>
      <c r="L1226">
        <f>IF(A1226="","",IF(ISNUMBER(--LEFT(A1226,FIND(" - ",A1226&amp;" - ")-1)),LEFT(A1226,FIND(" - ",A1226&amp;" - ")-1),TRIM(A1226)))</f>
        <v/>
      </c>
      <c r="M1226">
        <f>IF(OR(K1226="",K1226=A1226,A1226=""),"",K1226&amp;"|"&amp;L1226)</f>
        <v/>
      </c>
      <c r="N1226">
        <f>IF(M1226="","",IF(ISNUMBER(B1226),B1226,IFERROR(_xlfn.NUMBERVALUE(B1226,".",","),0)))</f>
        <v/>
      </c>
      <c r="O1226">
        <f>IF(M1226="","",IF(ISNUMBER(C1226),C1226,IFERROR(_xlfn.NUMBERVALUE(C1226,".",","),0)))</f>
        <v/>
      </c>
    </row>
    <row r="1227">
      <c r="K1227">
        <f>IF(OR(LEFT(B1227,9)="DOANH THU",LEFT(B1227,8)="SỐ LƯỢNG"),A1227,IF(A1227="","",K1226))</f>
        <v/>
      </c>
      <c r="L1227">
        <f>IF(A1227="","",IF(ISNUMBER(--LEFT(A1227,FIND(" - ",A1227&amp;" - ")-1)),LEFT(A1227,FIND(" - ",A1227&amp;" - ")-1),TRIM(A1227)))</f>
        <v/>
      </c>
      <c r="M1227">
        <f>IF(OR(K1227="",K1227=A1227,A1227=""),"",K1227&amp;"|"&amp;L1227)</f>
        <v/>
      </c>
      <c r="N1227">
        <f>IF(M1227="","",IF(ISNUMBER(B1227),B1227,IFERROR(_xlfn.NUMBERVALUE(B1227,".",","),0)))</f>
        <v/>
      </c>
      <c r="O1227">
        <f>IF(M1227="","",IF(ISNUMBER(C1227),C1227,IFERROR(_xlfn.NUMBERVALUE(C1227,".",","),0)))</f>
        <v/>
      </c>
    </row>
    <row r="1228">
      <c r="K1228">
        <f>IF(OR(LEFT(B1228,9)="DOANH THU",LEFT(B1228,8)="SỐ LƯỢNG"),A1228,IF(A1228="","",K1227))</f>
        <v/>
      </c>
      <c r="L1228">
        <f>IF(A1228="","",IF(ISNUMBER(--LEFT(A1228,FIND(" - ",A1228&amp;" - ")-1)),LEFT(A1228,FIND(" - ",A1228&amp;" - ")-1),TRIM(A1228)))</f>
        <v/>
      </c>
      <c r="M1228">
        <f>IF(OR(K1228="",K1228=A1228,A1228=""),"",K1228&amp;"|"&amp;L1228)</f>
        <v/>
      </c>
      <c r="N1228">
        <f>IF(M1228="","",IF(ISNUMBER(B1228),B1228,IFERROR(_xlfn.NUMBERVALUE(B1228,".",","),0)))</f>
        <v/>
      </c>
      <c r="O1228">
        <f>IF(M1228="","",IF(ISNUMBER(C1228),C1228,IFERROR(_xlfn.NUMBERVALUE(C1228,".",","),0)))</f>
        <v/>
      </c>
    </row>
    <row r="1229">
      <c r="K1229">
        <f>IF(OR(LEFT(B1229,9)="DOANH THU",LEFT(B1229,8)="SỐ LƯỢNG"),A1229,IF(A1229="","",K1228))</f>
        <v/>
      </c>
      <c r="L1229">
        <f>IF(A1229="","",IF(ISNUMBER(--LEFT(A1229,FIND(" - ",A1229&amp;" - ")-1)),LEFT(A1229,FIND(" - ",A1229&amp;" - ")-1),TRIM(A1229)))</f>
        <v/>
      </c>
      <c r="M1229">
        <f>IF(OR(K1229="",K1229=A1229,A1229=""),"",K1229&amp;"|"&amp;L1229)</f>
        <v/>
      </c>
      <c r="N1229">
        <f>IF(M1229="","",IF(ISNUMBER(B1229),B1229,IFERROR(_xlfn.NUMBERVALUE(B1229,".",","),0)))</f>
        <v/>
      </c>
      <c r="O1229">
        <f>IF(M1229="","",IF(ISNUMBER(C1229),C1229,IFERROR(_xlfn.NUMBERVALUE(C1229,".",","),0)))</f>
        <v/>
      </c>
    </row>
    <row r="1230">
      <c r="K1230">
        <f>IF(OR(LEFT(B1230,9)="DOANH THU",LEFT(B1230,8)="SỐ LƯỢNG"),A1230,IF(A1230="","",K1229))</f>
        <v/>
      </c>
      <c r="L1230">
        <f>IF(A1230="","",IF(ISNUMBER(--LEFT(A1230,FIND(" - ",A1230&amp;" - ")-1)),LEFT(A1230,FIND(" - ",A1230&amp;" - ")-1),TRIM(A1230)))</f>
        <v/>
      </c>
      <c r="M1230">
        <f>IF(OR(K1230="",K1230=A1230,A1230=""),"",K1230&amp;"|"&amp;L1230)</f>
        <v/>
      </c>
      <c r="N1230">
        <f>IF(M1230="","",IF(ISNUMBER(B1230),B1230,IFERROR(_xlfn.NUMBERVALUE(B1230,".",","),0)))</f>
        <v/>
      </c>
      <c r="O1230">
        <f>IF(M1230="","",IF(ISNUMBER(C1230),C1230,IFERROR(_xlfn.NUMBERVALUE(C1230,".",","),0)))</f>
        <v/>
      </c>
    </row>
    <row r="1231">
      <c r="K1231">
        <f>IF(OR(LEFT(B1231,9)="DOANH THU",LEFT(B1231,8)="SỐ LƯỢNG"),A1231,IF(A1231="","",K1230))</f>
        <v/>
      </c>
      <c r="L1231">
        <f>IF(A1231="","",IF(ISNUMBER(--LEFT(A1231,FIND(" - ",A1231&amp;" - ")-1)),LEFT(A1231,FIND(" - ",A1231&amp;" - ")-1),TRIM(A1231)))</f>
        <v/>
      </c>
      <c r="M1231">
        <f>IF(OR(K1231="",K1231=A1231,A1231=""),"",K1231&amp;"|"&amp;L1231)</f>
        <v/>
      </c>
      <c r="N1231">
        <f>IF(M1231="","",IF(ISNUMBER(B1231),B1231,IFERROR(_xlfn.NUMBERVALUE(B1231,".",","),0)))</f>
        <v/>
      </c>
      <c r="O1231">
        <f>IF(M1231="","",IF(ISNUMBER(C1231),C1231,IFERROR(_xlfn.NUMBERVALUE(C1231,".",","),0)))</f>
        <v/>
      </c>
    </row>
    <row r="1232">
      <c r="K1232">
        <f>IF(OR(LEFT(B1232,9)="DOANH THU",LEFT(B1232,8)="SỐ LƯỢNG"),A1232,IF(A1232="","",K1231))</f>
        <v/>
      </c>
      <c r="L1232">
        <f>IF(A1232="","",IF(ISNUMBER(--LEFT(A1232,FIND(" - ",A1232&amp;" - ")-1)),LEFT(A1232,FIND(" - ",A1232&amp;" - ")-1),TRIM(A1232)))</f>
        <v/>
      </c>
      <c r="M1232">
        <f>IF(OR(K1232="",K1232=A1232,A1232=""),"",K1232&amp;"|"&amp;L1232)</f>
        <v/>
      </c>
      <c r="N1232">
        <f>IF(M1232="","",IF(ISNUMBER(B1232),B1232,IFERROR(_xlfn.NUMBERVALUE(B1232,".",","),0)))</f>
        <v/>
      </c>
      <c r="O1232">
        <f>IF(M1232="","",IF(ISNUMBER(C1232),C1232,IFERROR(_xlfn.NUMBERVALUE(C1232,".",","),0)))</f>
        <v/>
      </c>
    </row>
    <row r="1233">
      <c r="K1233">
        <f>IF(OR(LEFT(B1233,9)="DOANH THU",LEFT(B1233,8)="SỐ LƯỢNG"),A1233,IF(A1233="","",K1232))</f>
        <v/>
      </c>
      <c r="L1233">
        <f>IF(A1233="","",IF(ISNUMBER(--LEFT(A1233,FIND(" - ",A1233&amp;" - ")-1)),LEFT(A1233,FIND(" - ",A1233&amp;" - ")-1),TRIM(A1233)))</f>
        <v/>
      </c>
      <c r="M1233">
        <f>IF(OR(K1233="",K1233=A1233,A1233=""),"",K1233&amp;"|"&amp;L1233)</f>
        <v/>
      </c>
      <c r="N1233">
        <f>IF(M1233="","",IF(ISNUMBER(B1233),B1233,IFERROR(_xlfn.NUMBERVALUE(B1233,".",","),0)))</f>
        <v/>
      </c>
      <c r="O1233">
        <f>IF(M1233="","",IF(ISNUMBER(C1233),C1233,IFERROR(_xlfn.NUMBERVALUE(C1233,".",","),0)))</f>
        <v/>
      </c>
    </row>
    <row r="1234">
      <c r="K1234">
        <f>IF(OR(LEFT(B1234,9)="DOANH THU",LEFT(B1234,8)="SỐ LƯỢNG"),A1234,IF(A1234="","",K1233))</f>
        <v/>
      </c>
      <c r="L1234">
        <f>IF(A1234="","",IF(ISNUMBER(--LEFT(A1234,FIND(" - ",A1234&amp;" - ")-1)),LEFT(A1234,FIND(" - ",A1234&amp;" - ")-1),TRIM(A1234)))</f>
        <v/>
      </c>
      <c r="M1234">
        <f>IF(OR(K1234="",K1234=A1234,A1234=""),"",K1234&amp;"|"&amp;L1234)</f>
        <v/>
      </c>
      <c r="N1234">
        <f>IF(M1234="","",IF(ISNUMBER(B1234),B1234,IFERROR(_xlfn.NUMBERVALUE(B1234,".",","),0)))</f>
        <v/>
      </c>
      <c r="O1234">
        <f>IF(M1234="","",IF(ISNUMBER(C1234),C1234,IFERROR(_xlfn.NUMBERVALUE(C1234,".",","),0)))</f>
        <v/>
      </c>
    </row>
    <row r="1235">
      <c r="K1235">
        <f>IF(OR(LEFT(B1235,9)="DOANH THU",LEFT(B1235,8)="SỐ LƯỢNG"),A1235,IF(A1235="","",K1234))</f>
        <v/>
      </c>
      <c r="L1235">
        <f>IF(A1235="","",IF(ISNUMBER(--LEFT(A1235,FIND(" - ",A1235&amp;" - ")-1)),LEFT(A1235,FIND(" - ",A1235&amp;" - ")-1),TRIM(A1235)))</f>
        <v/>
      </c>
      <c r="M1235">
        <f>IF(OR(K1235="",K1235=A1235,A1235=""),"",K1235&amp;"|"&amp;L1235)</f>
        <v/>
      </c>
      <c r="N1235">
        <f>IF(M1235="","",IF(ISNUMBER(B1235),B1235,IFERROR(_xlfn.NUMBERVALUE(B1235,".",","),0)))</f>
        <v/>
      </c>
      <c r="O1235">
        <f>IF(M1235="","",IF(ISNUMBER(C1235),C1235,IFERROR(_xlfn.NUMBERVALUE(C1235,".",","),0)))</f>
        <v/>
      </c>
    </row>
    <row r="1236">
      <c r="K1236">
        <f>IF(OR(LEFT(B1236,9)="DOANH THU",LEFT(B1236,8)="SỐ LƯỢNG"),A1236,IF(A1236="","",K1235))</f>
        <v/>
      </c>
      <c r="L1236">
        <f>IF(A1236="","",IF(ISNUMBER(--LEFT(A1236,FIND(" - ",A1236&amp;" - ")-1)),LEFT(A1236,FIND(" - ",A1236&amp;" - ")-1),TRIM(A1236)))</f>
        <v/>
      </c>
      <c r="M1236">
        <f>IF(OR(K1236="",K1236=A1236,A1236=""),"",K1236&amp;"|"&amp;L1236)</f>
        <v/>
      </c>
      <c r="N1236">
        <f>IF(M1236="","",IF(ISNUMBER(B1236),B1236,IFERROR(_xlfn.NUMBERVALUE(B1236,".",","),0)))</f>
        <v/>
      </c>
      <c r="O1236">
        <f>IF(M1236="","",IF(ISNUMBER(C1236),C1236,IFERROR(_xlfn.NUMBERVALUE(C1236,".",","),0)))</f>
        <v/>
      </c>
    </row>
    <row r="1237">
      <c r="K1237">
        <f>IF(OR(LEFT(B1237,9)="DOANH THU",LEFT(B1237,8)="SỐ LƯỢNG"),A1237,IF(A1237="","",K1236))</f>
        <v/>
      </c>
      <c r="L1237">
        <f>IF(A1237="","",IF(ISNUMBER(--LEFT(A1237,FIND(" - ",A1237&amp;" - ")-1)),LEFT(A1237,FIND(" - ",A1237&amp;" - ")-1),TRIM(A1237)))</f>
        <v/>
      </c>
      <c r="M1237">
        <f>IF(OR(K1237="",K1237=A1237,A1237=""),"",K1237&amp;"|"&amp;L1237)</f>
        <v/>
      </c>
      <c r="N1237">
        <f>IF(M1237="","",IF(ISNUMBER(B1237),B1237,IFERROR(_xlfn.NUMBERVALUE(B1237,".",","),0)))</f>
        <v/>
      </c>
      <c r="O1237">
        <f>IF(M1237="","",IF(ISNUMBER(C1237),C1237,IFERROR(_xlfn.NUMBERVALUE(C1237,".",","),0)))</f>
        <v/>
      </c>
    </row>
    <row r="1238">
      <c r="K1238">
        <f>IF(OR(LEFT(B1238,9)="DOANH THU",LEFT(B1238,8)="SỐ LƯỢNG"),A1238,IF(A1238="","",K1237))</f>
        <v/>
      </c>
      <c r="L1238">
        <f>IF(A1238="","",IF(ISNUMBER(--LEFT(A1238,FIND(" - ",A1238&amp;" - ")-1)),LEFT(A1238,FIND(" - ",A1238&amp;" - ")-1),TRIM(A1238)))</f>
        <v/>
      </c>
      <c r="M1238">
        <f>IF(OR(K1238="",K1238=A1238,A1238=""),"",K1238&amp;"|"&amp;L1238)</f>
        <v/>
      </c>
      <c r="N1238">
        <f>IF(M1238="","",IF(ISNUMBER(B1238),B1238,IFERROR(_xlfn.NUMBERVALUE(B1238,".",","),0)))</f>
        <v/>
      </c>
      <c r="O1238">
        <f>IF(M1238="","",IF(ISNUMBER(C1238),C1238,IFERROR(_xlfn.NUMBERVALUE(C1238,".",","),0)))</f>
        <v/>
      </c>
    </row>
    <row r="1239">
      <c r="K1239">
        <f>IF(OR(LEFT(B1239,9)="DOANH THU",LEFT(B1239,8)="SỐ LƯỢNG"),A1239,IF(A1239="","",K1238))</f>
        <v/>
      </c>
      <c r="L1239">
        <f>IF(A1239="","",IF(ISNUMBER(--LEFT(A1239,FIND(" - ",A1239&amp;" - ")-1)),LEFT(A1239,FIND(" - ",A1239&amp;" - ")-1),TRIM(A1239)))</f>
        <v/>
      </c>
      <c r="M1239">
        <f>IF(OR(K1239="",K1239=A1239,A1239=""),"",K1239&amp;"|"&amp;L1239)</f>
        <v/>
      </c>
      <c r="N1239">
        <f>IF(M1239="","",IF(ISNUMBER(B1239),B1239,IFERROR(_xlfn.NUMBERVALUE(B1239,".",","),0)))</f>
        <v/>
      </c>
      <c r="O1239">
        <f>IF(M1239="","",IF(ISNUMBER(C1239),C1239,IFERROR(_xlfn.NUMBERVALUE(C1239,".",","),0)))</f>
        <v/>
      </c>
    </row>
    <row r="1240">
      <c r="K1240">
        <f>IF(OR(LEFT(B1240,9)="DOANH THU",LEFT(B1240,8)="SỐ LƯỢNG"),A1240,IF(A1240="","",K1239))</f>
        <v/>
      </c>
      <c r="L1240">
        <f>IF(A1240="","",IF(ISNUMBER(--LEFT(A1240,FIND(" - ",A1240&amp;" - ")-1)),LEFT(A1240,FIND(" - ",A1240&amp;" - ")-1),TRIM(A1240)))</f>
        <v/>
      </c>
      <c r="M1240">
        <f>IF(OR(K1240="",K1240=A1240,A1240=""),"",K1240&amp;"|"&amp;L1240)</f>
        <v/>
      </c>
      <c r="N1240">
        <f>IF(M1240="","",IF(ISNUMBER(B1240),B1240,IFERROR(_xlfn.NUMBERVALUE(B1240,".",","),0)))</f>
        <v/>
      </c>
      <c r="O1240">
        <f>IF(M1240="","",IF(ISNUMBER(C1240),C1240,IFERROR(_xlfn.NUMBERVALUE(C1240,".",","),0)))</f>
        <v/>
      </c>
    </row>
    <row r="1241">
      <c r="K1241">
        <f>IF(OR(LEFT(B1241,9)="DOANH THU",LEFT(B1241,8)="SỐ LƯỢNG"),A1241,IF(A1241="","",K1240))</f>
        <v/>
      </c>
      <c r="L1241">
        <f>IF(A1241="","",IF(ISNUMBER(--LEFT(A1241,FIND(" - ",A1241&amp;" - ")-1)),LEFT(A1241,FIND(" - ",A1241&amp;" - ")-1),TRIM(A1241)))</f>
        <v/>
      </c>
      <c r="M1241">
        <f>IF(OR(K1241="",K1241=A1241,A1241=""),"",K1241&amp;"|"&amp;L1241)</f>
        <v/>
      </c>
      <c r="N1241">
        <f>IF(M1241="","",IF(ISNUMBER(B1241),B1241,IFERROR(_xlfn.NUMBERVALUE(B1241,".",","),0)))</f>
        <v/>
      </c>
      <c r="O1241">
        <f>IF(M1241="","",IF(ISNUMBER(C1241),C1241,IFERROR(_xlfn.NUMBERVALUE(C1241,".",","),0)))</f>
        <v/>
      </c>
    </row>
    <row r="1242">
      <c r="K1242">
        <f>IF(OR(LEFT(B1242,9)="DOANH THU",LEFT(B1242,8)="SỐ LƯỢNG"),A1242,IF(A1242="","",K1241))</f>
        <v/>
      </c>
      <c r="L1242">
        <f>IF(A1242="","",IF(ISNUMBER(--LEFT(A1242,FIND(" - ",A1242&amp;" - ")-1)),LEFT(A1242,FIND(" - ",A1242&amp;" - ")-1),TRIM(A1242)))</f>
        <v/>
      </c>
      <c r="M1242">
        <f>IF(OR(K1242="",K1242=A1242,A1242=""),"",K1242&amp;"|"&amp;L1242)</f>
        <v/>
      </c>
      <c r="N1242">
        <f>IF(M1242="","",IF(ISNUMBER(B1242),B1242,IFERROR(_xlfn.NUMBERVALUE(B1242,".",","),0)))</f>
        <v/>
      </c>
      <c r="O1242">
        <f>IF(M1242="","",IF(ISNUMBER(C1242),C1242,IFERROR(_xlfn.NUMBERVALUE(C1242,".",","),0)))</f>
        <v/>
      </c>
    </row>
    <row r="1243">
      <c r="K1243">
        <f>IF(OR(LEFT(B1243,9)="DOANH THU",LEFT(B1243,8)="SỐ LƯỢNG"),A1243,IF(A1243="","",K1242))</f>
        <v/>
      </c>
      <c r="L1243">
        <f>IF(A1243="","",IF(ISNUMBER(--LEFT(A1243,FIND(" - ",A1243&amp;" - ")-1)),LEFT(A1243,FIND(" - ",A1243&amp;" - ")-1),TRIM(A1243)))</f>
        <v/>
      </c>
      <c r="M1243">
        <f>IF(OR(K1243="",K1243=A1243,A1243=""),"",K1243&amp;"|"&amp;L1243)</f>
        <v/>
      </c>
      <c r="N1243">
        <f>IF(M1243="","",IF(ISNUMBER(B1243),B1243,IFERROR(_xlfn.NUMBERVALUE(B1243,".",","),0)))</f>
        <v/>
      </c>
      <c r="O1243">
        <f>IF(M1243="","",IF(ISNUMBER(C1243),C1243,IFERROR(_xlfn.NUMBERVALUE(C1243,".",","),0)))</f>
        <v/>
      </c>
    </row>
    <row r="1244">
      <c r="K1244">
        <f>IF(OR(LEFT(B1244,9)="DOANH THU",LEFT(B1244,8)="SỐ LƯỢNG"),A1244,IF(A1244="","",K1243))</f>
        <v/>
      </c>
      <c r="L1244">
        <f>IF(A1244="","",IF(ISNUMBER(--LEFT(A1244,FIND(" - ",A1244&amp;" - ")-1)),LEFT(A1244,FIND(" - ",A1244&amp;" - ")-1),TRIM(A1244)))</f>
        <v/>
      </c>
      <c r="M1244">
        <f>IF(OR(K1244="",K1244=A1244,A1244=""),"",K1244&amp;"|"&amp;L1244)</f>
        <v/>
      </c>
      <c r="N1244">
        <f>IF(M1244="","",IF(ISNUMBER(B1244),B1244,IFERROR(_xlfn.NUMBERVALUE(B1244,".",","),0)))</f>
        <v/>
      </c>
      <c r="O1244">
        <f>IF(M1244="","",IF(ISNUMBER(C1244),C1244,IFERROR(_xlfn.NUMBERVALUE(C1244,".",","),0)))</f>
        <v/>
      </c>
    </row>
    <row r="1245">
      <c r="K1245">
        <f>IF(OR(LEFT(B1245,9)="DOANH THU",LEFT(B1245,8)="SỐ LƯỢNG"),A1245,IF(A1245="","",K1244))</f>
        <v/>
      </c>
      <c r="L1245">
        <f>IF(A1245="","",IF(ISNUMBER(--LEFT(A1245,FIND(" - ",A1245&amp;" - ")-1)),LEFT(A1245,FIND(" - ",A1245&amp;" - ")-1),TRIM(A1245)))</f>
        <v/>
      </c>
      <c r="M1245">
        <f>IF(OR(K1245="",K1245=A1245,A1245=""),"",K1245&amp;"|"&amp;L1245)</f>
        <v/>
      </c>
      <c r="N1245">
        <f>IF(M1245="","",IF(ISNUMBER(B1245),B1245,IFERROR(_xlfn.NUMBERVALUE(B1245,".",","),0)))</f>
        <v/>
      </c>
      <c r="O1245">
        <f>IF(M1245="","",IF(ISNUMBER(C1245),C1245,IFERROR(_xlfn.NUMBERVALUE(C1245,".",","),0)))</f>
        <v/>
      </c>
    </row>
    <row r="1246">
      <c r="K1246">
        <f>IF(OR(LEFT(B1246,9)="DOANH THU",LEFT(B1246,8)="SỐ LƯỢNG"),A1246,IF(A1246="","",K1245))</f>
        <v/>
      </c>
      <c r="L1246">
        <f>IF(A1246="","",IF(ISNUMBER(--LEFT(A1246,FIND(" - ",A1246&amp;" - ")-1)),LEFT(A1246,FIND(" - ",A1246&amp;" - ")-1),TRIM(A1246)))</f>
        <v/>
      </c>
      <c r="M1246">
        <f>IF(OR(K1246="",K1246=A1246,A1246=""),"",K1246&amp;"|"&amp;L1246)</f>
        <v/>
      </c>
      <c r="N1246">
        <f>IF(M1246="","",IF(ISNUMBER(B1246),B1246,IFERROR(_xlfn.NUMBERVALUE(B1246,".",","),0)))</f>
        <v/>
      </c>
      <c r="O1246">
        <f>IF(M1246="","",IF(ISNUMBER(C1246),C1246,IFERROR(_xlfn.NUMBERVALUE(C1246,".",","),0)))</f>
        <v/>
      </c>
    </row>
    <row r="1247">
      <c r="K1247">
        <f>IF(OR(LEFT(B1247,9)="DOANH THU",LEFT(B1247,8)="SỐ LƯỢNG"),A1247,IF(A1247="","",K1246))</f>
        <v/>
      </c>
      <c r="L1247">
        <f>IF(A1247="","",IF(ISNUMBER(--LEFT(A1247,FIND(" - ",A1247&amp;" - ")-1)),LEFT(A1247,FIND(" - ",A1247&amp;" - ")-1),TRIM(A1247)))</f>
        <v/>
      </c>
      <c r="M1247">
        <f>IF(OR(K1247="",K1247=A1247,A1247=""),"",K1247&amp;"|"&amp;L1247)</f>
        <v/>
      </c>
      <c r="N1247">
        <f>IF(M1247="","",IF(ISNUMBER(B1247),B1247,IFERROR(_xlfn.NUMBERVALUE(B1247,".",","),0)))</f>
        <v/>
      </c>
      <c r="O1247">
        <f>IF(M1247="","",IF(ISNUMBER(C1247),C1247,IFERROR(_xlfn.NUMBERVALUE(C1247,".",","),0)))</f>
        <v/>
      </c>
    </row>
    <row r="1248">
      <c r="K1248">
        <f>IF(OR(LEFT(B1248,9)="DOANH THU",LEFT(B1248,8)="SỐ LƯỢNG"),A1248,IF(A1248="","",K1247))</f>
        <v/>
      </c>
      <c r="L1248">
        <f>IF(A1248="","",IF(ISNUMBER(--LEFT(A1248,FIND(" - ",A1248&amp;" - ")-1)),LEFT(A1248,FIND(" - ",A1248&amp;" - ")-1),TRIM(A1248)))</f>
        <v/>
      </c>
      <c r="M1248">
        <f>IF(OR(K1248="",K1248=A1248,A1248=""),"",K1248&amp;"|"&amp;L1248)</f>
        <v/>
      </c>
      <c r="N1248">
        <f>IF(M1248="","",IF(ISNUMBER(B1248),B1248,IFERROR(_xlfn.NUMBERVALUE(B1248,".",","),0)))</f>
        <v/>
      </c>
      <c r="O1248">
        <f>IF(M1248="","",IF(ISNUMBER(C1248),C1248,IFERROR(_xlfn.NUMBERVALUE(C1248,".",","),0)))</f>
        <v/>
      </c>
    </row>
    <row r="1249">
      <c r="K1249">
        <f>IF(OR(LEFT(B1249,9)="DOANH THU",LEFT(B1249,8)="SỐ LƯỢNG"),A1249,IF(A1249="","",K1248))</f>
        <v/>
      </c>
      <c r="L1249">
        <f>IF(A1249="","",IF(ISNUMBER(--LEFT(A1249,FIND(" - ",A1249&amp;" - ")-1)),LEFT(A1249,FIND(" - ",A1249&amp;" - ")-1),TRIM(A1249)))</f>
        <v/>
      </c>
      <c r="M1249">
        <f>IF(OR(K1249="",K1249=A1249,A1249=""),"",K1249&amp;"|"&amp;L1249)</f>
        <v/>
      </c>
      <c r="N1249">
        <f>IF(M1249="","",IF(ISNUMBER(B1249),B1249,IFERROR(_xlfn.NUMBERVALUE(B1249,".",","),0)))</f>
        <v/>
      </c>
      <c r="O1249">
        <f>IF(M1249="","",IF(ISNUMBER(C1249),C1249,IFERROR(_xlfn.NUMBERVALUE(C1249,".",","),0)))</f>
        <v/>
      </c>
    </row>
    <row r="1250">
      <c r="K1250">
        <f>IF(OR(LEFT(B1250,9)="DOANH THU",LEFT(B1250,8)="SỐ LƯỢNG"),A1250,IF(A1250="","",K1249))</f>
        <v/>
      </c>
      <c r="L1250">
        <f>IF(A1250="","",IF(ISNUMBER(--LEFT(A1250,FIND(" - ",A1250&amp;" - ")-1)),LEFT(A1250,FIND(" - ",A1250&amp;" - ")-1),TRIM(A1250)))</f>
        <v/>
      </c>
      <c r="M1250">
        <f>IF(OR(K1250="",K1250=A1250,A1250=""),"",K1250&amp;"|"&amp;L1250)</f>
        <v/>
      </c>
      <c r="N1250">
        <f>IF(M1250="","",IF(ISNUMBER(B1250),B1250,IFERROR(_xlfn.NUMBERVALUE(B1250,".",","),0)))</f>
        <v/>
      </c>
      <c r="O1250">
        <f>IF(M1250="","",IF(ISNUMBER(C1250),C1250,IFERROR(_xlfn.NUMBERVALUE(C1250,".",","),0)))</f>
        <v/>
      </c>
    </row>
    <row r="1251">
      <c r="K1251">
        <f>IF(OR(LEFT(B1251,9)="DOANH THU",LEFT(B1251,8)="SỐ LƯỢNG"),A1251,IF(A1251="","",K1250))</f>
        <v/>
      </c>
      <c r="L1251">
        <f>IF(A1251="","",IF(ISNUMBER(--LEFT(A1251,FIND(" - ",A1251&amp;" - ")-1)),LEFT(A1251,FIND(" - ",A1251&amp;" - ")-1),TRIM(A1251)))</f>
        <v/>
      </c>
      <c r="M1251">
        <f>IF(OR(K1251="",K1251=A1251,A1251=""),"",K1251&amp;"|"&amp;L1251)</f>
        <v/>
      </c>
      <c r="N1251">
        <f>IF(M1251="","",IF(ISNUMBER(B1251),B1251,IFERROR(_xlfn.NUMBERVALUE(B1251,".",","),0)))</f>
        <v/>
      </c>
      <c r="O1251">
        <f>IF(M1251="","",IF(ISNUMBER(C1251),C1251,IFERROR(_xlfn.NUMBERVALUE(C1251,".",","),0)))</f>
        <v/>
      </c>
    </row>
    <row r="1252">
      <c r="K1252">
        <f>IF(OR(LEFT(B1252,9)="DOANH THU",LEFT(B1252,8)="SỐ LƯỢNG"),A1252,IF(A1252="","",K1251))</f>
        <v/>
      </c>
      <c r="L1252">
        <f>IF(A1252="","",IF(ISNUMBER(--LEFT(A1252,FIND(" - ",A1252&amp;" - ")-1)),LEFT(A1252,FIND(" - ",A1252&amp;" - ")-1),TRIM(A1252)))</f>
        <v/>
      </c>
      <c r="M1252">
        <f>IF(OR(K1252="",K1252=A1252,A1252=""),"",K1252&amp;"|"&amp;L1252)</f>
        <v/>
      </c>
      <c r="N1252">
        <f>IF(M1252="","",IF(ISNUMBER(B1252),B1252,IFERROR(_xlfn.NUMBERVALUE(B1252,".",","),0)))</f>
        <v/>
      </c>
      <c r="O1252">
        <f>IF(M1252="","",IF(ISNUMBER(C1252),C1252,IFERROR(_xlfn.NUMBERVALUE(C1252,".",","),0)))</f>
        <v/>
      </c>
    </row>
    <row r="1253">
      <c r="K1253">
        <f>IF(OR(LEFT(B1253,9)="DOANH THU",LEFT(B1253,8)="SỐ LƯỢNG"),A1253,IF(A1253="","",K1252))</f>
        <v/>
      </c>
      <c r="L1253">
        <f>IF(A1253="","",IF(ISNUMBER(--LEFT(A1253,FIND(" - ",A1253&amp;" - ")-1)),LEFT(A1253,FIND(" - ",A1253&amp;" - ")-1),TRIM(A1253)))</f>
        <v/>
      </c>
      <c r="M1253">
        <f>IF(OR(K1253="",K1253=A1253,A1253=""),"",K1253&amp;"|"&amp;L1253)</f>
        <v/>
      </c>
      <c r="N1253">
        <f>IF(M1253="","",IF(ISNUMBER(B1253),B1253,IFERROR(_xlfn.NUMBERVALUE(B1253,".",","),0)))</f>
        <v/>
      </c>
      <c r="O1253">
        <f>IF(M1253="","",IF(ISNUMBER(C1253),C1253,IFERROR(_xlfn.NUMBERVALUE(C1253,".",","),0)))</f>
        <v/>
      </c>
    </row>
    <row r="1254">
      <c r="K1254">
        <f>IF(OR(LEFT(B1254,9)="DOANH THU",LEFT(B1254,8)="SỐ LƯỢNG"),A1254,IF(A1254="","",K1253))</f>
        <v/>
      </c>
      <c r="L1254">
        <f>IF(A1254="","",IF(ISNUMBER(--LEFT(A1254,FIND(" - ",A1254&amp;" - ")-1)),LEFT(A1254,FIND(" - ",A1254&amp;" - ")-1),TRIM(A1254)))</f>
        <v/>
      </c>
      <c r="M1254">
        <f>IF(OR(K1254="",K1254=A1254,A1254=""),"",K1254&amp;"|"&amp;L1254)</f>
        <v/>
      </c>
      <c r="N1254">
        <f>IF(M1254="","",IF(ISNUMBER(B1254),B1254,IFERROR(_xlfn.NUMBERVALUE(B1254,".",","),0)))</f>
        <v/>
      </c>
      <c r="O1254">
        <f>IF(M1254="","",IF(ISNUMBER(C1254),C1254,IFERROR(_xlfn.NUMBERVALUE(C1254,".",","),0)))</f>
        <v/>
      </c>
    </row>
    <row r="1255">
      <c r="K1255">
        <f>IF(OR(LEFT(B1255,9)="DOANH THU",LEFT(B1255,8)="SỐ LƯỢNG"),A1255,IF(A1255="","",K1254))</f>
        <v/>
      </c>
      <c r="L1255">
        <f>IF(A1255="","",IF(ISNUMBER(--LEFT(A1255,FIND(" - ",A1255&amp;" - ")-1)),LEFT(A1255,FIND(" - ",A1255&amp;" - ")-1),TRIM(A1255)))</f>
        <v/>
      </c>
      <c r="M1255">
        <f>IF(OR(K1255="",K1255=A1255,A1255=""),"",K1255&amp;"|"&amp;L1255)</f>
        <v/>
      </c>
      <c r="N1255">
        <f>IF(M1255="","",IF(ISNUMBER(B1255),B1255,IFERROR(_xlfn.NUMBERVALUE(B1255,".",","),0)))</f>
        <v/>
      </c>
      <c r="O1255">
        <f>IF(M1255="","",IF(ISNUMBER(C1255),C1255,IFERROR(_xlfn.NUMBERVALUE(C1255,".",","),0)))</f>
        <v/>
      </c>
    </row>
    <row r="1256">
      <c r="K1256">
        <f>IF(OR(LEFT(B1256,9)="DOANH THU",LEFT(B1256,8)="SỐ LƯỢNG"),A1256,IF(A1256="","",K1255))</f>
        <v/>
      </c>
      <c r="L1256">
        <f>IF(A1256="","",IF(ISNUMBER(--LEFT(A1256,FIND(" - ",A1256&amp;" - ")-1)),LEFT(A1256,FIND(" - ",A1256&amp;" - ")-1),TRIM(A1256)))</f>
        <v/>
      </c>
      <c r="M1256">
        <f>IF(OR(K1256="",K1256=A1256,A1256=""),"",K1256&amp;"|"&amp;L1256)</f>
        <v/>
      </c>
      <c r="N1256">
        <f>IF(M1256="","",IF(ISNUMBER(B1256),B1256,IFERROR(_xlfn.NUMBERVALUE(B1256,".",","),0)))</f>
        <v/>
      </c>
      <c r="O1256">
        <f>IF(M1256="","",IF(ISNUMBER(C1256),C1256,IFERROR(_xlfn.NUMBERVALUE(C1256,".",","),0)))</f>
        <v/>
      </c>
    </row>
    <row r="1257">
      <c r="K1257">
        <f>IF(OR(LEFT(B1257,9)="DOANH THU",LEFT(B1257,8)="SỐ LƯỢNG"),A1257,IF(A1257="","",K1256))</f>
        <v/>
      </c>
      <c r="L1257">
        <f>IF(A1257="","",IF(ISNUMBER(--LEFT(A1257,FIND(" - ",A1257&amp;" - ")-1)),LEFT(A1257,FIND(" - ",A1257&amp;" - ")-1),TRIM(A1257)))</f>
        <v/>
      </c>
      <c r="M1257">
        <f>IF(OR(K1257="",K1257=A1257,A1257=""),"",K1257&amp;"|"&amp;L1257)</f>
        <v/>
      </c>
      <c r="N1257">
        <f>IF(M1257="","",IF(ISNUMBER(B1257),B1257,IFERROR(_xlfn.NUMBERVALUE(B1257,".",","),0)))</f>
        <v/>
      </c>
      <c r="O1257">
        <f>IF(M1257="","",IF(ISNUMBER(C1257),C1257,IFERROR(_xlfn.NUMBERVALUE(C1257,".",","),0)))</f>
        <v/>
      </c>
    </row>
    <row r="1258">
      <c r="K1258">
        <f>IF(OR(LEFT(B1258,9)="DOANH THU",LEFT(B1258,8)="SỐ LƯỢNG"),A1258,IF(A1258="","",K1257))</f>
        <v/>
      </c>
      <c r="L1258">
        <f>IF(A1258="","",IF(ISNUMBER(--LEFT(A1258,FIND(" - ",A1258&amp;" - ")-1)),LEFT(A1258,FIND(" - ",A1258&amp;" - ")-1),TRIM(A1258)))</f>
        <v/>
      </c>
      <c r="M1258">
        <f>IF(OR(K1258="",K1258=A1258,A1258=""),"",K1258&amp;"|"&amp;L1258)</f>
        <v/>
      </c>
      <c r="N1258">
        <f>IF(M1258="","",IF(ISNUMBER(B1258),B1258,IFERROR(_xlfn.NUMBERVALUE(B1258,".",","),0)))</f>
        <v/>
      </c>
      <c r="O1258">
        <f>IF(M1258="","",IF(ISNUMBER(C1258),C1258,IFERROR(_xlfn.NUMBERVALUE(C1258,".",","),0)))</f>
        <v/>
      </c>
    </row>
    <row r="1259">
      <c r="K1259">
        <f>IF(OR(LEFT(B1259,9)="DOANH THU",LEFT(B1259,8)="SỐ LƯỢNG"),A1259,IF(A1259="","",K1258))</f>
        <v/>
      </c>
      <c r="L1259">
        <f>IF(A1259="","",IF(ISNUMBER(--LEFT(A1259,FIND(" - ",A1259&amp;" - ")-1)),LEFT(A1259,FIND(" - ",A1259&amp;" - ")-1),TRIM(A1259)))</f>
        <v/>
      </c>
      <c r="M1259">
        <f>IF(OR(K1259="",K1259=A1259,A1259=""),"",K1259&amp;"|"&amp;L1259)</f>
        <v/>
      </c>
      <c r="N1259">
        <f>IF(M1259="","",IF(ISNUMBER(B1259),B1259,IFERROR(_xlfn.NUMBERVALUE(B1259,".",","),0)))</f>
        <v/>
      </c>
      <c r="O1259">
        <f>IF(M1259="","",IF(ISNUMBER(C1259),C1259,IFERROR(_xlfn.NUMBERVALUE(C1259,".",","),0)))</f>
        <v/>
      </c>
    </row>
    <row r="1260">
      <c r="K1260">
        <f>IF(OR(LEFT(B1260,9)="DOANH THU",LEFT(B1260,8)="SỐ LƯỢNG"),A1260,IF(A1260="","",K1259))</f>
        <v/>
      </c>
      <c r="L1260">
        <f>IF(A1260="","",IF(ISNUMBER(--LEFT(A1260,FIND(" - ",A1260&amp;" - ")-1)),LEFT(A1260,FIND(" - ",A1260&amp;" - ")-1),TRIM(A1260)))</f>
        <v/>
      </c>
      <c r="M1260">
        <f>IF(OR(K1260="",K1260=A1260,A1260=""),"",K1260&amp;"|"&amp;L1260)</f>
        <v/>
      </c>
      <c r="N1260">
        <f>IF(M1260="","",IF(ISNUMBER(B1260),B1260,IFERROR(_xlfn.NUMBERVALUE(B1260,".",","),0)))</f>
        <v/>
      </c>
      <c r="O1260">
        <f>IF(M1260="","",IF(ISNUMBER(C1260),C1260,IFERROR(_xlfn.NUMBERVALUE(C1260,".",","),0)))</f>
        <v/>
      </c>
    </row>
    <row r="1261">
      <c r="K1261">
        <f>IF(OR(LEFT(B1261,9)="DOANH THU",LEFT(B1261,8)="SỐ LƯỢNG"),A1261,IF(A1261="","",K1260))</f>
        <v/>
      </c>
      <c r="L1261">
        <f>IF(A1261="","",IF(ISNUMBER(--LEFT(A1261,FIND(" - ",A1261&amp;" - ")-1)),LEFT(A1261,FIND(" - ",A1261&amp;" - ")-1),TRIM(A1261)))</f>
        <v/>
      </c>
      <c r="M1261">
        <f>IF(OR(K1261="",K1261=A1261,A1261=""),"",K1261&amp;"|"&amp;L1261)</f>
        <v/>
      </c>
      <c r="N1261">
        <f>IF(M1261="","",IF(ISNUMBER(B1261),B1261,IFERROR(_xlfn.NUMBERVALUE(B1261,".",","),0)))</f>
        <v/>
      </c>
      <c r="O1261">
        <f>IF(M1261="","",IF(ISNUMBER(C1261),C1261,IFERROR(_xlfn.NUMBERVALUE(C1261,".",","),0)))</f>
        <v/>
      </c>
    </row>
    <row r="1262">
      <c r="K1262">
        <f>IF(OR(LEFT(B1262,9)="DOANH THU",LEFT(B1262,8)="SỐ LƯỢNG"),A1262,IF(A1262="","",K1261))</f>
        <v/>
      </c>
      <c r="L1262">
        <f>IF(A1262="","",IF(ISNUMBER(--LEFT(A1262,FIND(" - ",A1262&amp;" - ")-1)),LEFT(A1262,FIND(" - ",A1262&amp;" - ")-1),TRIM(A1262)))</f>
        <v/>
      </c>
      <c r="M1262">
        <f>IF(OR(K1262="",K1262=A1262,A1262=""),"",K1262&amp;"|"&amp;L1262)</f>
        <v/>
      </c>
      <c r="N1262">
        <f>IF(M1262="","",IF(ISNUMBER(B1262),B1262,IFERROR(_xlfn.NUMBERVALUE(B1262,".",","),0)))</f>
        <v/>
      </c>
      <c r="O1262">
        <f>IF(M1262="","",IF(ISNUMBER(C1262),C1262,IFERROR(_xlfn.NUMBERVALUE(C1262,".",","),0)))</f>
        <v/>
      </c>
    </row>
    <row r="1263">
      <c r="K1263">
        <f>IF(OR(LEFT(B1263,9)="DOANH THU",LEFT(B1263,8)="SỐ LƯỢNG"),A1263,IF(A1263="","",K1262))</f>
        <v/>
      </c>
      <c r="L1263">
        <f>IF(A1263="","",IF(ISNUMBER(--LEFT(A1263,FIND(" - ",A1263&amp;" - ")-1)),LEFT(A1263,FIND(" - ",A1263&amp;" - ")-1),TRIM(A1263)))</f>
        <v/>
      </c>
      <c r="M1263">
        <f>IF(OR(K1263="",K1263=A1263,A1263=""),"",K1263&amp;"|"&amp;L1263)</f>
        <v/>
      </c>
      <c r="N1263">
        <f>IF(M1263="","",IF(ISNUMBER(B1263),B1263,IFERROR(_xlfn.NUMBERVALUE(B1263,".",","),0)))</f>
        <v/>
      </c>
      <c r="O1263">
        <f>IF(M1263="","",IF(ISNUMBER(C1263),C1263,IFERROR(_xlfn.NUMBERVALUE(C1263,".",","),0)))</f>
        <v/>
      </c>
    </row>
    <row r="1264">
      <c r="K1264">
        <f>IF(OR(LEFT(B1264,9)="DOANH THU",LEFT(B1264,8)="SỐ LƯỢNG"),A1264,IF(A1264="","",K1263))</f>
        <v/>
      </c>
      <c r="L1264">
        <f>IF(A1264="","",IF(ISNUMBER(--LEFT(A1264,FIND(" - ",A1264&amp;" - ")-1)),LEFT(A1264,FIND(" - ",A1264&amp;" - ")-1),TRIM(A1264)))</f>
        <v/>
      </c>
      <c r="M1264">
        <f>IF(OR(K1264="",K1264=A1264,A1264=""),"",K1264&amp;"|"&amp;L1264)</f>
        <v/>
      </c>
      <c r="N1264">
        <f>IF(M1264="","",IF(ISNUMBER(B1264),B1264,IFERROR(_xlfn.NUMBERVALUE(B1264,".",","),0)))</f>
        <v/>
      </c>
      <c r="O1264">
        <f>IF(M1264="","",IF(ISNUMBER(C1264),C1264,IFERROR(_xlfn.NUMBERVALUE(C1264,".",","),0)))</f>
        <v/>
      </c>
    </row>
    <row r="1265">
      <c r="K1265">
        <f>IF(OR(LEFT(B1265,9)="DOANH THU",LEFT(B1265,8)="SỐ LƯỢNG"),A1265,IF(A1265="","",K1264))</f>
        <v/>
      </c>
      <c r="L1265">
        <f>IF(A1265="","",IF(ISNUMBER(--LEFT(A1265,FIND(" - ",A1265&amp;" - ")-1)),LEFT(A1265,FIND(" - ",A1265&amp;" - ")-1),TRIM(A1265)))</f>
        <v/>
      </c>
      <c r="M1265">
        <f>IF(OR(K1265="",K1265=A1265,A1265=""),"",K1265&amp;"|"&amp;L1265)</f>
        <v/>
      </c>
      <c r="N1265">
        <f>IF(M1265="","",IF(ISNUMBER(B1265),B1265,IFERROR(_xlfn.NUMBERVALUE(B1265,".",","),0)))</f>
        <v/>
      </c>
      <c r="O1265">
        <f>IF(M1265="","",IF(ISNUMBER(C1265),C1265,IFERROR(_xlfn.NUMBERVALUE(C1265,".",","),0)))</f>
        <v/>
      </c>
    </row>
    <row r="1266">
      <c r="K1266">
        <f>IF(OR(LEFT(B1266,9)="DOANH THU",LEFT(B1266,8)="SỐ LƯỢNG"),A1266,IF(A1266="","",K1265))</f>
        <v/>
      </c>
      <c r="L1266">
        <f>IF(A1266="","",IF(ISNUMBER(--LEFT(A1266,FIND(" - ",A1266&amp;" - ")-1)),LEFT(A1266,FIND(" - ",A1266&amp;" - ")-1),TRIM(A1266)))</f>
        <v/>
      </c>
      <c r="M1266">
        <f>IF(OR(K1266="",K1266=A1266,A1266=""),"",K1266&amp;"|"&amp;L1266)</f>
        <v/>
      </c>
      <c r="N1266">
        <f>IF(M1266="","",IF(ISNUMBER(B1266),B1266,IFERROR(_xlfn.NUMBERVALUE(B1266,".",","),0)))</f>
        <v/>
      </c>
      <c r="O1266">
        <f>IF(M1266="","",IF(ISNUMBER(C1266),C1266,IFERROR(_xlfn.NUMBERVALUE(C1266,".",","),0)))</f>
        <v/>
      </c>
    </row>
    <row r="1267">
      <c r="K1267">
        <f>IF(OR(LEFT(B1267,9)="DOANH THU",LEFT(B1267,8)="SỐ LƯỢNG"),A1267,IF(A1267="","",K1266))</f>
        <v/>
      </c>
      <c r="L1267">
        <f>IF(A1267="","",IF(ISNUMBER(--LEFT(A1267,FIND(" - ",A1267&amp;" - ")-1)),LEFT(A1267,FIND(" - ",A1267&amp;" - ")-1),TRIM(A1267)))</f>
        <v/>
      </c>
      <c r="M1267">
        <f>IF(OR(K1267="",K1267=A1267,A1267=""),"",K1267&amp;"|"&amp;L1267)</f>
        <v/>
      </c>
      <c r="N1267">
        <f>IF(M1267="","",IF(ISNUMBER(B1267),B1267,IFERROR(_xlfn.NUMBERVALUE(B1267,".",","),0)))</f>
        <v/>
      </c>
      <c r="O1267">
        <f>IF(M1267="","",IF(ISNUMBER(C1267),C1267,IFERROR(_xlfn.NUMBERVALUE(C1267,".",","),0)))</f>
        <v/>
      </c>
    </row>
    <row r="1268">
      <c r="K1268">
        <f>IF(OR(LEFT(B1268,9)="DOANH THU",LEFT(B1268,8)="SỐ LƯỢNG"),A1268,IF(A1268="","",K1267))</f>
        <v/>
      </c>
      <c r="L1268">
        <f>IF(A1268="","",IF(ISNUMBER(--LEFT(A1268,FIND(" - ",A1268&amp;" - ")-1)),LEFT(A1268,FIND(" - ",A1268&amp;" - ")-1),TRIM(A1268)))</f>
        <v/>
      </c>
      <c r="M1268">
        <f>IF(OR(K1268="",K1268=A1268,A1268=""),"",K1268&amp;"|"&amp;L1268)</f>
        <v/>
      </c>
      <c r="N1268">
        <f>IF(M1268="","",IF(ISNUMBER(B1268),B1268,IFERROR(_xlfn.NUMBERVALUE(B1268,".",","),0)))</f>
        <v/>
      </c>
      <c r="O1268">
        <f>IF(M1268="","",IF(ISNUMBER(C1268),C1268,IFERROR(_xlfn.NUMBERVALUE(C1268,".",","),0)))</f>
        <v/>
      </c>
    </row>
    <row r="1269">
      <c r="K1269">
        <f>IF(OR(LEFT(B1269,9)="DOANH THU",LEFT(B1269,8)="SỐ LƯỢNG"),A1269,IF(A1269="","",K1268))</f>
        <v/>
      </c>
      <c r="L1269">
        <f>IF(A1269="","",IF(ISNUMBER(--LEFT(A1269,FIND(" - ",A1269&amp;" - ")-1)),LEFT(A1269,FIND(" - ",A1269&amp;" - ")-1),TRIM(A1269)))</f>
        <v/>
      </c>
      <c r="M1269">
        <f>IF(OR(K1269="",K1269=A1269,A1269=""),"",K1269&amp;"|"&amp;L1269)</f>
        <v/>
      </c>
      <c r="N1269">
        <f>IF(M1269="","",IF(ISNUMBER(B1269),B1269,IFERROR(_xlfn.NUMBERVALUE(B1269,".",","),0)))</f>
        <v/>
      </c>
      <c r="O1269">
        <f>IF(M1269="","",IF(ISNUMBER(C1269),C1269,IFERROR(_xlfn.NUMBERVALUE(C1269,".",","),0)))</f>
        <v/>
      </c>
    </row>
    <row r="1270">
      <c r="K1270">
        <f>IF(OR(LEFT(B1270,9)="DOANH THU",LEFT(B1270,8)="SỐ LƯỢNG"),A1270,IF(A1270="","",K1269))</f>
        <v/>
      </c>
      <c r="L1270">
        <f>IF(A1270="","",IF(ISNUMBER(--LEFT(A1270,FIND(" - ",A1270&amp;" - ")-1)),LEFT(A1270,FIND(" - ",A1270&amp;" - ")-1),TRIM(A1270)))</f>
        <v/>
      </c>
      <c r="M1270">
        <f>IF(OR(K1270="",K1270=A1270,A1270=""),"",K1270&amp;"|"&amp;L1270)</f>
        <v/>
      </c>
      <c r="N1270">
        <f>IF(M1270="","",IF(ISNUMBER(B1270),B1270,IFERROR(_xlfn.NUMBERVALUE(B1270,".",","),0)))</f>
        <v/>
      </c>
      <c r="O1270">
        <f>IF(M1270="","",IF(ISNUMBER(C1270),C1270,IFERROR(_xlfn.NUMBERVALUE(C1270,".",","),0)))</f>
        <v/>
      </c>
    </row>
    <row r="1271">
      <c r="K1271">
        <f>IF(OR(LEFT(B1271,9)="DOANH THU",LEFT(B1271,8)="SỐ LƯỢNG"),A1271,IF(A1271="","",K1270))</f>
        <v/>
      </c>
      <c r="L1271">
        <f>IF(A1271="","",IF(ISNUMBER(--LEFT(A1271,FIND(" - ",A1271&amp;" - ")-1)),LEFT(A1271,FIND(" - ",A1271&amp;" - ")-1),TRIM(A1271)))</f>
        <v/>
      </c>
      <c r="M1271">
        <f>IF(OR(K1271="",K1271=A1271,A1271=""),"",K1271&amp;"|"&amp;L1271)</f>
        <v/>
      </c>
      <c r="N1271">
        <f>IF(M1271="","",IF(ISNUMBER(B1271),B1271,IFERROR(_xlfn.NUMBERVALUE(B1271,".",","),0)))</f>
        <v/>
      </c>
      <c r="O1271">
        <f>IF(M1271="","",IF(ISNUMBER(C1271),C1271,IFERROR(_xlfn.NUMBERVALUE(C1271,".",","),0)))</f>
        <v/>
      </c>
    </row>
    <row r="1272">
      <c r="K1272">
        <f>IF(OR(LEFT(B1272,9)="DOANH THU",LEFT(B1272,8)="SỐ LƯỢNG"),A1272,IF(A1272="","",K1271))</f>
        <v/>
      </c>
      <c r="L1272">
        <f>IF(A1272="","",IF(ISNUMBER(--LEFT(A1272,FIND(" - ",A1272&amp;" - ")-1)),LEFT(A1272,FIND(" - ",A1272&amp;" - ")-1),TRIM(A1272)))</f>
        <v/>
      </c>
      <c r="M1272">
        <f>IF(OR(K1272="",K1272=A1272,A1272=""),"",K1272&amp;"|"&amp;L1272)</f>
        <v/>
      </c>
      <c r="N1272">
        <f>IF(M1272="","",IF(ISNUMBER(B1272),B1272,IFERROR(_xlfn.NUMBERVALUE(B1272,".",","),0)))</f>
        <v/>
      </c>
      <c r="O1272">
        <f>IF(M1272="","",IF(ISNUMBER(C1272),C1272,IFERROR(_xlfn.NUMBERVALUE(C1272,".",","),0)))</f>
        <v/>
      </c>
    </row>
    <row r="1273">
      <c r="K1273">
        <f>IF(OR(LEFT(B1273,9)="DOANH THU",LEFT(B1273,8)="SỐ LƯỢNG"),A1273,IF(A1273="","",K1272))</f>
        <v/>
      </c>
      <c r="L1273">
        <f>IF(A1273="","",IF(ISNUMBER(--LEFT(A1273,FIND(" - ",A1273&amp;" - ")-1)),LEFT(A1273,FIND(" - ",A1273&amp;" - ")-1),TRIM(A1273)))</f>
        <v/>
      </c>
      <c r="M1273">
        <f>IF(OR(K1273="",K1273=A1273,A1273=""),"",K1273&amp;"|"&amp;L1273)</f>
        <v/>
      </c>
      <c r="N1273">
        <f>IF(M1273="","",IF(ISNUMBER(B1273),B1273,IFERROR(_xlfn.NUMBERVALUE(B1273,".",","),0)))</f>
        <v/>
      </c>
      <c r="O1273">
        <f>IF(M1273="","",IF(ISNUMBER(C1273),C1273,IFERROR(_xlfn.NUMBERVALUE(C1273,".",","),0)))</f>
        <v/>
      </c>
    </row>
    <row r="1274">
      <c r="K1274">
        <f>IF(OR(LEFT(B1274,9)="DOANH THU",LEFT(B1274,8)="SỐ LƯỢNG"),A1274,IF(A1274="","",K1273))</f>
        <v/>
      </c>
      <c r="L1274">
        <f>IF(A1274="","",IF(ISNUMBER(--LEFT(A1274,FIND(" - ",A1274&amp;" - ")-1)),LEFT(A1274,FIND(" - ",A1274&amp;" - ")-1),TRIM(A1274)))</f>
        <v/>
      </c>
      <c r="M1274">
        <f>IF(OR(K1274="",K1274=A1274,A1274=""),"",K1274&amp;"|"&amp;L1274)</f>
        <v/>
      </c>
      <c r="N1274">
        <f>IF(M1274="","",IF(ISNUMBER(B1274),B1274,IFERROR(_xlfn.NUMBERVALUE(B1274,".",","),0)))</f>
        <v/>
      </c>
      <c r="O1274">
        <f>IF(M1274="","",IF(ISNUMBER(C1274),C1274,IFERROR(_xlfn.NUMBERVALUE(C1274,".",","),0)))</f>
        <v/>
      </c>
    </row>
    <row r="1275">
      <c r="K1275">
        <f>IF(OR(LEFT(B1275,9)="DOANH THU",LEFT(B1275,8)="SỐ LƯỢNG"),A1275,IF(A1275="","",K1274))</f>
        <v/>
      </c>
      <c r="L1275">
        <f>IF(A1275="","",IF(ISNUMBER(--LEFT(A1275,FIND(" - ",A1275&amp;" - ")-1)),LEFT(A1275,FIND(" - ",A1275&amp;" - ")-1),TRIM(A1275)))</f>
        <v/>
      </c>
      <c r="M1275">
        <f>IF(OR(K1275="",K1275=A1275,A1275=""),"",K1275&amp;"|"&amp;L1275)</f>
        <v/>
      </c>
      <c r="N1275">
        <f>IF(M1275="","",IF(ISNUMBER(B1275),B1275,IFERROR(_xlfn.NUMBERVALUE(B1275,".",","),0)))</f>
        <v/>
      </c>
      <c r="O1275">
        <f>IF(M1275="","",IF(ISNUMBER(C1275),C1275,IFERROR(_xlfn.NUMBERVALUE(C1275,".",","),0)))</f>
        <v/>
      </c>
    </row>
    <row r="1276">
      <c r="K1276">
        <f>IF(OR(LEFT(B1276,9)="DOANH THU",LEFT(B1276,8)="SỐ LƯỢNG"),A1276,IF(A1276="","",K1275))</f>
        <v/>
      </c>
      <c r="L1276">
        <f>IF(A1276="","",IF(ISNUMBER(--LEFT(A1276,FIND(" - ",A1276&amp;" - ")-1)),LEFT(A1276,FIND(" - ",A1276&amp;" - ")-1),TRIM(A1276)))</f>
        <v/>
      </c>
      <c r="M1276">
        <f>IF(OR(K1276="",K1276=A1276,A1276=""),"",K1276&amp;"|"&amp;L1276)</f>
        <v/>
      </c>
      <c r="N1276">
        <f>IF(M1276="","",IF(ISNUMBER(B1276),B1276,IFERROR(_xlfn.NUMBERVALUE(B1276,".",","),0)))</f>
        <v/>
      </c>
      <c r="O1276">
        <f>IF(M1276="","",IF(ISNUMBER(C1276),C1276,IFERROR(_xlfn.NUMBERVALUE(C1276,".",","),0)))</f>
        <v/>
      </c>
    </row>
    <row r="1277">
      <c r="K1277">
        <f>IF(OR(LEFT(B1277,9)="DOANH THU",LEFT(B1277,8)="SỐ LƯỢNG"),A1277,IF(A1277="","",K1276))</f>
        <v/>
      </c>
      <c r="L1277">
        <f>IF(A1277="","",IF(ISNUMBER(--LEFT(A1277,FIND(" - ",A1277&amp;" - ")-1)),LEFT(A1277,FIND(" - ",A1277&amp;" - ")-1),TRIM(A1277)))</f>
        <v/>
      </c>
      <c r="M1277">
        <f>IF(OR(K1277="",K1277=A1277,A1277=""),"",K1277&amp;"|"&amp;L1277)</f>
        <v/>
      </c>
      <c r="N1277">
        <f>IF(M1277="","",IF(ISNUMBER(B1277),B1277,IFERROR(_xlfn.NUMBERVALUE(B1277,".",","),0)))</f>
        <v/>
      </c>
      <c r="O1277">
        <f>IF(M1277="","",IF(ISNUMBER(C1277),C1277,IFERROR(_xlfn.NUMBERVALUE(C1277,".",","),0)))</f>
        <v/>
      </c>
    </row>
    <row r="1278">
      <c r="K1278">
        <f>IF(OR(LEFT(B1278,9)="DOANH THU",LEFT(B1278,8)="SỐ LƯỢNG"),A1278,IF(A1278="","",K1277))</f>
        <v/>
      </c>
      <c r="L1278">
        <f>IF(A1278="","",IF(ISNUMBER(--LEFT(A1278,FIND(" - ",A1278&amp;" - ")-1)),LEFT(A1278,FIND(" - ",A1278&amp;" - ")-1),TRIM(A1278)))</f>
        <v/>
      </c>
      <c r="M1278">
        <f>IF(OR(K1278="",K1278=A1278,A1278=""),"",K1278&amp;"|"&amp;L1278)</f>
        <v/>
      </c>
      <c r="N1278">
        <f>IF(M1278="","",IF(ISNUMBER(B1278),B1278,IFERROR(_xlfn.NUMBERVALUE(B1278,".",","),0)))</f>
        <v/>
      </c>
      <c r="O1278">
        <f>IF(M1278="","",IF(ISNUMBER(C1278),C1278,IFERROR(_xlfn.NUMBERVALUE(C1278,".",","),0)))</f>
        <v/>
      </c>
    </row>
    <row r="1279">
      <c r="K1279">
        <f>IF(OR(LEFT(B1279,9)="DOANH THU",LEFT(B1279,8)="SỐ LƯỢNG"),A1279,IF(A1279="","",K1278))</f>
        <v/>
      </c>
      <c r="L1279">
        <f>IF(A1279="","",IF(ISNUMBER(--LEFT(A1279,FIND(" - ",A1279&amp;" - ")-1)),LEFT(A1279,FIND(" - ",A1279&amp;" - ")-1),TRIM(A1279)))</f>
        <v/>
      </c>
      <c r="M1279">
        <f>IF(OR(K1279="",K1279=A1279,A1279=""),"",K1279&amp;"|"&amp;L1279)</f>
        <v/>
      </c>
      <c r="N1279">
        <f>IF(M1279="","",IF(ISNUMBER(B1279),B1279,IFERROR(_xlfn.NUMBERVALUE(B1279,".",","),0)))</f>
        <v/>
      </c>
      <c r="O1279">
        <f>IF(M1279="","",IF(ISNUMBER(C1279),C1279,IFERROR(_xlfn.NUMBERVALUE(C1279,".",","),0)))</f>
        <v/>
      </c>
    </row>
    <row r="1280">
      <c r="K1280">
        <f>IF(OR(LEFT(B1280,9)="DOANH THU",LEFT(B1280,8)="SỐ LƯỢNG"),A1280,IF(A1280="","",K1279))</f>
        <v/>
      </c>
      <c r="L1280">
        <f>IF(A1280="","",IF(ISNUMBER(--LEFT(A1280,FIND(" - ",A1280&amp;" - ")-1)),LEFT(A1280,FIND(" - ",A1280&amp;" - ")-1),TRIM(A1280)))</f>
        <v/>
      </c>
      <c r="M1280">
        <f>IF(OR(K1280="",K1280=A1280,A1280=""),"",K1280&amp;"|"&amp;L1280)</f>
        <v/>
      </c>
      <c r="N1280">
        <f>IF(M1280="","",IF(ISNUMBER(B1280),B1280,IFERROR(_xlfn.NUMBERVALUE(B1280,".",","),0)))</f>
        <v/>
      </c>
      <c r="O1280">
        <f>IF(M1280="","",IF(ISNUMBER(C1280),C1280,IFERROR(_xlfn.NUMBERVALUE(C1280,".",","),0)))</f>
        <v/>
      </c>
    </row>
    <row r="1281">
      <c r="K1281">
        <f>IF(OR(LEFT(B1281,9)="DOANH THU",LEFT(B1281,8)="SỐ LƯỢNG"),A1281,IF(A1281="","",K1280))</f>
        <v/>
      </c>
      <c r="L1281">
        <f>IF(A1281="","",IF(ISNUMBER(--LEFT(A1281,FIND(" - ",A1281&amp;" - ")-1)),LEFT(A1281,FIND(" - ",A1281&amp;" - ")-1),TRIM(A1281)))</f>
        <v/>
      </c>
      <c r="M1281">
        <f>IF(OR(K1281="",K1281=A1281,A1281=""),"",K1281&amp;"|"&amp;L1281)</f>
        <v/>
      </c>
      <c r="N1281">
        <f>IF(M1281="","",IF(ISNUMBER(B1281),B1281,IFERROR(_xlfn.NUMBERVALUE(B1281,".",","),0)))</f>
        <v/>
      </c>
      <c r="O1281">
        <f>IF(M1281="","",IF(ISNUMBER(C1281),C1281,IFERROR(_xlfn.NUMBERVALUE(C1281,".",","),0)))</f>
        <v/>
      </c>
    </row>
    <row r="1282">
      <c r="K1282">
        <f>IF(OR(LEFT(B1282,9)="DOANH THU",LEFT(B1282,8)="SỐ LƯỢNG"),A1282,IF(A1282="","",K1281))</f>
        <v/>
      </c>
      <c r="L1282">
        <f>IF(A1282="","",IF(ISNUMBER(--LEFT(A1282,FIND(" - ",A1282&amp;" - ")-1)),LEFT(A1282,FIND(" - ",A1282&amp;" - ")-1),TRIM(A1282)))</f>
        <v/>
      </c>
      <c r="M1282">
        <f>IF(OR(K1282="",K1282=A1282,A1282=""),"",K1282&amp;"|"&amp;L1282)</f>
        <v/>
      </c>
      <c r="N1282">
        <f>IF(M1282="","",IF(ISNUMBER(B1282),B1282,IFERROR(_xlfn.NUMBERVALUE(B1282,".",","),0)))</f>
        <v/>
      </c>
      <c r="O1282">
        <f>IF(M1282="","",IF(ISNUMBER(C1282),C1282,IFERROR(_xlfn.NUMBERVALUE(C1282,".",","),0)))</f>
        <v/>
      </c>
    </row>
    <row r="1283">
      <c r="K1283">
        <f>IF(OR(LEFT(B1283,9)="DOANH THU",LEFT(B1283,8)="SỐ LƯỢNG"),A1283,IF(A1283="","",K1282))</f>
        <v/>
      </c>
      <c r="L1283">
        <f>IF(A1283="","",IF(ISNUMBER(--LEFT(A1283,FIND(" - ",A1283&amp;" - ")-1)),LEFT(A1283,FIND(" - ",A1283&amp;" - ")-1),TRIM(A1283)))</f>
        <v/>
      </c>
      <c r="M1283">
        <f>IF(OR(K1283="",K1283=A1283,A1283=""),"",K1283&amp;"|"&amp;L1283)</f>
        <v/>
      </c>
      <c r="N1283">
        <f>IF(M1283="","",IF(ISNUMBER(B1283),B1283,IFERROR(_xlfn.NUMBERVALUE(B1283,".",","),0)))</f>
        <v/>
      </c>
      <c r="O1283">
        <f>IF(M1283="","",IF(ISNUMBER(C1283),C1283,IFERROR(_xlfn.NUMBERVALUE(C1283,".",","),0)))</f>
        <v/>
      </c>
    </row>
    <row r="1284">
      <c r="K1284">
        <f>IF(OR(LEFT(B1284,9)="DOANH THU",LEFT(B1284,8)="SỐ LƯỢNG"),A1284,IF(A1284="","",K1283))</f>
        <v/>
      </c>
      <c r="L1284">
        <f>IF(A1284="","",IF(ISNUMBER(--LEFT(A1284,FIND(" - ",A1284&amp;" - ")-1)),LEFT(A1284,FIND(" - ",A1284&amp;" - ")-1),TRIM(A1284)))</f>
        <v/>
      </c>
      <c r="M1284">
        <f>IF(OR(K1284="",K1284=A1284,A1284=""),"",K1284&amp;"|"&amp;L1284)</f>
        <v/>
      </c>
      <c r="N1284">
        <f>IF(M1284="","",IF(ISNUMBER(B1284),B1284,IFERROR(_xlfn.NUMBERVALUE(B1284,".",","),0)))</f>
        <v/>
      </c>
      <c r="O1284">
        <f>IF(M1284="","",IF(ISNUMBER(C1284),C1284,IFERROR(_xlfn.NUMBERVALUE(C1284,".",","),0)))</f>
        <v/>
      </c>
    </row>
    <row r="1285">
      <c r="K1285">
        <f>IF(OR(LEFT(B1285,9)="DOANH THU",LEFT(B1285,8)="SỐ LƯỢNG"),A1285,IF(A1285="","",K1284))</f>
        <v/>
      </c>
      <c r="L1285">
        <f>IF(A1285="","",IF(ISNUMBER(--LEFT(A1285,FIND(" - ",A1285&amp;" - ")-1)),LEFT(A1285,FIND(" - ",A1285&amp;" - ")-1),TRIM(A1285)))</f>
        <v/>
      </c>
      <c r="M1285">
        <f>IF(OR(K1285="",K1285=A1285,A1285=""),"",K1285&amp;"|"&amp;L1285)</f>
        <v/>
      </c>
      <c r="N1285">
        <f>IF(M1285="","",IF(ISNUMBER(B1285),B1285,IFERROR(_xlfn.NUMBERVALUE(B1285,".",","),0)))</f>
        <v/>
      </c>
      <c r="O1285">
        <f>IF(M1285="","",IF(ISNUMBER(C1285),C1285,IFERROR(_xlfn.NUMBERVALUE(C1285,".",","),0)))</f>
        <v/>
      </c>
    </row>
    <row r="1286">
      <c r="K1286">
        <f>IF(OR(LEFT(B1286,9)="DOANH THU",LEFT(B1286,8)="SỐ LƯỢNG"),A1286,IF(A1286="","",K1285))</f>
        <v/>
      </c>
      <c r="L1286">
        <f>IF(A1286="","",IF(ISNUMBER(--LEFT(A1286,FIND(" - ",A1286&amp;" - ")-1)),LEFT(A1286,FIND(" - ",A1286&amp;" - ")-1),TRIM(A1286)))</f>
        <v/>
      </c>
      <c r="M1286">
        <f>IF(OR(K1286="",K1286=A1286,A1286=""),"",K1286&amp;"|"&amp;L1286)</f>
        <v/>
      </c>
      <c r="N1286">
        <f>IF(M1286="","",IF(ISNUMBER(B1286),B1286,IFERROR(_xlfn.NUMBERVALUE(B1286,".",","),0)))</f>
        <v/>
      </c>
      <c r="O1286">
        <f>IF(M1286="","",IF(ISNUMBER(C1286),C1286,IFERROR(_xlfn.NUMBERVALUE(C1286,".",","),0)))</f>
        <v/>
      </c>
    </row>
    <row r="1287">
      <c r="K1287">
        <f>IF(OR(LEFT(B1287,9)="DOANH THU",LEFT(B1287,8)="SỐ LƯỢNG"),A1287,IF(A1287="","",K1286))</f>
        <v/>
      </c>
      <c r="L1287">
        <f>IF(A1287="","",IF(ISNUMBER(--LEFT(A1287,FIND(" - ",A1287&amp;" - ")-1)),LEFT(A1287,FIND(" - ",A1287&amp;" - ")-1),TRIM(A1287)))</f>
        <v/>
      </c>
      <c r="M1287">
        <f>IF(OR(K1287="",K1287=A1287,A1287=""),"",K1287&amp;"|"&amp;L1287)</f>
        <v/>
      </c>
      <c r="N1287">
        <f>IF(M1287="","",IF(ISNUMBER(B1287),B1287,IFERROR(_xlfn.NUMBERVALUE(B1287,".",","),0)))</f>
        <v/>
      </c>
      <c r="O1287">
        <f>IF(M1287="","",IF(ISNUMBER(C1287),C1287,IFERROR(_xlfn.NUMBERVALUE(C1287,".",","),0)))</f>
        <v/>
      </c>
    </row>
    <row r="1288">
      <c r="K1288">
        <f>IF(OR(LEFT(B1288,9)="DOANH THU",LEFT(B1288,8)="SỐ LƯỢNG"),A1288,IF(A1288="","",K1287))</f>
        <v/>
      </c>
      <c r="L1288">
        <f>IF(A1288="","",IF(ISNUMBER(--LEFT(A1288,FIND(" - ",A1288&amp;" - ")-1)),LEFT(A1288,FIND(" - ",A1288&amp;" - ")-1),TRIM(A1288)))</f>
        <v/>
      </c>
      <c r="M1288">
        <f>IF(OR(K1288="",K1288=A1288,A1288=""),"",K1288&amp;"|"&amp;L1288)</f>
        <v/>
      </c>
      <c r="N1288">
        <f>IF(M1288="","",IF(ISNUMBER(B1288),B1288,IFERROR(_xlfn.NUMBERVALUE(B1288,".",","),0)))</f>
        <v/>
      </c>
      <c r="O1288">
        <f>IF(M1288="","",IF(ISNUMBER(C1288),C1288,IFERROR(_xlfn.NUMBERVALUE(C1288,".",","),0)))</f>
        <v/>
      </c>
    </row>
    <row r="1289">
      <c r="K1289">
        <f>IF(OR(LEFT(B1289,9)="DOANH THU",LEFT(B1289,8)="SỐ LƯỢNG"),A1289,IF(A1289="","",K1288))</f>
        <v/>
      </c>
      <c r="L1289">
        <f>IF(A1289="","",IF(ISNUMBER(--LEFT(A1289,FIND(" - ",A1289&amp;" - ")-1)),LEFT(A1289,FIND(" - ",A1289&amp;" - ")-1),TRIM(A1289)))</f>
        <v/>
      </c>
      <c r="M1289">
        <f>IF(OR(K1289="",K1289=A1289,A1289=""),"",K1289&amp;"|"&amp;L1289)</f>
        <v/>
      </c>
      <c r="N1289">
        <f>IF(M1289="","",IF(ISNUMBER(B1289),B1289,IFERROR(_xlfn.NUMBERVALUE(B1289,".",","),0)))</f>
        <v/>
      </c>
      <c r="O1289">
        <f>IF(M1289="","",IF(ISNUMBER(C1289),C1289,IFERROR(_xlfn.NUMBERVALUE(C1289,".",","),0)))</f>
        <v/>
      </c>
    </row>
    <row r="1290">
      <c r="K1290">
        <f>IF(OR(LEFT(B1290,9)="DOANH THU",LEFT(B1290,8)="SỐ LƯỢNG"),A1290,IF(A1290="","",K1289))</f>
        <v/>
      </c>
      <c r="L1290">
        <f>IF(A1290="","",IF(ISNUMBER(--LEFT(A1290,FIND(" - ",A1290&amp;" - ")-1)),LEFT(A1290,FIND(" - ",A1290&amp;" - ")-1),TRIM(A1290)))</f>
        <v/>
      </c>
      <c r="M1290">
        <f>IF(OR(K1290="",K1290=A1290,A1290=""),"",K1290&amp;"|"&amp;L1290)</f>
        <v/>
      </c>
      <c r="N1290">
        <f>IF(M1290="","",IF(ISNUMBER(B1290),B1290,IFERROR(_xlfn.NUMBERVALUE(B1290,".",","),0)))</f>
        <v/>
      </c>
      <c r="O1290">
        <f>IF(M1290="","",IF(ISNUMBER(C1290),C1290,IFERROR(_xlfn.NUMBERVALUE(C1290,".",","),0)))</f>
        <v/>
      </c>
    </row>
    <row r="1291">
      <c r="K1291">
        <f>IF(OR(LEFT(B1291,9)="DOANH THU",LEFT(B1291,8)="SỐ LƯỢNG"),A1291,IF(A1291="","",K1290))</f>
        <v/>
      </c>
      <c r="L1291">
        <f>IF(A1291="","",IF(ISNUMBER(--LEFT(A1291,FIND(" - ",A1291&amp;" - ")-1)),LEFT(A1291,FIND(" - ",A1291&amp;" - ")-1),TRIM(A1291)))</f>
        <v/>
      </c>
      <c r="M1291">
        <f>IF(OR(K1291="",K1291=A1291,A1291=""),"",K1291&amp;"|"&amp;L1291)</f>
        <v/>
      </c>
      <c r="N1291">
        <f>IF(M1291="","",IF(ISNUMBER(B1291),B1291,IFERROR(_xlfn.NUMBERVALUE(B1291,".",","),0)))</f>
        <v/>
      </c>
      <c r="O1291">
        <f>IF(M1291="","",IF(ISNUMBER(C1291),C1291,IFERROR(_xlfn.NUMBERVALUE(C1291,".",","),0)))</f>
        <v/>
      </c>
    </row>
    <row r="1292">
      <c r="K1292">
        <f>IF(OR(LEFT(B1292,9)="DOANH THU",LEFT(B1292,8)="SỐ LƯỢNG"),A1292,IF(A1292="","",K1291))</f>
        <v/>
      </c>
      <c r="L1292">
        <f>IF(A1292="","",IF(ISNUMBER(--LEFT(A1292,FIND(" - ",A1292&amp;" - ")-1)),LEFT(A1292,FIND(" - ",A1292&amp;" - ")-1),TRIM(A1292)))</f>
        <v/>
      </c>
      <c r="M1292">
        <f>IF(OR(K1292="",K1292=A1292,A1292=""),"",K1292&amp;"|"&amp;L1292)</f>
        <v/>
      </c>
      <c r="N1292">
        <f>IF(M1292="","",IF(ISNUMBER(B1292),B1292,IFERROR(_xlfn.NUMBERVALUE(B1292,".",","),0)))</f>
        <v/>
      </c>
      <c r="O1292">
        <f>IF(M1292="","",IF(ISNUMBER(C1292),C1292,IFERROR(_xlfn.NUMBERVALUE(C1292,".",","),0)))</f>
        <v/>
      </c>
    </row>
    <row r="1293">
      <c r="K1293">
        <f>IF(OR(LEFT(B1293,9)="DOANH THU",LEFT(B1293,8)="SỐ LƯỢNG"),A1293,IF(A1293="","",K1292))</f>
        <v/>
      </c>
      <c r="L1293">
        <f>IF(A1293="","",IF(ISNUMBER(--LEFT(A1293,FIND(" - ",A1293&amp;" - ")-1)),LEFT(A1293,FIND(" - ",A1293&amp;" - ")-1),TRIM(A1293)))</f>
        <v/>
      </c>
      <c r="M1293">
        <f>IF(OR(K1293="",K1293=A1293,A1293=""),"",K1293&amp;"|"&amp;L1293)</f>
        <v/>
      </c>
      <c r="N1293">
        <f>IF(M1293="","",IF(ISNUMBER(B1293),B1293,IFERROR(_xlfn.NUMBERVALUE(B1293,".",","),0)))</f>
        <v/>
      </c>
      <c r="O1293">
        <f>IF(M1293="","",IF(ISNUMBER(C1293),C1293,IFERROR(_xlfn.NUMBERVALUE(C1293,".",","),0)))</f>
        <v/>
      </c>
    </row>
    <row r="1294">
      <c r="K1294">
        <f>IF(OR(LEFT(B1294,9)="DOANH THU",LEFT(B1294,8)="SỐ LƯỢNG"),A1294,IF(A1294="","",K1293))</f>
        <v/>
      </c>
      <c r="L1294">
        <f>IF(A1294="","",IF(ISNUMBER(--LEFT(A1294,FIND(" - ",A1294&amp;" - ")-1)),LEFT(A1294,FIND(" - ",A1294&amp;" - ")-1),TRIM(A1294)))</f>
        <v/>
      </c>
      <c r="M1294">
        <f>IF(OR(K1294="",K1294=A1294,A1294=""),"",K1294&amp;"|"&amp;L1294)</f>
        <v/>
      </c>
      <c r="N1294">
        <f>IF(M1294="","",IF(ISNUMBER(B1294),B1294,IFERROR(_xlfn.NUMBERVALUE(B1294,".",","),0)))</f>
        <v/>
      </c>
      <c r="O1294">
        <f>IF(M1294="","",IF(ISNUMBER(C1294),C1294,IFERROR(_xlfn.NUMBERVALUE(C1294,".",","),0)))</f>
        <v/>
      </c>
    </row>
    <row r="1295">
      <c r="K1295">
        <f>IF(OR(LEFT(B1295,9)="DOANH THU",LEFT(B1295,8)="SỐ LƯỢNG"),A1295,IF(A1295="","",K1294))</f>
        <v/>
      </c>
      <c r="L1295">
        <f>IF(A1295="","",IF(ISNUMBER(--LEFT(A1295,FIND(" - ",A1295&amp;" - ")-1)),LEFT(A1295,FIND(" - ",A1295&amp;" - ")-1),TRIM(A1295)))</f>
        <v/>
      </c>
      <c r="M1295">
        <f>IF(OR(K1295="",K1295=A1295,A1295=""),"",K1295&amp;"|"&amp;L1295)</f>
        <v/>
      </c>
      <c r="N1295">
        <f>IF(M1295="","",IF(ISNUMBER(B1295),B1295,IFERROR(_xlfn.NUMBERVALUE(B1295,".",","),0)))</f>
        <v/>
      </c>
      <c r="O1295">
        <f>IF(M1295="","",IF(ISNUMBER(C1295),C1295,IFERROR(_xlfn.NUMBERVALUE(C1295,".",","),0)))</f>
        <v/>
      </c>
    </row>
    <row r="1296">
      <c r="K1296">
        <f>IF(OR(LEFT(B1296,9)="DOANH THU",LEFT(B1296,8)="SỐ LƯỢNG"),A1296,IF(A1296="","",K1295))</f>
        <v/>
      </c>
      <c r="L1296">
        <f>IF(A1296="","",IF(ISNUMBER(--LEFT(A1296,FIND(" - ",A1296&amp;" - ")-1)),LEFT(A1296,FIND(" - ",A1296&amp;" - ")-1),TRIM(A1296)))</f>
        <v/>
      </c>
      <c r="M1296">
        <f>IF(OR(K1296="",K1296=A1296,A1296=""),"",K1296&amp;"|"&amp;L1296)</f>
        <v/>
      </c>
      <c r="N1296">
        <f>IF(M1296="","",IF(ISNUMBER(B1296),B1296,IFERROR(_xlfn.NUMBERVALUE(B1296,".",","),0)))</f>
        <v/>
      </c>
      <c r="O1296">
        <f>IF(M1296="","",IF(ISNUMBER(C1296),C1296,IFERROR(_xlfn.NUMBERVALUE(C1296,".",","),0)))</f>
        <v/>
      </c>
    </row>
    <row r="1297">
      <c r="K1297">
        <f>IF(OR(LEFT(B1297,9)="DOANH THU",LEFT(B1297,8)="SỐ LƯỢNG"),A1297,IF(A1297="","",K1296))</f>
        <v/>
      </c>
      <c r="L1297">
        <f>IF(A1297="","",IF(ISNUMBER(--LEFT(A1297,FIND(" - ",A1297&amp;" - ")-1)),LEFT(A1297,FIND(" - ",A1297&amp;" - ")-1),TRIM(A1297)))</f>
        <v/>
      </c>
      <c r="M1297">
        <f>IF(OR(K1297="",K1297=A1297,A1297=""),"",K1297&amp;"|"&amp;L1297)</f>
        <v/>
      </c>
      <c r="N1297">
        <f>IF(M1297="","",IF(ISNUMBER(B1297),B1297,IFERROR(_xlfn.NUMBERVALUE(B1297,".",","),0)))</f>
        <v/>
      </c>
      <c r="O1297">
        <f>IF(M1297="","",IF(ISNUMBER(C1297),C1297,IFERROR(_xlfn.NUMBERVALUE(C1297,".",","),0)))</f>
        <v/>
      </c>
    </row>
    <row r="1298">
      <c r="K1298">
        <f>IF(OR(LEFT(B1298,9)="DOANH THU",LEFT(B1298,8)="SỐ LƯỢNG"),A1298,IF(A1298="","",K1297))</f>
        <v/>
      </c>
      <c r="L1298">
        <f>IF(A1298="","",IF(ISNUMBER(--LEFT(A1298,FIND(" - ",A1298&amp;" - ")-1)),LEFT(A1298,FIND(" - ",A1298&amp;" - ")-1),TRIM(A1298)))</f>
        <v/>
      </c>
      <c r="M1298">
        <f>IF(OR(K1298="",K1298=A1298,A1298=""),"",K1298&amp;"|"&amp;L1298)</f>
        <v/>
      </c>
      <c r="N1298">
        <f>IF(M1298="","",IF(ISNUMBER(B1298),B1298,IFERROR(_xlfn.NUMBERVALUE(B1298,".",","),0)))</f>
        <v/>
      </c>
      <c r="O1298">
        <f>IF(M1298="","",IF(ISNUMBER(C1298),C1298,IFERROR(_xlfn.NUMBERVALUE(C1298,".",","),0)))</f>
        <v/>
      </c>
    </row>
    <row r="1299">
      <c r="K1299">
        <f>IF(OR(LEFT(B1299,9)="DOANH THU",LEFT(B1299,8)="SỐ LƯỢNG"),A1299,IF(A1299="","",K1298))</f>
        <v/>
      </c>
      <c r="L1299">
        <f>IF(A1299="","",IF(ISNUMBER(--LEFT(A1299,FIND(" - ",A1299&amp;" - ")-1)),LEFT(A1299,FIND(" - ",A1299&amp;" - ")-1),TRIM(A1299)))</f>
        <v/>
      </c>
      <c r="M1299">
        <f>IF(OR(K1299="",K1299=A1299,A1299=""),"",K1299&amp;"|"&amp;L1299)</f>
        <v/>
      </c>
      <c r="N1299">
        <f>IF(M1299="","",IF(ISNUMBER(B1299),B1299,IFERROR(_xlfn.NUMBERVALUE(B1299,".",","),0)))</f>
        <v/>
      </c>
      <c r="O1299">
        <f>IF(M1299="","",IF(ISNUMBER(C1299),C1299,IFERROR(_xlfn.NUMBERVALUE(C1299,".",","),0)))</f>
        <v/>
      </c>
    </row>
    <row r="1300">
      <c r="K1300">
        <f>IF(OR(LEFT(B1300,9)="DOANH THU",LEFT(B1300,8)="SỐ LƯỢNG"),A1300,IF(A1300="","",K1299))</f>
        <v/>
      </c>
      <c r="L1300">
        <f>IF(A1300="","",IF(ISNUMBER(--LEFT(A1300,FIND(" - ",A1300&amp;" - ")-1)),LEFT(A1300,FIND(" - ",A1300&amp;" - ")-1),TRIM(A1300)))</f>
        <v/>
      </c>
      <c r="M1300">
        <f>IF(OR(K1300="",K1300=A1300,A1300=""),"",K1300&amp;"|"&amp;L1300)</f>
        <v/>
      </c>
      <c r="N1300">
        <f>IF(M1300="","",IF(ISNUMBER(B1300),B1300,IFERROR(_xlfn.NUMBERVALUE(B1300,".",","),0)))</f>
        <v/>
      </c>
      <c r="O1300">
        <f>IF(M1300="","",IF(ISNUMBER(C1300),C1300,IFERROR(_xlfn.NUMBERVALUE(C1300,".",","),0)))</f>
        <v/>
      </c>
    </row>
    <row r="1301">
      <c r="K1301">
        <f>IF(OR(LEFT(B1301,9)="DOANH THU",LEFT(B1301,8)="SỐ LƯỢNG"),A1301,IF(A1301="","",K1300))</f>
        <v/>
      </c>
      <c r="L1301">
        <f>IF(A1301="","",IF(ISNUMBER(--LEFT(A1301,FIND(" - ",A1301&amp;" - ")-1)),LEFT(A1301,FIND(" - ",A1301&amp;" - ")-1),TRIM(A1301)))</f>
        <v/>
      </c>
      <c r="M1301">
        <f>IF(OR(K1301="",K1301=A1301,A1301=""),"",K1301&amp;"|"&amp;L1301)</f>
        <v/>
      </c>
      <c r="N1301">
        <f>IF(M1301="","",IF(ISNUMBER(B1301),B1301,IFERROR(_xlfn.NUMBERVALUE(B1301,".",","),0)))</f>
        <v/>
      </c>
      <c r="O1301">
        <f>IF(M1301="","",IF(ISNUMBER(C1301),C1301,IFERROR(_xlfn.NUMBERVALUE(C1301,".",","),0)))</f>
        <v/>
      </c>
    </row>
    <row r="1302">
      <c r="K1302">
        <f>IF(OR(LEFT(B1302,9)="DOANH THU",LEFT(B1302,8)="SỐ LƯỢNG"),A1302,IF(A1302="","",K1301))</f>
        <v/>
      </c>
      <c r="L1302">
        <f>IF(A1302="","",IF(ISNUMBER(--LEFT(A1302,FIND(" - ",A1302&amp;" - ")-1)),LEFT(A1302,FIND(" - ",A1302&amp;" - ")-1),TRIM(A1302)))</f>
        <v/>
      </c>
      <c r="M1302">
        <f>IF(OR(K1302="",K1302=A1302,A1302=""),"",K1302&amp;"|"&amp;L1302)</f>
        <v/>
      </c>
      <c r="N1302">
        <f>IF(M1302="","",IF(ISNUMBER(B1302),B1302,IFERROR(_xlfn.NUMBERVALUE(B1302,".",","),0)))</f>
        <v/>
      </c>
      <c r="O1302">
        <f>IF(M1302="","",IF(ISNUMBER(C1302),C1302,IFERROR(_xlfn.NUMBERVALUE(C1302,".",","),0)))</f>
        <v/>
      </c>
    </row>
    <row r="1303">
      <c r="K1303">
        <f>IF(OR(LEFT(B1303,9)="DOANH THU",LEFT(B1303,8)="SỐ LƯỢNG"),A1303,IF(A1303="","",K1302))</f>
        <v/>
      </c>
      <c r="L1303">
        <f>IF(A1303="","",IF(ISNUMBER(--LEFT(A1303,FIND(" - ",A1303&amp;" - ")-1)),LEFT(A1303,FIND(" - ",A1303&amp;" - ")-1),TRIM(A1303)))</f>
        <v/>
      </c>
      <c r="M1303">
        <f>IF(OR(K1303="",K1303=A1303,A1303=""),"",K1303&amp;"|"&amp;L1303)</f>
        <v/>
      </c>
      <c r="N1303">
        <f>IF(M1303="","",IF(ISNUMBER(B1303),B1303,IFERROR(_xlfn.NUMBERVALUE(B1303,".",","),0)))</f>
        <v/>
      </c>
      <c r="O1303">
        <f>IF(M1303="","",IF(ISNUMBER(C1303),C1303,IFERROR(_xlfn.NUMBERVALUE(C1303,".",","),0)))</f>
        <v/>
      </c>
    </row>
    <row r="1304">
      <c r="K1304">
        <f>IF(OR(LEFT(B1304,9)="DOANH THU",LEFT(B1304,8)="SỐ LƯỢNG"),A1304,IF(A1304="","",K1303))</f>
        <v/>
      </c>
      <c r="L1304">
        <f>IF(A1304="","",IF(ISNUMBER(--LEFT(A1304,FIND(" - ",A1304&amp;" - ")-1)),LEFT(A1304,FIND(" - ",A1304&amp;" - ")-1),TRIM(A1304)))</f>
        <v/>
      </c>
      <c r="M1304">
        <f>IF(OR(K1304="",K1304=A1304,A1304=""),"",K1304&amp;"|"&amp;L1304)</f>
        <v/>
      </c>
      <c r="N1304">
        <f>IF(M1304="","",IF(ISNUMBER(B1304),B1304,IFERROR(_xlfn.NUMBERVALUE(B1304,".",","),0)))</f>
        <v/>
      </c>
      <c r="O1304">
        <f>IF(M1304="","",IF(ISNUMBER(C1304),C1304,IFERROR(_xlfn.NUMBERVALUE(C1304,".",","),0)))</f>
        <v/>
      </c>
    </row>
    <row r="1305">
      <c r="K1305">
        <f>IF(OR(LEFT(B1305,9)="DOANH THU",LEFT(B1305,8)="SỐ LƯỢNG"),A1305,IF(A1305="","",K1304))</f>
        <v/>
      </c>
      <c r="L1305">
        <f>IF(A1305="","",IF(ISNUMBER(--LEFT(A1305,FIND(" - ",A1305&amp;" - ")-1)),LEFT(A1305,FIND(" - ",A1305&amp;" - ")-1),TRIM(A1305)))</f>
        <v/>
      </c>
      <c r="M1305">
        <f>IF(OR(K1305="",K1305=A1305,A1305=""),"",K1305&amp;"|"&amp;L1305)</f>
        <v/>
      </c>
      <c r="N1305">
        <f>IF(M1305="","",IF(ISNUMBER(B1305),B1305,IFERROR(_xlfn.NUMBERVALUE(B1305,".",","),0)))</f>
        <v/>
      </c>
      <c r="O1305">
        <f>IF(M1305="","",IF(ISNUMBER(C1305),C1305,IFERROR(_xlfn.NUMBERVALUE(C1305,".",","),0)))</f>
        <v/>
      </c>
    </row>
    <row r="1306">
      <c r="K1306">
        <f>IF(OR(LEFT(B1306,9)="DOANH THU",LEFT(B1306,8)="SỐ LƯỢNG"),A1306,IF(A1306="","",K1305))</f>
        <v/>
      </c>
      <c r="L1306">
        <f>IF(A1306="","",IF(ISNUMBER(--LEFT(A1306,FIND(" - ",A1306&amp;" - ")-1)),LEFT(A1306,FIND(" - ",A1306&amp;" - ")-1),TRIM(A1306)))</f>
        <v/>
      </c>
      <c r="M1306">
        <f>IF(OR(K1306="",K1306=A1306,A1306=""),"",K1306&amp;"|"&amp;L1306)</f>
        <v/>
      </c>
      <c r="N1306">
        <f>IF(M1306="","",IF(ISNUMBER(B1306),B1306,IFERROR(_xlfn.NUMBERVALUE(B1306,".",","),0)))</f>
        <v/>
      </c>
      <c r="O1306">
        <f>IF(M1306="","",IF(ISNUMBER(C1306),C1306,IFERROR(_xlfn.NUMBERVALUE(C1306,".",","),0)))</f>
        <v/>
      </c>
    </row>
    <row r="1307">
      <c r="K1307">
        <f>IF(OR(LEFT(B1307,9)="DOANH THU",LEFT(B1307,8)="SỐ LƯỢNG"),A1307,IF(A1307="","",K1306))</f>
        <v/>
      </c>
      <c r="L1307">
        <f>IF(A1307="","",IF(ISNUMBER(--LEFT(A1307,FIND(" - ",A1307&amp;" - ")-1)),LEFT(A1307,FIND(" - ",A1307&amp;" - ")-1),TRIM(A1307)))</f>
        <v/>
      </c>
      <c r="M1307">
        <f>IF(OR(K1307="",K1307=A1307,A1307=""),"",K1307&amp;"|"&amp;L1307)</f>
        <v/>
      </c>
      <c r="N1307">
        <f>IF(M1307="","",IF(ISNUMBER(B1307),B1307,IFERROR(_xlfn.NUMBERVALUE(B1307,".",","),0)))</f>
        <v/>
      </c>
      <c r="O1307">
        <f>IF(M1307="","",IF(ISNUMBER(C1307),C1307,IFERROR(_xlfn.NUMBERVALUE(C1307,".",","),0)))</f>
        <v/>
      </c>
    </row>
    <row r="1308">
      <c r="K1308">
        <f>IF(OR(LEFT(B1308,9)="DOANH THU",LEFT(B1308,8)="SỐ LƯỢNG"),A1308,IF(A1308="","",K1307))</f>
        <v/>
      </c>
      <c r="L1308">
        <f>IF(A1308="","",IF(ISNUMBER(--LEFT(A1308,FIND(" - ",A1308&amp;" - ")-1)),LEFT(A1308,FIND(" - ",A1308&amp;" - ")-1),TRIM(A1308)))</f>
        <v/>
      </c>
      <c r="M1308">
        <f>IF(OR(K1308="",K1308=A1308,A1308=""),"",K1308&amp;"|"&amp;L1308)</f>
        <v/>
      </c>
      <c r="N1308">
        <f>IF(M1308="","",IF(ISNUMBER(B1308),B1308,IFERROR(_xlfn.NUMBERVALUE(B1308,".",","),0)))</f>
        <v/>
      </c>
      <c r="O1308">
        <f>IF(M1308="","",IF(ISNUMBER(C1308),C1308,IFERROR(_xlfn.NUMBERVALUE(C1308,".",","),0)))</f>
        <v/>
      </c>
    </row>
    <row r="1309">
      <c r="K1309">
        <f>IF(OR(LEFT(B1309,9)="DOANH THU",LEFT(B1309,8)="SỐ LƯỢNG"),A1309,IF(A1309="","",K1308))</f>
        <v/>
      </c>
      <c r="L1309">
        <f>IF(A1309="","",IF(ISNUMBER(--LEFT(A1309,FIND(" - ",A1309&amp;" - ")-1)),LEFT(A1309,FIND(" - ",A1309&amp;" - ")-1),TRIM(A1309)))</f>
        <v/>
      </c>
      <c r="M1309">
        <f>IF(OR(K1309="",K1309=A1309,A1309=""),"",K1309&amp;"|"&amp;L1309)</f>
        <v/>
      </c>
      <c r="N1309">
        <f>IF(M1309="","",IF(ISNUMBER(B1309),B1309,IFERROR(_xlfn.NUMBERVALUE(B1309,".",","),0)))</f>
        <v/>
      </c>
      <c r="O1309">
        <f>IF(M1309="","",IF(ISNUMBER(C1309),C1309,IFERROR(_xlfn.NUMBERVALUE(C1309,".",","),0)))</f>
        <v/>
      </c>
    </row>
    <row r="1310">
      <c r="K1310">
        <f>IF(OR(LEFT(B1310,9)="DOANH THU",LEFT(B1310,8)="SỐ LƯỢNG"),A1310,IF(A1310="","",K1309))</f>
        <v/>
      </c>
      <c r="L1310">
        <f>IF(A1310="","",IF(ISNUMBER(--LEFT(A1310,FIND(" - ",A1310&amp;" - ")-1)),LEFT(A1310,FIND(" - ",A1310&amp;" - ")-1),TRIM(A1310)))</f>
        <v/>
      </c>
      <c r="M1310">
        <f>IF(OR(K1310="",K1310=A1310,A1310=""),"",K1310&amp;"|"&amp;L1310)</f>
        <v/>
      </c>
      <c r="N1310">
        <f>IF(M1310="","",IF(ISNUMBER(B1310),B1310,IFERROR(_xlfn.NUMBERVALUE(B1310,".",","),0)))</f>
        <v/>
      </c>
      <c r="O1310">
        <f>IF(M1310="","",IF(ISNUMBER(C1310),C1310,IFERROR(_xlfn.NUMBERVALUE(C1310,".",","),0)))</f>
        <v/>
      </c>
    </row>
    <row r="1311">
      <c r="K1311">
        <f>IF(OR(LEFT(B1311,9)="DOANH THU",LEFT(B1311,8)="SỐ LƯỢNG"),A1311,IF(A1311="","",K1310))</f>
        <v/>
      </c>
      <c r="L1311">
        <f>IF(A1311="","",IF(ISNUMBER(--LEFT(A1311,FIND(" - ",A1311&amp;" - ")-1)),LEFT(A1311,FIND(" - ",A1311&amp;" - ")-1),TRIM(A1311)))</f>
        <v/>
      </c>
      <c r="M1311">
        <f>IF(OR(K1311="",K1311=A1311,A1311=""),"",K1311&amp;"|"&amp;L1311)</f>
        <v/>
      </c>
      <c r="N1311">
        <f>IF(M1311="","",IF(ISNUMBER(B1311),B1311,IFERROR(_xlfn.NUMBERVALUE(B1311,".",","),0)))</f>
        <v/>
      </c>
      <c r="O1311">
        <f>IF(M1311="","",IF(ISNUMBER(C1311),C1311,IFERROR(_xlfn.NUMBERVALUE(C1311,".",","),0)))</f>
        <v/>
      </c>
    </row>
    <row r="1312">
      <c r="K1312">
        <f>IF(OR(LEFT(B1312,9)="DOANH THU",LEFT(B1312,8)="SỐ LƯỢNG"),A1312,IF(A1312="","",K1311))</f>
        <v/>
      </c>
      <c r="L1312">
        <f>IF(A1312="","",IF(ISNUMBER(--LEFT(A1312,FIND(" - ",A1312&amp;" - ")-1)),LEFT(A1312,FIND(" - ",A1312&amp;" - ")-1),TRIM(A1312)))</f>
        <v/>
      </c>
      <c r="M1312">
        <f>IF(OR(K1312="",K1312=A1312,A1312=""),"",K1312&amp;"|"&amp;L1312)</f>
        <v/>
      </c>
      <c r="N1312">
        <f>IF(M1312="","",IF(ISNUMBER(B1312),B1312,IFERROR(_xlfn.NUMBERVALUE(B1312,".",","),0)))</f>
        <v/>
      </c>
      <c r="O1312">
        <f>IF(M1312="","",IF(ISNUMBER(C1312),C1312,IFERROR(_xlfn.NUMBERVALUE(C1312,".",","),0)))</f>
        <v/>
      </c>
    </row>
    <row r="1313">
      <c r="K1313">
        <f>IF(OR(LEFT(B1313,9)="DOANH THU",LEFT(B1313,8)="SỐ LƯỢNG"),A1313,IF(A1313="","",K1312))</f>
        <v/>
      </c>
      <c r="L1313">
        <f>IF(A1313="","",IF(ISNUMBER(--LEFT(A1313,FIND(" - ",A1313&amp;" - ")-1)),LEFT(A1313,FIND(" - ",A1313&amp;" - ")-1),TRIM(A1313)))</f>
        <v/>
      </c>
      <c r="M1313">
        <f>IF(OR(K1313="",K1313=A1313,A1313=""),"",K1313&amp;"|"&amp;L1313)</f>
        <v/>
      </c>
      <c r="N1313">
        <f>IF(M1313="","",IF(ISNUMBER(B1313),B1313,IFERROR(_xlfn.NUMBERVALUE(B1313,".",","),0)))</f>
        <v/>
      </c>
      <c r="O1313">
        <f>IF(M1313="","",IF(ISNUMBER(C1313),C1313,IFERROR(_xlfn.NUMBERVALUE(C1313,".",","),0)))</f>
        <v/>
      </c>
    </row>
    <row r="1314">
      <c r="K1314">
        <f>IF(OR(LEFT(B1314,9)="DOANH THU",LEFT(B1314,8)="SỐ LƯỢNG"),A1314,IF(A1314="","",K1313))</f>
        <v/>
      </c>
      <c r="L1314">
        <f>IF(A1314="","",IF(ISNUMBER(--LEFT(A1314,FIND(" - ",A1314&amp;" - ")-1)),LEFT(A1314,FIND(" - ",A1314&amp;" - ")-1),TRIM(A1314)))</f>
        <v/>
      </c>
      <c r="M1314">
        <f>IF(OR(K1314="",K1314=A1314,A1314=""),"",K1314&amp;"|"&amp;L1314)</f>
        <v/>
      </c>
      <c r="N1314">
        <f>IF(M1314="","",IF(ISNUMBER(B1314),B1314,IFERROR(_xlfn.NUMBERVALUE(B1314,".",","),0)))</f>
        <v/>
      </c>
      <c r="O1314">
        <f>IF(M1314="","",IF(ISNUMBER(C1314),C1314,IFERROR(_xlfn.NUMBERVALUE(C1314,".",","),0)))</f>
        <v/>
      </c>
    </row>
    <row r="1315">
      <c r="K1315">
        <f>IF(OR(LEFT(B1315,9)="DOANH THU",LEFT(B1315,8)="SỐ LƯỢNG"),A1315,IF(A1315="","",K1314))</f>
        <v/>
      </c>
      <c r="L1315">
        <f>IF(A1315="","",IF(ISNUMBER(--LEFT(A1315,FIND(" - ",A1315&amp;" - ")-1)),LEFT(A1315,FIND(" - ",A1315&amp;" - ")-1),TRIM(A1315)))</f>
        <v/>
      </c>
      <c r="M1315">
        <f>IF(OR(K1315="",K1315=A1315,A1315=""),"",K1315&amp;"|"&amp;L1315)</f>
        <v/>
      </c>
      <c r="N1315">
        <f>IF(M1315="","",IF(ISNUMBER(B1315),B1315,IFERROR(_xlfn.NUMBERVALUE(B1315,".",","),0)))</f>
        <v/>
      </c>
      <c r="O1315">
        <f>IF(M1315="","",IF(ISNUMBER(C1315),C1315,IFERROR(_xlfn.NUMBERVALUE(C1315,".",","),0)))</f>
        <v/>
      </c>
    </row>
    <row r="1316">
      <c r="K1316">
        <f>IF(OR(LEFT(B1316,9)="DOANH THU",LEFT(B1316,8)="SỐ LƯỢNG"),A1316,IF(A1316="","",K1315))</f>
        <v/>
      </c>
      <c r="L1316">
        <f>IF(A1316="","",IF(ISNUMBER(--LEFT(A1316,FIND(" - ",A1316&amp;" - ")-1)),LEFT(A1316,FIND(" - ",A1316&amp;" - ")-1),TRIM(A1316)))</f>
        <v/>
      </c>
      <c r="M1316">
        <f>IF(OR(K1316="",K1316=A1316,A1316=""),"",K1316&amp;"|"&amp;L1316)</f>
        <v/>
      </c>
      <c r="N1316">
        <f>IF(M1316="","",IF(ISNUMBER(B1316),B1316,IFERROR(_xlfn.NUMBERVALUE(B1316,".",","),0)))</f>
        <v/>
      </c>
      <c r="O1316">
        <f>IF(M1316="","",IF(ISNUMBER(C1316),C1316,IFERROR(_xlfn.NUMBERVALUE(C1316,".",","),0)))</f>
        <v/>
      </c>
    </row>
    <row r="1317">
      <c r="K1317">
        <f>IF(OR(LEFT(B1317,9)="DOANH THU",LEFT(B1317,8)="SỐ LƯỢNG"),A1317,IF(A1317="","",K1316))</f>
        <v/>
      </c>
      <c r="L1317">
        <f>IF(A1317="","",IF(ISNUMBER(--LEFT(A1317,FIND(" - ",A1317&amp;" - ")-1)),LEFT(A1317,FIND(" - ",A1317&amp;" - ")-1),TRIM(A1317)))</f>
        <v/>
      </c>
      <c r="M1317">
        <f>IF(OR(K1317="",K1317=A1317,A1317=""),"",K1317&amp;"|"&amp;L1317)</f>
        <v/>
      </c>
      <c r="N1317">
        <f>IF(M1317="","",IF(ISNUMBER(B1317),B1317,IFERROR(_xlfn.NUMBERVALUE(B1317,".",","),0)))</f>
        <v/>
      </c>
      <c r="O1317">
        <f>IF(M1317="","",IF(ISNUMBER(C1317),C1317,IFERROR(_xlfn.NUMBERVALUE(C1317,".",","),0)))</f>
        <v/>
      </c>
    </row>
    <row r="1318">
      <c r="K1318">
        <f>IF(OR(LEFT(B1318,9)="DOANH THU",LEFT(B1318,8)="SỐ LƯỢNG"),A1318,IF(A1318="","",K1317))</f>
        <v/>
      </c>
      <c r="L1318">
        <f>IF(A1318="","",IF(ISNUMBER(--LEFT(A1318,FIND(" - ",A1318&amp;" - ")-1)),LEFT(A1318,FIND(" - ",A1318&amp;" - ")-1),TRIM(A1318)))</f>
        <v/>
      </c>
      <c r="M1318">
        <f>IF(OR(K1318="",K1318=A1318,A1318=""),"",K1318&amp;"|"&amp;L1318)</f>
        <v/>
      </c>
      <c r="N1318">
        <f>IF(M1318="","",IF(ISNUMBER(B1318),B1318,IFERROR(_xlfn.NUMBERVALUE(B1318,".",","),0)))</f>
        <v/>
      </c>
      <c r="O1318">
        <f>IF(M1318="","",IF(ISNUMBER(C1318),C1318,IFERROR(_xlfn.NUMBERVALUE(C1318,".",","),0)))</f>
        <v/>
      </c>
    </row>
    <row r="1319">
      <c r="K1319">
        <f>IF(OR(LEFT(B1319,9)="DOANH THU",LEFT(B1319,8)="SỐ LƯỢNG"),A1319,IF(A1319="","",K1318))</f>
        <v/>
      </c>
      <c r="L1319">
        <f>IF(A1319="","",IF(ISNUMBER(--LEFT(A1319,FIND(" - ",A1319&amp;" - ")-1)),LEFT(A1319,FIND(" - ",A1319&amp;" - ")-1),TRIM(A1319)))</f>
        <v/>
      </c>
      <c r="M1319">
        <f>IF(OR(K1319="",K1319=A1319,A1319=""),"",K1319&amp;"|"&amp;L1319)</f>
        <v/>
      </c>
      <c r="N1319">
        <f>IF(M1319="","",IF(ISNUMBER(B1319),B1319,IFERROR(_xlfn.NUMBERVALUE(B1319,".",","),0)))</f>
        <v/>
      </c>
      <c r="O1319">
        <f>IF(M1319="","",IF(ISNUMBER(C1319),C1319,IFERROR(_xlfn.NUMBERVALUE(C1319,".",","),0)))</f>
        <v/>
      </c>
    </row>
    <row r="1320">
      <c r="K1320">
        <f>IF(OR(LEFT(B1320,9)="DOANH THU",LEFT(B1320,8)="SỐ LƯỢNG"),A1320,IF(A1320="","",K1319))</f>
        <v/>
      </c>
      <c r="L1320">
        <f>IF(A1320="","",IF(ISNUMBER(--LEFT(A1320,FIND(" - ",A1320&amp;" - ")-1)),LEFT(A1320,FIND(" - ",A1320&amp;" - ")-1),TRIM(A1320)))</f>
        <v/>
      </c>
      <c r="M1320">
        <f>IF(OR(K1320="",K1320=A1320,A1320=""),"",K1320&amp;"|"&amp;L1320)</f>
        <v/>
      </c>
      <c r="N1320">
        <f>IF(M1320="","",IF(ISNUMBER(B1320),B1320,IFERROR(_xlfn.NUMBERVALUE(B1320,".",","),0)))</f>
        <v/>
      </c>
      <c r="O1320">
        <f>IF(M1320="","",IF(ISNUMBER(C1320),C1320,IFERROR(_xlfn.NUMBERVALUE(C1320,".",","),0)))</f>
        <v/>
      </c>
    </row>
    <row r="1321">
      <c r="K1321">
        <f>IF(OR(LEFT(B1321,9)="DOANH THU",LEFT(B1321,8)="SỐ LƯỢNG"),A1321,IF(A1321="","",K1320))</f>
        <v/>
      </c>
      <c r="L1321">
        <f>IF(A1321="","",IF(ISNUMBER(--LEFT(A1321,FIND(" - ",A1321&amp;" - ")-1)),LEFT(A1321,FIND(" - ",A1321&amp;" - ")-1),TRIM(A1321)))</f>
        <v/>
      </c>
      <c r="M1321">
        <f>IF(OR(K1321="",K1321=A1321,A1321=""),"",K1321&amp;"|"&amp;L1321)</f>
        <v/>
      </c>
      <c r="N1321">
        <f>IF(M1321="","",IF(ISNUMBER(B1321),B1321,IFERROR(_xlfn.NUMBERVALUE(B1321,".",","),0)))</f>
        <v/>
      </c>
      <c r="O1321">
        <f>IF(M1321="","",IF(ISNUMBER(C1321),C1321,IFERROR(_xlfn.NUMBERVALUE(C1321,".",","),0)))</f>
        <v/>
      </c>
    </row>
    <row r="1322">
      <c r="K1322">
        <f>IF(OR(LEFT(B1322,9)="DOANH THU",LEFT(B1322,8)="SỐ LƯỢNG"),A1322,IF(A1322="","",K1321))</f>
        <v/>
      </c>
      <c r="L1322">
        <f>IF(A1322="","",IF(ISNUMBER(--LEFT(A1322,FIND(" - ",A1322&amp;" - ")-1)),LEFT(A1322,FIND(" - ",A1322&amp;" - ")-1),TRIM(A1322)))</f>
        <v/>
      </c>
      <c r="M1322">
        <f>IF(OR(K1322="",K1322=A1322,A1322=""),"",K1322&amp;"|"&amp;L1322)</f>
        <v/>
      </c>
      <c r="N1322">
        <f>IF(M1322="","",IF(ISNUMBER(B1322),B1322,IFERROR(_xlfn.NUMBERVALUE(B1322,".",","),0)))</f>
        <v/>
      </c>
      <c r="O1322">
        <f>IF(M1322="","",IF(ISNUMBER(C1322),C1322,IFERROR(_xlfn.NUMBERVALUE(C1322,".",","),0)))</f>
        <v/>
      </c>
    </row>
    <row r="1323">
      <c r="K1323">
        <f>IF(OR(LEFT(B1323,9)="DOANH THU",LEFT(B1323,8)="SỐ LƯỢNG"),A1323,IF(A1323="","",K1322))</f>
        <v/>
      </c>
      <c r="L1323">
        <f>IF(A1323="","",IF(ISNUMBER(--LEFT(A1323,FIND(" - ",A1323&amp;" - ")-1)),LEFT(A1323,FIND(" - ",A1323&amp;" - ")-1),TRIM(A1323)))</f>
        <v/>
      </c>
      <c r="M1323">
        <f>IF(OR(K1323="",K1323=A1323,A1323=""),"",K1323&amp;"|"&amp;L1323)</f>
        <v/>
      </c>
      <c r="N1323">
        <f>IF(M1323="","",IF(ISNUMBER(B1323),B1323,IFERROR(_xlfn.NUMBERVALUE(B1323,".",","),0)))</f>
        <v/>
      </c>
      <c r="O1323">
        <f>IF(M1323="","",IF(ISNUMBER(C1323),C1323,IFERROR(_xlfn.NUMBERVALUE(C1323,".",","),0)))</f>
        <v/>
      </c>
    </row>
    <row r="1324">
      <c r="K1324">
        <f>IF(OR(LEFT(B1324,9)="DOANH THU",LEFT(B1324,8)="SỐ LƯỢNG"),A1324,IF(A1324="","",K1323))</f>
        <v/>
      </c>
      <c r="L1324">
        <f>IF(A1324="","",IF(ISNUMBER(--LEFT(A1324,FIND(" - ",A1324&amp;" - ")-1)),LEFT(A1324,FIND(" - ",A1324&amp;" - ")-1),TRIM(A1324)))</f>
        <v/>
      </c>
      <c r="M1324">
        <f>IF(OR(K1324="",K1324=A1324,A1324=""),"",K1324&amp;"|"&amp;L1324)</f>
        <v/>
      </c>
      <c r="N1324">
        <f>IF(M1324="","",IF(ISNUMBER(B1324),B1324,IFERROR(_xlfn.NUMBERVALUE(B1324,".",","),0)))</f>
        <v/>
      </c>
      <c r="O1324">
        <f>IF(M1324="","",IF(ISNUMBER(C1324),C1324,IFERROR(_xlfn.NUMBERVALUE(C1324,".",","),0)))</f>
        <v/>
      </c>
    </row>
    <row r="1325">
      <c r="K1325">
        <f>IF(OR(LEFT(B1325,9)="DOANH THU",LEFT(B1325,8)="SỐ LƯỢNG"),A1325,IF(A1325="","",K1324))</f>
        <v/>
      </c>
      <c r="L1325">
        <f>IF(A1325="","",IF(ISNUMBER(--LEFT(A1325,FIND(" - ",A1325&amp;" - ")-1)),LEFT(A1325,FIND(" - ",A1325&amp;" - ")-1),TRIM(A1325)))</f>
        <v/>
      </c>
      <c r="M1325">
        <f>IF(OR(K1325="",K1325=A1325,A1325=""),"",K1325&amp;"|"&amp;L1325)</f>
        <v/>
      </c>
      <c r="N1325">
        <f>IF(M1325="","",IF(ISNUMBER(B1325),B1325,IFERROR(_xlfn.NUMBERVALUE(B1325,".",","),0)))</f>
        <v/>
      </c>
      <c r="O1325">
        <f>IF(M1325="","",IF(ISNUMBER(C1325),C1325,IFERROR(_xlfn.NUMBERVALUE(C1325,".",","),0)))</f>
        <v/>
      </c>
    </row>
    <row r="1326">
      <c r="K1326">
        <f>IF(OR(LEFT(B1326,9)="DOANH THU",LEFT(B1326,8)="SỐ LƯỢNG"),A1326,IF(A1326="","",K1325))</f>
        <v/>
      </c>
      <c r="L1326">
        <f>IF(A1326="","",IF(ISNUMBER(--LEFT(A1326,FIND(" - ",A1326&amp;" - ")-1)),LEFT(A1326,FIND(" - ",A1326&amp;" - ")-1),TRIM(A1326)))</f>
        <v/>
      </c>
      <c r="M1326">
        <f>IF(OR(K1326="",K1326=A1326,A1326=""),"",K1326&amp;"|"&amp;L1326)</f>
        <v/>
      </c>
      <c r="N1326">
        <f>IF(M1326="","",IF(ISNUMBER(B1326),B1326,IFERROR(_xlfn.NUMBERVALUE(B1326,".",","),0)))</f>
        <v/>
      </c>
      <c r="O1326">
        <f>IF(M1326="","",IF(ISNUMBER(C1326),C1326,IFERROR(_xlfn.NUMBERVALUE(C1326,".",","),0)))</f>
        <v/>
      </c>
    </row>
    <row r="1327">
      <c r="K1327">
        <f>IF(OR(LEFT(B1327,9)="DOANH THU",LEFT(B1327,8)="SỐ LƯỢNG"),A1327,IF(A1327="","",K1326))</f>
        <v/>
      </c>
      <c r="L1327">
        <f>IF(A1327="","",IF(ISNUMBER(--LEFT(A1327,FIND(" - ",A1327&amp;" - ")-1)),LEFT(A1327,FIND(" - ",A1327&amp;" - ")-1),TRIM(A1327)))</f>
        <v/>
      </c>
      <c r="M1327">
        <f>IF(OR(K1327="",K1327=A1327,A1327=""),"",K1327&amp;"|"&amp;L1327)</f>
        <v/>
      </c>
      <c r="N1327">
        <f>IF(M1327="","",IF(ISNUMBER(B1327),B1327,IFERROR(_xlfn.NUMBERVALUE(B1327,".",","),0)))</f>
        <v/>
      </c>
      <c r="O1327">
        <f>IF(M1327="","",IF(ISNUMBER(C1327),C1327,IFERROR(_xlfn.NUMBERVALUE(C1327,".",","),0)))</f>
        <v/>
      </c>
    </row>
    <row r="1328">
      <c r="K1328">
        <f>IF(OR(LEFT(B1328,9)="DOANH THU",LEFT(B1328,8)="SỐ LƯỢNG"),A1328,IF(A1328="","",K1327))</f>
        <v/>
      </c>
      <c r="L1328">
        <f>IF(A1328="","",IF(ISNUMBER(--LEFT(A1328,FIND(" - ",A1328&amp;" - ")-1)),LEFT(A1328,FIND(" - ",A1328&amp;" - ")-1),TRIM(A1328)))</f>
        <v/>
      </c>
      <c r="M1328">
        <f>IF(OR(K1328="",K1328=A1328,A1328=""),"",K1328&amp;"|"&amp;L1328)</f>
        <v/>
      </c>
      <c r="N1328">
        <f>IF(M1328="","",IF(ISNUMBER(B1328),B1328,IFERROR(_xlfn.NUMBERVALUE(B1328,".",","),0)))</f>
        <v/>
      </c>
      <c r="O1328">
        <f>IF(M1328="","",IF(ISNUMBER(C1328),C1328,IFERROR(_xlfn.NUMBERVALUE(C1328,".",","),0)))</f>
        <v/>
      </c>
    </row>
    <row r="1329">
      <c r="K1329">
        <f>IF(OR(LEFT(B1329,9)="DOANH THU",LEFT(B1329,8)="SỐ LƯỢNG"),A1329,IF(A1329="","",K1328))</f>
        <v/>
      </c>
      <c r="L1329">
        <f>IF(A1329="","",IF(ISNUMBER(--LEFT(A1329,FIND(" - ",A1329&amp;" - ")-1)),LEFT(A1329,FIND(" - ",A1329&amp;" - ")-1),TRIM(A1329)))</f>
        <v/>
      </c>
      <c r="M1329">
        <f>IF(OR(K1329="",K1329=A1329,A1329=""),"",K1329&amp;"|"&amp;L1329)</f>
        <v/>
      </c>
      <c r="N1329">
        <f>IF(M1329="","",IF(ISNUMBER(B1329),B1329,IFERROR(_xlfn.NUMBERVALUE(B1329,".",","),0)))</f>
        <v/>
      </c>
      <c r="O1329">
        <f>IF(M1329="","",IF(ISNUMBER(C1329),C1329,IFERROR(_xlfn.NUMBERVALUE(C1329,".",","),0)))</f>
        <v/>
      </c>
    </row>
    <row r="1330">
      <c r="K1330">
        <f>IF(OR(LEFT(B1330,9)="DOANH THU",LEFT(B1330,8)="SỐ LƯỢNG"),A1330,IF(A1330="","",K1329))</f>
        <v/>
      </c>
      <c r="L1330">
        <f>IF(A1330="","",IF(ISNUMBER(--LEFT(A1330,FIND(" - ",A1330&amp;" - ")-1)),LEFT(A1330,FIND(" - ",A1330&amp;" - ")-1),TRIM(A1330)))</f>
        <v/>
      </c>
      <c r="M1330">
        <f>IF(OR(K1330="",K1330=A1330,A1330=""),"",K1330&amp;"|"&amp;L1330)</f>
        <v/>
      </c>
      <c r="N1330">
        <f>IF(M1330="","",IF(ISNUMBER(B1330),B1330,IFERROR(_xlfn.NUMBERVALUE(B1330,".",","),0)))</f>
        <v/>
      </c>
      <c r="O1330">
        <f>IF(M1330="","",IF(ISNUMBER(C1330),C1330,IFERROR(_xlfn.NUMBERVALUE(C1330,".",","),0)))</f>
        <v/>
      </c>
    </row>
    <row r="1331">
      <c r="K1331">
        <f>IF(OR(LEFT(B1331,9)="DOANH THU",LEFT(B1331,8)="SỐ LƯỢNG"),A1331,IF(A1331="","",K1330))</f>
        <v/>
      </c>
      <c r="L1331">
        <f>IF(A1331="","",IF(ISNUMBER(--LEFT(A1331,FIND(" - ",A1331&amp;" - ")-1)),LEFT(A1331,FIND(" - ",A1331&amp;" - ")-1),TRIM(A1331)))</f>
        <v/>
      </c>
      <c r="M1331">
        <f>IF(OR(K1331="",K1331=A1331,A1331=""),"",K1331&amp;"|"&amp;L1331)</f>
        <v/>
      </c>
      <c r="N1331">
        <f>IF(M1331="","",IF(ISNUMBER(B1331),B1331,IFERROR(_xlfn.NUMBERVALUE(B1331,".",","),0)))</f>
        <v/>
      </c>
      <c r="O1331">
        <f>IF(M1331="","",IF(ISNUMBER(C1331),C1331,IFERROR(_xlfn.NUMBERVALUE(C1331,".",","),0)))</f>
        <v/>
      </c>
    </row>
    <row r="1332">
      <c r="K1332">
        <f>IF(OR(LEFT(B1332,9)="DOANH THU",LEFT(B1332,8)="SỐ LƯỢNG"),A1332,IF(A1332="","",K1331))</f>
        <v/>
      </c>
      <c r="L1332">
        <f>IF(A1332="","",IF(ISNUMBER(--LEFT(A1332,FIND(" - ",A1332&amp;" - ")-1)),LEFT(A1332,FIND(" - ",A1332&amp;" - ")-1),TRIM(A1332)))</f>
        <v/>
      </c>
      <c r="M1332">
        <f>IF(OR(K1332="",K1332=A1332,A1332=""),"",K1332&amp;"|"&amp;L1332)</f>
        <v/>
      </c>
      <c r="N1332">
        <f>IF(M1332="","",IF(ISNUMBER(B1332),B1332,IFERROR(_xlfn.NUMBERVALUE(B1332,".",","),0)))</f>
        <v/>
      </c>
      <c r="O1332">
        <f>IF(M1332="","",IF(ISNUMBER(C1332),C1332,IFERROR(_xlfn.NUMBERVALUE(C1332,".",","),0)))</f>
        <v/>
      </c>
    </row>
    <row r="1333">
      <c r="K1333">
        <f>IF(OR(LEFT(B1333,9)="DOANH THU",LEFT(B1333,8)="SỐ LƯỢNG"),A1333,IF(A1333="","",K1332))</f>
        <v/>
      </c>
      <c r="L1333">
        <f>IF(A1333="","",IF(ISNUMBER(--LEFT(A1333,FIND(" - ",A1333&amp;" - ")-1)),LEFT(A1333,FIND(" - ",A1333&amp;" - ")-1),TRIM(A1333)))</f>
        <v/>
      </c>
      <c r="M1333">
        <f>IF(OR(K1333="",K1333=A1333,A1333=""),"",K1333&amp;"|"&amp;L1333)</f>
        <v/>
      </c>
      <c r="N1333">
        <f>IF(M1333="","",IF(ISNUMBER(B1333),B1333,IFERROR(_xlfn.NUMBERVALUE(B1333,".",","),0)))</f>
        <v/>
      </c>
      <c r="O1333">
        <f>IF(M1333="","",IF(ISNUMBER(C1333),C1333,IFERROR(_xlfn.NUMBERVALUE(C1333,".",","),0)))</f>
        <v/>
      </c>
    </row>
    <row r="1334">
      <c r="K1334">
        <f>IF(OR(LEFT(B1334,9)="DOANH THU",LEFT(B1334,8)="SỐ LƯỢNG"),A1334,IF(A1334="","",K1333))</f>
        <v/>
      </c>
      <c r="L1334">
        <f>IF(A1334="","",IF(ISNUMBER(--LEFT(A1334,FIND(" - ",A1334&amp;" - ")-1)),LEFT(A1334,FIND(" - ",A1334&amp;" - ")-1),TRIM(A1334)))</f>
        <v/>
      </c>
      <c r="M1334">
        <f>IF(OR(K1334="",K1334=A1334,A1334=""),"",K1334&amp;"|"&amp;L1334)</f>
        <v/>
      </c>
      <c r="N1334">
        <f>IF(M1334="","",IF(ISNUMBER(B1334),B1334,IFERROR(_xlfn.NUMBERVALUE(B1334,".",","),0)))</f>
        <v/>
      </c>
      <c r="O1334">
        <f>IF(M1334="","",IF(ISNUMBER(C1334),C1334,IFERROR(_xlfn.NUMBERVALUE(C1334,".",","),0)))</f>
        <v/>
      </c>
    </row>
    <row r="1335">
      <c r="K1335">
        <f>IF(OR(LEFT(B1335,9)="DOANH THU",LEFT(B1335,8)="SỐ LƯỢNG"),A1335,IF(A1335="","",K1334))</f>
        <v/>
      </c>
      <c r="L1335">
        <f>IF(A1335="","",IF(ISNUMBER(--LEFT(A1335,FIND(" - ",A1335&amp;" - ")-1)),LEFT(A1335,FIND(" - ",A1335&amp;" - ")-1),TRIM(A1335)))</f>
        <v/>
      </c>
      <c r="M1335">
        <f>IF(OR(K1335="",K1335=A1335,A1335=""),"",K1335&amp;"|"&amp;L1335)</f>
        <v/>
      </c>
      <c r="N1335">
        <f>IF(M1335="","",IF(ISNUMBER(B1335),B1335,IFERROR(_xlfn.NUMBERVALUE(B1335,".",","),0)))</f>
        <v/>
      </c>
      <c r="O1335">
        <f>IF(M1335="","",IF(ISNUMBER(C1335),C1335,IFERROR(_xlfn.NUMBERVALUE(C1335,".",","),0)))</f>
        <v/>
      </c>
    </row>
    <row r="1336">
      <c r="K1336">
        <f>IF(OR(LEFT(B1336,9)="DOANH THU",LEFT(B1336,8)="SỐ LƯỢNG"),A1336,IF(A1336="","",K1335))</f>
        <v/>
      </c>
      <c r="L1336">
        <f>IF(A1336="","",IF(ISNUMBER(--LEFT(A1336,FIND(" - ",A1336&amp;" - ")-1)),LEFT(A1336,FIND(" - ",A1336&amp;" - ")-1),TRIM(A1336)))</f>
        <v/>
      </c>
      <c r="M1336">
        <f>IF(OR(K1336="",K1336=A1336,A1336=""),"",K1336&amp;"|"&amp;L1336)</f>
        <v/>
      </c>
      <c r="N1336">
        <f>IF(M1336="","",IF(ISNUMBER(B1336),B1336,IFERROR(_xlfn.NUMBERVALUE(B1336,".",","),0)))</f>
        <v/>
      </c>
      <c r="O1336">
        <f>IF(M1336="","",IF(ISNUMBER(C1336),C1336,IFERROR(_xlfn.NUMBERVALUE(C1336,".",","),0)))</f>
        <v/>
      </c>
    </row>
    <row r="1337">
      <c r="K1337">
        <f>IF(OR(LEFT(B1337,9)="DOANH THU",LEFT(B1337,8)="SỐ LƯỢNG"),A1337,IF(A1337="","",K1336))</f>
        <v/>
      </c>
      <c r="L1337">
        <f>IF(A1337="","",IF(ISNUMBER(--LEFT(A1337,FIND(" - ",A1337&amp;" - ")-1)),LEFT(A1337,FIND(" - ",A1337&amp;" - ")-1),TRIM(A1337)))</f>
        <v/>
      </c>
      <c r="M1337">
        <f>IF(OR(K1337="",K1337=A1337,A1337=""),"",K1337&amp;"|"&amp;L1337)</f>
        <v/>
      </c>
      <c r="N1337">
        <f>IF(M1337="","",IF(ISNUMBER(B1337),B1337,IFERROR(_xlfn.NUMBERVALUE(B1337,".",","),0)))</f>
        <v/>
      </c>
      <c r="O1337">
        <f>IF(M1337="","",IF(ISNUMBER(C1337),C1337,IFERROR(_xlfn.NUMBERVALUE(C1337,".",","),0)))</f>
        <v/>
      </c>
    </row>
    <row r="1338">
      <c r="K1338">
        <f>IF(OR(LEFT(B1338,9)="DOANH THU",LEFT(B1338,8)="SỐ LƯỢNG"),A1338,IF(A1338="","",K1337))</f>
        <v/>
      </c>
      <c r="L1338">
        <f>IF(A1338="","",IF(ISNUMBER(--LEFT(A1338,FIND(" - ",A1338&amp;" - ")-1)),LEFT(A1338,FIND(" - ",A1338&amp;" - ")-1),TRIM(A1338)))</f>
        <v/>
      </c>
      <c r="M1338">
        <f>IF(OR(K1338="",K1338=A1338,A1338=""),"",K1338&amp;"|"&amp;L1338)</f>
        <v/>
      </c>
      <c r="N1338">
        <f>IF(M1338="","",IF(ISNUMBER(B1338),B1338,IFERROR(_xlfn.NUMBERVALUE(B1338,".",","),0)))</f>
        <v/>
      </c>
      <c r="O1338">
        <f>IF(M1338="","",IF(ISNUMBER(C1338),C1338,IFERROR(_xlfn.NUMBERVALUE(C1338,".",","),0)))</f>
        <v/>
      </c>
    </row>
    <row r="1339">
      <c r="K1339">
        <f>IF(OR(LEFT(B1339,9)="DOANH THU",LEFT(B1339,8)="SỐ LƯỢNG"),A1339,IF(A1339="","",K1338))</f>
        <v/>
      </c>
      <c r="L1339">
        <f>IF(A1339="","",IF(ISNUMBER(--LEFT(A1339,FIND(" - ",A1339&amp;" - ")-1)),LEFT(A1339,FIND(" - ",A1339&amp;" - ")-1),TRIM(A1339)))</f>
        <v/>
      </c>
      <c r="M1339">
        <f>IF(OR(K1339="",K1339=A1339,A1339=""),"",K1339&amp;"|"&amp;L1339)</f>
        <v/>
      </c>
      <c r="N1339">
        <f>IF(M1339="","",IF(ISNUMBER(B1339),B1339,IFERROR(_xlfn.NUMBERVALUE(B1339,".",","),0)))</f>
        <v/>
      </c>
      <c r="O1339">
        <f>IF(M1339="","",IF(ISNUMBER(C1339),C1339,IFERROR(_xlfn.NUMBERVALUE(C1339,".",","),0)))</f>
        <v/>
      </c>
    </row>
    <row r="1340">
      <c r="K1340">
        <f>IF(OR(LEFT(B1340,9)="DOANH THU",LEFT(B1340,8)="SỐ LƯỢNG"),A1340,IF(A1340="","",K1339))</f>
        <v/>
      </c>
      <c r="L1340">
        <f>IF(A1340="","",IF(ISNUMBER(--LEFT(A1340,FIND(" - ",A1340&amp;" - ")-1)),LEFT(A1340,FIND(" - ",A1340&amp;" - ")-1),TRIM(A1340)))</f>
        <v/>
      </c>
      <c r="M1340">
        <f>IF(OR(K1340="",K1340=A1340,A1340=""),"",K1340&amp;"|"&amp;L1340)</f>
        <v/>
      </c>
      <c r="N1340">
        <f>IF(M1340="","",IF(ISNUMBER(B1340),B1340,IFERROR(_xlfn.NUMBERVALUE(B1340,".",","),0)))</f>
        <v/>
      </c>
      <c r="O1340">
        <f>IF(M1340="","",IF(ISNUMBER(C1340),C1340,IFERROR(_xlfn.NUMBERVALUE(C1340,".",","),0)))</f>
        <v/>
      </c>
    </row>
    <row r="1341">
      <c r="K1341">
        <f>IF(OR(LEFT(B1341,9)="DOANH THU",LEFT(B1341,8)="SỐ LƯỢNG"),A1341,IF(A1341="","",K1340))</f>
        <v/>
      </c>
      <c r="L1341">
        <f>IF(A1341="","",IF(ISNUMBER(--LEFT(A1341,FIND(" - ",A1341&amp;" - ")-1)),LEFT(A1341,FIND(" - ",A1341&amp;" - ")-1),TRIM(A1341)))</f>
        <v/>
      </c>
      <c r="M1341">
        <f>IF(OR(K1341="",K1341=A1341,A1341=""),"",K1341&amp;"|"&amp;L1341)</f>
        <v/>
      </c>
      <c r="N1341">
        <f>IF(M1341="","",IF(ISNUMBER(B1341),B1341,IFERROR(_xlfn.NUMBERVALUE(B1341,".",","),0)))</f>
        <v/>
      </c>
      <c r="O1341">
        <f>IF(M1341="","",IF(ISNUMBER(C1341),C1341,IFERROR(_xlfn.NUMBERVALUE(C1341,".",","),0)))</f>
        <v/>
      </c>
    </row>
    <row r="1342">
      <c r="K1342">
        <f>IF(OR(LEFT(B1342,9)="DOANH THU",LEFT(B1342,8)="SỐ LƯỢNG"),A1342,IF(A1342="","",K1341))</f>
        <v/>
      </c>
      <c r="L1342">
        <f>IF(A1342="","",IF(ISNUMBER(--LEFT(A1342,FIND(" - ",A1342&amp;" - ")-1)),LEFT(A1342,FIND(" - ",A1342&amp;" - ")-1),TRIM(A1342)))</f>
        <v/>
      </c>
      <c r="M1342">
        <f>IF(OR(K1342="",K1342=A1342,A1342=""),"",K1342&amp;"|"&amp;L1342)</f>
        <v/>
      </c>
      <c r="N1342">
        <f>IF(M1342="","",IF(ISNUMBER(B1342),B1342,IFERROR(_xlfn.NUMBERVALUE(B1342,".",","),0)))</f>
        <v/>
      </c>
      <c r="O1342">
        <f>IF(M1342="","",IF(ISNUMBER(C1342),C1342,IFERROR(_xlfn.NUMBERVALUE(C1342,".",","),0)))</f>
        <v/>
      </c>
    </row>
    <row r="1343">
      <c r="K1343">
        <f>IF(OR(LEFT(B1343,9)="DOANH THU",LEFT(B1343,8)="SỐ LƯỢNG"),A1343,IF(A1343="","",K1342))</f>
        <v/>
      </c>
      <c r="L1343">
        <f>IF(A1343="","",IF(ISNUMBER(--LEFT(A1343,FIND(" - ",A1343&amp;" - ")-1)),LEFT(A1343,FIND(" - ",A1343&amp;" - ")-1),TRIM(A1343)))</f>
        <v/>
      </c>
      <c r="M1343">
        <f>IF(OR(K1343="",K1343=A1343,A1343=""),"",K1343&amp;"|"&amp;L1343)</f>
        <v/>
      </c>
      <c r="N1343">
        <f>IF(M1343="","",IF(ISNUMBER(B1343),B1343,IFERROR(_xlfn.NUMBERVALUE(B1343,".",","),0)))</f>
        <v/>
      </c>
      <c r="O1343">
        <f>IF(M1343="","",IF(ISNUMBER(C1343),C1343,IFERROR(_xlfn.NUMBERVALUE(C1343,".",","),0)))</f>
        <v/>
      </c>
    </row>
    <row r="1344">
      <c r="K1344">
        <f>IF(OR(LEFT(B1344,9)="DOANH THU",LEFT(B1344,8)="SỐ LƯỢNG"),A1344,IF(A1344="","",K1343))</f>
        <v/>
      </c>
      <c r="L1344">
        <f>IF(A1344="","",IF(ISNUMBER(--LEFT(A1344,FIND(" - ",A1344&amp;" - ")-1)),LEFT(A1344,FIND(" - ",A1344&amp;" - ")-1),TRIM(A1344)))</f>
        <v/>
      </c>
      <c r="M1344">
        <f>IF(OR(K1344="",K1344=A1344,A1344=""),"",K1344&amp;"|"&amp;L1344)</f>
        <v/>
      </c>
      <c r="N1344">
        <f>IF(M1344="","",IF(ISNUMBER(B1344),B1344,IFERROR(_xlfn.NUMBERVALUE(B1344,".",","),0)))</f>
        <v/>
      </c>
      <c r="O1344">
        <f>IF(M1344="","",IF(ISNUMBER(C1344),C1344,IFERROR(_xlfn.NUMBERVALUE(C1344,".",","),0)))</f>
        <v/>
      </c>
    </row>
    <row r="1345">
      <c r="K1345">
        <f>IF(OR(LEFT(B1345,9)="DOANH THU",LEFT(B1345,8)="SỐ LƯỢNG"),A1345,IF(A1345="","",K1344))</f>
        <v/>
      </c>
      <c r="L1345">
        <f>IF(A1345="","",IF(ISNUMBER(--LEFT(A1345,FIND(" - ",A1345&amp;" - ")-1)),LEFT(A1345,FIND(" - ",A1345&amp;" - ")-1),TRIM(A1345)))</f>
        <v/>
      </c>
      <c r="M1345">
        <f>IF(OR(K1345="",K1345=A1345,A1345=""),"",K1345&amp;"|"&amp;L1345)</f>
        <v/>
      </c>
      <c r="N1345">
        <f>IF(M1345="","",IF(ISNUMBER(B1345),B1345,IFERROR(_xlfn.NUMBERVALUE(B1345,".",","),0)))</f>
        <v/>
      </c>
      <c r="O1345">
        <f>IF(M1345="","",IF(ISNUMBER(C1345),C1345,IFERROR(_xlfn.NUMBERVALUE(C1345,".",","),0)))</f>
        <v/>
      </c>
    </row>
    <row r="1346">
      <c r="K1346">
        <f>IF(OR(LEFT(B1346,9)="DOANH THU",LEFT(B1346,8)="SỐ LƯỢNG"),A1346,IF(A1346="","",K1345))</f>
        <v/>
      </c>
      <c r="L1346">
        <f>IF(A1346="","",IF(ISNUMBER(--LEFT(A1346,FIND(" - ",A1346&amp;" - ")-1)),LEFT(A1346,FIND(" - ",A1346&amp;" - ")-1),TRIM(A1346)))</f>
        <v/>
      </c>
      <c r="M1346">
        <f>IF(OR(K1346="",K1346=A1346,A1346=""),"",K1346&amp;"|"&amp;L1346)</f>
        <v/>
      </c>
      <c r="N1346">
        <f>IF(M1346="","",IF(ISNUMBER(B1346),B1346,IFERROR(_xlfn.NUMBERVALUE(B1346,".",","),0)))</f>
        <v/>
      </c>
      <c r="O1346">
        <f>IF(M1346="","",IF(ISNUMBER(C1346),C1346,IFERROR(_xlfn.NUMBERVALUE(C1346,".",","),0)))</f>
        <v/>
      </c>
    </row>
    <row r="1347">
      <c r="K1347">
        <f>IF(OR(LEFT(B1347,9)="DOANH THU",LEFT(B1347,8)="SỐ LƯỢNG"),A1347,IF(A1347="","",K1346))</f>
        <v/>
      </c>
      <c r="L1347">
        <f>IF(A1347="","",IF(ISNUMBER(--LEFT(A1347,FIND(" - ",A1347&amp;" - ")-1)),LEFT(A1347,FIND(" - ",A1347&amp;" - ")-1),TRIM(A1347)))</f>
        <v/>
      </c>
      <c r="M1347">
        <f>IF(OR(K1347="",K1347=A1347,A1347=""),"",K1347&amp;"|"&amp;L1347)</f>
        <v/>
      </c>
      <c r="N1347">
        <f>IF(M1347="","",IF(ISNUMBER(B1347),B1347,IFERROR(_xlfn.NUMBERVALUE(B1347,".",","),0)))</f>
        <v/>
      </c>
      <c r="O1347">
        <f>IF(M1347="","",IF(ISNUMBER(C1347),C1347,IFERROR(_xlfn.NUMBERVALUE(C1347,".",","),0)))</f>
        <v/>
      </c>
    </row>
    <row r="1348">
      <c r="K1348">
        <f>IF(OR(LEFT(B1348,9)="DOANH THU",LEFT(B1348,8)="SỐ LƯỢNG"),A1348,IF(A1348="","",K1347))</f>
        <v/>
      </c>
      <c r="L1348">
        <f>IF(A1348="","",IF(ISNUMBER(--LEFT(A1348,FIND(" - ",A1348&amp;" - ")-1)),LEFT(A1348,FIND(" - ",A1348&amp;" - ")-1),TRIM(A1348)))</f>
        <v/>
      </c>
      <c r="M1348">
        <f>IF(OR(K1348="",K1348=A1348,A1348=""),"",K1348&amp;"|"&amp;L1348)</f>
        <v/>
      </c>
      <c r="N1348">
        <f>IF(M1348="","",IF(ISNUMBER(B1348),B1348,IFERROR(_xlfn.NUMBERVALUE(B1348,".",","),0)))</f>
        <v/>
      </c>
      <c r="O1348">
        <f>IF(M1348="","",IF(ISNUMBER(C1348),C1348,IFERROR(_xlfn.NUMBERVALUE(C1348,".",","),0)))</f>
        <v/>
      </c>
    </row>
    <row r="1349">
      <c r="K1349">
        <f>IF(OR(LEFT(B1349,9)="DOANH THU",LEFT(B1349,8)="SỐ LƯỢNG"),A1349,IF(A1349="","",K1348))</f>
        <v/>
      </c>
      <c r="L1349">
        <f>IF(A1349="","",IF(ISNUMBER(--LEFT(A1349,FIND(" - ",A1349&amp;" - ")-1)),LEFT(A1349,FIND(" - ",A1349&amp;" - ")-1),TRIM(A1349)))</f>
        <v/>
      </c>
      <c r="M1349">
        <f>IF(OR(K1349="",K1349=A1349,A1349=""),"",K1349&amp;"|"&amp;L1349)</f>
        <v/>
      </c>
      <c r="N1349">
        <f>IF(M1349="","",IF(ISNUMBER(B1349),B1349,IFERROR(_xlfn.NUMBERVALUE(B1349,".",","),0)))</f>
        <v/>
      </c>
      <c r="O1349">
        <f>IF(M1349="","",IF(ISNUMBER(C1349),C1349,IFERROR(_xlfn.NUMBERVALUE(C1349,".",","),0)))</f>
        <v/>
      </c>
    </row>
    <row r="1350">
      <c r="K1350">
        <f>IF(OR(LEFT(B1350,9)="DOANH THU",LEFT(B1350,8)="SỐ LƯỢNG"),A1350,IF(A1350="","",K1349))</f>
        <v/>
      </c>
      <c r="L1350">
        <f>IF(A1350="","",IF(ISNUMBER(--LEFT(A1350,FIND(" - ",A1350&amp;" - ")-1)),LEFT(A1350,FIND(" - ",A1350&amp;" - ")-1),TRIM(A1350)))</f>
        <v/>
      </c>
      <c r="M1350">
        <f>IF(OR(K1350="",K1350=A1350,A1350=""),"",K1350&amp;"|"&amp;L1350)</f>
        <v/>
      </c>
      <c r="N1350">
        <f>IF(M1350="","",IF(ISNUMBER(B1350),B1350,IFERROR(_xlfn.NUMBERVALUE(B1350,".",","),0)))</f>
        <v/>
      </c>
      <c r="O1350">
        <f>IF(M1350="","",IF(ISNUMBER(C1350),C1350,IFERROR(_xlfn.NUMBERVALUE(C1350,".",","),0)))</f>
        <v/>
      </c>
    </row>
    <row r="1351">
      <c r="K1351">
        <f>IF(OR(LEFT(B1351,9)="DOANH THU",LEFT(B1351,8)="SỐ LƯỢNG"),A1351,IF(A1351="","",K1350))</f>
        <v/>
      </c>
      <c r="L1351">
        <f>IF(A1351="","",IF(ISNUMBER(--LEFT(A1351,FIND(" - ",A1351&amp;" - ")-1)),LEFT(A1351,FIND(" - ",A1351&amp;" - ")-1),TRIM(A1351)))</f>
        <v/>
      </c>
      <c r="M1351">
        <f>IF(OR(K1351="",K1351=A1351,A1351=""),"",K1351&amp;"|"&amp;L1351)</f>
        <v/>
      </c>
      <c r="N1351">
        <f>IF(M1351="","",IF(ISNUMBER(B1351),B1351,IFERROR(_xlfn.NUMBERVALUE(B1351,".",","),0)))</f>
        <v/>
      </c>
      <c r="O1351">
        <f>IF(M1351="","",IF(ISNUMBER(C1351),C1351,IFERROR(_xlfn.NUMBERVALUE(C1351,".",","),0)))</f>
        <v/>
      </c>
    </row>
    <row r="1352">
      <c r="K1352">
        <f>IF(OR(LEFT(B1352,9)="DOANH THU",LEFT(B1352,8)="SỐ LƯỢNG"),A1352,IF(A1352="","",K1351))</f>
        <v/>
      </c>
      <c r="L1352">
        <f>IF(A1352="","",IF(ISNUMBER(--LEFT(A1352,FIND(" - ",A1352&amp;" - ")-1)),LEFT(A1352,FIND(" - ",A1352&amp;" - ")-1),TRIM(A1352)))</f>
        <v/>
      </c>
      <c r="M1352">
        <f>IF(OR(K1352="",K1352=A1352,A1352=""),"",K1352&amp;"|"&amp;L1352)</f>
        <v/>
      </c>
      <c r="N1352">
        <f>IF(M1352="","",IF(ISNUMBER(B1352),B1352,IFERROR(_xlfn.NUMBERVALUE(B1352,".",","),0)))</f>
        <v/>
      </c>
      <c r="O1352">
        <f>IF(M1352="","",IF(ISNUMBER(C1352),C1352,IFERROR(_xlfn.NUMBERVALUE(C1352,".",","),0)))</f>
        <v/>
      </c>
    </row>
    <row r="1353">
      <c r="K1353">
        <f>IF(OR(LEFT(B1353,9)="DOANH THU",LEFT(B1353,8)="SỐ LƯỢNG"),A1353,IF(A1353="","",K1352))</f>
        <v/>
      </c>
      <c r="L1353">
        <f>IF(A1353="","",IF(ISNUMBER(--LEFT(A1353,FIND(" - ",A1353&amp;" - ")-1)),LEFT(A1353,FIND(" - ",A1353&amp;" - ")-1),TRIM(A1353)))</f>
        <v/>
      </c>
      <c r="M1353">
        <f>IF(OR(K1353="",K1353=A1353,A1353=""),"",K1353&amp;"|"&amp;L1353)</f>
        <v/>
      </c>
      <c r="N1353">
        <f>IF(M1353="","",IF(ISNUMBER(B1353),B1353,IFERROR(_xlfn.NUMBERVALUE(B1353,".",","),0)))</f>
        <v/>
      </c>
      <c r="O1353">
        <f>IF(M1353="","",IF(ISNUMBER(C1353),C1353,IFERROR(_xlfn.NUMBERVALUE(C1353,".",","),0)))</f>
        <v/>
      </c>
    </row>
    <row r="1354">
      <c r="K1354">
        <f>IF(OR(LEFT(B1354,9)="DOANH THU",LEFT(B1354,8)="SỐ LƯỢNG"),A1354,IF(A1354="","",K1353))</f>
        <v/>
      </c>
      <c r="L1354">
        <f>IF(A1354="","",IF(ISNUMBER(--LEFT(A1354,FIND(" - ",A1354&amp;" - ")-1)),LEFT(A1354,FIND(" - ",A1354&amp;" - ")-1),TRIM(A1354)))</f>
        <v/>
      </c>
      <c r="M1354">
        <f>IF(OR(K1354="",K1354=A1354,A1354=""),"",K1354&amp;"|"&amp;L1354)</f>
        <v/>
      </c>
      <c r="N1354">
        <f>IF(M1354="","",IF(ISNUMBER(B1354),B1354,IFERROR(_xlfn.NUMBERVALUE(B1354,".",","),0)))</f>
        <v/>
      </c>
      <c r="O1354">
        <f>IF(M1354="","",IF(ISNUMBER(C1354),C1354,IFERROR(_xlfn.NUMBERVALUE(C1354,".",","),0)))</f>
        <v/>
      </c>
    </row>
    <row r="1355">
      <c r="K1355">
        <f>IF(OR(LEFT(B1355,9)="DOANH THU",LEFT(B1355,8)="SỐ LƯỢNG"),A1355,IF(A1355="","",K1354))</f>
        <v/>
      </c>
      <c r="L1355">
        <f>IF(A1355="","",IF(ISNUMBER(--LEFT(A1355,FIND(" - ",A1355&amp;" - ")-1)),LEFT(A1355,FIND(" - ",A1355&amp;" - ")-1),TRIM(A1355)))</f>
        <v/>
      </c>
      <c r="M1355">
        <f>IF(OR(K1355="",K1355=A1355,A1355=""),"",K1355&amp;"|"&amp;L1355)</f>
        <v/>
      </c>
      <c r="N1355">
        <f>IF(M1355="","",IF(ISNUMBER(B1355),B1355,IFERROR(_xlfn.NUMBERVALUE(B1355,".",","),0)))</f>
        <v/>
      </c>
      <c r="O1355">
        <f>IF(M1355="","",IF(ISNUMBER(C1355),C1355,IFERROR(_xlfn.NUMBERVALUE(C1355,".",","),0)))</f>
        <v/>
      </c>
    </row>
    <row r="1356">
      <c r="K1356">
        <f>IF(OR(LEFT(B1356,9)="DOANH THU",LEFT(B1356,8)="SỐ LƯỢNG"),A1356,IF(A1356="","",K1355))</f>
        <v/>
      </c>
      <c r="L1356">
        <f>IF(A1356="","",IF(ISNUMBER(--LEFT(A1356,FIND(" - ",A1356&amp;" - ")-1)),LEFT(A1356,FIND(" - ",A1356&amp;" - ")-1),TRIM(A1356)))</f>
        <v/>
      </c>
      <c r="M1356">
        <f>IF(OR(K1356="",K1356=A1356,A1356=""),"",K1356&amp;"|"&amp;L1356)</f>
        <v/>
      </c>
      <c r="N1356">
        <f>IF(M1356="","",IF(ISNUMBER(B1356),B1356,IFERROR(_xlfn.NUMBERVALUE(B1356,".",","),0)))</f>
        <v/>
      </c>
      <c r="O1356">
        <f>IF(M1356="","",IF(ISNUMBER(C1356),C1356,IFERROR(_xlfn.NUMBERVALUE(C1356,".",","),0)))</f>
        <v/>
      </c>
    </row>
    <row r="1357">
      <c r="K1357">
        <f>IF(OR(LEFT(B1357,9)="DOANH THU",LEFT(B1357,8)="SỐ LƯỢNG"),A1357,IF(A1357="","",K1356))</f>
        <v/>
      </c>
      <c r="L1357">
        <f>IF(A1357="","",IF(ISNUMBER(--LEFT(A1357,FIND(" - ",A1357&amp;" - ")-1)),LEFT(A1357,FIND(" - ",A1357&amp;" - ")-1),TRIM(A1357)))</f>
        <v/>
      </c>
      <c r="M1357">
        <f>IF(OR(K1357="",K1357=A1357,A1357=""),"",K1357&amp;"|"&amp;L1357)</f>
        <v/>
      </c>
      <c r="N1357">
        <f>IF(M1357="","",IF(ISNUMBER(B1357),B1357,IFERROR(_xlfn.NUMBERVALUE(B1357,".",","),0)))</f>
        <v/>
      </c>
      <c r="O1357">
        <f>IF(M1357="","",IF(ISNUMBER(C1357),C1357,IFERROR(_xlfn.NUMBERVALUE(C1357,".",","),0)))</f>
        <v/>
      </c>
    </row>
    <row r="1358">
      <c r="K1358">
        <f>IF(OR(LEFT(B1358,9)="DOANH THU",LEFT(B1358,8)="SỐ LƯỢNG"),A1358,IF(A1358="","",K1357))</f>
        <v/>
      </c>
      <c r="L1358">
        <f>IF(A1358="","",IF(ISNUMBER(--LEFT(A1358,FIND(" - ",A1358&amp;" - ")-1)),LEFT(A1358,FIND(" - ",A1358&amp;" - ")-1),TRIM(A1358)))</f>
        <v/>
      </c>
      <c r="M1358">
        <f>IF(OR(K1358="",K1358=A1358,A1358=""),"",K1358&amp;"|"&amp;L1358)</f>
        <v/>
      </c>
      <c r="N1358">
        <f>IF(M1358="","",IF(ISNUMBER(B1358),B1358,IFERROR(_xlfn.NUMBERVALUE(B1358,".",","),0)))</f>
        <v/>
      </c>
      <c r="O1358">
        <f>IF(M1358="","",IF(ISNUMBER(C1358),C1358,IFERROR(_xlfn.NUMBERVALUE(C1358,".",","),0)))</f>
        <v/>
      </c>
    </row>
    <row r="1359">
      <c r="K1359">
        <f>IF(OR(LEFT(B1359,9)="DOANH THU",LEFT(B1359,8)="SỐ LƯỢNG"),A1359,IF(A1359="","",K1358))</f>
        <v/>
      </c>
      <c r="L1359">
        <f>IF(A1359="","",IF(ISNUMBER(--LEFT(A1359,FIND(" - ",A1359&amp;" - ")-1)),LEFT(A1359,FIND(" - ",A1359&amp;" - ")-1),TRIM(A1359)))</f>
        <v/>
      </c>
      <c r="M1359">
        <f>IF(OR(K1359="",K1359=A1359,A1359=""),"",K1359&amp;"|"&amp;L1359)</f>
        <v/>
      </c>
      <c r="N1359">
        <f>IF(M1359="","",IF(ISNUMBER(B1359),B1359,IFERROR(_xlfn.NUMBERVALUE(B1359,".",","),0)))</f>
        <v/>
      </c>
      <c r="O1359">
        <f>IF(M1359="","",IF(ISNUMBER(C1359),C1359,IFERROR(_xlfn.NUMBERVALUE(C1359,".",","),0)))</f>
        <v/>
      </c>
    </row>
    <row r="1360">
      <c r="K1360">
        <f>IF(OR(LEFT(B1360,9)="DOANH THU",LEFT(B1360,8)="SỐ LƯỢNG"),A1360,IF(A1360="","",K1359))</f>
        <v/>
      </c>
      <c r="L1360">
        <f>IF(A1360="","",IF(ISNUMBER(--LEFT(A1360,FIND(" - ",A1360&amp;" - ")-1)),LEFT(A1360,FIND(" - ",A1360&amp;" - ")-1),TRIM(A1360)))</f>
        <v/>
      </c>
      <c r="M1360">
        <f>IF(OR(K1360="",K1360=A1360,A1360=""),"",K1360&amp;"|"&amp;L1360)</f>
        <v/>
      </c>
      <c r="N1360">
        <f>IF(M1360="","",IF(ISNUMBER(B1360),B1360,IFERROR(_xlfn.NUMBERVALUE(B1360,".",","),0)))</f>
        <v/>
      </c>
      <c r="O1360">
        <f>IF(M1360="","",IF(ISNUMBER(C1360),C1360,IFERROR(_xlfn.NUMBERVALUE(C1360,".",","),0)))</f>
        <v/>
      </c>
    </row>
    <row r="1361">
      <c r="K1361">
        <f>IF(OR(LEFT(B1361,9)="DOANH THU",LEFT(B1361,8)="SỐ LƯỢNG"),A1361,IF(A1361="","",K1360))</f>
        <v/>
      </c>
      <c r="L1361">
        <f>IF(A1361="","",IF(ISNUMBER(--LEFT(A1361,FIND(" - ",A1361&amp;" - ")-1)),LEFT(A1361,FIND(" - ",A1361&amp;" - ")-1),TRIM(A1361)))</f>
        <v/>
      </c>
      <c r="M1361">
        <f>IF(OR(K1361="",K1361=A1361,A1361=""),"",K1361&amp;"|"&amp;L1361)</f>
        <v/>
      </c>
      <c r="N1361">
        <f>IF(M1361="","",IF(ISNUMBER(B1361),B1361,IFERROR(_xlfn.NUMBERVALUE(B1361,".",","),0)))</f>
        <v/>
      </c>
      <c r="O1361">
        <f>IF(M1361="","",IF(ISNUMBER(C1361),C1361,IFERROR(_xlfn.NUMBERVALUE(C1361,".",","),0)))</f>
        <v/>
      </c>
    </row>
    <row r="1362">
      <c r="K1362">
        <f>IF(OR(LEFT(B1362,9)="DOANH THU",LEFT(B1362,8)="SỐ LƯỢNG"),A1362,IF(A1362="","",K1361))</f>
        <v/>
      </c>
      <c r="L1362">
        <f>IF(A1362="","",IF(ISNUMBER(--LEFT(A1362,FIND(" - ",A1362&amp;" - ")-1)),LEFT(A1362,FIND(" - ",A1362&amp;" - ")-1),TRIM(A1362)))</f>
        <v/>
      </c>
      <c r="M1362">
        <f>IF(OR(K1362="",K1362=A1362,A1362=""),"",K1362&amp;"|"&amp;L1362)</f>
        <v/>
      </c>
      <c r="N1362">
        <f>IF(M1362="","",IF(ISNUMBER(B1362),B1362,IFERROR(_xlfn.NUMBERVALUE(B1362,".",","),0)))</f>
        <v/>
      </c>
      <c r="O1362">
        <f>IF(M1362="","",IF(ISNUMBER(C1362),C1362,IFERROR(_xlfn.NUMBERVALUE(C1362,".",","),0)))</f>
        <v/>
      </c>
    </row>
    <row r="1363">
      <c r="K1363">
        <f>IF(OR(LEFT(B1363,9)="DOANH THU",LEFT(B1363,8)="SỐ LƯỢNG"),A1363,IF(A1363="","",K1362))</f>
        <v/>
      </c>
      <c r="L1363">
        <f>IF(A1363="","",IF(ISNUMBER(--LEFT(A1363,FIND(" - ",A1363&amp;" - ")-1)),LEFT(A1363,FIND(" - ",A1363&amp;" - ")-1),TRIM(A1363)))</f>
        <v/>
      </c>
      <c r="M1363">
        <f>IF(OR(K1363="",K1363=A1363,A1363=""),"",K1363&amp;"|"&amp;L1363)</f>
        <v/>
      </c>
      <c r="N1363">
        <f>IF(M1363="","",IF(ISNUMBER(B1363),B1363,IFERROR(_xlfn.NUMBERVALUE(B1363,".",","),0)))</f>
        <v/>
      </c>
      <c r="O1363">
        <f>IF(M1363="","",IF(ISNUMBER(C1363),C1363,IFERROR(_xlfn.NUMBERVALUE(C1363,".",","),0)))</f>
        <v/>
      </c>
    </row>
    <row r="1364">
      <c r="K1364">
        <f>IF(OR(LEFT(B1364,9)="DOANH THU",LEFT(B1364,8)="SỐ LƯỢNG"),A1364,IF(A1364="","",K1363))</f>
        <v/>
      </c>
      <c r="L1364">
        <f>IF(A1364="","",IF(ISNUMBER(--LEFT(A1364,FIND(" - ",A1364&amp;" - ")-1)),LEFT(A1364,FIND(" - ",A1364&amp;" - ")-1),TRIM(A1364)))</f>
        <v/>
      </c>
      <c r="M1364">
        <f>IF(OR(K1364="",K1364=A1364,A1364=""),"",K1364&amp;"|"&amp;L1364)</f>
        <v/>
      </c>
      <c r="N1364">
        <f>IF(M1364="","",IF(ISNUMBER(B1364),B1364,IFERROR(_xlfn.NUMBERVALUE(B1364,".",","),0)))</f>
        <v/>
      </c>
      <c r="O1364">
        <f>IF(M1364="","",IF(ISNUMBER(C1364),C1364,IFERROR(_xlfn.NUMBERVALUE(C1364,".",","),0)))</f>
        <v/>
      </c>
    </row>
    <row r="1365">
      <c r="K1365">
        <f>IF(OR(LEFT(B1365,9)="DOANH THU",LEFT(B1365,8)="SỐ LƯỢNG"),A1365,IF(A1365="","",K1364))</f>
        <v/>
      </c>
      <c r="L1365">
        <f>IF(A1365="","",IF(ISNUMBER(--LEFT(A1365,FIND(" - ",A1365&amp;" - ")-1)),LEFT(A1365,FIND(" - ",A1365&amp;" - ")-1),TRIM(A1365)))</f>
        <v/>
      </c>
      <c r="M1365">
        <f>IF(OR(K1365="",K1365=A1365,A1365=""),"",K1365&amp;"|"&amp;L1365)</f>
        <v/>
      </c>
      <c r="N1365">
        <f>IF(M1365="","",IF(ISNUMBER(B1365),B1365,IFERROR(_xlfn.NUMBERVALUE(B1365,".",","),0)))</f>
        <v/>
      </c>
      <c r="O1365">
        <f>IF(M1365="","",IF(ISNUMBER(C1365),C1365,IFERROR(_xlfn.NUMBERVALUE(C1365,".",","),0)))</f>
        <v/>
      </c>
    </row>
    <row r="1366">
      <c r="K1366">
        <f>IF(OR(LEFT(B1366,9)="DOANH THU",LEFT(B1366,8)="SỐ LƯỢNG"),A1366,IF(A1366="","",K1365))</f>
        <v/>
      </c>
      <c r="L1366">
        <f>IF(A1366="","",IF(ISNUMBER(--LEFT(A1366,FIND(" - ",A1366&amp;" - ")-1)),LEFT(A1366,FIND(" - ",A1366&amp;" - ")-1),TRIM(A1366)))</f>
        <v/>
      </c>
      <c r="M1366">
        <f>IF(OR(K1366="",K1366=A1366,A1366=""),"",K1366&amp;"|"&amp;L1366)</f>
        <v/>
      </c>
      <c r="N1366">
        <f>IF(M1366="","",IF(ISNUMBER(B1366),B1366,IFERROR(_xlfn.NUMBERVALUE(B1366,".",","),0)))</f>
        <v/>
      </c>
      <c r="O1366">
        <f>IF(M1366="","",IF(ISNUMBER(C1366),C1366,IFERROR(_xlfn.NUMBERVALUE(C1366,".",","),0)))</f>
        <v/>
      </c>
    </row>
    <row r="1367">
      <c r="K1367">
        <f>IF(OR(LEFT(B1367,9)="DOANH THU",LEFT(B1367,8)="SỐ LƯỢNG"),A1367,IF(A1367="","",K1366))</f>
        <v/>
      </c>
      <c r="L1367">
        <f>IF(A1367="","",IF(ISNUMBER(--LEFT(A1367,FIND(" - ",A1367&amp;" - ")-1)),LEFT(A1367,FIND(" - ",A1367&amp;" - ")-1),TRIM(A1367)))</f>
        <v/>
      </c>
      <c r="M1367">
        <f>IF(OR(K1367="",K1367=A1367,A1367=""),"",K1367&amp;"|"&amp;L1367)</f>
        <v/>
      </c>
      <c r="N1367">
        <f>IF(M1367="","",IF(ISNUMBER(B1367),B1367,IFERROR(_xlfn.NUMBERVALUE(B1367,".",","),0)))</f>
        <v/>
      </c>
      <c r="O1367">
        <f>IF(M1367="","",IF(ISNUMBER(C1367),C1367,IFERROR(_xlfn.NUMBERVALUE(C1367,".",","),0)))</f>
        <v/>
      </c>
    </row>
    <row r="1368">
      <c r="K1368">
        <f>IF(OR(LEFT(B1368,9)="DOANH THU",LEFT(B1368,8)="SỐ LƯỢNG"),A1368,IF(A1368="","",K1367))</f>
        <v/>
      </c>
      <c r="L1368">
        <f>IF(A1368="","",IF(ISNUMBER(--LEFT(A1368,FIND(" - ",A1368&amp;" - ")-1)),LEFT(A1368,FIND(" - ",A1368&amp;" - ")-1),TRIM(A1368)))</f>
        <v/>
      </c>
      <c r="M1368">
        <f>IF(OR(K1368="",K1368=A1368,A1368=""),"",K1368&amp;"|"&amp;L1368)</f>
        <v/>
      </c>
      <c r="N1368">
        <f>IF(M1368="","",IF(ISNUMBER(B1368),B1368,IFERROR(_xlfn.NUMBERVALUE(B1368,".",","),0)))</f>
        <v/>
      </c>
      <c r="O1368">
        <f>IF(M1368="","",IF(ISNUMBER(C1368),C1368,IFERROR(_xlfn.NUMBERVALUE(C1368,".",","),0)))</f>
        <v/>
      </c>
    </row>
    <row r="1369">
      <c r="K1369">
        <f>IF(OR(LEFT(B1369,9)="DOANH THU",LEFT(B1369,8)="SỐ LƯỢNG"),A1369,IF(A1369="","",K1368))</f>
        <v/>
      </c>
      <c r="L1369">
        <f>IF(A1369="","",IF(ISNUMBER(--LEFT(A1369,FIND(" - ",A1369&amp;" - ")-1)),LEFT(A1369,FIND(" - ",A1369&amp;" - ")-1),TRIM(A1369)))</f>
        <v/>
      </c>
      <c r="M1369">
        <f>IF(OR(K1369="",K1369=A1369,A1369=""),"",K1369&amp;"|"&amp;L1369)</f>
        <v/>
      </c>
      <c r="N1369">
        <f>IF(M1369="","",IF(ISNUMBER(B1369),B1369,IFERROR(_xlfn.NUMBERVALUE(B1369,".",","),0)))</f>
        <v/>
      </c>
      <c r="O1369">
        <f>IF(M1369="","",IF(ISNUMBER(C1369),C1369,IFERROR(_xlfn.NUMBERVALUE(C1369,".",","),0)))</f>
        <v/>
      </c>
    </row>
    <row r="1370">
      <c r="K1370">
        <f>IF(OR(LEFT(B1370,9)="DOANH THU",LEFT(B1370,8)="SỐ LƯỢNG"),A1370,IF(A1370="","",K1369))</f>
        <v/>
      </c>
      <c r="L1370">
        <f>IF(A1370="","",IF(ISNUMBER(--LEFT(A1370,FIND(" - ",A1370&amp;" - ")-1)),LEFT(A1370,FIND(" - ",A1370&amp;" - ")-1),TRIM(A1370)))</f>
        <v/>
      </c>
      <c r="M1370">
        <f>IF(OR(K1370="",K1370=A1370,A1370=""),"",K1370&amp;"|"&amp;L1370)</f>
        <v/>
      </c>
      <c r="N1370">
        <f>IF(M1370="","",IF(ISNUMBER(B1370),B1370,IFERROR(_xlfn.NUMBERVALUE(B1370,".",","),0)))</f>
        <v/>
      </c>
      <c r="O1370">
        <f>IF(M1370="","",IF(ISNUMBER(C1370),C1370,IFERROR(_xlfn.NUMBERVALUE(C1370,".",","),0)))</f>
        <v/>
      </c>
    </row>
    <row r="1371">
      <c r="K1371">
        <f>IF(OR(LEFT(B1371,9)="DOANH THU",LEFT(B1371,8)="SỐ LƯỢNG"),A1371,IF(A1371="","",K1370))</f>
        <v/>
      </c>
      <c r="L1371">
        <f>IF(A1371="","",IF(ISNUMBER(--LEFT(A1371,FIND(" - ",A1371&amp;" - ")-1)),LEFT(A1371,FIND(" - ",A1371&amp;" - ")-1),TRIM(A1371)))</f>
        <v/>
      </c>
      <c r="M1371">
        <f>IF(OR(K1371="",K1371=A1371,A1371=""),"",K1371&amp;"|"&amp;L1371)</f>
        <v/>
      </c>
      <c r="N1371">
        <f>IF(M1371="","",IF(ISNUMBER(B1371),B1371,IFERROR(_xlfn.NUMBERVALUE(B1371,".",","),0)))</f>
        <v/>
      </c>
      <c r="O1371">
        <f>IF(M1371="","",IF(ISNUMBER(C1371),C1371,IFERROR(_xlfn.NUMBERVALUE(C1371,".",","),0)))</f>
        <v/>
      </c>
    </row>
    <row r="1372">
      <c r="K1372">
        <f>IF(OR(LEFT(B1372,9)="DOANH THU",LEFT(B1372,8)="SỐ LƯỢNG"),A1372,IF(A1372="","",K1371))</f>
        <v/>
      </c>
      <c r="L1372">
        <f>IF(A1372="","",IF(ISNUMBER(--LEFT(A1372,FIND(" - ",A1372&amp;" - ")-1)),LEFT(A1372,FIND(" - ",A1372&amp;" - ")-1),TRIM(A1372)))</f>
        <v/>
      </c>
      <c r="M1372">
        <f>IF(OR(K1372="",K1372=A1372,A1372=""),"",K1372&amp;"|"&amp;L1372)</f>
        <v/>
      </c>
      <c r="N1372">
        <f>IF(M1372="","",IF(ISNUMBER(B1372),B1372,IFERROR(_xlfn.NUMBERVALUE(B1372,".",","),0)))</f>
        <v/>
      </c>
      <c r="O1372">
        <f>IF(M1372="","",IF(ISNUMBER(C1372),C1372,IFERROR(_xlfn.NUMBERVALUE(C1372,".",","),0)))</f>
        <v/>
      </c>
    </row>
    <row r="1373">
      <c r="K1373">
        <f>IF(OR(LEFT(B1373,9)="DOANH THU",LEFT(B1373,8)="SỐ LƯỢNG"),A1373,IF(A1373="","",K1372))</f>
        <v/>
      </c>
      <c r="L1373">
        <f>IF(A1373="","",IF(ISNUMBER(--LEFT(A1373,FIND(" - ",A1373&amp;" - ")-1)),LEFT(A1373,FIND(" - ",A1373&amp;" - ")-1),TRIM(A1373)))</f>
        <v/>
      </c>
      <c r="M1373">
        <f>IF(OR(K1373="",K1373=A1373,A1373=""),"",K1373&amp;"|"&amp;L1373)</f>
        <v/>
      </c>
      <c r="N1373">
        <f>IF(M1373="","",IF(ISNUMBER(B1373),B1373,IFERROR(_xlfn.NUMBERVALUE(B1373,".",","),0)))</f>
        <v/>
      </c>
      <c r="O1373">
        <f>IF(M1373="","",IF(ISNUMBER(C1373),C1373,IFERROR(_xlfn.NUMBERVALUE(C1373,".",","),0)))</f>
        <v/>
      </c>
    </row>
    <row r="1374">
      <c r="K1374">
        <f>IF(OR(LEFT(B1374,9)="DOANH THU",LEFT(B1374,8)="SỐ LƯỢNG"),A1374,IF(A1374="","",K1373))</f>
        <v/>
      </c>
      <c r="L1374">
        <f>IF(A1374="","",IF(ISNUMBER(--LEFT(A1374,FIND(" - ",A1374&amp;" - ")-1)),LEFT(A1374,FIND(" - ",A1374&amp;" - ")-1),TRIM(A1374)))</f>
        <v/>
      </c>
      <c r="M1374">
        <f>IF(OR(K1374="",K1374=A1374,A1374=""),"",K1374&amp;"|"&amp;L1374)</f>
        <v/>
      </c>
      <c r="N1374">
        <f>IF(M1374="","",IF(ISNUMBER(B1374),B1374,IFERROR(_xlfn.NUMBERVALUE(B1374,".",","),0)))</f>
        <v/>
      </c>
      <c r="O1374">
        <f>IF(M1374="","",IF(ISNUMBER(C1374),C1374,IFERROR(_xlfn.NUMBERVALUE(C1374,".",","),0)))</f>
        <v/>
      </c>
    </row>
    <row r="1375">
      <c r="K1375">
        <f>IF(OR(LEFT(B1375,9)="DOANH THU",LEFT(B1375,8)="SỐ LƯỢNG"),A1375,IF(A1375="","",K1374))</f>
        <v/>
      </c>
      <c r="L1375">
        <f>IF(A1375="","",IF(ISNUMBER(--LEFT(A1375,FIND(" - ",A1375&amp;" - ")-1)),LEFT(A1375,FIND(" - ",A1375&amp;" - ")-1),TRIM(A1375)))</f>
        <v/>
      </c>
      <c r="M1375">
        <f>IF(OR(K1375="",K1375=A1375,A1375=""),"",K1375&amp;"|"&amp;L1375)</f>
        <v/>
      </c>
      <c r="N1375">
        <f>IF(M1375="","",IF(ISNUMBER(B1375),B1375,IFERROR(_xlfn.NUMBERVALUE(B1375,".",","),0)))</f>
        <v/>
      </c>
      <c r="O1375">
        <f>IF(M1375="","",IF(ISNUMBER(C1375),C1375,IFERROR(_xlfn.NUMBERVALUE(C1375,".",","),0)))</f>
        <v/>
      </c>
    </row>
    <row r="1376">
      <c r="K1376">
        <f>IF(OR(LEFT(B1376,9)="DOANH THU",LEFT(B1376,8)="SỐ LƯỢNG"),A1376,IF(A1376="","",K1375))</f>
        <v/>
      </c>
      <c r="L1376">
        <f>IF(A1376="","",IF(ISNUMBER(--LEFT(A1376,FIND(" - ",A1376&amp;" - ")-1)),LEFT(A1376,FIND(" - ",A1376&amp;" - ")-1),TRIM(A1376)))</f>
        <v/>
      </c>
      <c r="M1376">
        <f>IF(OR(K1376="",K1376=A1376,A1376=""),"",K1376&amp;"|"&amp;L1376)</f>
        <v/>
      </c>
      <c r="N1376">
        <f>IF(M1376="","",IF(ISNUMBER(B1376),B1376,IFERROR(_xlfn.NUMBERVALUE(B1376,".",","),0)))</f>
        <v/>
      </c>
      <c r="O1376">
        <f>IF(M1376="","",IF(ISNUMBER(C1376),C1376,IFERROR(_xlfn.NUMBERVALUE(C1376,".",","),0)))</f>
        <v/>
      </c>
    </row>
    <row r="1377">
      <c r="K1377">
        <f>IF(OR(LEFT(B1377,9)="DOANH THU",LEFT(B1377,8)="SỐ LƯỢNG"),A1377,IF(A1377="","",K1376))</f>
        <v/>
      </c>
      <c r="L1377">
        <f>IF(A1377="","",IF(ISNUMBER(--LEFT(A1377,FIND(" - ",A1377&amp;" - ")-1)),LEFT(A1377,FIND(" - ",A1377&amp;" - ")-1),TRIM(A1377)))</f>
        <v/>
      </c>
      <c r="M1377">
        <f>IF(OR(K1377="",K1377=A1377,A1377=""),"",K1377&amp;"|"&amp;L1377)</f>
        <v/>
      </c>
      <c r="N1377">
        <f>IF(M1377="","",IF(ISNUMBER(B1377),B1377,IFERROR(_xlfn.NUMBERVALUE(B1377,".",","),0)))</f>
        <v/>
      </c>
      <c r="O1377">
        <f>IF(M1377="","",IF(ISNUMBER(C1377),C1377,IFERROR(_xlfn.NUMBERVALUE(C1377,".",","),0)))</f>
        <v/>
      </c>
    </row>
    <row r="1378">
      <c r="K1378">
        <f>IF(OR(LEFT(B1378,9)="DOANH THU",LEFT(B1378,8)="SỐ LƯỢNG"),A1378,IF(A1378="","",K1377))</f>
        <v/>
      </c>
      <c r="L1378">
        <f>IF(A1378="","",IF(ISNUMBER(--LEFT(A1378,FIND(" - ",A1378&amp;" - ")-1)),LEFT(A1378,FIND(" - ",A1378&amp;" - ")-1),TRIM(A1378)))</f>
        <v/>
      </c>
      <c r="M1378">
        <f>IF(OR(K1378="",K1378=A1378,A1378=""),"",K1378&amp;"|"&amp;L1378)</f>
        <v/>
      </c>
      <c r="N1378">
        <f>IF(M1378="","",IF(ISNUMBER(B1378),B1378,IFERROR(_xlfn.NUMBERVALUE(B1378,".",","),0)))</f>
        <v/>
      </c>
      <c r="O1378">
        <f>IF(M1378="","",IF(ISNUMBER(C1378),C1378,IFERROR(_xlfn.NUMBERVALUE(C1378,".",","),0)))</f>
        <v/>
      </c>
    </row>
    <row r="1379">
      <c r="K1379">
        <f>IF(OR(LEFT(B1379,9)="DOANH THU",LEFT(B1379,8)="SỐ LƯỢNG"),A1379,IF(A1379="","",K1378))</f>
        <v/>
      </c>
      <c r="L1379">
        <f>IF(A1379="","",IF(ISNUMBER(--LEFT(A1379,FIND(" - ",A1379&amp;" - ")-1)),LEFT(A1379,FIND(" - ",A1379&amp;" - ")-1),TRIM(A1379)))</f>
        <v/>
      </c>
      <c r="M1379">
        <f>IF(OR(K1379="",K1379=A1379,A1379=""),"",K1379&amp;"|"&amp;L1379)</f>
        <v/>
      </c>
      <c r="N1379">
        <f>IF(M1379="","",IF(ISNUMBER(B1379),B1379,IFERROR(_xlfn.NUMBERVALUE(B1379,".",","),0)))</f>
        <v/>
      </c>
      <c r="O1379">
        <f>IF(M1379="","",IF(ISNUMBER(C1379),C1379,IFERROR(_xlfn.NUMBERVALUE(C1379,".",","),0)))</f>
        <v/>
      </c>
    </row>
    <row r="1380">
      <c r="K1380">
        <f>IF(OR(LEFT(B1380,9)="DOANH THU",LEFT(B1380,8)="SỐ LƯỢNG"),A1380,IF(A1380="","",K1379))</f>
        <v/>
      </c>
      <c r="L1380">
        <f>IF(A1380="","",IF(ISNUMBER(--LEFT(A1380,FIND(" - ",A1380&amp;" - ")-1)),LEFT(A1380,FIND(" - ",A1380&amp;" - ")-1),TRIM(A1380)))</f>
        <v/>
      </c>
      <c r="M1380">
        <f>IF(OR(K1380="",K1380=A1380,A1380=""),"",K1380&amp;"|"&amp;L1380)</f>
        <v/>
      </c>
      <c r="N1380">
        <f>IF(M1380="","",IF(ISNUMBER(B1380),B1380,IFERROR(_xlfn.NUMBERVALUE(B1380,".",","),0)))</f>
        <v/>
      </c>
      <c r="O1380">
        <f>IF(M1380="","",IF(ISNUMBER(C1380),C1380,IFERROR(_xlfn.NUMBERVALUE(C1380,".",","),0)))</f>
        <v/>
      </c>
    </row>
    <row r="1381">
      <c r="K1381">
        <f>IF(OR(LEFT(B1381,9)="DOANH THU",LEFT(B1381,8)="SỐ LƯỢNG"),A1381,IF(A1381="","",K1380))</f>
        <v/>
      </c>
      <c r="L1381">
        <f>IF(A1381="","",IF(ISNUMBER(--LEFT(A1381,FIND(" - ",A1381&amp;" - ")-1)),LEFT(A1381,FIND(" - ",A1381&amp;" - ")-1),TRIM(A1381)))</f>
        <v/>
      </c>
      <c r="M1381">
        <f>IF(OR(K1381="",K1381=A1381,A1381=""),"",K1381&amp;"|"&amp;L1381)</f>
        <v/>
      </c>
      <c r="N1381">
        <f>IF(M1381="","",IF(ISNUMBER(B1381),B1381,IFERROR(_xlfn.NUMBERVALUE(B1381,".",","),0)))</f>
        <v/>
      </c>
      <c r="O1381">
        <f>IF(M1381="","",IF(ISNUMBER(C1381),C1381,IFERROR(_xlfn.NUMBERVALUE(C1381,".",","),0)))</f>
        <v/>
      </c>
    </row>
    <row r="1382">
      <c r="K1382">
        <f>IF(OR(LEFT(B1382,9)="DOANH THU",LEFT(B1382,8)="SỐ LƯỢNG"),A1382,IF(A1382="","",K1381))</f>
        <v/>
      </c>
      <c r="L1382">
        <f>IF(A1382="","",IF(ISNUMBER(--LEFT(A1382,FIND(" - ",A1382&amp;" - ")-1)),LEFT(A1382,FIND(" - ",A1382&amp;" - ")-1),TRIM(A1382)))</f>
        <v/>
      </c>
      <c r="M1382">
        <f>IF(OR(K1382="",K1382=A1382,A1382=""),"",K1382&amp;"|"&amp;L1382)</f>
        <v/>
      </c>
      <c r="N1382">
        <f>IF(M1382="","",IF(ISNUMBER(B1382),B1382,IFERROR(_xlfn.NUMBERVALUE(B1382,".",","),0)))</f>
        <v/>
      </c>
      <c r="O1382">
        <f>IF(M1382="","",IF(ISNUMBER(C1382),C1382,IFERROR(_xlfn.NUMBERVALUE(C1382,".",","),0)))</f>
        <v/>
      </c>
    </row>
    <row r="1383">
      <c r="K1383">
        <f>IF(OR(LEFT(B1383,9)="DOANH THU",LEFT(B1383,8)="SỐ LƯỢNG"),A1383,IF(A1383="","",K1382))</f>
        <v/>
      </c>
      <c r="L1383">
        <f>IF(A1383="","",IF(ISNUMBER(--LEFT(A1383,FIND(" - ",A1383&amp;" - ")-1)),LEFT(A1383,FIND(" - ",A1383&amp;" - ")-1),TRIM(A1383)))</f>
        <v/>
      </c>
      <c r="M1383">
        <f>IF(OR(K1383="",K1383=A1383,A1383=""),"",K1383&amp;"|"&amp;L1383)</f>
        <v/>
      </c>
      <c r="N1383">
        <f>IF(M1383="","",IF(ISNUMBER(B1383),B1383,IFERROR(_xlfn.NUMBERVALUE(B1383,".",","),0)))</f>
        <v/>
      </c>
      <c r="O1383">
        <f>IF(M1383="","",IF(ISNUMBER(C1383),C1383,IFERROR(_xlfn.NUMBERVALUE(C1383,".",","),0)))</f>
        <v/>
      </c>
    </row>
    <row r="1384">
      <c r="K1384">
        <f>IF(OR(LEFT(B1384,9)="DOANH THU",LEFT(B1384,8)="SỐ LƯỢNG"),A1384,IF(A1384="","",K1383))</f>
        <v/>
      </c>
      <c r="L1384">
        <f>IF(A1384="","",IF(ISNUMBER(--LEFT(A1384,FIND(" - ",A1384&amp;" - ")-1)),LEFT(A1384,FIND(" - ",A1384&amp;" - ")-1),TRIM(A1384)))</f>
        <v/>
      </c>
      <c r="M1384">
        <f>IF(OR(K1384="",K1384=A1384,A1384=""),"",K1384&amp;"|"&amp;L1384)</f>
        <v/>
      </c>
      <c r="N1384">
        <f>IF(M1384="","",IF(ISNUMBER(B1384),B1384,IFERROR(_xlfn.NUMBERVALUE(B1384,".",","),0)))</f>
        <v/>
      </c>
      <c r="O1384">
        <f>IF(M1384="","",IF(ISNUMBER(C1384),C1384,IFERROR(_xlfn.NUMBERVALUE(C1384,".",","),0)))</f>
        <v/>
      </c>
    </row>
    <row r="1385">
      <c r="K1385">
        <f>IF(OR(LEFT(B1385,9)="DOANH THU",LEFT(B1385,8)="SỐ LƯỢNG"),A1385,IF(A1385="","",K1384))</f>
        <v/>
      </c>
      <c r="L1385">
        <f>IF(A1385="","",IF(ISNUMBER(--LEFT(A1385,FIND(" - ",A1385&amp;" - ")-1)),LEFT(A1385,FIND(" - ",A1385&amp;" - ")-1),TRIM(A1385)))</f>
        <v/>
      </c>
      <c r="M1385">
        <f>IF(OR(K1385="",K1385=A1385,A1385=""),"",K1385&amp;"|"&amp;L1385)</f>
        <v/>
      </c>
      <c r="N1385">
        <f>IF(M1385="","",IF(ISNUMBER(B1385),B1385,IFERROR(_xlfn.NUMBERVALUE(B1385,".",","),0)))</f>
        <v/>
      </c>
      <c r="O1385">
        <f>IF(M1385="","",IF(ISNUMBER(C1385),C1385,IFERROR(_xlfn.NUMBERVALUE(C1385,".",","),0)))</f>
        <v/>
      </c>
    </row>
    <row r="1386">
      <c r="K1386">
        <f>IF(OR(LEFT(B1386,9)="DOANH THU",LEFT(B1386,8)="SỐ LƯỢNG"),A1386,IF(A1386="","",K1385))</f>
        <v/>
      </c>
      <c r="L1386">
        <f>IF(A1386="","",IF(ISNUMBER(--LEFT(A1386,FIND(" - ",A1386&amp;" - ")-1)),LEFT(A1386,FIND(" - ",A1386&amp;" - ")-1),TRIM(A1386)))</f>
        <v/>
      </c>
      <c r="M1386">
        <f>IF(OR(K1386="",K1386=A1386,A1386=""),"",K1386&amp;"|"&amp;L1386)</f>
        <v/>
      </c>
      <c r="N1386">
        <f>IF(M1386="","",IF(ISNUMBER(B1386),B1386,IFERROR(_xlfn.NUMBERVALUE(B1386,".",","),0)))</f>
        <v/>
      </c>
      <c r="O1386">
        <f>IF(M1386="","",IF(ISNUMBER(C1386),C1386,IFERROR(_xlfn.NUMBERVALUE(C1386,".",","),0)))</f>
        <v/>
      </c>
    </row>
    <row r="1387">
      <c r="K1387">
        <f>IF(OR(LEFT(B1387,9)="DOANH THU",LEFT(B1387,8)="SỐ LƯỢNG"),A1387,IF(A1387="","",K1386))</f>
        <v/>
      </c>
      <c r="L1387">
        <f>IF(A1387="","",IF(ISNUMBER(--LEFT(A1387,FIND(" - ",A1387&amp;" - ")-1)),LEFT(A1387,FIND(" - ",A1387&amp;" - ")-1),TRIM(A1387)))</f>
        <v/>
      </c>
      <c r="M1387">
        <f>IF(OR(K1387="",K1387=A1387,A1387=""),"",K1387&amp;"|"&amp;L1387)</f>
        <v/>
      </c>
      <c r="N1387">
        <f>IF(M1387="","",IF(ISNUMBER(B1387),B1387,IFERROR(_xlfn.NUMBERVALUE(B1387,".",","),0)))</f>
        <v/>
      </c>
      <c r="O1387">
        <f>IF(M1387="","",IF(ISNUMBER(C1387),C1387,IFERROR(_xlfn.NUMBERVALUE(C1387,".",","),0)))</f>
        <v/>
      </c>
    </row>
    <row r="1388">
      <c r="K1388">
        <f>IF(OR(LEFT(B1388,9)="DOANH THU",LEFT(B1388,8)="SỐ LƯỢNG"),A1388,IF(A1388="","",K1387))</f>
        <v/>
      </c>
      <c r="L1388">
        <f>IF(A1388="","",IF(ISNUMBER(--LEFT(A1388,FIND(" - ",A1388&amp;" - ")-1)),LEFT(A1388,FIND(" - ",A1388&amp;" - ")-1),TRIM(A1388)))</f>
        <v/>
      </c>
      <c r="M1388">
        <f>IF(OR(K1388="",K1388=A1388,A1388=""),"",K1388&amp;"|"&amp;L1388)</f>
        <v/>
      </c>
      <c r="N1388">
        <f>IF(M1388="","",IF(ISNUMBER(B1388),B1388,IFERROR(_xlfn.NUMBERVALUE(B1388,".",","),0)))</f>
        <v/>
      </c>
      <c r="O1388">
        <f>IF(M1388="","",IF(ISNUMBER(C1388),C1388,IFERROR(_xlfn.NUMBERVALUE(C1388,".",","),0)))</f>
        <v/>
      </c>
    </row>
    <row r="1389">
      <c r="K1389">
        <f>IF(OR(LEFT(B1389,9)="DOANH THU",LEFT(B1389,8)="SỐ LƯỢNG"),A1389,IF(A1389="","",K1388))</f>
        <v/>
      </c>
      <c r="L1389">
        <f>IF(A1389="","",IF(ISNUMBER(--LEFT(A1389,FIND(" - ",A1389&amp;" - ")-1)),LEFT(A1389,FIND(" - ",A1389&amp;" - ")-1),TRIM(A1389)))</f>
        <v/>
      </c>
      <c r="M1389">
        <f>IF(OR(K1389="",K1389=A1389,A1389=""),"",K1389&amp;"|"&amp;L1389)</f>
        <v/>
      </c>
      <c r="N1389">
        <f>IF(M1389="","",IF(ISNUMBER(B1389),B1389,IFERROR(_xlfn.NUMBERVALUE(B1389,".",","),0)))</f>
        <v/>
      </c>
      <c r="O1389">
        <f>IF(M1389="","",IF(ISNUMBER(C1389),C1389,IFERROR(_xlfn.NUMBERVALUE(C1389,".",","),0)))</f>
        <v/>
      </c>
    </row>
    <row r="1390">
      <c r="K1390">
        <f>IF(OR(LEFT(B1390,9)="DOANH THU",LEFT(B1390,8)="SỐ LƯỢNG"),A1390,IF(A1390="","",K1389))</f>
        <v/>
      </c>
      <c r="L1390">
        <f>IF(A1390="","",IF(ISNUMBER(--LEFT(A1390,FIND(" - ",A1390&amp;" - ")-1)),LEFT(A1390,FIND(" - ",A1390&amp;" - ")-1),TRIM(A1390)))</f>
        <v/>
      </c>
      <c r="M1390">
        <f>IF(OR(K1390="",K1390=A1390,A1390=""),"",K1390&amp;"|"&amp;L1390)</f>
        <v/>
      </c>
      <c r="N1390">
        <f>IF(M1390="","",IF(ISNUMBER(B1390),B1390,IFERROR(_xlfn.NUMBERVALUE(B1390,".",","),0)))</f>
        <v/>
      </c>
      <c r="O1390">
        <f>IF(M1390="","",IF(ISNUMBER(C1390),C1390,IFERROR(_xlfn.NUMBERVALUE(C1390,".",","),0)))</f>
        <v/>
      </c>
    </row>
    <row r="1391">
      <c r="K1391">
        <f>IF(OR(LEFT(B1391,9)="DOANH THU",LEFT(B1391,8)="SỐ LƯỢNG"),A1391,IF(A1391="","",K1390))</f>
        <v/>
      </c>
      <c r="L1391">
        <f>IF(A1391="","",IF(ISNUMBER(--LEFT(A1391,FIND(" - ",A1391&amp;" - ")-1)),LEFT(A1391,FIND(" - ",A1391&amp;" - ")-1),TRIM(A1391)))</f>
        <v/>
      </c>
      <c r="M1391">
        <f>IF(OR(K1391="",K1391=A1391,A1391=""),"",K1391&amp;"|"&amp;L1391)</f>
        <v/>
      </c>
      <c r="N1391">
        <f>IF(M1391="","",IF(ISNUMBER(B1391),B1391,IFERROR(_xlfn.NUMBERVALUE(B1391,".",","),0)))</f>
        <v/>
      </c>
      <c r="O1391">
        <f>IF(M1391="","",IF(ISNUMBER(C1391),C1391,IFERROR(_xlfn.NUMBERVALUE(C1391,".",","),0)))</f>
        <v/>
      </c>
    </row>
    <row r="1392">
      <c r="K1392">
        <f>IF(OR(LEFT(B1392,9)="DOANH THU",LEFT(B1392,8)="SỐ LƯỢNG"),A1392,IF(A1392="","",K1391))</f>
        <v/>
      </c>
      <c r="L1392">
        <f>IF(A1392="","",IF(ISNUMBER(--LEFT(A1392,FIND(" - ",A1392&amp;" - ")-1)),LEFT(A1392,FIND(" - ",A1392&amp;" - ")-1),TRIM(A1392)))</f>
        <v/>
      </c>
      <c r="M1392">
        <f>IF(OR(K1392="",K1392=A1392,A1392=""),"",K1392&amp;"|"&amp;L1392)</f>
        <v/>
      </c>
      <c r="N1392">
        <f>IF(M1392="","",IF(ISNUMBER(B1392),B1392,IFERROR(_xlfn.NUMBERVALUE(B1392,".",","),0)))</f>
        <v/>
      </c>
      <c r="O1392">
        <f>IF(M1392="","",IF(ISNUMBER(C1392),C1392,IFERROR(_xlfn.NUMBERVALUE(C1392,".",","),0)))</f>
        <v/>
      </c>
    </row>
    <row r="1393">
      <c r="K1393">
        <f>IF(OR(LEFT(B1393,9)="DOANH THU",LEFT(B1393,8)="SỐ LƯỢNG"),A1393,IF(A1393="","",K1392))</f>
        <v/>
      </c>
      <c r="L1393">
        <f>IF(A1393="","",IF(ISNUMBER(--LEFT(A1393,FIND(" - ",A1393&amp;" - ")-1)),LEFT(A1393,FIND(" - ",A1393&amp;" - ")-1),TRIM(A1393)))</f>
        <v/>
      </c>
      <c r="M1393">
        <f>IF(OR(K1393="",K1393=A1393,A1393=""),"",K1393&amp;"|"&amp;L1393)</f>
        <v/>
      </c>
      <c r="N1393">
        <f>IF(M1393="","",IF(ISNUMBER(B1393),B1393,IFERROR(_xlfn.NUMBERVALUE(B1393,".",","),0)))</f>
        <v/>
      </c>
      <c r="O1393">
        <f>IF(M1393="","",IF(ISNUMBER(C1393),C1393,IFERROR(_xlfn.NUMBERVALUE(C1393,".",","),0)))</f>
        <v/>
      </c>
    </row>
    <row r="1394">
      <c r="K1394">
        <f>IF(OR(LEFT(B1394,9)="DOANH THU",LEFT(B1394,8)="SỐ LƯỢNG"),A1394,IF(A1394="","",K1393))</f>
        <v/>
      </c>
      <c r="L1394">
        <f>IF(A1394="","",IF(ISNUMBER(--LEFT(A1394,FIND(" - ",A1394&amp;" - ")-1)),LEFT(A1394,FIND(" - ",A1394&amp;" - ")-1),TRIM(A1394)))</f>
        <v/>
      </c>
      <c r="M1394">
        <f>IF(OR(K1394="",K1394=A1394,A1394=""),"",K1394&amp;"|"&amp;L1394)</f>
        <v/>
      </c>
      <c r="N1394">
        <f>IF(M1394="","",IF(ISNUMBER(B1394),B1394,IFERROR(_xlfn.NUMBERVALUE(B1394,".",","),0)))</f>
        <v/>
      </c>
      <c r="O1394">
        <f>IF(M1394="","",IF(ISNUMBER(C1394),C1394,IFERROR(_xlfn.NUMBERVALUE(C1394,".",","),0)))</f>
        <v/>
      </c>
    </row>
    <row r="1395">
      <c r="K1395">
        <f>IF(OR(LEFT(B1395,9)="DOANH THU",LEFT(B1395,8)="SỐ LƯỢNG"),A1395,IF(A1395="","",K1394))</f>
        <v/>
      </c>
      <c r="L1395">
        <f>IF(A1395="","",IF(ISNUMBER(--LEFT(A1395,FIND(" - ",A1395&amp;" - ")-1)),LEFT(A1395,FIND(" - ",A1395&amp;" - ")-1),TRIM(A1395)))</f>
        <v/>
      </c>
      <c r="M1395">
        <f>IF(OR(K1395="",K1395=A1395,A1395=""),"",K1395&amp;"|"&amp;L1395)</f>
        <v/>
      </c>
      <c r="N1395">
        <f>IF(M1395="","",IF(ISNUMBER(B1395),B1395,IFERROR(_xlfn.NUMBERVALUE(B1395,".",","),0)))</f>
        <v/>
      </c>
      <c r="O1395">
        <f>IF(M1395="","",IF(ISNUMBER(C1395),C1395,IFERROR(_xlfn.NUMBERVALUE(C1395,".",","),0)))</f>
        <v/>
      </c>
    </row>
    <row r="1396">
      <c r="K1396">
        <f>IF(OR(LEFT(B1396,9)="DOANH THU",LEFT(B1396,8)="SỐ LƯỢNG"),A1396,IF(A1396="","",K1395))</f>
        <v/>
      </c>
      <c r="L1396">
        <f>IF(A1396="","",IF(ISNUMBER(--LEFT(A1396,FIND(" - ",A1396&amp;" - ")-1)),LEFT(A1396,FIND(" - ",A1396&amp;" - ")-1),TRIM(A1396)))</f>
        <v/>
      </c>
      <c r="M1396">
        <f>IF(OR(K1396="",K1396=A1396,A1396=""),"",K1396&amp;"|"&amp;L1396)</f>
        <v/>
      </c>
      <c r="N1396">
        <f>IF(M1396="","",IF(ISNUMBER(B1396),B1396,IFERROR(_xlfn.NUMBERVALUE(B1396,".",","),0)))</f>
        <v/>
      </c>
      <c r="O1396">
        <f>IF(M1396="","",IF(ISNUMBER(C1396),C1396,IFERROR(_xlfn.NUMBERVALUE(C1396,".",","),0)))</f>
        <v/>
      </c>
    </row>
    <row r="1397">
      <c r="K1397">
        <f>IF(OR(LEFT(B1397,9)="DOANH THU",LEFT(B1397,8)="SỐ LƯỢNG"),A1397,IF(A1397="","",K1396))</f>
        <v/>
      </c>
      <c r="L1397">
        <f>IF(A1397="","",IF(ISNUMBER(--LEFT(A1397,FIND(" - ",A1397&amp;" - ")-1)),LEFT(A1397,FIND(" - ",A1397&amp;" - ")-1),TRIM(A1397)))</f>
        <v/>
      </c>
      <c r="M1397">
        <f>IF(OR(K1397="",K1397=A1397,A1397=""),"",K1397&amp;"|"&amp;L1397)</f>
        <v/>
      </c>
      <c r="N1397">
        <f>IF(M1397="","",IF(ISNUMBER(B1397),B1397,IFERROR(_xlfn.NUMBERVALUE(B1397,".",","),0)))</f>
        <v/>
      </c>
      <c r="O1397">
        <f>IF(M1397="","",IF(ISNUMBER(C1397),C1397,IFERROR(_xlfn.NUMBERVALUE(C1397,".",","),0)))</f>
        <v/>
      </c>
    </row>
    <row r="1398">
      <c r="K1398">
        <f>IF(OR(LEFT(B1398,9)="DOANH THU",LEFT(B1398,8)="SỐ LƯỢNG"),A1398,IF(A1398="","",K1397))</f>
        <v/>
      </c>
      <c r="L1398">
        <f>IF(A1398="","",IF(ISNUMBER(--LEFT(A1398,FIND(" - ",A1398&amp;" - ")-1)),LEFT(A1398,FIND(" - ",A1398&amp;" - ")-1),TRIM(A1398)))</f>
        <v/>
      </c>
      <c r="M1398">
        <f>IF(OR(K1398="",K1398=A1398,A1398=""),"",K1398&amp;"|"&amp;L1398)</f>
        <v/>
      </c>
      <c r="N1398">
        <f>IF(M1398="","",IF(ISNUMBER(B1398),B1398,IFERROR(_xlfn.NUMBERVALUE(B1398,".",","),0)))</f>
        <v/>
      </c>
      <c r="O1398">
        <f>IF(M1398="","",IF(ISNUMBER(C1398),C1398,IFERROR(_xlfn.NUMBERVALUE(C1398,".",","),0)))</f>
        <v/>
      </c>
    </row>
    <row r="1399">
      <c r="K1399">
        <f>IF(OR(LEFT(B1399,9)="DOANH THU",LEFT(B1399,8)="SỐ LƯỢNG"),A1399,IF(A1399="","",K1398))</f>
        <v/>
      </c>
      <c r="L1399">
        <f>IF(A1399="","",IF(ISNUMBER(--LEFT(A1399,FIND(" - ",A1399&amp;" - ")-1)),LEFT(A1399,FIND(" - ",A1399&amp;" - ")-1),TRIM(A1399)))</f>
        <v/>
      </c>
      <c r="M1399">
        <f>IF(OR(K1399="",K1399=A1399,A1399=""),"",K1399&amp;"|"&amp;L1399)</f>
        <v/>
      </c>
      <c r="N1399">
        <f>IF(M1399="","",IF(ISNUMBER(B1399),B1399,IFERROR(_xlfn.NUMBERVALUE(B1399,".",","),0)))</f>
        <v/>
      </c>
      <c r="O1399">
        <f>IF(M1399="","",IF(ISNUMBER(C1399),C1399,IFERROR(_xlfn.NUMBERVALUE(C1399,".",","),0)))</f>
        <v/>
      </c>
    </row>
    <row r="1400">
      <c r="K1400">
        <f>IF(OR(LEFT(B1400,9)="DOANH THU",LEFT(B1400,8)="SỐ LƯỢNG"),A1400,IF(A1400="","",K1399))</f>
        <v/>
      </c>
      <c r="L1400">
        <f>IF(A1400="","",IF(ISNUMBER(--LEFT(A1400,FIND(" - ",A1400&amp;" - ")-1)),LEFT(A1400,FIND(" - ",A1400&amp;" - ")-1),TRIM(A1400)))</f>
        <v/>
      </c>
      <c r="M1400">
        <f>IF(OR(K1400="",K1400=A1400,A1400=""),"",K1400&amp;"|"&amp;L1400)</f>
        <v/>
      </c>
      <c r="N1400">
        <f>IF(M1400="","",IF(ISNUMBER(B1400),B1400,IFERROR(_xlfn.NUMBERVALUE(B1400,".",","),0)))</f>
        <v/>
      </c>
      <c r="O1400">
        <f>IF(M1400="","",IF(ISNUMBER(C1400),C1400,IFERROR(_xlfn.NUMBERVALUE(C1400,".",","),0)))</f>
        <v/>
      </c>
    </row>
    <row r="1401">
      <c r="K1401">
        <f>IF(OR(LEFT(B1401,9)="DOANH THU",LEFT(B1401,8)="SỐ LƯỢNG"),A1401,IF(A1401="","",K1400))</f>
        <v/>
      </c>
      <c r="L1401">
        <f>IF(A1401="","",IF(ISNUMBER(--LEFT(A1401,FIND(" - ",A1401&amp;" - ")-1)),LEFT(A1401,FIND(" - ",A1401&amp;" - ")-1),TRIM(A1401)))</f>
        <v/>
      </c>
      <c r="M1401">
        <f>IF(OR(K1401="",K1401=A1401,A1401=""),"",K1401&amp;"|"&amp;L1401)</f>
        <v/>
      </c>
      <c r="N1401">
        <f>IF(M1401="","",IF(ISNUMBER(B1401),B1401,IFERROR(_xlfn.NUMBERVALUE(B1401,".",","),0)))</f>
        <v/>
      </c>
      <c r="O1401">
        <f>IF(M1401="","",IF(ISNUMBER(C1401),C1401,IFERROR(_xlfn.NUMBERVALUE(C1401,".",","),0)))</f>
        <v/>
      </c>
    </row>
    <row r="1402">
      <c r="K1402">
        <f>IF(OR(LEFT(B1402,9)="DOANH THU",LEFT(B1402,8)="SỐ LƯỢNG"),A1402,IF(A1402="","",K1401))</f>
        <v/>
      </c>
      <c r="L1402">
        <f>IF(A1402="","",IF(ISNUMBER(--LEFT(A1402,FIND(" - ",A1402&amp;" - ")-1)),LEFT(A1402,FIND(" - ",A1402&amp;" - ")-1),TRIM(A1402)))</f>
        <v/>
      </c>
      <c r="M1402">
        <f>IF(OR(K1402="",K1402=A1402,A1402=""),"",K1402&amp;"|"&amp;L1402)</f>
        <v/>
      </c>
      <c r="N1402">
        <f>IF(M1402="","",IF(ISNUMBER(B1402),B1402,IFERROR(_xlfn.NUMBERVALUE(B1402,".",","),0)))</f>
        <v/>
      </c>
      <c r="O1402">
        <f>IF(M1402="","",IF(ISNUMBER(C1402),C1402,IFERROR(_xlfn.NUMBERVALUE(C1402,".",","),0)))</f>
        <v/>
      </c>
    </row>
    <row r="1403">
      <c r="K1403">
        <f>IF(OR(LEFT(B1403,9)="DOANH THU",LEFT(B1403,8)="SỐ LƯỢNG"),A1403,IF(A1403="","",K1402))</f>
        <v/>
      </c>
      <c r="L1403">
        <f>IF(A1403="","",IF(ISNUMBER(--LEFT(A1403,FIND(" - ",A1403&amp;" - ")-1)),LEFT(A1403,FIND(" - ",A1403&amp;" - ")-1),TRIM(A1403)))</f>
        <v/>
      </c>
      <c r="M1403">
        <f>IF(OR(K1403="",K1403=A1403,A1403=""),"",K1403&amp;"|"&amp;L1403)</f>
        <v/>
      </c>
      <c r="N1403">
        <f>IF(M1403="","",IF(ISNUMBER(B1403),B1403,IFERROR(_xlfn.NUMBERVALUE(B1403,".",","),0)))</f>
        <v/>
      </c>
      <c r="O1403">
        <f>IF(M1403="","",IF(ISNUMBER(C1403),C1403,IFERROR(_xlfn.NUMBERVALUE(C1403,".",","),0)))</f>
        <v/>
      </c>
    </row>
    <row r="1404">
      <c r="K1404">
        <f>IF(OR(LEFT(B1404,9)="DOANH THU",LEFT(B1404,8)="SỐ LƯỢNG"),A1404,IF(A1404="","",K1403))</f>
        <v/>
      </c>
      <c r="L1404">
        <f>IF(A1404="","",IF(ISNUMBER(--LEFT(A1404,FIND(" - ",A1404&amp;" - ")-1)),LEFT(A1404,FIND(" - ",A1404&amp;" - ")-1),TRIM(A1404)))</f>
        <v/>
      </c>
      <c r="M1404">
        <f>IF(OR(K1404="",K1404=A1404,A1404=""),"",K1404&amp;"|"&amp;L1404)</f>
        <v/>
      </c>
      <c r="N1404">
        <f>IF(M1404="","",IF(ISNUMBER(B1404),B1404,IFERROR(_xlfn.NUMBERVALUE(B1404,".",","),0)))</f>
        <v/>
      </c>
      <c r="O1404">
        <f>IF(M1404="","",IF(ISNUMBER(C1404),C1404,IFERROR(_xlfn.NUMBERVALUE(C1404,".",","),0)))</f>
        <v/>
      </c>
    </row>
    <row r="1405">
      <c r="K1405">
        <f>IF(OR(LEFT(B1405,9)="DOANH THU",LEFT(B1405,8)="SỐ LƯỢNG"),A1405,IF(A1405="","",K1404))</f>
        <v/>
      </c>
      <c r="L1405">
        <f>IF(A1405="","",IF(ISNUMBER(--LEFT(A1405,FIND(" - ",A1405&amp;" - ")-1)),LEFT(A1405,FIND(" - ",A1405&amp;" - ")-1),TRIM(A1405)))</f>
        <v/>
      </c>
      <c r="M1405">
        <f>IF(OR(K1405="",K1405=A1405,A1405=""),"",K1405&amp;"|"&amp;L1405)</f>
        <v/>
      </c>
      <c r="N1405">
        <f>IF(M1405="","",IF(ISNUMBER(B1405),B1405,IFERROR(_xlfn.NUMBERVALUE(B1405,".",","),0)))</f>
        <v/>
      </c>
      <c r="O1405">
        <f>IF(M1405="","",IF(ISNUMBER(C1405),C1405,IFERROR(_xlfn.NUMBERVALUE(C1405,".",","),0)))</f>
        <v/>
      </c>
    </row>
    <row r="1406">
      <c r="K1406">
        <f>IF(OR(LEFT(B1406,9)="DOANH THU",LEFT(B1406,8)="SỐ LƯỢNG"),A1406,IF(A1406="","",K1405))</f>
        <v/>
      </c>
      <c r="L1406">
        <f>IF(A1406="","",IF(ISNUMBER(--LEFT(A1406,FIND(" - ",A1406&amp;" - ")-1)),LEFT(A1406,FIND(" - ",A1406&amp;" - ")-1),TRIM(A1406)))</f>
        <v/>
      </c>
      <c r="M1406">
        <f>IF(OR(K1406="",K1406=A1406,A1406=""),"",K1406&amp;"|"&amp;L1406)</f>
        <v/>
      </c>
      <c r="N1406">
        <f>IF(M1406="","",IF(ISNUMBER(B1406),B1406,IFERROR(_xlfn.NUMBERVALUE(B1406,".",","),0)))</f>
        <v/>
      </c>
      <c r="O1406">
        <f>IF(M1406="","",IF(ISNUMBER(C1406),C1406,IFERROR(_xlfn.NUMBERVALUE(C1406,".",","),0)))</f>
        <v/>
      </c>
    </row>
    <row r="1407">
      <c r="K1407">
        <f>IF(OR(LEFT(B1407,9)="DOANH THU",LEFT(B1407,8)="SỐ LƯỢNG"),A1407,IF(A1407="","",K1406))</f>
        <v/>
      </c>
      <c r="L1407">
        <f>IF(A1407="","",IF(ISNUMBER(--LEFT(A1407,FIND(" - ",A1407&amp;" - ")-1)),LEFT(A1407,FIND(" - ",A1407&amp;" - ")-1),TRIM(A1407)))</f>
        <v/>
      </c>
      <c r="M1407">
        <f>IF(OR(K1407="",K1407=A1407,A1407=""),"",K1407&amp;"|"&amp;L1407)</f>
        <v/>
      </c>
      <c r="N1407">
        <f>IF(M1407="","",IF(ISNUMBER(B1407),B1407,IFERROR(_xlfn.NUMBERVALUE(B1407,".",","),0)))</f>
        <v/>
      </c>
      <c r="O1407">
        <f>IF(M1407="","",IF(ISNUMBER(C1407),C1407,IFERROR(_xlfn.NUMBERVALUE(C1407,".",","),0)))</f>
        <v/>
      </c>
    </row>
    <row r="1408">
      <c r="K1408">
        <f>IF(OR(LEFT(B1408,9)="DOANH THU",LEFT(B1408,8)="SỐ LƯỢNG"),A1408,IF(A1408="","",K1407))</f>
        <v/>
      </c>
      <c r="L1408">
        <f>IF(A1408="","",IF(ISNUMBER(--LEFT(A1408,FIND(" - ",A1408&amp;" - ")-1)),LEFT(A1408,FIND(" - ",A1408&amp;" - ")-1),TRIM(A1408)))</f>
        <v/>
      </c>
      <c r="M1408">
        <f>IF(OR(K1408="",K1408=A1408,A1408=""),"",K1408&amp;"|"&amp;L1408)</f>
        <v/>
      </c>
      <c r="N1408">
        <f>IF(M1408="","",IF(ISNUMBER(B1408),B1408,IFERROR(_xlfn.NUMBERVALUE(B1408,".",","),0)))</f>
        <v/>
      </c>
      <c r="O1408">
        <f>IF(M1408="","",IF(ISNUMBER(C1408),C1408,IFERROR(_xlfn.NUMBERVALUE(C1408,".",","),0)))</f>
        <v/>
      </c>
    </row>
    <row r="1409">
      <c r="K1409">
        <f>IF(OR(LEFT(B1409,9)="DOANH THU",LEFT(B1409,8)="SỐ LƯỢNG"),A1409,IF(A1409="","",K1408))</f>
        <v/>
      </c>
      <c r="L1409">
        <f>IF(A1409="","",IF(ISNUMBER(--LEFT(A1409,FIND(" - ",A1409&amp;" - ")-1)),LEFT(A1409,FIND(" - ",A1409&amp;" - ")-1),TRIM(A1409)))</f>
        <v/>
      </c>
      <c r="M1409">
        <f>IF(OR(K1409="",K1409=A1409,A1409=""),"",K1409&amp;"|"&amp;L1409)</f>
        <v/>
      </c>
      <c r="N1409">
        <f>IF(M1409="","",IF(ISNUMBER(B1409),B1409,IFERROR(_xlfn.NUMBERVALUE(B1409,".",","),0)))</f>
        <v/>
      </c>
      <c r="O1409">
        <f>IF(M1409="","",IF(ISNUMBER(C1409),C1409,IFERROR(_xlfn.NUMBERVALUE(C1409,".",","),0)))</f>
        <v/>
      </c>
    </row>
    <row r="1410">
      <c r="K1410">
        <f>IF(OR(LEFT(B1410,9)="DOANH THU",LEFT(B1410,8)="SỐ LƯỢNG"),A1410,IF(A1410="","",K1409))</f>
        <v/>
      </c>
      <c r="L1410">
        <f>IF(A1410="","",IF(ISNUMBER(--LEFT(A1410,FIND(" - ",A1410&amp;" - ")-1)),LEFT(A1410,FIND(" - ",A1410&amp;" - ")-1),TRIM(A1410)))</f>
        <v/>
      </c>
      <c r="M1410">
        <f>IF(OR(K1410="",K1410=A1410,A1410=""),"",K1410&amp;"|"&amp;L1410)</f>
        <v/>
      </c>
      <c r="N1410">
        <f>IF(M1410="","",IF(ISNUMBER(B1410),B1410,IFERROR(_xlfn.NUMBERVALUE(B1410,".",","),0)))</f>
        <v/>
      </c>
      <c r="O1410">
        <f>IF(M1410="","",IF(ISNUMBER(C1410),C1410,IFERROR(_xlfn.NUMBERVALUE(C1410,".",","),0)))</f>
        <v/>
      </c>
    </row>
    <row r="1411">
      <c r="K1411">
        <f>IF(OR(LEFT(B1411,9)="DOANH THU",LEFT(B1411,8)="SỐ LƯỢNG"),A1411,IF(A1411="","",K1410))</f>
        <v/>
      </c>
      <c r="L1411">
        <f>IF(A1411="","",IF(ISNUMBER(--LEFT(A1411,FIND(" - ",A1411&amp;" - ")-1)),LEFT(A1411,FIND(" - ",A1411&amp;" - ")-1),TRIM(A1411)))</f>
        <v/>
      </c>
      <c r="M1411">
        <f>IF(OR(K1411="",K1411=A1411,A1411=""),"",K1411&amp;"|"&amp;L1411)</f>
        <v/>
      </c>
      <c r="N1411">
        <f>IF(M1411="","",IF(ISNUMBER(B1411),B1411,IFERROR(_xlfn.NUMBERVALUE(B1411,".",","),0)))</f>
        <v/>
      </c>
      <c r="O1411">
        <f>IF(M1411="","",IF(ISNUMBER(C1411),C1411,IFERROR(_xlfn.NUMBERVALUE(C1411,".",","),0)))</f>
        <v/>
      </c>
    </row>
    <row r="1412">
      <c r="K1412">
        <f>IF(OR(LEFT(B1412,9)="DOANH THU",LEFT(B1412,8)="SỐ LƯỢNG"),A1412,IF(A1412="","",K1411))</f>
        <v/>
      </c>
      <c r="L1412">
        <f>IF(A1412="","",IF(ISNUMBER(--LEFT(A1412,FIND(" - ",A1412&amp;" - ")-1)),LEFT(A1412,FIND(" - ",A1412&amp;" - ")-1),TRIM(A1412)))</f>
        <v/>
      </c>
      <c r="M1412">
        <f>IF(OR(K1412="",K1412=A1412,A1412=""),"",K1412&amp;"|"&amp;L1412)</f>
        <v/>
      </c>
      <c r="N1412">
        <f>IF(M1412="","",IF(ISNUMBER(B1412),B1412,IFERROR(_xlfn.NUMBERVALUE(B1412,".",","),0)))</f>
        <v/>
      </c>
      <c r="O1412">
        <f>IF(M1412="","",IF(ISNUMBER(C1412),C1412,IFERROR(_xlfn.NUMBERVALUE(C1412,".",","),0)))</f>
        <v/>
      </c>
    </row>
    <row r="1413">
      <c r="K1413">
        <f>IF(OR(LEFT(B1413,9)="DOANH THU",LEFT(B1413,8)="SỐ LƯỢNG"),A1413,IF(A1413="","",K1412))</f>
        <v/>
      </c>
      <c r="L1413">
        <f>IF(A1413="","",IF(ISNUMBER(--LEFT(A1413,FIND(" - ",A1413&amp;" - ")-1)),LEFT(A1413,FIND(" - ",A1413&amp;" - ")-1),TRIM(A1413)))</f>
        <v/>
      </c>
      <c r="M1413">
        <f>IF(OR(K1413="",K1413=A1413,A1413=""),"",K1413&amp;"|"&amp;L1413)</f>
        <v/>
      </c>
      <c r="N1413">
        <f>IF(M1413="","",IF(ISNUMBER(B1413),B1413,IFERROR(_xlfn.NUMBERVALUE(B1413,".",","),0)))</f>
        <v/>
      </c>
      <c r="O1413">
        <f>IF(M1413="","",IF(ISNUMBER(C1413),C1413,IFERROR(_xlfn.NUMBERVALUE(C1413,".",","),0)))</f>
        <v/>
      </c>
    </row>
    <row r="1414">
      <c r="K1414">
        <f>IF(OR(LEFT(B1414,9)="DOANH THU",LEFT(B1414,8)="SỐ LƯỢNG"),A1414,IF(A1414="","",K1413))</f>
        <v/>
      </c>
      <c r="L1414">
        <f>IF(A1414="","",IF(ISNUMBER(--LEFT(A1414,FIND(" - ",A1414&amp;" - ")-1)),LEFT(A1414,FIND(" - ",A1414&amp;" - ")-1),TRIM(A1414)))</f>
        <v/>
      </c>
      <c r="M1414">
        <f>IF(OR(K1414="",K1414=A1414,A1414=""),"",K1414&amp;"|"&amp;L1414)</f>
        <v/>
      </c>
      <c r="N1414">
        <f>IF(M1414="","",IF(ISNUMBER(B1414),B1414,IFERROR(_xlfn.NUMBERVALUE(B1414,".",","),0)))</f>
        <v/>
      </c>
      <c r="O1414">
        <f>IF(M1414="","",IF(ISNUMBER(C1414),C1414,IFERROR(_xlfn.NUMBERVALUE(C1414,".",","),0)))</f>
        <v/>
      </c>
    </row>
    <row r="1415">
      <c r="K1415">
        <f>IF(OR(LEFT(B1415,9)="DOANH THU",LEFT(B1415,8)="SỐ LƯỢNG"),A1415,IF(A1415="","",K1414))</f>
        <v/>
      </c>
      <c r="L1415">
        <f>IF(A1415="","",IF(ISNUMBER(--LEFT(A1415,FIND(" - ",A1415&amp;" - ")-1)),LEFT(A1415,FIND(" - ",A1415&amp;" - ")-1),TRIM(A1415)))</f>
        <v/>
      </c>
      <c r="M1415">
        <f>IF(OR(K1415="",K1415=A1415,A1415=""),"",K1415&amp;"|"&amp;L1415)</f>
        <v/>
      </c>
      <c r="N1415">
        <f>IF(M1415="","",IF(ISNUMBER(B1415),B1415,IFERROR(_xlfn.NUMBERVALUE(B1415,".",","),0)))</f>
        <v/>
      </c>
      <c r="O1415">
        <f>IF(M1415="","",IF(ISNUMBER(C1415),C1415,IFERROR(_xlfn.NUMBERVALUE(C1415,".",","),0)))</f>
        <v/>
      </c>
    </row>
    <row r="1416">
      <c r="K1416">
        <f>IF(OR(LEFT(B1416,9)="DOANH THU",LEFT(B1416,8)="SỐ LƯỢNG"),A1416,IF(A1416="","",K1415))</f>
        <v/>
      </c>
      <c r="L1416">
        <f>IF(A1416="","",IF(ISNUMBER(--LEFT(A1416,FIND(" - ",A1416&amp;" - ")-1)),LEFT(A1416,FIND(" - ",A1416&amp;" - ")-1),TRIM(A1416)))</f>
        <v/>
      </c>
      <c r="M1416">
        <f>IF(OR(K1416="",K1416=A1416,A1416=""),"",K1416&amp;"|"&amp;L1416)</f>
        <v/>
      </c>
      <c r="N1416">
        <f>IF(M1416="","",IF(ISNUMBER(B1416),B1416,IFERROR(_xlfn.NUMBERVALUE(B1416,".",","),0)))</f>
        <v/>
      </c>
      <c r="O1416">
        <f>IF(M1416="","",IF(ISNUMBER(C1416),C1416,IFERROR(_xlfn.NUMBERVALUE(C1416,".",","),0)))</f>
        <v/>
      </c>
    </row>
    <row r="1417">
      <c r="K1417">
        <f>IF(OR(LEFT(B1417,9)="DOANH THU",LEFT(B1417,8)="SỐ LƯỢNG"),A1417,IF(A1417="","",K1416))</f>
        <v/>
      </c>
      <c r="L1417">
        <f>IF(A1417="","",IF(ISNUMBER(--LEFT(A1417,FIND(" - ",A1417&amp;" - ")-1)),LEFT(A1417,FIND(" - ",A1417&amp;" - ")-1),TRIM(A1417)))</f>
        <v/>
      </c>
      <c r="M1417">
        <f>IF(OR(K1417="",K1417=A1417,A1417=""),"",K1417&amp;"|"&amp;L1417)</f>
        <v/>
      </c>
      <c r="N1417">
        <f>IF(M1417="","",IF(ISNUMBER(B1417),B1417,IFERROR(_xlfn.NUMBERVALUE(B1417,".",","),0)))</f>
        <v/>
      </c>
      <c r="O1417">
        <f>IF(M1417="","",IF(ISNUMBER(C1417),C1417,IFERROR(_xlfn.NUMBERVALUE(C1417,".",","),0)))</f>
        <v/>
      </c>
    </row>
    <row r="1418">
      <c r="K1418">
        <f>IF(OR(LEFT(B1418,9)="DOANH THU",LEFT(B1418,8)="SỐ LƯỢNG"),A1418,IF(A1418="","",K1417))</f>
        <v/>
      </c>
      <c r="L1418">
        <f>IF(A1418="","",IF(ISNUMBER(--LEFT(A1418,FIND(" - ",A1418&amp;" - ")-1)),LEFT(A1418,FIND(" - ",A1418&amp;" - ")-1),TRIM(A1418)))</f>
        <v/>
      </c>
      <c r="M1418">
        <f>IF(OR(K1418="",K1418=A1418,A1418=""),"",K1418&amp;"|"&amp;L1418)</f>
        <v/>
      </c>
      <c r="N1418">
        <f>IF(M1418="","",IF(ISNUMBER(B1418),B1418,IFERROR(_xlfn.NUMBERVALUE(B1418,".",","),0)))</f>
        <v/>
      </c>
      <c r="O1418">
        <f>IF(M1418="","",IF(ISNUMBER(C1418),C1418,IFERROR(_xlfn.NUMBERVALUE(C1418,".",","),0)))</f>
        <v/>
      </c>
    </row>
    <row r="1419">
      <c r="K1419">
        <f>IF(OR(LEFT(B1419,9)="DOANH THU",LEFT(B1419,8)="SỐ LƯỢNG"),A1419,IF(A1419="","",K1418))</f>
        <v/>
      </c>
      <c r="L1419">
        <f>IF(A1419="","",IF(ISNUMBER(--LEFT(A1419,FIND(" - ",A1419&amp;" - ")-1)),LEFT(A1419,FIND(" - ",A1419&amp;" - ")-1),TRIM(A1419)))</f>
        <v/>
      </c>
      <c r="M1419">
        <f>IF(OR(K1419="",K1419=A1419,A1419=""),"",K1419&amp;"|"&amp;L1419)</f>
        <v/>
      </c>
      <c r="N1419">
        <f>IF(M1419="","",IF(ISNUMBER(B1419),B1419,IFERROR(_xlfn.NUMBERVALUE(B1419,".",","),0)))</f>
        <v/>
      </c>
      <c r="O1419">
        <f>IF(M1419="","",IF(ISNUMBER(C1419),C1419,IFERROR(_xlfn.NUMBERVALUE(C1419,".",","),0)))</f>
        <v/>
      </c>
    </row>
    <row r="1420">
      <c r="K1420">
        <f>IF(OR(LEFT(B1420,9)="DOANH THU",LEFT(B1420,8)="SỐ LƯỢNG"),A1420,IF(A1420="","",K1419))</f>
        <v/>
      </c>
      <c r="L1420">
        <f>IF(A1420="","",IF(ISNUMBER(--LEFT(A1420,FIND(" - ",A1420&amp;" - ")-1)),LEFT(A1420,FIND(" - ",A1420&amp;" - ")-1),TRIM(A1420)))</f>
        <v/>
      </c>
      <c r="M1420">
        <f>IF(OR(K1420="",K1420=A1420,A1420=""),"",K1420&amp;"|"&amp;L1420)</f>
        <v/>
      </c>
      <c r="N1420">
        <f>IF(M1420="","",IF(ISNUMBER(B1420),B1420,IFERROR(_xlfn.NUMBERVALUE(B1420,".",","),0)))</f>
        <v/>
      </c>
      <c r="O1420">
        <f>IF(M1420="","",IF(ISNUMBER(C1420),C1420,IFERROR(_xlfn.NUMBERVALUE(C1420,".",","),0)))</f>
        <v/>
      </c>
    </row>
    <row r="1421">
      <c r="K1421">
        <f>IF(OR(LEFT(B1421,9)="DOANH THU",LEFT(B1421,8)="SỐ LƯỢNG"),A1421,IF(A1421="","",K1420))</f>
        <v/>
      </c>
      <c r="L1421">
        <f>IF(A1421="","",IF(ISNUMBER(--LEFT(A1421,FIND(" - ",A1421&amp;" - ")-1)),LEFT(A1421,FIND(" - ",A1421&amp;" - ")-1),TRIM(A1421)))</f>
        <v/>
      </c>
      <c r="M1421">
        <f>IF(OR(K1421="",K1421=A1421,A1421=""),"",K1421&amp;"|"&amp;L1421)</f>
        <v/>
      </c>
      <c r="N1421">
        <f>IF(M1421="","",IF(ISNUMBER(B1421),B1421,IFERROR(_xlfn.NUMBERVALUE(B1421,".",","),0)))</f>
        <v/>
      </c>
      <c r="O1421">
        <f>IF(M1421="","",IF(ISNUMBER(C1421),C1421,IFERROR(_xlfn.NUMBERVALUE(C1421,".",","),0)))</f>
        <v/>
      </c>
    </row>
    <row r="1422">
      <c r="K1422">
        <f>IF(OR(LEFT(B1422,9)="DOANH THU",LEFT(B1422,8)="SỐ LƯỢNG"),A1422,IF(A1422="","",K1421))</f>
        <v/>
      </c>
      <c r="L1422">
        <f>IF(A1422="","",IF(ISNUMBER(--LEFT(A1422,FIND(" - ",A1422&amp;" - ")-1)),LEFT(A1422,FIND(" - ",A1422&amp;" - ")-1),TRIM(A1422)))</f>
        <v/>
      </c>
      <c r="M1422">
        <f>IF(OR(K1422="",K1422=A1422,A1422=""),"",K1422&amp;"|"&amp;L1422)</f>
        <v/>
      </c>
      <c r="N1422">
        <f>IF(M1422="","",IF(ISNUMBER(B1422),B1422,IFERROR(_xlfn.NUMBERVALUE(B1422,".",","),0)))</f>
        <v/>
      </c>
      <c r="O1422">
        <f>IF(M1422="","",IF(ISNUMBER(C1422),C1422,IFERROR(_xlfn.NUMBERVALUE(C1422,".",","),0)))</f>
        <v/>
      </c>
    </row>
    <row r="1423">
      <c r="K1423">
        <f>IF(OR(LEFT(B1423,9)="DOANH THU",LEFT(B1423,8)="SỐ LƯỢNG"),A1423,IF(A1423="","",K1422))</f>
        <v/>
      </c>
      <c r="L1423">
        <f>IF(A1423="","",IF(ISNUMBER(--LEFT(A1423,FIND(" - ",A1423&amp;" - ")-1)),LEFT(A1423,FIND(" - ",A1423&amp;" - ")-1),TRIM(A1423)))</f>
        <v/>
      </c>
      <c r="M1423">
        <f>IF(OR(K1423="",K1423=A1423,A1423=""),"",K1423&amp;"|"&amp;L1423)</f>
        <v/>
      </c>
      <c r="N1423">
        <f>IF(M1423="","",IF(ISNUMBER(B1423),B1423,IFERROR(_xlfn.NUMBERVALUE(B1423,".",","),0)))</f>
        <v/>
      </c>
      <c r="O1423">
        <f>IF(M1423="","",IF(ISNUMBER(C1423),C1423,IFERROR(_xlfn.NUMBERVALUE(C1423,".",","),0)))</f>
        <v/>
      </c>
    </row>
    <row r="1424">
      <c r="K1424">
        <f>IF(OR(LEFT(B1424,9)="DOANH THU",LEFT(B1424,8)="SỐ LƯỢNG"),A1424,IF(A1424="","",K1423))</f>
        <v/>
      </c>
      <c r="L1424">
        <f>IF(A1424="","",IF(ISNUMBER(--LEFT(A1424,FIND(" - ",A1424&amp;" - ")-1)),LEFT(A1424,FIND(" - ",A1424&amp;" - ")-1),TRIM(A1424)))</f>
        <v/>
      </c>
      <c r="M1424">
        <f>IF(OR(K1424="",K1424=A1424,A1424=""),"",K1424&amp;"|"&amp;L1424)</f>
        <v/>
      </c>
      <c r="N1424">
        <f>IF(M1424="","",IF(ISNUMBER(B1424),B1424,IFERROR(_xlfn.NUMBERVALUE(B1424,".",","),0)))</f>
        <v/>
      </c>
      <c r="O1424">
        <f>IF(M1424="","",IF(ISNUMBER(C1424),C1424,IFERROR(_xlfn.NUMBERVALUE(C1424,".",","),0)))</f>
        <v/>
      </c>
    </row>
    <row r="1425">
      <c r="K1425">
        <f>IF(OR(LEFT(B1425,9)="DOANH THU",LEFT(B1425,8)="SỐ LƯỢNG"),A1425,IF(A1425="","",K1424))</f>
        <v/>
      </c>
      <c r="L1425">
        <f>IF(A1425="","",IF(ISNUMBER(--LEFT(A1425,FIND(" - ",A1425&amp;" - ")-1)),LEFT(A1425,FIND(" - ",A1425&amp;" - ")-1),TRIM(A1425)))</f>
        <v/>
      </c>
      <c r="M1425">
        <f>IF(OR(K1425="",K1425=A1425,A1425=""),"",K1425&amp;"|"&amp;L1425)</f>
        <v/>
      </c>
      <c r="N1425">
        <f>IF(M1425="","",IF(ISNUMBER(B1425),B1425,IFERROR(_xlfn.NUMBERVALUE(B1425,".",","),0)))</f>
        <v/>
      </c>
      <c r="O1425">
        <f>IF(M1425="","",IF(ISNUMBER(C1425),C1425,IFERROR(_xlfn.NUMBERVALUE(C1425,".",","),0)))</f>
        <v/>
      </c>
    </row>
    <row r="1426">
      <c r="K1426">
        <f>IF(OR(LEFT(B1426,9)="DOANH THU",LEFT(B1426,8)="SỐ LƯỢNG"),A1426,IF(A1426="","",K1425))</f>
        <v/>
      </c>
      <c r="L1426">
        <f>IF(A1426="","",IF(ISNUMBER(--LEFT(A1426,FIND(" - ",A1426&amp;" - ")-1)),LEFT(A1426,FIND(" - ",A1426&amp;" - ")-1),TRIM(A1426)))</f>
        <v/>
      </c>
      <c r="M1426">
        <f>IF(OR(K1426="",K1426=A1426,A1426=""),"",K1426&amp;"|"&amp;L1426)</f>
        <v/>
      </c>
      <c r="N1426">
        <f>IF(M1426="","",IF(ISNUMBER(B1426),B1426,IFERROR(_xlfn.NUMBERVALUE(B1426,".",","),0)))</f>
        <v/>
      </c>
      <c r="O1426">
        <f>IF(M1426="","",IF(ISNUMBER(C1426),C1426,IFERROR(_xlfn.NUMBERVALUE(C1426,".",","),0)))</f>
        <v/>
      </c>
    </row>
    <row r="1427">
      <c r="K1427">
        <f>IF(OR(LEFT(B1427,9)="DOANH THU",LEFT(B1427,8)="SỐ LƯỢNG"),A1427,IF(A1427="","",K1426))</f>
        <v/>
      </c>
      <c r="L1427">
        <f>IF(A1427="","",IF(ISNUMBER(--LEFT(A1427,FIND(" - ",A1427&amp;" - ")-1)),LEFT(A1427,FIND(" - ",A1427&amp;" - ")-1),TRIM(A1427)))</f>
        <v/>
      </c>
      <c r="M1427">
        <f>IF(OR(K1427="",K1427=A1427,A1427=""),"",K1427&amp;"|"&amp;L1427)</f>
        <v/>
      </c>
      <c r="N1427">
        <f>IF(M1427="","",IF(ISNUMBER(B1427),B1427,IFERROR(_xlfn.NUMBERVALUE(B1427,".",","),0)))</f>
        <v/>
      </c>
      <c r="O1427">
        <f>IF(M1427="","",IF(ISNUMBER(C1427),C1427,IFERROR(_xlfn.NUMBERVALUE(C1427,".",","),0)))</f>
        <v/>
      </c>
    </row>
    <row r="1428">
      <c r="K1428">
        <f>IF(OR(LEFT(B1428,9)="DOANH THU",LEFT(B1428,8)="SỐ LƯỢNG"),A1428,IF(A1428="","",K1427))</f>
        <v/>
      </c>
      <c r="L1428">
        <f>IF(A1428="","",IF(ISNUMBER(--LEFT(A1428,FIND(" - ",A1428&amp;" - ")-1)),LEFT(A1428,FIND(" - ",A1428&amp;" - ")-1),TRIM(A1428)))</f>
        <v/>
      </c>
      <c r="M1428">
        <f>IF(OR(K1428="",K1428=A1428,A1428=""),"",K1428&amp;"|"&amp;L1428)</f>
        <v/>
      </c>
      <c r="N1428">
        <f>IF(M1428="","",IF(ISNUMBER(B1428),B1428,IFERROR(_xlfn.NUMBERVALUE(B1428,".",","),0)))</f>
        <v/>
      </c>
      <c r="O1428">
        <f>IF(M1428="","",IF(ISNUMBER(C1428),C1428,IFERROR(_xlfn.NUMBERVALUE(C1428,".",","),0)))</f>
        <v/>
      </c>
    </row>
    <row r="1429">
      <c r="K1429">
        <f>IF(OR(LEFT(B1429,9)="DOANH THU",LEFT(B1429,8)="SỐ LƯỢNG"),A1429,IF(A1429="","",K1428))</f>
        <v/>
      </c>
      <c r="L1429">
        <f>IF(A1429="","",IF(ISNUMBER(--LEFT(A1429,FIND(" - ",A1429&amp;" - ")-1)),LEFT(A1429,FIND(" - ",A1429&amp;" - ")-1),TRIM(A1429)))</f>
        <v/>
      </c>
      <c r="M1429">
        <f>IF(OR(K1429="",K1429=A1429,A1429=""),"",K1429&amp;"|"&amp;L1429)</f>
        <v/>
      </c>
      <c r="N1429">
        <f>IF(M1429="","",IF(ISNUMBER(B1429),B1429,IFERROR(_xlfn.NUMBERVALUE(B1429,".",","),0)))</f>
        <v/>
      </c>
      <c r="O1429">
        <f>IF(M1429="","",IF(ISNUMBER(C1429),C1429,IFERROR(_xlfn.NUMBERVALUE(C1429,".",","),0)))</f>
        <v/>
      </c>
    </row>
    <row r="1430">
      <c r="K1430">
        <f>IF(OR(LEFT(B1430,9)="DOANH THU",LEFT(B1430,8)="SỐ LƯỢNG"),A1430,IF(A1430="","",K1429))</f>
        <v/>
      </c>
      <c r="L1430">
        <f>IF(A1430="","",IF(ISNUMBER(--LEFT(A1430,FIND(" - ",A1430&amp;" - ")-1)),LEFT(A1430,FIND(" - ",A1430&amp;" - ")-1),TRIM(A1430)))</f>
        <v/>
      </c>
      <c r="M1430">
        <f>IF(OR(K1430="",K1430=A1430,A1430=""),"",K1430&amp;"|"&amp;L1430)</f>
        <v/>
      </c>
      <c r="N1430">
        <f>IF(M1430="","",IF(ISNUMBER(B1430),B1430,IFERROR(_xlfn.NUMBERVALUE(B1430,".",","),0)))</f>
        <v/>
      </c>
      <c r="O1430">
        <f>IF(M1430="","",IF(ISNUMBER(C1430),C1430,IFERROR(_xlfn.NUMBERVALUE(C1430,".",","),0)))</f>
        <v/>
      </c>
    </row>
    <row r="1431">
      <c r="K1431">
        <f>IF(OR(LEFT(B1431,9)="DOANH THU",LEFT(B1431,8)="SỐ LƯỢNG"),A1431,IF(A1431="","",K1430))</f>
        <v/>
      </c>
      <c r="L1431">
        <f>IF(A1431="","",IF(ISNUMBER(--LEFT(A1431,FIND(" - ",A1431&amp;" - ")-1)),LEFT(A1431,FIND(" - ",A1431&amp;" - ")-1),TRIM(A1431)))</f>
        <v/>
      </c>
      <c r="M1431">
        <f>IF(OR(K1431="",K1431=A1431,A1431=""),"",K1431&amp;"|"&amp;L1431)</f>
        <v/>
      </c>
      <c r="N1431">
        <f>IF(M1431="","",IF(ISNUMBER(B1431),B1431,IFERROR(_xlfn.NUMBERVALUE(B1431,".",","),0)))</f>
        <v/>
      </c>
      <c r="O1431">
        <f>IF(M1431="","",IF(ISNUMBER(C1431),C1431,IFERROR(_xlfn.NUMBERVALUE(C1431,".",","),0)))</f>
        <v/>
      </c>
    </row>
    <row r="1432">
      <c r="K1432">
        <f>IF(OR(LEFT(B1432,9)="DOANH THU",LEFT(B1432,8)="SỐ LƯỢNG"),A1432,IF(A1432="","",K1431))</f>
        <v/>
      </c>
      <c r="L1432">
        <f>IF(A1432="","",IF(ISNUMBER(--LEFT(A1432,FIND(" - ",A1432&amp;" - ")-1)),LEFT(A1432,FIND(" - ",A1432&amp;" - ")-1),TRIM(A1432)))</f>
        <v/>
      </c>
      <c r="M1432">
        <f>IF(OR(K1432="",K1432=A1432,A1432=""),"",K1432&amp;"|"&amp;L1432)</f>
        <v/>
      </c>
      <c r="N1432">
        <f>IF(M1432="","",IF(ISNUMBER(B1432),B1432,IFERROR(_xlfn.NUMBERVALUE(B1432,".",","),0)))</f>
        <v/>
      </c>
      <c r="O1432">
        <f>IF(M1432="","",IF(ISNUMBER(C1432),C1432,IFERROR(_xlfn.NUMBERVALUE(C1432,".",","),0)))</f>
        <v/>
      </c>
    </row>
    <row r="1433">
      <c r="K1433">
        <f>IF(OR(LEFT(B1433,9)="DOANH THU",LEFT(B1433,8)="SỐ LƯỢNG"),A1433,IF(A1433="","",K1432))</f>
        <v/>
      </c>
      <c r="L1433">
        <f>IF(A1433="","",IF(ISNUMBER(--LEFT(A1433,FIND(" - ",A1433&amp;" - ")-1)),LEFT(A1433,FIND(" - ",A1433&amp;" - ")-1),TRIM(A1433)))</f>
        <v/>
      </c>
      <c r="M1433">
        <f>IF(OR(K1433="",K1433=A1433,A1433=""),"",K1433&amp;"|"&amp;L1433)</f>
        <v/>
      </c>
      <c r="N1433">
        <f>IF(M1433="","",IF(ISNUMBER(B1433),B1433,IFERROR(_xlfn.NUMBERVALUE(B1433,".",","),0)))</f>
        <v/>
      </c>
      <c r="O1433">
        <f>IF(M1433="","",IF(ISNUMBER(C1433),C1433,IFERROR(_xlfn.NUMBERVALUE(C1433,".",","),0)))</f>
        <v/>
      </c>
    </row>
    <row r="1434">
      <c r="K1434">
        <f>IF(OR(LEFT(B1434,9)="DOANH THU",LEFT(B1434,8)="SỐ LƯỢNG"),A1434,IF(A1434="","",K1433))</f>
        <v/>
      </c>
      <c r="L1434">
        <f>IF(A1434="","",IF(ISNUMBER(--LEFT(A1434,FIND(" - ",A1434&amp;" - ")-1)),LEFT(A1434,FIND(" - ",A1434&amp;" - ")-1),TRIM(A1434)))</f>
        <v/>
      </c>
      <c r="M1434">
        <f>IF(OR(K1434="",K1434=A1434,A1434=""),"",K1434&amp;"|"&amp;L1434)</f>
        <v/>
      </c>
      <c r="N1434">
        <f>IF(M1434="","",IF(ISNUMBER(B1434),B1434,IFERROR(_xlfn.NUMBERVALUE(B1434,".",","),0)))</f>
        <v/>
      </c>
      <c r="O1434">
        <f>IF(M1434="","",IF(ISNUMBER(C1434),C1434,IFERROR(_xlfn.NUMBERVALUE(C1434,".",","),0)))</f>
        <v/>
      </c>
    </row>
    <row r="1435">
      <c r="K1435">
        <f>IF(OR(LEFT(B1435,9)="DOANH THU",LEFT(B1435,8)="SỐ LƯỢNG"),A1435,IF(A1435="","",K1434))</f>
        <v/>
      </c>
      <c r="L1435">
        <f>IF(A1435="","",IF(ISNUMBER(--LEFT(A1435,FIND(" - ",A1435&amp;" - ")-1)),LEFT(A1435,FIND(" - ",A1435&amp;" - ")-1),TRIM(A1435)))</f>
        <v/>
      </c>
      <c r="M1435">
        <f>IF(OR(K1435="",K1435=A1435,A1435=""),"",K1435&amp;"|"&amp;L1435)</f>
        <v/>
      </c>
      <c r="N1435">
        <f>IF(M1435="","",IF(ISNUMBER(B1435),B1435,IFERROR(_xlfn.NUMBERVALUE(B1435,".",","),0)))</f>
        <v/>
      </c>
      <c r="O1435">
        <f>IF(M1435="","",IF(ISNUMBER(C1435),C1435,IFERROR(_xlfn.NUMBERVALUE(C1435,".",","),0)))</f>
        <v/>
      </c>
    </row>
    <row r="1436">
      <c r="K1436">
        <f>IF(OR(LEFT(B1436,9)="DOANH THU",LEFT(B1436,8)="SỐ LƯỢNG"),A1436,IF(A1436="","",K1435))</f>
        <v/>
      </c>
      <c r="L1436">
        <f>IF(A1436="","",IF(ISNUMBER(--LEFT(A1436,FIND(" - ",A1436&amp;" - ")-1)),LEFT(A1436,FIND(" - ",A1436&amp;" - ")-1),TRIM(A1436)))</f>
        <v/>
      </c>
      <c r="M1436">
        <f>IF(OR(K1436="",K1436=A1436,A1436=""),"",K1436&amp;"|"&amp;L1436)</f>
        <v/>
      </c>
      <c r="N1436">
        <f>IF(M1436="","",IF(ISNUMBER(B1436),B1436,IFERROR(_xlfn.NUMBERVALUE(B1436,".",","),0)))</f>
        <v/>
      </c>
      <c r="O1436">
        <f>IF(M1436="","",IF(ISNUMBER(C1436),C1436,IFERROR(_xlfn.NUMBERVALUE(C1436,".",","),0)))</f>
        <v/>
      </c>
    </row>
    <row r="1437">
      <c r="K1437">
        <f>IF(OR(LEFT(B1437,9)="DOANH THU",LEFT(B1437,8)="SỐ LƯỢNG"),A1437,IF(A1437="","",K1436))</f>
        <v/>
      </c>
      <c r="L1437">
        <f>IF(A1437="","",IF(ISNUMBER(--LEFT(A1437,FIND(" - ",A1437&amp;" - ")-1)),LEFT(A1437,FIND(" - ",A1437&amp;" - ")-1),TRIM(A1437)))</f>
        <v/>
      </c>
      <c r="M1437">
        <f>IF(OR(K1437="",K1437=A1437,A1437=""),"",K1437&amp;"|"&amp;L1437)</f>
        <v/>
      </c>
      <c r="N1437">
        <f>IF(M1437="","",IF(ISNUMBER(B1437),B1437,IFERROR(_xlfn.NUMBERVALUE(B1437,".",","),0)))</f>
        <v/>
      </c>
      <c r="O1437">
        <f>IF(M1437="","",IF(ISNUMBER(C1437),C1437,IFERROR(_xlfn.NUMBERVALUE(C1437,".",","),0)))</f>
        <v/>
      </c>
    </row>
    <row r="1438">
      <c r="K1438">
        <f>IF(OR(LEFT(B1438,9)="DOANH THU",LEFT(B1438,8)="SỐ LƯỢNG"),A1438,IF(A1438="","",K1437))</f>
        <v/>
      </c>
      <c r="L1438">
        <f>IF(A1438="","",IF(ISNUMBER(--LEFT(A1438,FIND(" - ",A1438&amp;" - ")-1)),LEFT(A1438,FIND(" - ",A1438&amp;" - ")-1),TRIM(A1438)))</f>
        <v/>
      </c>
      <c r="M1438">
        <f>IF(OR(K1438="",K1438=A1438,A1438=""),"",K1438&amp;"|"&amp;L1438)</f>
        <v/>
      </c>
      <c r="N1438">
        <f>IF(M1438="","",IF(ISNUMBER(B1438),B1438,IFERROR(_xlfn.NUMBERVALUE(B1438,".",","),0)))</f>
        <v/>
      </c>
      <c r="O1438">
        <f>IF(M1438="","",IF(ISNUMBER(C1438),C1438,IFERROR(_xlfn.NUMBERVALUE(C1438,".",","),0)))</f>
        <v/>
      </c>
    </row>
    <row r="1439">
      <c r="K1439">
        <f>IF(OR(LEFT(B1439,9)="DOANH THU",LEFT(B1439,8)="SỐ LƯỢNG"),A1439,IF(A1439="","",K1438))</f>
        <v/>
      </c>
      <c r="L1439">
        <f>IF(A1439="","",IF(ISNUMBER(--LEFT(A1439,FIND(" - ",A1439&amp;" - ")-1)),LEFT(A1439,FIND(" - ",A1439&amp;" - ")-1),TRIM(A1439)))</f>
        <v/>
      </c>
      <c r="M1439">
        <f>IF(OR(K1439="",K1439=A1439,A1439=""),"",K1439&amp;"|"&amp;L1439)</f>
        <v/>
      </c>
      <c r="N1439">
        <f>IF(M1439="","",IF(ISNUMBER(B1439),B1439,IFERROR(_xlfn.NUMBERVALUE(B1439,".",","),0)))</f>
        <v/>
      </c>
      <c r="O1439">
        <f>IF(M1439="","",IF(ISNUMBER(C1439),C1439,IFERROR(_xlfn.NUMBERVALUE(C1439,".",","),0)))</f>
        <v/>
      </c>
    </row>
    <row r="1440">
      <c r="K1440">
        <f>IF(OR(LEFT(B1440,9)="DOANH THU",LEFT(B1440,8)="SỐ LƯỢNG"),A1440,IF(A1440="","",K1439))</f>
        <v/>
      </c>
      <c r="L1440">
        <f>IF(A1440="","",IF(ISNUMBER(--LEFT(A1440,FIND(" - ",A1440&amp;" - ")-1)),LEFT(A1440,FIND(" - ",A1440&amp;" - ")-1),TRIM(A1440)))</f>
        <v/>
      </c>
      <c r="M1440">
        <f>IF(OR(K1440="",K1440=A1440,A1440=""),"",K1440&amp;"|"&amp;L1440)</f>
        <v/>
      </c>
      <c r="N1440">
        <f>IF(M1440="","",IF(ISNUMBER(B1440),B1440,IFERROR(_xlfn.NUMBERVALUE(B1440,".",","),0)))</f>
        <v/>
      </c>
      <c r="O1440">
        <f>IF(M1440="","",IF(ISNUMBER(C1440),C1440,IFERROR(_xlfn.NUMBERVALUE(C1440,".",","),0)))</f>
        <v/>
      </c>
    </row>
    <row r="1441">
      <c r="K1441">
        <f>IF(OR(LEFT(B1441,9)="DOANH THU",LEFT(B1441,8)="SỐ LƯỢNG"),A1441,IF(A1441="","",K1440))</f>
        <v/>
      </c>
      <c r="L1441">
        <f>IF(A1441="","",IF(ISNUMBER(--LEFT(A1441,FIND(" - ",A1441&amp;" - ")-1)),LEFT(A1441,FIND(" - ",A1441&amp;" - ")-1),TRIM(A1441)))</f>
        <v/>
      </c>
      <c r="M1441">
        <f>IF(OR(K1441="",K1441=A1441,A1441=""),"",K1441&amp;"|"&amp;L1441)</f>
        <v/>
      </c>
      <c r="N1441">
        <f>IF(M1441="","",IF(ISNUMBER(B1441),B1441,IFERROR(_xlfn.NUMBERVALUE(B1441,".",","),0)))</f>
        <v/>
      </c>
      <c r="O1441">
        <f>IF(M1441="","",IF(ISNUMBER(C1441),C1441,IFERROR(_xlfn.NUMBERVALUE(C1441,".",","),0)))</f>
        <v/>
      </c>
    </row>
    <row r="1442">
      <c r="K1442">
        <f>IF(OR(LEFT(B1442,9)="DOANH THU",LEFT(B1442,8)="SỐ LƯỢNG"),A1442,IF(A1442="","",K1441))</f>
        <v/>
      </c>
      <c r="L1442">
        <f>IF(A1442="","",IF(ISNUMBER(--LEFT(A1442,FIND(" - ",A1442&amp;" - ")-1)),LEFT(A1442,FIND(" - ",A1442&amp;" - ")-1),TRIM(A1442)))</f>
        <v/>
      </c>
      <c r="M1442">
        <f>IF(OR(K1442="",K1442=A1442,A1442=""),"",K1442&amp;"|"&amp;L1442)</f>
        <v/>
      </c>
      <c r="N1442">
        <f>IF(M1442="","",IF(ISNUMBER(B1442),B1442,IFERROR(_xlfn.NUMBERVALUE(B1442,".",","),0)))</f>
        <v/>
      </c>
      <c r="O1442">
        <f>IF(M1442="","",IF(ISNUMBER(C1442),C1442,IFERROR(_xlfn.NUMBERVALUE(C1442,".",","),0)))</f>
        <v/>
      </c>
    </row>
    <row r="1443">
      <c r="K1443">
        <f>IF(OR(LEFT(B1443,9)="DOANH THU",LEFT(B1443,8)="SỐ LƯỢNG"),A1443,IF(A1443="","",K1442))</f>
        <v/>
      </c>
      <c r="L1443">
        <f>IF(A1443="","",IF(ISNUMBER(--LEFT(A1443,FIND(" - ",A1443&amp;" - ")-1)),LEFT(A1443,FIND(" - ",A1443&amp;" - ")-1),TRIM(A1443)))</f>
        <v/>
      </c>
      <c r="M1443">
        <f>IF(OR(K1443="",K1443=A1443,A1443=""),"",K1443&amp;"|"&amp;L1443)</f>
        <v/>
      </c>
      <c r="N1443">
        <f>IF(M1443="","",IF(ISNUMBER(B1443),B1443,IFERROR(_xlfn.NUMBERVALUE(B1443,".",","),0)))</f>
        <v/>
      </c>
      <c r="O1443">
        <f>IF(M1443="","",IF(ISNUMBER(C1443),C1443,IFERROR(_xlfn.NUMBERVALUE(C1443,".",","),0)))</f>
        <v/>
      </c>
    </row>
    <row r="1444">
      <c r="K1444">
        <f>IF(OR(LEFT(B1444,9)="DOANH THU",LEFT(B1444,8)="SỐ LƯỢNG"),A1444,IF(A1444="","",K1443))</f>
        <v/>
      </c>
      <c r="L1444">
        <f>IF(A1444="","",IF(ISNUMBER(--LEFT(A1444,FIND(" - ",A1444&amp;" - ")-1)),LEFT(A1444,FIND(" - ",A1444&amp;" - ")-1),TRIM(A1444)))</f>
        <v/>
      </c>
      <c r="M1444">
        <f>IF(OR(K1444="",K1444=A1444,A1444=""),"",K1444&amp;"|"&amp;L1444)</f>
        <v/>
      </c>
      <c r="N1444">
        <f>IF(M1444="","",IF(ISNUMBER(B1444),B1444,IFERROR(_xlfn.NUMBERVALUE(B1444,".",","),0)))</f>
        <v/>
      </c>
      <c r="O1444">
        <f>IF(M1444="","",IF(ISNUMBER(C1444),C1444,IFERROR(_xlfn.NUMBERVALUE(C1444,".",","),0)))</f>
        <v/>
      </c>
    </row>
    <row r="1445">
      <c r="K1445">
        <f>IF(OR(LEFT(B1445,9)="DOANH THU",LEFT(B1445,8)="SỐ LƯỢNG"),A1445,IF(A1445="","",K1444))</f>
        <v/>
      </c>
      <c r="L1445">
        <f>IF(A1445="","",IF(ISNUMBER(--LEFT(A1445,FIND(" - ",A1445&amp;" - ")-1)),LEFT(A1445,FIND(" - ",A1445&amp;" - ")-1),TRIM(A1445)))</f>
        <v/>
      </c>
      <c r="M1445">
        <f>IF(OR(K1445="",K1445=A1445,A1445=""),"",K1445&amp;"|"&amp;L1445)</f>
        <v/>
      </c>
      <c r="N1445">
        <f>IF(M1445="","",IF(ISNUMBER(B1445),B1445,IFERROR(_xlfn.NUMBERVALUE(B1445,".",","),0)))</f>
        <v/>
      </c>
      <c r="O1445">
        <f>IF(M1445="","",IF(ISNUMBER(C1445),C1445,IFERROR(_xlfn.NUMBERVALUE(C1445,".",","),0)))</f>
        <v/>
      </c>
    </row>
    <row r="1446">
      <c r="K1446">
        <f>IF(OR(LEFT(B1446,9)="DOANH THU",LEFT(B1446,8)="SỐ LƯỢNG"),A1446,IF(A1446="","",K1445))</f>
        <v/>
      </c>
      <c r="L1446">
        <f>IF(A1446="","",IF(ISNUMBER(--LEFT(A1446,FIND(" - ",A1446&amp;" - ")-1)),LEFT(A1446,FIND(" - ",A1446&amp;" - ")-1),TRIM(A1446)))</f>
        <v/>
      </c>
      <c r="M1446">
        <f>IF(OR(K1446="",K1446=A1446,A1446=""),"",K1446&amp;"|"&amp;L1446)</f>
        <v/>
      </c>
      <c r="N1446">
        <f>IF(M1446="","",IF(ISNUMBER(B1446),B1446,IFERROR(_xlfn.NUMBERVALUE(B1446,".",","),0)))</f>
        <v/>
      </c>
      <c r="O1446">
        <f>IF(M1446="","",IF(ISNUMBER(C1446),C1446,IFERROR(_xlfn.NUMBERVALUE(C1446,".",","),0)))</f>
        <v/>
      </c>
    </row>
    <row r="1447">
      <c r="K1447">
        <f>IF(OR(LEFT(B1447,9)="DOANH THU",LEFT(B1447,8)="SỐ LƯỢNG"),A1447,IF(A1447="","",K1446))</f>
        <v/>
      </c>
      <c r="L1447">
        <f>IF(A1447="","",IF(ISNUMBER(--LEFT(A1447,FIND(" - ",A1447&amp;" - ")-1)),LEFT(A1447,FIND(" - ",A1447&amp;" - ")-1),TRIM(A1447)))</f>
        <v/>
      </c>
      <c r="M1447">
        <f>IF(OR(K1447="",K1447=A1447,A1447=""),"",K1447&amp;"|"&amp;L1447)</f>
        <v/>
      </c>
      <c r="N1447">
        <f>IF(M1447="","",IF(ISNUMBER(B1447),B1447,IFERROR(_xlfn.NUMBERVALUE(B1447,".",","),0)))</f>
        <v/>
      </c>
      <c r="O1447">
        <f>IF(M1447="","",IF(ISNUMBER(C1447),C1447,IFERROR(_xlfn.NUMBERVALUE(C1447,".",","),0)))</f>
        <v/>
      </c>
    </row>
    <row r="1448">
      <c r="K1448">
        <f>IF(OR(LEFT(B1448,9)="DOANH THU",LEFT(B1448,8)="SỐ LƯỢNG"),A1448,IF(A1448="","",K1447))</f>
        <v/>
      </c>
      <c r="L1448">
        <f>IF(A1448="","",IF(ISNUMBER(--LEFT(A1448,FIND(" - ",A1448&amp;" - ")-1)),LEFT(A1448,FIND(" - ",A1448&amp;" - ")-1),TRIM(A1448)))</f>
        <v/>
      </c>
      <c r="M1448">
        <f>IF(OR(K1448="",K1448=A1448,A1448=""),"",K1448&amp;"|"&amp;L1448)</f>
        <v/>
      </c>
      <c r="N1448">
        <f>IF(M1448="","",IF(ISNUMBER(B1448),B1448,IFERROR(_xlfn.NUMBERVALUE(B1448,".",","),0)))</f>
        <v/>
      </c>
      <c r="O1448">
        <f>IF(M1448="","",IF(ISNUMBER(C1448),C1448,IFERROR(_xlfn.NUMBERVALUE(C1448,".",","),0)))</f>
        <v/>
      </c>
    </row>
    <row r="1449">
      <c r="K1449">
        <f>IF(OR(LEFT(B1449,9)="DOANH THU",LEFT(B1449,8)="SỐ LƯỢNG"),A1449,IF(A1449="","",K1448))</f>
        <v/>
      </c>
      <c r="L1449">
        <f>IF(A1449="","",IF(ISNUMBER(--LEFT(A1449,FIND(" - ",A1449&amp;" - ")-1)),LEFT(A1449,FIND(" - ",A1449&amp;" - ")-1),TRIM(A1449)))</f>
        <v/>
      </c>
      <c r="M1449">
        <f>IF(OR(K1449="",K1449=A1449,A1449=""),"",K1449&amp;"|"&amp;L1449)</f>
        <v/>
      </c>
      <c r="N1449">
        <f>IF(M1449="","",IF(ISNUMBER(B1449),B1449,IFERROR(_xlfn.NUMBERVALUE(B1449,".",","),0)))</f>
        <v/>
      </c>
      <c r="O1449">
        <f>IF(M1449="","",IF(ISNUMBER(C1449),C1449,IFERROR(_xlfn.NUMBERVALUE(C1449,".",","),0)))</f>
        <v/>
      </c>
    </row>
    <row r="1450">
      <c r="K1450">
        <f>IF(OR(LEFT(B1450,9)="DOANH THU",LEFT(B1450,8)="SỐ LƯỢNG"),A1450,IF(A1450="","",K1449))</f>
        <v/>
      </c>
      <c r="L1450">
        <f>IF(A1450="","",IF(ISNUMBER(--LEFT(A1450,FIND(" - ",A1450&amp;" - ")-1)),LEFT(A1450,FIND(" - ",A1450&amp;" - ")-1),TRIM(A1450)))</f>
        <v/>
      </c>
      <c r="M1450">
        <f>IF(OR(K1450="",K1450=A1450,A1450=""),"",K1450&amp;"|"&amp;L1450)</f>
        <v/>
      </c>
      <c r="N1450">
        <f>IF(M1450="","",IF(ISNUMBER(B1450),B1450,IFERROR(_xlfn.NUMBERVALUE(B1450,".",","),0)))</f>
        <v/>
      </c>
      <c r="O1450">
        <f>IF(M1450="","",IF(ISNUMBER(C1450),C1450,IFERROR(_xlfn.NUMBERVALUE(C1450,".",","),0)))</f>
        <v/>
      </c>
    </row>
    <row r="1451">
      <c r="K1451">
        <f>IF(OR(LEFT(B1451,9)="DOANH THU",LEFT(B1451,8)="SỐ LƯỢNG"),A1451,IF(A1451="","",K1450))</f>
        <v/>
      </c>
      <c r="L1451">
        <f>IF(A1451="","",IF(ISNUMBER(--LEFT(A1451,FIND(" - ",A1451&amp;" - ")-1)),LEFT(A1451,FIND(" - ",A1451&amp;" - ")-1),TRIM(A1451)))</f>
        <v/>
      </c>
      <c r="M1451">
        <f>IF(OR(K1451="",K1451=A1451,A1451=""),"",K1451&amp;"|"&amp;L1451)</f>
        <v/>
      </c>
      <c r="N1451">
        <f>IF(M1451="","",IF(ISNUMBER(B1451),B1451,IFERROR(_xlfn.NUMBERVALUE(B1451,".",","),0)))</f>
        <v/>
      </c>
      <c r="O1451">
        <f>IF(M1451="","",IF(ISNUMBER(C1451),C1451,IFERROR(_xlfn.NUMBERVALUE(C1451,".",","),0)))</f>
        <v/>
      </c>
    </row>
    <row r="1452">
      <c r="K1452">
        <f>IF(OR(LEFT(B1452,9)="DOANH THU",LEFT(B1452,8)="SỐ LƯỢNG"),A1452,IF(A1452="","",K1451))</f>
        <v/>
      </c>
      <c r="L1452">
        <f>IF(A1452="","",IF(ISNUMBER(--LEFT(A1452,FIND(" - ",A1452&amp;" - ")-1)),LEFT(A1452,FIND(" - ",A1452&amp;" - ")-1),TRIM(A1452)))</f>
        <v/>
      </c>
      <c r="M1452">
        <f>IF(OR(K1452="",K1452=A1452,A1452=""),"",K1452&amp;"|"&amp;L1452)</f>
        <v/>
      </c>
      <c r="N1452">
        <f>IF(M1452="","",IF(ISNUMBER(B1452),B1452,IFERROR(_xlfn.NUMBERVALUE(B1452,".",","),0)))</f>
        <v/>
      </c>
      <c r="O1452">
        <f>IF(M1452="","",IF(ISNUMBER(C1452),C1452,IFERROR(_xlfn.NUMBERVALUE(C1452,".",","),0)))</f>
        <v/>
      </c>
    </row>
    <row r="1453">
      <c r="K1453">
        <f>IF(OR(LEFT(B1453,9)="DOANH THU",LEFT(B1453,8)="SỐ LƯỢNG"),A1453,IF(A1453="","",K1452))</f>
        <v/>
      </c>
      <c r="L1453">
        <f>IF(A1453="","",IF(ISNUMBER(--LEFT(A1453,FIND(" - ",A1453&amp;" - ")-1)),LEFT(A1453,FIND(" - ",A1453&amp;" - ")-1),TRIM(A1453)))</f>
        <v/>
      </c>
      <c r="M1453">
        <f>IF(OR(K1453="",K1453=A1453,A1453=""),"",K1453&amp;"|"&amp;L1453)</f>
        <v/>
      </c>
      <c r="N1453">
        <f>IF(M1453="","",IF(ISNUMBER(B1453),B1453,IFERROR(_xlfn.NUMBERVALUE(B1453,".",","),0)))</f>
        <v/>
      </c>
      <c r="O1453">
        <f>IF(M1453="","",IF(ISNUMBER(C1453),C1453,IFERROR(_xlfn.NUMBERVALUE(C1453,".",","),0)))</f>
        <v/>
      </c>
    </row>
    <row r="1454">
      <c r="K1454">
        <f>IF(OR(LEFT(B1454,9)="DOANH THU",LEFT(B1454,8)="SỐ LƯỢNG"),A1454,IF(A1454="","",K1453))</f>
        <v/>
      </c>
      <c r="L1454">
        <f>IF(A1454="","",IF(ISNUMBER(--LEFT(A1454,FIND(" - ",A1454&amp;" - ")-1)),LEFT(A1454,FIND(" - ",A1454&amp;" - ")-1),TRIM(A1454)))</f>
        <v/>
      </c>
      <c r="M1454">
        <f>IF(OR(K1454="",K1454=A1454,A1454=""),"",K1454&amp;"|"&amp;L1454)</f>
        <v/>
      </c>
      <c r="N1454">
        <f>IF(M1454="","",IF(ISNUMBER(B1454),B1454,IFERROR(_xlfn.NUMBERVALUE(B1454,".",","),0)))</f>
        <v/>
      </c>
      <c r="O1454">
        <f>IF(M1454="","",IF(ISNUMBER(C1454),C1454,IFERROR(_xlfn.NUMBERVALUE(C1454,".",","),0)))</f>
        <v/>
      </c>
    </row>
    <row r="1455">
      <c r="K1455">
        <f>IF(OR(LEFT(B1455,9)="DOANH THU",LEFT(B1455,8)="SỐ LƯỢNG"),A1455,IF(A1455="","",K1454))</f>
        <v/>
      </c>
      <c r="L1455">
        <f>IF(A1455="","",IF(ISNUMBER(--LEFT(A1455,FIND(" - ",A1455&amp;" - ")-1)),LEFT(A1455,FIND(" - ",A1455&amp;" - ")-1),TRIM(A1455)))</f>
        <v/>
      </c>
      <c r="M1455">
        <f>IF(OR(K1455="",K1455=A1455,A1455=""),"",K1455&amp;"|"&amp;L1455)</f>
        <v/>
      </c>
      <c r="N1455">
        <f>IF(M1455="","",IF(ISNUMBER(B1455),B1455,IFERROR(_xlfn.NUMBERVALUE(B1455,".",","),0)))</f>
        <v/>
      </c>
      <c r="O1455">
        <f>IF(M1455="","",IF(ISNUMBER(C1455),C1455,IFERROR(_xlfn.NUMBERVALUE(C1455,".",","),0)))</f>
        <v/>
      </c>
    </row>
    <row r="1456">
      <c r="K1456">
        <f>IF(OR(LEFT(B1456,9)="DOANH THU",LEFT(B1456,8)="SỐ LƯỢNG"),A1456,IF(A1456="","",K1455))</f>
        <v/>
      </c>
      <c r="L1456">
        <f>IF(A1456="","",IF(ISNUMBER(--LEFT(A1456,FIND(" - ",A1456&amp;" - ")-1)),LEFT(A1456,FIND(" - ",A1456&amp;" - ")-1),TRIM(A1456)))</f>
        <v/>
      </c>
      <c r="M1456">
        <f>IF(OR(K1456="",K1456=A1456,A1456=""),"",K1456&amp;"|"&amp;L1456)</f>
        <v/>
      </c>
      <c r="N1456">
        <f>IF(M1456="","",IF(ISNUMBER(B1456),B1456,IFERROR(_xlfn.NUMBERVALUE(B1456,".",","),0)))</f>
        <v/>
      </c>
      <c r="O1456">
        <f>IF(M1456="","",IF(ISNUMBER(C1456),C1456,IFERROR(_xlfn.NUMBERVALUE(C1456,".",","),0)))</f>
        <v/>
      </c>
    </row>
    <row r="1457">
      <c r="K1457">
        <f>IF(OR(LEFT(B1457,9)="DOANH THU",LEFT(B1457,8)="SỐ LƯỢNG"),A1457,IF(A1457="","",K1456))</f>
        <v/>
      </c>
      <c r="L1457">
        <f>IF(A1457="","",IF(ISNUMBER(--LEFT(A1457,FIND(" - ",A1457&amp;" - ")-1)),LEFT(A1457,FIND(" - ",A1457&amp;" - ")-1),TRIM(A1457)))</f>
        <v/>
      </c>
      <c r="M1457">
        <f>IF(OR(K1457="",K1457=A1457,A1457=""),"",K1457&amp;"|"&amp;L1457)</f>
        <v/>
      </c>
      <c r="N1457">
        <f>IF(M1457="","",IF(ISNUMBER(B1457),B1457,IFERROR(_xlfn.NUMBERVALUE(B1457,".",","),0)))</f>
        <v/>
      </c>
      <c r="O1457">
        <f>IF(M1457="","",IF(ISNUMBER(C1457),C1457,IFERROR(_xlfn.NUMBERVALUE(C1457,".",","),0)))</f>
        <v/>
      </c>
    </row>
    <row r="1458">
      <c r="K1458">
        <f>IF(OR(LEFT(B1458,9)="DOANH THU",LEFT(B1458,8)="SỐ LƯỢNG"),A1458,IF(A1458="","",K1457))</f>
        <v/>
      </c>
      <c r="L1458">
        <f>IF(A1458="","",IF(ISNUMBER(--LEFT(A1458,FIND(" - ",A1458&amp;" - ")-1)),LEFT(A1458,FIND(" - ",A1458&amp;" - ")-1),TRIM(A1458)))</f>
        <v/>
      </c>
      <c r="M1458">
        <f>IF(OR(K1458="",K1458=A1458,A1458=""),"",K1458&amp;"|"&amp;L1458)</f>
        <v/>
      </c>
      <c r="N1458">
        <f>IF(M1458="","",IF(ISNUMBER(B1458),B1458,IFERROR(_xlfn.NUMBERVALUE(B1458,".",","),0)))</f>
        <v/>
      </c>
      <c r="O1458">
        <f>IF(M1458="","",IF(ISNUMBER(C1458),C1458,IFERROR(_xlfn.NUMBERVALUE(C1458,".",","),0)))</f>
        <v/>
      </c>
    </row>
    <row r="1459">
      <c r="K1459">
        <f>IF(OR(LEFT(B1459,9)="DOANH THU",LEFT(B1459,8)="SỐ LƯỢNG"),A1459,IF(A1459="","",K1458))</f>
        <v/>
      </c>
      <c r="L1459">
        <f>IF(A1459="","",IF(ISNUMBER(--LEFT(A1459,FIND(" - ",A1459&amp;" - ")-1)),LEFT(A1459,FIND(" - ",A1459&amp;" - ")-1),TRIM(A1459)))</f>
        <v/>
      </c>
      <c r="M1459">
        <f>IF(OR(K1459="",K1459=A1459,A1459=""),"",K1459&amp;"|"&amp;L1459)</f>
        <v/>
      </c>
      <c r="N1459">
        <f>IF(M1459="","",IF(ISNUMBER(B1459),B1459,IFERROR(_xlfn.NUMBERVALUE(B1459,".",","),0)))</f>
        <v/>
      </c>
      <c r="O1459">
        <f>IF(M1459="","",IF(ISNUMBER(C1459),C1459,IFERROR(_xlfn.NUMBERVALUE(C1459,".",","),0)))</f>
        <v/>
      </c>
    </row>
    <row r="1460">
      <c r="K1460">
        <f>IF(OR(LEFT(B1460,9)="DOANH THU",LEFT(B1460,8)="SỐ LƯỢNG"),A1460,IF(A1460="","",K1459))</f>
        <v/>
      </c>
      <c r="L1460">
        <f>IF(A1460="","",IF(ISNUMBER(--LEFT(A1460,FIND(" - ",A1460&amp;" - ")-1)),LEFT(A1460,FIND(" - ",A1460&amp;" - ")-1),TRIM(A1460)))</f>
        <v/>
      </c>
      <c r="M1460">
        <f>IF(OR(K1460="",K1460=A1460,A1460=""),"",K1460&amp;"|"&amp;L1460)</f>
        <v/>
      </c>
      <c r="N1460">
        <f>IF(M1460="","",IF(ISNUMBER(B1460),B1460,IFERROR(_xlfn.NUMBERVALUE(B1460,".",","),0)))</f>
        <v/>
      </c>
      <c r="O1460">
        <f>IF(M1460="","",IF(ISNUMBER(C1460),C1460,IFERROR(_xlfn.NUMBERVALUE(C1460,".",","),0)))</f>
        <v/>
      </c>
    </row>
    <row r="1461">
      <c r="K1461">
        <f>IF(OR(LEFT(B1461,9)="DOANH THU",LEFT(B1461,8)="SỐ LƯỢNG"),A1461,IF(A1461="","",K1460))</f>
        <v/>
      </c>
      <c r="L1461">
        <f>IF(A1461="","",IF(ISNUMBER(--LEFT(A1461,FIND(" - ",A1461&amp;" - ")-1)),LEFT(A1461,FIND(" - ",A1461&amp;" - ")-1),TRIM(A1461)))</f>
        <v/>
      </c>
      <c r="M1461">
        <f>IF(OR(K1461="",K1461=A1461,A1461=""),"",K1461&amp;"|"&amp;L1461)</f>
        <v/>
      </c>
      <c r="N1461">
        <f>IF(M1461="","",IF(ISNUMBER(B1461),B1461,IFERROR(_xlfn.NUMBERVALUE(B1461,".",","),0)))</f>
        <v/>
      </c>
      <c r="O1461">
        <f>IF(M1461="","",IF(ISNUMBER(C1461),C1461,IFERROR(_xlfn.NUMBERVALUE(C1461,".",","),0)))</f>
        <v/>
      </c>
    </row>
    <row r="1462">
      <c r="K1462">
        <f>IF(OR(LEFT(B1462,9)="DOANH THU",LEFT(B1462,8)="SỐ LƯỢNG"),A1462,IF(A1462="","",K1461))</f>
        <v/>
      </c>
      <c r="L1462">
        <f>IF(A1462="","",IF(ISNUMBER(--LEFT(A1462,FIND(" - ",A1462&amp;" - ")-1)),LEFT(A1462,FIND(" - ",A1462&amp;" - ")-1),TRIM(A1462)))</f>
        <v/>
      </c>
      <c r="M1462">
        <f>IF(OR(K1462="",K1462=A1462,A1462=""),"",K1462&amp;"|"&amp;L1462)</f>
        <v/>
      </c>
      <c r="N1462">
        <f>IF(M1462="","",IF(ISNUMBER(B1462),B1462,IFERROR(_xlfn.NUMBERVALUE(B1462,".",","),0)))</f>
        <v/>
      </c>
      <c r="O1462">
        <f>IF(M1462="","",IF(ISNUMBER(C1462),C1462,IFERROR(_xlfn.NUMBERVALUE(C1462,".",","),0)))</f>
        <v/>
      </c>
    </row>
    <row r="1463">
      <c r="K1463">
        <f>IF(OR(LEFT(B1463,9)="DOANH THU",LEFT(B1463,8)="SỐ LƯỢNG"),A1463,IF(A1463="","",K1462))</f>
        <v/>
      </c>
      <c r="L1463">
        <f>IF(A1463="","",IF(ISNUMBER(--LEFT(A1463,FIND(" - ",A1463&amp;" - ")-1)),LEFT(A1463,FIND(" - ",A1463&amp;" - ")-1),TRIM(A1463)))</f>
        <v/>
      </c>
      <c r="M1463">
        <f>IF(OR(K1463="",K1463=A1463,A1463=""),"",K1463&amp;"|"&amp;L1463)</f>
        <v/>
      </c>
      <c r="N1463">
        <f>IF(M1463="","",IF(ISNUMBER(B1463),B1463,IFERROR(_xlfn.NUMBERVALUE(B1463,".",","),0)))</f>
        <v/>
      </c>
      <c r="O1463">
        <f>IF(M1463="","",IF(ISNUMBER(C1463),C1463,IFERROR(_xlfn.NUMBERVALUE(C1463,".",","),0)))</f>
        <v/>
      </c>
    </row>
    <row r="1464">
      <c r="K1464">
        <f>IF(OR(LEFT(B1464,9)="DOANH THU",LEFT(B1464,8)="SỐ LƯỢNG"),A1464,IF(A1464="","",K1463))</f>
        <v/>
      </c>
      <c r="L1464">
        <f>IF(A1464="","",IF(ISNUMBER(--LEFT(A1464,FIND(" - ",A1464&amp;" - ")-1)),LEFT(A1464,FIND(" - ",A1464&amp;" - ")-1),TRIM(A1464)))</f>
        <v/>
      </c>
      <c r="M1464">
        <f>IF(OR(K1464="",K1464=A1464,A1464=""),"",K1464&amp;"|"&amp;L1464)</f>
        <v/>
      </c>
      <c r="N1464">
        <f>IF(M1464="","",IF(ISNUMBER(B1464),B1464,IFERROR(_xlfn.NUMBERVALUE(B1464,".",","),0)))</f>
        <v/>
      </c>
      <c r="O1464">
        <f>IF(M1464="","",IF(ISNUMBER(C1464),C1464,IFERROR(_xlfn.NUMBERVALUE(C1464,".",","),0)))</f>
        <v/>
      </c>
    </row>
    <row r="1465">
      <c r="K1465">
        <f>IF(OR(LEFT(B1465,9)="DOANH THU",LEFT(B1465,8)="SỐ LƯỢNG"),A1465,IF(A1465="","",K1464))</f>
        <v/>
      </c>
      <c r="L1465">
        <f>IF(A1465="","",IF(ISNUMBER(--LEFT(A1465,FIND(" - ",A1465&amp;" - ")-1)),LEFT(A1465,FIND(" - ",A1465&amp;" - ")-1),TRIM(A1465)))</f>
        <v/>
      </c>
      <c r="M1465">
        <f>IF(OR(K1465="",K1465=A1465,A1465=""),"",K1465&amp;"|"&amp;L1465)</f>
        <v/>
      </c>
      <c r="N1465">
        <f>IF(M1465="","",IF(ISNUMBER(B1465),B1465,IFERROR(_xlfn.NUMBERVALUE(B1465,".",","),0)))</f>
        <v/>
      </c>
      <c r="O1465">
        <f>IF(M1465="","",IF(ISNUMBER(C1465),C1465,IFERROR(_xlfn.NUMBERVALUE(C1465,".",","),0)))</f>
        <v/>
      </c>
    </row>
    <row r="1466">
      <c r="K1466">
        <f>IF(OR(LEFT(B1466,9)="DOANH THU",LEFT(B1466,8)="SỐ LƯỢNG"),A1466,IF(A1466="","",K1465))</f>
        <v/>
      </c>
      <c r="L1466">
        <f>IF(A1466="","",IF(ISNUMBER(--LEFT(A1466,FIND(" - ",A1466&amp;" - ")-1)),LEFT(A1466,FIND(" - ",A1466&amp;" - ")-1),TRIM(A1466)))</f>
        <v/>
      </c>
      <c r="M1466">
        <f>IF(OR(K1466="",K1466=A1466,A1466=""),"",K1466&amp;"|"&amp;L1466)</f>
        <v/>
      </c>
      <c r="N1466">
        <f>IF(M1466="","",IF(ISNUMBER(B1466),B1466,IFERROR(_xlfn.NUMBERVALUE(B1466,".",","),0)))</f>
        <v/>
      </c>
      <c r="O1466">
        <f>IF(M1466="","",IF(ISNUMBER(C1466),C1466,IFERROR(_xlfn.NUMBERVALUE(C1466,".",","),0)))</f>
        <v/>
      </c>
    </row>
    <row r="1467">
      <c r="K1467">
        <f>IF(OR(LEFT(B1467,9)="DOANH THU",LEFT(B1467,8)="SỐ LƯỢNG"),A1467,IF(A1467="","",K1466))</f>
        <v/>
      </c>
      <c r="L1467">
        <f>IF(A1467="","",IF(ISNUMBER(--LEFT(A1467,FIND(" - ",A1467&amp;" - ")-1)),LEFT(A1467,FIND(" - ",A1467&amp;" - ")-1),TRIM(A1467)))</f>
        <v/>
      </c>
      <c r="M1467">
        <f>IF(OR(K1467="",K1467=A1467,A1467=""),"",K1467&amp;"|"&amp;L1467)</f>
        <v/>
      </c>
      <c r="N1467">
        <f>IF(M1467="","",IF(ISNUMBER(B1467),B1467,IFERROR(_xlfn.NUMBERVALUE(B1467,".",","),0)))</f>
        <v/>
      </c>
      <c r="O1467">
        <f>IF(M1467="","",IF(ISNUMBER(C1467),C1467,IFERROR(_xlfn.NUMBERVALUE(C1467,".",","),0)))</f>
        <v/>
      </c>
    </row>
    <row r="1468">
      <c r="K1468">
        <f>IF(OR(LEFT(B1468,9)="DOANH THU",LEFT(B1468,8)="SỐ LƯỢNG"),A1468,IF(A1468="","",K1467))</f>
        <v/>
      </c>
      <c r="L1468">
        <f>IF(A1468="","",IF(ISNUMBER(--LEFT(A1468,FIND(" - ",A1468&amp;" - ")-1)),LEFT(A1468,FIND(" - ",A1468&amp;" - ")-1),TRIM(A1468)))</f>
        <v/>
      </c>
      <c r="M1468">
        <f>IF(OR(K1468="",K1468=A1468,A1468=""),"",K1468&amp;"|"&amp;L1468)</f>
        <v/>
      </c>
      <c r="N1468">
        <f>IF(M1468="","",IF(ISNUMBER(B1468),B1468,IFERROR(_xlfn.NUMBERVALUE(B1468,".",","),0)))</f>
        <v/>
      </c>
      <c r="O1468">
        <f>IF(M1468="","",IF(ISNUMBER(C1468),C1468,IFERROR(_xlfn.NUMBERVALUE(C1468,".",","),0)))</f>
        <v/>
      </c>
    </row>
    <row r="1469">
      <c r="K1469">
        <f>IF(OR(LEFT(B1469,9)="DOANH THU",LEFT(B1469,8)="SỐ LƯỢNG"),A1469,IF(A1469="","",K1468))</f>
        <v/>
      </c>
      <c r="L1469">
        <f>IF(A1469="","",IF(ISNUMBER(--LEFT(A1469,FIND(" - ",A1469&amp;" - ")-1)),LEFT(A1469,FIND(" - ",A1469&amp;" - ")-1),TRIM(A1469)))</f>
        <v/>
      </c>
      <c r="M1469">
        <f>IF(OR(K1469="",K1469=A1469,A1469=""),"",K1469&amp;"|"&amp;L1469)</f>
        <v/>
      </c>
      <c r="N1469">
        <f>IF(M1469="","",IF(ISNUMBER(B1469),B1469,IFERROR(_xlfn.NUMBERVALUE(B1469,".",","),0)))</f>
        <v/>
      </c>
      <c r="O1469">
        <f>IF(M1469="","",IF(ISNUMBER(C1469),C1469,IFERROR(_xlfn.NUMBERVALUE(C1469,".",","),0)))</f>
        <v/>
      </c>
    </row>
    <row r="1470">
      <c r="K1470">
        <f>IF(OR(LEFT(B1470,9)="DOANH THU",LEFT(B1470,8)="SỐ LƯỢNG"),A1470,IF(A1470="","",K1469))</f>
        <v/>
      </c>
      <c r="L1470">
        <f>IF(A1470="","",IF(ISNUMBER(--LEFT(A1470,FIND(" - ",A1470&amp;" - ")-1)),LEFT(A1470,FIND(" - ",A1470&amp;" - ")-1),TRIM(A1470)))</f>
        <v/>
      </c>
      <c r="M1470">
        <f>IF(OR(K1470="",K1470=A1470,A1470=""),"",K1470&amp;"|"&amp;L1470)</f>
        <v/>
      </c>
      <c r="N1470">
        <f>IF(M1470="","",IF(ISNUMBER(B1470),B1470,IFERROR(_xlfn.NUMBERVALUE(B1470,".",","),0)))</f>
        <v/>
      </c>
      <c r="O1470">
        <f>IF(M1470="","",IF(ISNUMBER(C1470),C1470,IFERROR(_xlfn.NUMBERVALUE(C1470,".",","),0)))</f>
        <v/>
      </c>
    </row>
    <row r="1471">
      <c r="K1471">
        <f>IF(OR(LEFT(B1471,9)="DOANH THU",LEFT(B1471,8)="SỐ LƯỢNG"),A1471,IF(A1471="","",K1470))</f>
        <v/>
      </c>
      <c r="L1471">
        <f>IF(A1471="","",IF(ISNUMBER(--LEFT(A1471,FIND(" - ",A1471&amp;" - ")-1)),LEFT(A1471,FIND(" - ",A1471&amp;" - ")-1),TRIM(A1471)))</f>
        <v/>
      </c>
      <c r="M1471">
        <f>IF(OR(K1471="",K1471=A1471,A1471=""),"",K1471&amp;"|"&amp;L1471)</f>
        <v/>
      </c>
      <c r="N1471">
        <f>IF(M1471="","",IF(ISNUMBER(B1471),B1471,IFERROR(_xlfn.NUMBERVALUE(B1471,".",","),0)))</f>
        <v/>
      </c>
      <c r="O1471">
        <f>IF(M1471="","",IF(ISNUMBER(C1471),C1471,IFERROR(_xlfn.NUMBERVALUE(C1471,".",","),0)))</f>
        <v/>
      </c>
    </row>
    <row r="1472">
      <c r="K1472">
        <f>IF(OR(LEFT(B1472,9)="DOANH THU",LEFT(B1472,8)="SỐ LƯỢNG"),A1472,IF(A1472="","",K1471))</f>
        <v/>
      </c>
      <c r="L1472">
        <f>IF(A1472="","",IF(ISNUMBER(--LEFT(A1472,FIND(" - ",A1472&amp;" - ")-1)),LEFT(A1472,FIND(" - ",A1472&amp;" - ")-1),TRIM(A1472)))</f>
        <v/>
      </c>
      <c r="M1472">
        <f>IF(OR(K1472="",K1472=A1472,A1472=""),"",K1472&amp;"|"&amp;L1472)</f>
        <v/>
      </c>
      <c r="N1472">
        <f>IF(M1472="","",IF(ISNUMBER(B1472),B1472,IFERROR(_xlfn.NUMBERVALUE(B1472,".",","),0)))</f>
        <v/>
      </c>
      <c r="O1472">
        <f>IF(M1472="","",IF(ISNUMBER(C1472),C1472,IFERROR(_xlfn.NUMBERVALUE(C1472,".",","),0)))</f>
        <v/>
      </c>
    </row>
    <row r="1473">
      <c r="K1473">
        <f>IF(OR(LEFT(B1473,9)="DOANH THU",LEFT(B1473,8)="SỐ LƯỢNG"),A1473,IF(A1473="","",K1472))</f>
        <v/>
      </c>
      <c r="L1473">
        <f>IF(A1473="","",IF(ISNUMBER(--LEFT(A1473,FIND(" - ",A1473&amp;" - ")-1)),LEFT(A1473,FIND(" - ",A1473&amp;" - ")-1),TRIM(A1473)))</f>
        <v/>
      </c>
      <c r="M1473">
        <f>IF(OR(K1473="",K1473=A1473,A1473=""),"",K1473&amp;"|"&amp;L1473)</f>
        <v/>
      </c>
      <c r="N1473">
        <f>IF(M1473="","",IF(ISNUMBER(B1473),B1473,IFERROR(_xlfn.NUMBERVALUE(B1473,".",","),0)))</f>
        <v/>
      </c>
      <c r="O1473">
        <f>IF(M1473="","",IF(ISNUMBER(C1473),C1473,IFERROR(_xlfn.NUMBERVALUE(C1473,".",","),0)))</f>
        <v/>
      </c>
    </row>
    <row r="1474">
      <c r="K1474">
        <f>IF(OR(LEFT(B1474,9)="DOANH THU",LEFT(B1474,8)="SỐ LƯỢNG"),A1474,IF(A1474="","",K1473))</f>
        <v/>
      </c>
      <c r="L1474">
        <f>IF(A1474="","",IF(ISNUMBER(--LEFT(A1474,FIND(" - ",A1474&amp;" - ")-1)),LEFT(A1474,FIND(" - ",A1474&amp;" - ")-1),TRIM(A1474)))</f>
        <v/>
      </c>
      <c r="M1474">
        <f>IF(OR(K1474="",K1474=A1474,A1474=""),"",K1474&amp;"|"&amp;L1474)</f>
        <v/>
      </c>
      <c r="N1474">
        <f>IF(M1474="","",IF(ISNUMBER(B1474),B1474,IFERROR(_xlfn.NUMBERVALUE(B1474,".",","),0)))</f>
        <v/>
      </c>
      <c r="O1474">
        <f>IF(M1474="","",IF(ISNUMBER(C1474),C1474,IFERROR(_xlfn.NUMBERVALUE(C1474,".",","),0)))</f>
        <v/>
      </c>
    </row>
    <row r="1475">
      <c r="K1475">
        <f>IF(OR(LEFT(B1475,9)="DOANH THU",LEFT(B1475,8)="SỐ LƯỢNG"),A1475,IF(A1475="","",K1474))</f>
        <v/>
      </c>
      <c r="L1475">
        <f>IF(A1475="","",IF(ISNUMBER(--LEFT(A1475,FIND(" - ",A1475&amp;" - ")-1)),LEFT(A1475,FIND(" - ",A1475&amp;" - ")-1),TRIM(A1475)))</f>
        <v/>
      </c>
      <c r="M1475">
        <f>IF(OR(K1475="",K1475=A1475,A1475=""),"",K1475&amp;"|"&amp;L1475)</f>
        <v/>
      </c>
      <c r="N1475">
        <f>IF(M1475="","",IF(ISNUMBER(B1475),B1475,IFERROR(_xlfn.NUMBERVALUE(B1475,".",","),0)))</f>
        <v/>
      </c>
      <c r="O1475">
        <f>IF(M1475="","",IF(ISNUMBER(C1475),C1475,IFERROR(_xlfn.NUMBERVALUE(C1475,".",","),0)))</f>
        <v/>
      </c>
    </row>
    <row r="1476">
      <c r="K1476">
        <f>IF(OR(LEFT(B1476,9)="DOANH THU",LEFT(B1476,8)="SỐ LƯỢNG"),A1476,IF(A1476="","",K1475))</f>
        <v/>
      </c>
      <c r="L1476">
        <f>IF(A1476="","",IF(ISNUMBER(--LEFT(A1476,FIND(" - ",A1476&amp;" - ")-1)),LEFT(A1476,FIND(" - ",A1476&amp;" - ")-1),TRIM(A1476)))</f>
        <v/>
      </c>
      <c r="M1476">
        <f>IF(OR(K1476="",K1476=A1476,A1476=""),"",K1476&amp;"|"&amp;L1476)</f>
        <v/>
      </c>
      <c r="N1476">
        <f>IF(M1476="","",IF(ISNUMBER(B1476),B1476,IFERROR(_xlfn.NUMBERVALUE(B1476,".",","),0)))</f>
        <v/>
      </c>
      <c r="O1476">
        <f>IF(M1476="","",IF(ISNUMBER(C1476),C1476,IFERROR(_xlfn.NUMBERVALUE(C1476,".",","),0)))</f>
        <v/>
      </c>
    </row>
    <row r="1477">
      <c r="K1477">
        <f>IF(OR(LEFT(B1477,9)="DOANH THU",LEFT(B1477,8)="SỐ LƯỢNG"),A1477,IF(A1477="","",K1476))</f>
        <v/>
      </c>
      <c r="L1477">
        <f>IF(A1477="","",IF(ISNUMBER(--LEFT(A1477,FIND(" - ",A1477&amp;" - ")-1)),LEFT(A1477,FIND(" - ",A1477&amp;" - ")-1),TRIM(A1477)))</f>
        <v/>
      </c>
      <c r="M1477">
        <f>IF(OR(K1477="",K1477=A1477,A1477=""),"",K1477&amp;"|"&amp;L1477)</f>
        <v/>
      </c>
      <c r="N1477">
        <f>IF(M1477="","",IF(ISNUMBER(B1477),B1477,IFERROR(_xlfn.NUMBERVALUE(B1477,".",","),0)))</f>
        <v/>
      </c>
      <c r="O1477">
        <f>IF(M1477="","",IF(ISNUMBER(C1477),C1477,IFERROR(_xlfn.NUMBERVALUE(C1477,".",","),0)))</f>
        <v/>
      </c>
    </row>
    <row r="1478">
      <c r="K1478">
        <f>IF(OR(LEFT(B1478,9)="DOANH THU",LEFT(B1478,8)="SỐ LƯỢNG"),A1478,IF(A1478="","",K1477))</f>
        <v/>
      </c>
      <c r="L1478">
        <f>IF(A1478="","",IF(ISNUMBER(--LEFT(A1478,FIND(" - ",A1478&amp;" - ")-1)),LEFT(A1478,FIND(" - ",A1478&amp;" - ")-1),TRIM(A1478)))</f>
        <v/>
      </c>
      <c r="M1478">
        <f>IF(OR(K1478="",K1478=A1478,A1478=""),"",K1478&amp;"|"&amp;L1478)</f>
        <v/>
      </c>
      <c r="N1478">
        <f>IF(M1478="","",IF(ISNUMBER(B1478),B1478,IFERROR(_xlfn.NUMBERVALUE(B1478,".",","),0)))</f>
        <v/>
      </c>
      <c r="O1478">
        <f>IF(M1478="","",IF(ISNUMBER(C1478),C1478,IFERROR(_xlfn.NUMBERVALUE(C1478,".",","),0)))</f>
        <v/>
      </c>
    </row>
    <row r="1479">
      <c r="K1479">
        <f>IF(OR(LEFT(B1479,9)="DOANH THU",LEFT(B1479,8)="SỐ LƯỢNG"),A1479,IF(A1479="","",K1478))</f>
        <v/>
      </c>
      <c r="L1479">
        <f>IF(A1479="","",IF(ISNUMBER(--LEFT(A1479,FIND(" - ",A1479&amp;" - ")-1)),LEFT(A1479,FIND(" - ",A1479&amp;" - ")-1),TRIM(A1479)))</f>
        <v/>
      </c>
      <c r="M1479">
        <f>IF(OR(K1479="",K1479=A1479,A1479=""),"",K1479&amp;"|"&amp;L1479)</f>
        <v/>
      </c>
      <c r="N1479">
        <f>IF(M1479="","",IF(ISNUMBER(B1479),B1479,IFERROR(_xlfn.NUMBERVALUE(B1479,".",","),0)))</f>
        <v/>
      </c>
      <c r="O1479">
        <f>IF(M1479="","",IF(ISNUMBER(C1479),C1479,IFERROR(_xlfn.NUMBERVALUE(C1479,".",","),0)))</f>
        <v/>
      </c>
    </row>
    <row r="1480">
      <c r="K1480">
        <f>IF(OR(LEFT(B1480,9)="DOANH THU",LEFT(B1480,8)="SỐ LƯỢNG"),A1480,IF(A1480="","",K1479))</f>
        <v/>
      </c>
      <c r="L1480">
        <f>IF(A1480="","",IF(ISNUMBER(--LEFT(A1480,FIND(" - ",A1480&amp;" - ")-1)),LEFT(A1480,FIND(" - ",A1480&amp;" - ")-1),TRIM(A1480)))</f>
        <v/>
      </c>
      <c r="M1480">
        <f>IF(OR(K1480="",K1480=A1480,A1480=""),"",K1480&amp;"|"&amp;L1480)</f>
        <v/>
      </c>
      <c r="N1480">
        <f>IF(M1480="","",IF(ISNUMBER(B1480),B1480,IFERROR(_xlfn.NUMBERVALUE(B1480,".",","),0)))</f>
        <v/>
      </c>
      <c r="O1480">
        <f>IF(M1480="","",IF(ISNUMBER(C1480),C1480,IFERROR(_xlfn.NUMBERVALUE(C1480,".",","),0)))</f>
        <v/>
      </c>
    </row>
    <row r="1481">
      <c r="K1481">
        <f>IF(OR(LEFT(B1481,9)="DOANH THU",LEFT(B1481,8)="SỐ LƯỢNG"),A1481,IF(A1481="","",K1480))</f>
        <v/>
      </c>
      <c r="L1481">
        <f>IF(A1481="","",IF(ISNUMBER(--LEFT(A1481,FIND(" - ",A1481&amp;" - ")-1)),LEFT(A1481,FIND(" - ",A1481&amp;" - ")-1),TRIM(A1481)))</f>
        <v/>
      </c>
      <c r="M1481">
        <f>IF(OR(K1481="",K1481=A1481,A1481=""),"",K1481&amp;"|"&amp;L1481)</f>
        <v/>
      </c>
      <c r="N1481">
        <f>IF(M1481="","",IF(ISNUMBER(B1481),B1481,IFERROR(_xlfn.NUMBERVALUE(B1481,".",","),0)))</f>
        <v/>
      </c>
      <c r="O1481">
        <f>IF(M1481="","",IF(ISNUMBER(C1481),C1481,IFERROR(_xlfn.NUMBERVALUE(C1481,".",","),0)))</f>
        <v/>
      </c>
    </row>
    <row r="1482">
      <c r="K1482">
        <f>IF(OR(LEFT(B1482,9)="DOANH THU",LEFT(B1482,8)="SỐ LƯỢNG"),A1482,IF(A1482="","",K1481))</f>
        <v/>
      </c>
      <c r="L1482">
        <f>IF(A1482="","",IF(ISNUMBER(--LEFT(A1482,FIND(" - ",A1482&amp;" - ")-1)),LEFT(A1482,FIND(" - ",A1482&amp;" - ")-1),TRIM(A1482)))</f>
        <v/>
      </c>
      <c r="M1482">
        <f>IF(OR(K1482="",K1482=A1482,A1482=""),"",K1482&amp;"|"&amp;L1482)</f>
        <v/>
      </c>
      <c r="N1482">
        <f>IF(M1482="","",IF(ISNUMBER(B1482),B1482,IFERROR(_xlfn.NUMBERVALUE(B1482,".",","),0)))</f>
        <v/>
      </c>
      <c r="O1482">
        <f>IF(M1482="","",IF(ISNUMBER(C1482),C1482,IFERROR(_xlfn.NUMBERVALUE(C1482,".",","),0)))</f>
        <v/>
      </c>
    </row>
    <row r="1483">
      <c r="K1483">
        <f>IF(OR(LEFT(B1483,9)="DOANH THU",LEFT(B1483,8)="SỐ LƯỢNG"),A1483,IF(A1483="","",K1482))</f>
        <v/>
      </c>
      <c r="L1483">
        <f>IF(A1483="","",IF(ISNUMBER(--LEFT(A1483,FIND(" - ",A1483&amp;" - ")-1)),LEFT(A1483,FIND(" - ",A1483&amp;" - ")-1),TRIM(A1483)))</f>
        <v/>
      </c>
      <c r="M1483">
        <f>IF(OR(K1483="",K1483=A1483,A1483=""),"",K1483&amp;"|"&amp;L1483)</f>
        <v/>
      </c>
      <c r="N1483">
        <f>IF(M1483="","",IF(ISNUMBER(B1483),B1483,IFERROR(_xlfn.NUMBERVALUE(B1483,".",","),0)))</f>
        <v/>
      </c>
      <c r="O1483">
        <f>IF(M1483="","",IF(ISNUMBER(C1483),C1483,IFERROR(_xlfn.NUMBERVALUE(C1483,".",","),0)))</f>
        <v/>
      </c>
    </row>
    <row r="1484">
      <c r="K1484">
        <f>IF(OR(LEFT(B1484,9)="DOANH THU",LEFT(B1484,8)="SỐ LƯỢNG"),A1484,IF(A1484="","",K1483))</f>
        <v/>
      </c>
      <c r="L1484">
        <f>IF(A1484="","",IF(ISNUMBER(--LEFT(A1484,FIND(" - ",A1484&amp;" - ")-1)),LEFT(A1484,FIND(" - ",A1484&amp;" - ")-1),TRIM(A1484)))</f>
        <v/>
      </c>
      <c r="M1484">
        <f>IF(OR(K1484="",K1484=A1484,A1484=""),"",K1484&amp;"|"&amp;L1484)</f>
        <v/>
      </c>
      <c r="N1484">
        <f>IF(M1484="","",IF(ISNUMBER(B1484),B1484,IFERROR(_xlfn.NUMBERVALUE(B1484,".",","),0)))</f>
        <v/>
      </c>
      <c r="O1484">
        <f>IF(M1484="","",IF(ISNUMBER(C1484),C1484,IFERROR(_xlfn.NUMBERVALUE(C1484,".",","),0)))</f>
        <v/>
      </c>
    </row>
    <row r="1485">
      <c r="K1485">
        <f>IF(OR(LEFT(B1485,9)="DOANH THU",LEFT(B1485,8)="SỐ LƯỢNG"),A1485,IF(A1485="","",K1484))</f>
        <v/>
      </c>
      <c r="L1485">
        <f>IF(A1485="","",IF(ISNUMBER(--LEFT(A1485,FIND(" - ",A1485&amp;" - ")-1)),LEFT(A1485,FIND(" - ",A1485&amp;" - ")-1),TRIM(A1485)))</f>
        <v/>
      </c>
      <c r="M1485">
        <f>IF(OR(K1485="",K1485=A1485,A1485=""),"",K1485&amp;"|"&amp;L1485)</f>
        <v/>
      </c>
      <c r="N1485">
        <f>IF(M1485="","",IF(ISNUMBER(B1485),B1485,IFERROR(_xlfn.NUMBERVALUE(B1485,".",","),0)))</f>
        <v/>
      </c>
      <c r="O1485">
        <f>IF(M1485="","",IF(ISNUMBER(C1485),C1485,IFERROR(_xlfn.NUMBERVALUE(C1485,".",","),0)))</f>
        <v/>
      </c>
    </row>
    <row r="1486">
      <c r="K1486">
        <f>IF(OR(LEFT(B1486,9)="DOANH THU",LEFT(B1486,8)="SỐ LƯỢNG"),A1486,IF(A1486="","",K1485))</f>
        <v/>
      </c>
      <c r="L1486">
        <f>IF(A1486="","",IF(ISNUMBER(--LEFT(A1486,FIND(" - ",A1486&amp;" - ")-1)),LEFT(A1486,FIND(" - ",A1486&amp;" - ")-1),TRIM(A1486)))</f>
        <v/>
      </c>
      <c r="M1486">
        <f>IF(OR(K1486="",K1486=A1486,A1486=""),"",K1486&amp;"|"&amp;L1486)</f>
        <v/>
      </c>
      <c r="N1486">
        <f>IF(M1486="","",IF(ISNUMBER(B1486),B1486,IFERROR(_xlfn.NUMBERVALUE(B1486,".",","),0)))</f>
        <v/>
      </c>
      <c r="O1486">
        <f>IF(M1486="","",IF(ISNUMBER(C1486),C1486,IFERROR(_xlfn.NUMBERVALUE(C1486,".",","),0)))</f>
        <v/>
      </c>
    </row>
    <row r="1487">
      <c r="K1487">
        <f>IF(OR(LEFT(B1487,9)="DOANH THU",LEFT(B1487,8)="SỐ LƯỢNG"),A1487,IF(A1487="","",K1486))</f>
        <v/>
      </c>
      <c r="L1487">
        <f>IF(A1487="","",IF(ISNUMBER(--LEFT(A1487,FIND(" - ",A1487&amp;" - ")-1)),LEFT(A1487,FIND(" - ",A1487&amp;" - ")-1),TRIM(A1487)))</f>
        <v/>
      </c>
      <c r="M1487">
        <f>IF(OR(K1487="",K1487=A1487,A1487=""),"",K1487&amp;"|"&amp;L1487)</f>
        <v/>
      </c>
      <c r="N1487">
        <f>IF(M1487="","",IF(ISNUMBER(B1487),B1487,IFERROR(_xlfn.NUMBERVALUE(B1487,".",","),0)))</f>
        <v/>
      </c>
      <c r="O1487">
        <f>IF(M1487="","",IF(ISNUMBER(C1487),C1487,IFERROR(_xlfn.NUMBERVALUE(C1487,".",","),0)))</f>
        <v/>
      </c>
    </row>
    <row r="1488">
      <c r="K1488">
        <f>IF(OR(LEFT(B1488,9)="DOANH THU",LEFT(B1488,8)="SỐ LƯỢNG"),A1488,IF(A1488="","",K1487))</f>
        <v/>
      </c>
      <c r="L1488">
        <f>IF(A1488="","",IF(ISNUMBER(--LEFT(A1488,FIND(" - ",A1488&amp;" - ")-1)),LEFT(A1488,FIND(" - ",A1488&amp;" - ")-1),TRIM(A1488)))</f>
        <v/>
      </c>
      <c r="M1488">
        <f>IF(OR(K1488="",K1488=A1488,A1488=""),"",K1488&amp;"|"&amp;L1488)</f>
        <v/>
      </c>
      <c r="N1488">
        <f>IF(M1488="","",IF(ISNUMBER(B1488),B1488,IFERROR(_xlfn.NUMBERVALUE(B1488,".",","),0)))</f>
        <v/>
      </c>
      <c r="O1488">
        <f>IF(M1488="","",IF(ISNUMBER(C1488),C1488,IFERROR(_xlfn.NUMBERVALUE(C1488,".",","),0)))</f>
        <v/>
      </c>
    </row>
    <row r="1489">
      <c r="K1489">
        <f>IF(OR(LEFT(B1489,9)="DOANH THU",LEFT(B1489,8)="SỐ LƯỢNG"),A1489,IF(A1489="","",K1488))</f>
        <v/>
      </c>
      <c r="L1489">
        <f>IF(A1489="","",IF(ISNUMBER(--LEFT(A1489,FIND(" - ",A1489&amp;" - ")-1)),LEFT(A1489,FIND(" - ",A1489&amp;" - ")-1),TRIM(A1489)))</f>
        <v/>
      </c>
      <c r="M1489">
        <f>IF(OR(K1489="",K1489=A1489,A1489=""),"",K1489&amp;"|"&amp;L1489)</f>
        <v/>
      </c>
      <c r="N1489">
        <f>IF(M1489="","",IF(ISNUMBER(B1489),B1489,IFERROR(_xlfn.NUMBERVALUE(B1489,".",","),0)))</f>
        <v/>
      </c>
      <c r="O1489">
        <f>IF(M1489="","",IF(ISNUMBER(C1489),C1489,IFERROR(_xlfn.NUMBERVALUE(C1489,".",","),0)))</f>
        <v/>
      </c>
    </row>
    <row r="1490">
      <c r="K1490">
        <f>IF(OR(LEFT(B1490,9)="DOANH THU",LEFT(B1490,8)="SỐ LƯỢNG"),A1490,IF(A1490="","",K1489))</f>
        <v/>
      </c>
      <c r="L1490">
        <f>IF(A1490="","",IF(ISNUMBER(--LEFT(A1490,FIND(" - ",A1490&amp;" - ")-1)),LEFT(A1490,FIND(" - ",A1490&amp;" - ")-1),TRIM(A1490)))</f>
        <v/>
      </c>
      <c r="M1490">
        <f>IF(OR(K1490="",K1490=A1490,A1490=""),"",K1490&amp;"|"&amp;L1490)</f>
        <v/>
      </c>
      <c r="N1490">
        <f>IF(M1490="","",IF(ISNUMBER(B1490),B1490,IFERROR(_xlfn.NUMBERVALUE(B1490,".",","),0)))</f>
        <v/>
      </c>
      <c r="O1490">
        <f>IF(M1490="","",IF(ISNUMBER(C1490),C1490,IFERROR(_xlfn.NUMBERVALUE(C1490,".",","),0)))</f>
        <v/>
      </c>
    </row>
    <row r="1491">
      <c r="K1491">
        <f>IF(OR(LEFT(B1491,9)="DOANH THU",LEFT(B1491,8)="SỐ LƯỢNG"),A1491,IF(A1491="","",K1490))</f>
        <v/>
      </c>
      <c r="L1491">
        <f>IF(A1491="","",IF(ISNUMBER(--LEFT(A1491,FIND(" - ",A1491&amp;" - ")-1)),LEFT(A1491,FIND(" - ",A1491&amp;" - ")-1),TRIM(A1491)))</f>
        <v/>
      </c>
      <c r="M1491">
        <f>IF(OR(K1491="",K1491=A1491,A1491=""),"",K1491&amp;"|"&amp;L1491)</f>
        <v/>
      </c>
      <c r="N1491">
        <f>IF(M1491="","",IF(ISNUMBER(B1491),B1491,IFERROR(_xlfn.NUMBERVALUE(B1491,".",","),0)))</f>
        <v/>
      </c>
      <c r="O1491">
        <f>IF(M1491="","",IF(ISNUMBER(C1491),C1491,IFERROR(_xlfn.NUMBERVALUE(C1491,".",","),0)))</f>
        <v/>
      </c>
    </row>
    <row r="1492">
      <c r="K1492">
        <f>IF(OR(LEFT(B1492,9)="DOANH THU",LEFT(B1492,8)="SỐ LƯỢNG"),A1492,IF(A1492="","",K1491))</f>
        <v/>
      </c>
      <c r="L1492">
        <f>IF(A1492="","",IF(ISNUMBER(--LEFT(A1492,FIND(" - ",A1492&amp;" - ")-1)),LEFT(A1492,FIND(" - ",A1492&amp;" - ")-1),TRIM(A1492)))</f>
        <v/>
      </c>
      <c r="M1492">
        <f>IF(OR(K1492="",K1492=A1492,A1492=""),"",K1492&amp;"|"&amp;L1492)</f>
        <v/>
      </c>
      <c r="N1492">
        <f>IF(M1492="","",IF(ISNUMBER(B1492),B1492,IFERROR(_xlfn.NUMBERVALUE(B1492,".",","),0)))</f>
        <v/>
      </c>
      <c r="O1492">
        <f>IF(M1492="","",IF(ISNUMBER(C1492),C1492,IFERROR(_xlfn.NUMBERVALUE(C1492,".",","),0)))</f>
        <v/>
      </c>
    </row>
    <row r="1493">
      <c r="K1493">
        <f>IF(OR(LEFT(B1493,9)="DOANH THU",LEFT(B1493,8)="SỐ LƯỢNG"),A1493,IF(A1493="","",K1492))</f>
        <v/>
      </c>
      <c r="L1493">
        <f>IF(A1493="","",IF(ISNUMBER(--LEFT(A1493,FIND(" - ",A1493&amp;" - ")-1)),LEFT(A1493,FIND(" - ",A1493&amp;" - ")-1),TRIM(A1493)))</f>
        <v/>
      </c>
      <c r="M1493">
        <f>IF(OR(K1493="",K1493=A1493,A1493=""),"",K1493&amp;"|"&amp;L1493)</f>
        <v/>
      </c>
      <c r="N1493">
        <f>IF(M1493="","",IF(ISNUMBER(B1493),B1493,IFERROR(_xlfn.NUMBERVALUE(B1493,".",","),0)))</f>
        <v/>
      </c>
      <c r="O1493">
        <f>IF(M1493="","",IF(ISNUMBER(C1493),C1493,IFERROR(_xlfn.NUMBERVALUE(C1493,".",","),0)))</f>
        <v/>
      </c>
    </row>
    <row r="1494">
      <c r="K1494">
        <f>IF(OR(LEFT(B1494,9)="DOANH THU",LEFT(B1494,8)="SỐ LƯỢNG"),A1494,IF(A1494="","",K1493))</f>
        <v/>
      </c>
      <c r="L1494">
        <f>IF(A1494="","",IF(ISNUMBER(--LEFT(A1494,FIND(" - ",A1494&amp;" - ")-1)),LEFT(A1494,FIND(" - ",A1494&amp;" - ")-1),TRIM(A1494)))</f>
        <v/>
      </c>
      <c r="M1494">
        <f>IF(OR(K1494="",K1494=A1494,A1494=""),"",K1494&amp;"|"&amp;L1494)</f>
        <v/>
      </c>
      <c r="N1494">
        <f>IF(M1494="","",IF(ISNUMBER(B1494),B1494,IFERROR(_xlfn.NUMBERVALUE(B1494,".",","),0)))</f>
        <v/>
      </c>
      <c r="O1494">
        <f>IF(M1494="","",IF(ISNUMBER(C1494),C1494,IFERROR(_xlfn.NUMBERVALUE(C1494,".",","),0)))</f>
        <v/>
      </c>
    </row>
    <row r="1495">
      <c r="K1495">
        <f>IF(OR(LEFT(B1495,9)="DOANH THU",LEFT(B1495,8)="SỐ LƯỢNG"),A1495,IF(A1495="","",K1494))</f>
        <v/>
      </c>
      <c r="L1495">
        <f>IF(A1495="","",IF(ISNUMBER(--LEFT(A1495,FIND(" - ",A1495&amp;" - ")-1)),LEFT(A1495,FIND(" - ",A1495&amp;" - ")-1),TRIM(A1495)))</f>
        <v/>
      </c>
      <c r="M1495">
        <f>IF(OR(K1495="",K1495=A1495,A1495=""),"",K1495&amp;"|"&amp;L1495)</f>
        <v/>
      </c>
      <c r="N1495">
        <f>IF(M1495="","",IF(ISNUMBER(B1495),B1495,IFERROR(_xlfn.NUMBERVALUE(B1495,".",","),0)))</f>
        <v/>
      </c>
      <c r="O1495">
        <f>IF(M1495="","",IF(ISNUMBER(C1495),C1495,IFERROR(_xlfn.NUMBERVALUE(C1495,".",","),0)))</f>
        <v/>
      </c>
    </row>
    <row r="1496">
      <c r="K1496">
        <f>IF(OR(LEFT(B1496,9)="DOANH THU",LEFT(B1496,8)="SỐ LƯỢNG"),A1496,IF(A1496="","",K1495))</f>
        <v/>
      </c>
      <c r="L1496">
        <f>IF(A1496="","",IF(ISNUMBER(--LEFT(A1496,FIND(" - ",A1496&amp;" - ")-1)),LEFT(A1496,FIND(" - ",A1496&amp;" - ")-1),TRIM(A1496)))</f>
        <v/>
      </c>
      <c r="M1496">
        <f>IF(OR(K1496="",K1496=A1496,A1496=""),"",K1496&amp;"|"&amp;L1496)</f>
        <v/>
      </c>
      <c r="N1496">
        <f>IF(M1496="","",IF(ISNUMBER(B1496),B1496,IFERROR(_xlfn.NUMBERVALUE(B1496,".",","),0)))</f>
        <v/>
      </c>
      <c r="O1496">
        <f>IF(M1496="","",IF(ISNUMBER(C1496),C1496,IFERROR(_xlfn.NUMBERVALUE(C1496,".",","),0)))</f>
        <v/>
      </c>
    </row>
    <row r="1497">
      <c r="K1497">
        <f>IF(OR(LEFT(B1497,9)="DOANH THU",LEFT(B1497,8)="SỐ LƯỢNG"),A1497,IF(A1497="","",K1496))</f>
        <v/>
      </c>
      <c r="L1497">
        <f>IF(A1497="","",IF(ISNUMBER(--LEFT(A1497,FIND(" - ",A1497&amp;" - ")-1)),LEFT(A1497,FIND(" - ",A1497&amp;" - ")-1),TRIM(A1497)))</f>
        <v/>
      </c>
      <c r="M1497">
        <f>IF(OR(K1497="",K1497=A1497,A1497=""),"",K1497&amp;"|"&amp;L1497)</f>
        <v/>
      </c>
      <c r="N1497">
        <f>IF(M1497="","",IF(ISNUMBER(B1497),B1497,IFERROR(_xlfn.NUMBERVALUE(B1497,".",","),0)))</f>
        <v/>
      </c>
      <c r="O1497">
        <f>IF(M1497="","",IF(ISNUMBER(C1497),C1497,IFERROR(_xlfn.NUMBERVALUE(C1497,".",","),0)))</f>
        <v/>
      </c>
    </row>
    <row r="1498">
      <c r="K1498">
        <f>IF(OR(LEFT(B1498,9)="DOANH THU",LEFT(B1498,8)="SỐ LƯỢNG"),A1498,IF(A1498="","",K1497))</f>
        <v/>
      </c>
      <c r="L1498">
        <f>IF(A1498="","",IF(ISNUMBER(--LEFT(A1498,FIND(" - ",A1498&amp;" - ")-1)),LEFT(A1498,FIND(" - ",A1498&amp;" - ")-1),TRIM(A1498)))</f>
        <v/>
      </c>
      <c r="M1498">
        <f>IF(OR(K1498="",K1498=A1498,A1498=""),"",K1498&amp;"|"&amp;L1498)</f>
        <v/>
      </c>
      <c r="N1498">
        <f>IF(M1498="","",IF(ISNUMBER(B1498),B1498,IFERROR(_xlfn.NUMBERVALUE(B1498,".",","),0)))</f>
        <v/>
      </c>
      <c r="O1498">
        <f>IF(M1498="","",IF(ISNUMBER(C1498),C1498,IFERROR(_xlfn.NUMBERVALUE(C1498,".",","),0)))</f>
        <v/>
      </c>
    </row>
    <row r="1499">
      <c r="K1499">
        <f>IF(OR(LEFT(B1499,9)="DOANH THU",LEFT(B1499,8)="SỐ LƯỢNG"),A1499,IF(A1499="","",K1498))</f>
        <v/>
      </c>
      <c r="L1499">
        <f>IF(A1499="","",IF(ISNUMBER(--LEFT(A1499,FIND(" - ",A1499&amp;" - ")-1)),LEFT(A1499,FIND(" - ",A1499&amp;" - ")-1),TRIM(A1499)))</f>
        <v/>
      </c>
      <c r="M1499">
        <f>IF(OR(K1499="",K1499=A1499,A1499=""),"",K1499&amp;"|"&amp;L1499)</f>
        <v/>
      </c>
      <c r="N1499">
        <f>IF(M1499="","",IF(ISNUMBER(B1499),B1499,IFERROR(_xlfn.NUMBERVALUE(B1499,".",","),0)))</f>
        <v/>
      </c>
      <c r="O1499">
        <f>IF(M1499="","",IF(ISNUMBER(C1499),C1499,IFERROR(_xlfn.NUMBERVALUE(C1499,".",","),0)))</f>
        <v/>
      </c>
    </row>
    <row r="1500">
      <c r="K1500">
        <f>IF(OR(LEFT(B1500,9)="DOANH THU",LEFT(B1500,8)="SỐ LƯỢNG"),A1500,IF(A1500="","",K1499))</f>
        <v/>
      </c>
      <c r="L1500">
        <f>IF(A1500="","",IF(ISNUMBER(--LEFT(A1500,FIND(" - ",A1500&amp;" - ")-1)),LEFT(A1500,FIND(" - ",A1500&amp;" - ")-1),TRIM(A1500)))</f>
        <v/>
      </c>
      <c r="M1500">
        <f>IF(OR(K1500="",K1500=A1500,A1500=""),"",K1500&amp;"|"&amp;L1500)</f>
        <v/>
      </c>
      <c r="N1500">
        <f>IF(M1500="","",IF(ISNUMBER(B1500),B1500,IFERROR(_xlfn.NUMBERVALUE(B1500,".",","),0)))</f>
        <v/>
      </c>
      <c r="O1500">
        <f>IF(M1500="","",IF(ISNUMBER(C1500),C1500,IFERROR(_xlfn.NUMBERVALUE(C1500,".",","),0)))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J1:O1500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J1" s="71" t="inlineStr">
        <is>
          <t>◀ DÁN VÀO Ô A1 (cột A–H). Cột K–O là công thức, đừng xóa.</t>
        </is>
      </c>
      <c r="K1">
        <f>IF(OR(LEFT(B1,9)="DOANH THU",LEFT(B1,8)="SỐ LƯỢNG"),A1,"")</f>
        <v/>
      </c>
      <c r="L1">
        <f>IF(A1="","",IF(ISNUMBER(--LEFT(A1,FIND(" - ",A1&amp;" - ")-1)),LEFT(A1,FIND(" - ",A1&amp;" - ")-1),TRIM(A1)))</f>
        <v/>
      </c>
      <c r="M1">
        <f>IF(OR(K1="",K1=A1,A1=""),"",K1&amp;"|"&amp;L1)</f>
        <v/>
      </c>
      <c r="N1">
        <f>IF(M1="","",IF(ISNUMBER(B1),B1,IFERROR(_xlfn.NUMBERVALUE(B1,".",","),0)))</f>
        <v/>
      </c>
      <c r="O1">
        <f>IF(M1="","",IF(ISNUMBER(C1),C1,IFERROR(_xlfn.NUMBERVALUE(C1,".",","),0)))</f>
        <v/>
      </c>
    </row>
    <row r="2">
      <c r="J2" s="58" t="inlineStr">
        <is>
          <t>Trang Thi đua · chọn các siêu thị · Realtime · Danh sách · Tải lại · bấm "Chép bảng"</t>
        </is>
      </c>
      <c r="K2">
        <f>IF(OR(LEFT(B2,9)="DOANH THU",LEFT(B2,8)="SỐ LƯỢNG"),A2,IF(A2="","",K1))</f>
        <v/>
      </c>
      <c r="L2">
        <f>IF(A2="","",IF(ISNUMBER(--LEFT(A2,FIND(" - ",A2&amp;" - ")-1)),LEFT(A2,FIND(" - ",A2&amp;" - ")-1),TRIM(A2)))</f>
        <v/>
      </c>
      <c r="M2">
        <f>IF(OR(K2="",K2=A2,A2=""),"",K2&amp;"|"&amp;L2)</f>
        <v/>
      </c>
      <c r="N2">
        <f>IF(M2="","",IF(ISNUMBER(B2),B2,IFERROR(_xlfn.NUMBERVALUE(B2,".",","),0)))</f>
        <v/>
      </c>
      <c r="O2">
        <f>IF(M2="","",IF(ISNUMBER(C2),C2,IFERROR(_xlfn.NUMBERVALUE(C2,".",","),0)))</f>
        <v/>
      </c>
    </row>
    <row r="3">
      <c r="J3" s="72" t="inlineStr">
        <is>
          <t>Giống bảng lũy kế; cột B = thực hiện hôm nay, C = target ngày</t>
        </is>
      </c>
      <c r="K3">
        <f>IF(OR(LEFT(B3,9)="DOANH THU",LEFT(B3,8)="SỐ LƯỢNG"),A3,IF(A3="","",K2))</f>
        <v/>
      </c>
      <c r="L3">
        <f>IF(A3="","",IF(ISNUMBER(--LEFT(A3,FIND(" - ",A3&amp;" - ")-1)),LEFT(A3,FIND(" - ",A3&amp;" - ")-1),TRIM(A3)))</f>
        <v/>
      </c>
      <c r="M3">
        <f>IF(OR(K3="",K3=A3,A3=""),"",K3&amp;"|"&amp;L3)</f>
        <v/>
      </c>
      <c r="N3">
        <f>IF(M3="","",IF(ISNUMBER(B3),B3,IFERROR(_xlfn.NUMBERVALUE(B3,".",","),0)))</f>
        <v/>
      </c>
      <c r="O3">
        <f>IF(M3="","",IF(ISNUMBER(C3),C3,IFERROR(_xlfn.NUMBERVALUE(C3,".",","),0)))</f>
        <v/>
      </c>
    </row>
    <row r="4">
      <c r="K4">
        <f>IF(OR(LEFT(B4,9)="DOANH THU",LEFT(B4,8)="SỐ LƯỢNG"),A4,IF(A4="","",K3))</f>
        <v/>
      </c>
      <c r="L4">
        <f>IF(A4="","",IF(ISNUMBER(--LEFT(A4,FIND(" - ",A4&amp;" - ")-1)),LEFT(A4,FIND(" - ",A4&amp;" - ")-1),TRIM(A4)))</f>
        <v/>
      </c>
      <c r="M4">
        <f>IF(OR(K4="",K4=A4,A4=""),"",K4&amp;"|"&amp;L4)</f>
        <v/>
      </c>
      <c r="N4">
        <f>IF(M4="","",IF(ISNUMBER(B4),B4,IFERROR(_xlfn.NUMBERVALUE(B4,".",","),0)))</f>
        <v/>
      </c>
      <c r="O4">
        <f>IF(M4="","",IF(ISNUMBER(C4),C4,IFERROR(_xlfn.NUMBERVALUE(C4,".",","),0)))</f>
        <v/>
      </c>
    </row>
    <row r="5">
      <c r="K5">
        <f>IF(OR(LEFT(B5,9)="DOANH THU",LEFT(B5,8)="SỐ LƯỢNG"),A5,IF(A5="","",K4))</f>
        <v/>
      </c>
      <c r="L5">
        <f>IF(A5="","",IF(ISNUMBER(--LEFT(A5,FIND(" - ",A5&amp;" - ")-1)),LEFT(A5,FIND(" - ",A5&amp;" - ")-1),TRIM(A5)))</f>
        <v/>
      </c>
      <c r="M5">
        <f>IF(OR(K5="",K5=A5,A5=""),"",K5&amp;"|"&amp;L5)</f>
        <v/>
      </c>
      <c r="N5">
        <f>IF(M5="","",IF(ISNUMBER(B5),B5,IFERROR(_xlfn.NUMBERVALUE(B5,".",","),0)))</f>
        <v/>
      </c>
      <c r="O5">
        <f>IF(M5="","",IF(ISNUMBER(C5),C5,IFERROR(_xlfn.NUMBERVALUE(C5,".",","),0)))</f>
        <v/>
      </c>
    </row>
    <row r="6">
      <c r="K6">
        <f>IF(OR(LEFT(B6,9)="DOANH THU",LEFT(B6,8)="SỐ LƯỢNG"),A6,IF(A6="","",K5))</f>
        <v/>
      </c>
      <c r="L6">
        <f>IF(A6="","",IF(ISNUMBER(--LEFT(A6,FIND(" - ",A6&amp;" - ")-1)),LEFT(A6,FIND(" - ",A6&amp;" - ")-1),TRIM(A6)))</f>
        <v/>
      </c>
      <c r="M6">
        <f>IF(OR(K6="",K6=A6,A6=""),"",K6&amp;"|"&amp;L6)</f>
        <v/>
      </c>
      <c r="N6">
        <f>IF(M6="","",IF(ISNUMBER(B6),B6,IFERROR(_xlfn.NUMBERVALUE(B6,".",","),0)))</f>
        <v/>
      </c>
      <c r="O6">
        <f>IF(M6="","",IF(ISNUMBER(C6),C6,IFERROR(_xlfn.NUMBERVALUE(C6,".",","),0)))</f>
        <v/>
      </c>
    </row>
    <row r="7">
      <c r="K7">
        <f>IF(OR(LEFT(B7,9)="DOANH THU",LEFT(B7,8)="SỐ LƯỢNG"),A7,IF(A7="","",K6))</f>
        <v/>
      </c>
      <c r="L7">
        <f>IF(A7="","",IF(ISNUMBER(--LEFT(A7,FIND(" - ",A7&amp;" - ")-1)),LEFT(A7,FIND(" - ",A7&amp;" - ")-1),TRIM(A7)))</f>
        <v/>
      </c>
      <c r="M7">
        <f>IF(OR(K7="",K7=A7,A7=""),"",K7&amp;"|"&amp;L7)</f>
        <v/>
      </c>
      <c r="N7">
        <f>IF(M7="","",IF(ISNUMBER(B7),B7,IFERROR(_xlfn.NUMBERVALUE(B7,".",","),0)))</f>
        <v/>
      </c>
      <c r="O7">
        <f>IF(M7="","",IF(ISNUMBER(C7),C7,IFERROR(_xlfn.NUMBERVALUE(C7,".",","),0)))</f>
        <v/>
      </c>
    </row>
    <row r="8">
      <c r="K8">
        <f>IF(OR(LEFT(B8,9)="DOANH THU",LEFT(B8,8)="SỐ LƯỢNG"),A8,IF(A8="","",K7))</f>
        <v/>
      </c>
      <c r="L8">
        <f>IF(A8="","",IF(ISNUMBER(--LEFT(A8,FIND(" - ",A8&amp;" - ")-1)),LEFT(A8,FIND(" - ",A8&amp;" - ")-1),TRIM(A8)))</f>
        <v/>
      </c>
      <c r="M8">
        <f>IF(OR(K8="",K8=A8,A8=""),"",K8&amp;"|"&amp;L8)</f>
        <v/>
      </c>
      <c r="N8">
        <f>IF(M8="","",IF(ISNUMBER(B8),B8,IFERROR(_xlfn.NUMBERVALUE(B8,".",","),0)))</f>
        <v/>
      </c>
      <c r="O8">
        <f>IF(M8="","",IF(ISNUMBER(C8),C8,IFERROR(_xlfn.NUMBERVALUE(C8,".",","),0)))</f>
        <v/>
      </c>
    </row>
    <row r="9">
      <c r="K9">
        <f>IF(OR(LEFT(B9,9)="DOANH THU",LEFT(B9,8)="SỐ LƯỢNG"),A9,IF(A9="","",K8))</f>
        <v/>
      </c>
      <c r="L9">
        <f>IF(A9="","",IF(ISNUMBER(--LEFT(A9,FIND(" - ",A9&amp;" - ")-1)),LEFT(A9,FIND(" - ",A9&amp;" - ")-1),TRIM(A9)))</f>
        <v/>
      </c>
      <c r="M9">
        <f>IF(OR(K9="",K9=A9,A9=""),"",K9&amp;"|"&amp;L9)</f>
        <v/>
      </c>
      <c r="N9">
        <f>IF(M9="","",IF(ISNUMBER(B9),B9,IFERROR(_xlfn.NUMBERVALUE(B9,".",","),0)))</f>
        <v/>
      </c>
      <c r="O9">
        <f>IF(M9="","",IF(ISNUMBER(C9),C9,IFERROR(_xlfn.NUMBERVALUE(C9,".",","),0)))</f>
        <v/>
      </c>
    </row>
    <row r="10">
      <c r="K10">
        <f>IF(OR(LEFT(B10,9)="DOANH THU",LEFT(B10,8)="SỐ LƯỢNG"),A10,IF(A10="","",K9))</f>
        <v/>
      </c>
      <c r="L10">
        <f>IF(A10="","",IF(ISNUMBER(--LEFT(A10,FIND(" - ",A10&amp;" - ")-1)),LEFT(A10,FIND(" - ",A10&amp;" - ")-1),TRIM(A10)))</f>
        <v/>
      </c>
      <c r="M10">
        <f>IF(OR(K10="",K10=A10,A10=""),"",K10&amp;"|"&amp;L10)</f>
        <v/>
      </c>
      <c r="N10">
        <f>IF(M10="","",IF(ISNUMBER(B10),B10,IFERROR(_xlfn.NUMBERVALUE(B10,".",","),0)))</f>
        <v/>
      </c>
      <c r="O10">
        <f>IF(M10="","",IF(ISNUMBER(C10),C10,IFERROR(_xlfn.NUMBERVALUE(C10,".",","),0)))</f>
        <v/>
      </c>
    </row>
    <row r="11">
      <c r="K11">
        <f>IF(OR(LEFT(B11,9)="DOANH THU",LEFT(B11,8)="SỐ LƯỢNG"),A11,IF(A11="","",K10))</f>
        <v/>
      </c>
      <c r="L11">
        <f>IF(A11="","",IF(ISNUMBER(--LEFT(A11,FIND(" - ",A11&amp;" - ")-1)),LEFT(A11,FIND(" - ",A11&amp;" - ")-1),TRIM(A11)))</f>
        <v/>
      </c>
      <c r="M11">
        <f>IF(OR(K11="",K11=A11,A11=""),"",K11&amp;"|"&amp;L11)</f>
        <v/>
      </c>
      <c r="N11">
        <f>IF(M11="","",IF(ISNUMBER(B11),B11,IFERROR(_xlfn.NUMBERVALUE(B11,".",","),0)))</f>
        <v/>
      </c>
      <c r="O11">
        <f>IF(M11="","",IF(ISNUMBER(C11),C11,IFERROR(_xlfn.NUMBERVALUE(C11,".",","),0)))</f>
        <v/>
      </c>
    </row>
    <row r="12">
      <c r="K12">
        <f>IF(OR(LEFT(B12,9)="DOANH THU",LEFT(B12,8)="SỐ LƯỢNG"),A12,IF(A12="","",K11))</f>
        <v/>
      </c>
      <c r="L12">
        <f>IF(A12="","",IF(ISNUMBER(--LEFT(A12,FIND(" - ",A12&amp;" - ")-1)),LEFT(A12,FIND(" - ",A12&amp;" - ")-1),TRIM(A12)))</f>
        <v/>
      </c>
      <c r="M12">
        <f>IF(OR(K12="",K12=A12,A12=""),"",K12&amp;"|"&amp;L12)</f>
        <v/>
      </c>
      <c r="N12">
        <f>IF(M12="","",IF(ISNUMBER(B12),B12,IFERROR(_xlfn.NUMBERVALUE(B12,".",","),0)))</f>
        <v/>
      </c>
      <c r="O12">
        <f>IF(M12="","",IF(ISNUMBER(C12),C12,IFERROR(_xlfn.NUMBERVALUE(C12,".",","),0)))</f>
        <v/>
      </c>
    </row>
    <row r="13">
      <c r="K13">
        <f>IF(OR(LEFT(B13,9)="DOANH THU",LEFT(B13,8)="SỐ LƯỢNG"),A13,IF(A13="","",K12))</f>
        <v/>
      </c>
      <c r="L13">
        <f>IF(A13="","",IF(ISNUMBER(--LEFT(A13,FIND(" - ",A13&amp;" - ")-1)),LEFT(A13,FIND(" - ",A13&amp;" - ")-1),TRIM(A13)))</f>
        <v/>
      </c>
      <c r="M13">
        <f>IF(OR(K13="",K13=A13,A13=""),"",K13&amp;"|"&amp;L13)</f>
        <v/>
      </c>
      <c r="N13">
        <f>IF(M13="","",IF(ISNUMBER(B13),B13,IFERROR(_xlfn.NUMBERVALUE(B13,".",","),0)))</f>
        <v/>
      </c>
      <c r="O13">
        <f>IF(M13="","",IF(ISNUMBER(C13),C13,IFERROR(_xlfn.NUMBERVALUE(C13,".",","),0)))</f>
        <v/>
      </c>
    </row>
    <row r="14">
      <c r="K14">
        <f>IF(OR(LEFT(B14,9)="DOANH THU",LEFT(B14,8)="SỐ LƯỢNG"),A14,IF(A14="","",K13))</f>
        <v/>
      </c>
      <c r="L14">
        <f>IF(A14="","",IF(ISNUMBER(--LEFT(A14,FIND(" - ",A14&amp;" - ")-1)),LEFT(A14,FIND(" - ",A14&amp;" - ")-1),TRIM(A14)))</f>
        <v/>
      </c>
      <c r="M14">
        <f>IF(OR(K14="",K14=A14,A14=""),"",K14&amp;"|"&amp;L14)</f>
        <v/>
      </c>
      <c r="N14">
        <f>IF(M14="","",IF(ISNUMBER(B14),B14,IFERROR(_xlfn.NUMBERVALUE(B14,".",","),0)))</f>
        <v/>
      </c>
      <c r="O14">
        <f>IF(M14="","",IF(ISNUMBER(C14),C14,IFERROR(_xlfn.NUMBERVALUE(C14,".",","),0)))</f>
        <v/>
      </c>
    </row>
    <row r="15">
      <c r="K15">
        <f>IF(OR(LEFT(B15,9)="DOANH THU",LEFT(B15,8)="SỐ LƯỢNG"),A15,IF(A15="","",K14))</f>
        <v/>
      </c>
      <c r="L15">
        <f>IF(A15="","",IF(ISNUMBER(--LEFT(A15,FIND(" - ",A15&amp;" - ")-1)),LEFT(A15,FIND(" - ",A15&amp;" - ")-1),TRIM(A15)))</f>
        <v/>
      </c>
      <c r="M15">
        <f>IF(OR(K15="",K15=A15,A15=""),"",K15&amp;"|"&amp;L15)</f>
        <v/>
      </c>
      <c r="N15">
        <f>IF(M15="","",IF(ISNUMBER(B15),B15,IFERROR(_xlfn.NUMBERVALUE(B15,".",","),0)))</f>
        <v/>
      </c>
      <c r="O15">
        <f>IF(M15="","",IF(ISNUMBER(C15),C15,IFERROR(_xlfn.NUMBERVALUE(C15,".",","),0)))</f>
        <v/>
      </c>
    </row>
    <row r="16">
      <c r="K16">
        <f>IF(OR(LEFT(B16,9)="DOANH THU",LEFT(B16,8)="SỐ LƯỢNG"),A16,IF(A16="","",K15))</f>
        <v/>
      </c>
      <c r="L16">
        <f>IF(A16="","",IF(ISNUMBER(--LEFT(A16,FIND(" - ",A16&amp;" - ")-1)),LEFT(A16,FIND(" - ",A16&amp;" - ")-1),TRIM(A16)))</f>
        <v/>
      </c>
      <c r="M16">
        <f>IF(OR(K16="",K16=A16,A16=""),"",K16&amp;"|"&amp;L16)</f>
        <v/>
      </c>
      <c r="N16">
        <f>IF(M16="","",IF(ISNUMBER(B16),B16,IFERROR(_xlfn.NUMBERVALUE(B16,".",","),0)))</f>
        <v/>
      </c>
      <c r="O16">
        <f>IF(M16="","",IF(ISNUMBER(C16),C16,IFERROR(_xlfn.NUMBERVALUE(C16,".",","),0)))</f>
        <v/>
      </c>
    </row>
    <row r="17">
      <c r="K17">
        <f>IF(OR(LEFT(B17,9)="DOANH THU",LEFT(B17,8)="SỐ LƯỢNG"),A17,IF(A17="","",K16))</f>
        <v/>
      </c>
      <c r="L17">
        <f>IF(A17="","",IF(ISNUMBER(--LEFT(A17,FIND(" - ",A17&amp;" - ")-1)),LEFT(A17,FIND(" - ",A17&amp;" - ")-1),TRIM(A17)))</f>
        <v/>
      </c>
      <c r="M17">
        <f>IF(OR(K17="",K17=A17,A17=""),"",K17&amp;"|"&amp;L17)</f>
        <v/>
      </c>
      <c r="N17">
        <f>IF(M17="","",IF(ISNUMBER(B17),B17,IFERROR(_xlfn.NUMBERVALUE(B17,".",","),0)))</f>
        <v/>
      </c>
      <c r="O17">
        <f>IF(M17="","",IF(ISNUMBER(C17),C17,IFERROR(_xlfn.NUMBERVALUE(C17,".",","),0)))</f>
        <v/>
      </c>
    </row>
    <row r="18">
      <c r="K18">
        <f>IF(OR(LEFT(B18,9)="DOANH THU",LEFT(B18,8)="SỐ LƯỢNG"),A18,IF(A18="","",K17))</f>
        <v/>
      </c>
      <c r="L18">
        <f>IF(A18="","",IF(ISNUMBER(--LEFT(A18,FIND(" - ",A18&amp;" - ")-1)),LEFT(A18,FIND(" - ",A18&amp;" - ")-1),TRIM(A18)))</f>
        <v/>
      </c>
      <c r="M18">
        <f>IF(OR(K18="",K18=A18,A18=""),"",K18&amp;"|"&amp;L18)</f>
        <v/>
      </c>
      <c r="N18">
        <f>IF(M18="","",IF(ISNUMBER(B18),B18,IFERROR(_xlfn.NUMBERVALUE(B18,".",","),0)))</f>
        <v/>
      </c>
      <c r="O18">
        <f>IF(M18="","",IF(ISNUMBER(C18),C18,IFERROR(_xlfn.NUMBERVALUE(C18,".",","),0)))</f>
        <v/>
      </c>
    </row>
    <row r="19">
      <c r="K19">
        <f>IF(OR(LEFT(B19,9)="DOANH THU",LEFT(B19,8)="SỐ LƯỢNG"),A19,IF(A19="","",K18))</f>
        <v/>
      </c>
      <c r="L19">
        <f>IF(A19="","",IF(ISNUMBER(--LEFT(A19,FIND(" - ",A19&amp;" - ")-1)),LEFT(A19,FIND(" - ",A19&amp;" - ")-1),TRIM(A19)))</f>
        <v/>
      </c>
      <c r="M19">
        <f>IF(OR(K19="",K19=A19,A19=""),"",K19&amp;"|"&amp;L19)</f>
        <v/>
      </c>
      <c r="N19">
        <f>IF(M19="","",IF(ISNUMBER(B19),B19,IFERROR(_xlfn.NUMBERVALUE(B19,".",","),0)))</f>
        <v/>
      </c>
      <c r="O19">
        <f>IF(M19="","",IF(ISNUMBER(C19),C19,IFERROR(_xlfn.NUMBERVALUE(C19,".",","),0)))</f>
        <v/>
      </c>
    </row>
    <row r="20">
      <c r="K20">
        <f>IF(OR(LEFT(B20,9)="DOANH THU",LEFT(B20,8)="SỐ LƯỢNG"),A20,IF(A20="","",K19))</f>
        <v/>
      </c>
      <c r="L20">
        <f>IF(A20="","",IF(ISNUMBER(--LEFT(A20,FIND(" - ",A20&amp;" - ")-1)),LEFT(A20,FIND(" - ",A20&amp;" - ")-1),TRIM(A20)))</f>
        <v/>
      </c>
      <c r="M20">
        <f>IF(OR(K20="",K20=A20,A20=""),"",K20&amp;"|"&amp;L20)</f>
        <v/>
      </c>
      <c r="N20">
        <f>IF(M20="","",IF(ISNUMBER(B20),B20,IFERROR(_xlfn.NUMBERVALUE(B20,".",","),0)))</f>
        <v/>
      </c>
      <c r="O20">
        <f>IF(M20="","",IF(ISNUMBER(C20),C20,IFERROR(_xlfn.NUMBERVALUE(C20,".",","),0)))</f>
        <v/>
      </c>
    </row>
    <row r="21">
      <c r="K21">
        <f>IF(OR(LEFT(B21,9)="DOANH THU",LEFT(B21,8)="SỐ LƯỢNG"),A21,IF(A21="","",K20))</f>
        <v/>
      </c>
      <c r="L21">
        <f>IF(A21="","",IF(ISNUMBER(--LEFT(A21,FIND(" - ",A21&amp;" - ")-1)),LEFT(A21,FIND(" - ",A21&amp;" - ")-1),TRIM(A21)))</f>
        <v/>
      </c>
      <c r="M21">
        <f>IF(OR(K21="",K21=A21,A21=""),"",K21&amp;"|"&amp;L21)</f>
        <v/>
      </c>
      <c r="N21">
        <f>IF(M21="","",IF(ISNUMBER(B21),B21,IFERROR(_xlfn.NUMBERVALUE(B21,".",","),0)))</f>
        <v/>
      </c>
      <c r="O21">
        <f>IF(M21="","",IF(ISNUMBER(C21),C21,IFERROR(_xlfn.NUMBERVALUE(C21,".",","),0)))</f>
        <v/>
      </c>
    </row>
    <row r="22">
      <c r="K22">
        <f>IF(OR(LEFT(B22,9)="DOANH THU",LEFT(B22,8)="SỐ LƯỢNG"),A22,IF(A22="","",K21))</f>
        <v/>
      </c>
      <c r="L22">
        <f>IF(A22="","",IF(ISNUMBER(--LEFT(A22,FIND(" - ",A22&amp;" - ")-1)),LEFT(A22,FIND(" - ",A22&amp;" - ")-1),TRIM(A22)))</f>
        <v/>
      </c>
      <c r="M22">
        <f>IF(OR(K22="",K22=A22,A22=""),"",K22&amp;"|"&amp;L22)</f>
        <v/>
      </c>
      <c r="N22">
        <f>IF(M22="","",IF(ISNUMBER(B22),B22,IFERROR(_xlfn.NUMBERVALUE(B22,".",","),0)))</f>
        <v/>
      </c>
      <c r="O22">
        <f>IF(M22="","",IF(ISNUMBER(C22),C22,IFERROR(_xlfn.NUMBERVALUE(C22,".",","),0)))</f>
        <v/>
      </c>
    </row>
    <row r="23">
      <c r="K23">
        <f>IF(OR(LEFT(B23,9)="DOANH THU",LEFT(B23,8)="SỐ LƯỢNG"),A23,IF(A23="","",K22))</f>
        <v/>
      </c>
      <c r="L23">
        <f>IF(A23="","",IF(ISNUMBER(--LEFT(A23,FIND(" - ",A23&amp;" - ")-1)),LEFT(A23,FIND(" - ",A23&amp;" - ")-1),TRIM(A23)))</f>
        <v/>
      </c>
      <c r="M23">
        <f>IF(OR(K23="",K23=A23,A23=""),"",K23&amp;"|"&amp;L23)</f>
        <v/>
      </c>
      <c r="N23">
        <f>IF(M23="","",IF(ISNUMBER(B23),B23,IFERROR(_xlfn.NUMBERVALUE(B23,".",","),0)))</f>
        <v/>
      </c>
      <c r="O23">
        <f>IF(M23="","",IF(ISNUMBER(C23),C23,IFERROR(_xlfn.NUMBERVALUE(C23,".",","),0)))</f>
        <v/>
      </c>
    </row>
    <row r="24">
      <c r="K24">
        <f>IF(OR(LEFT(B24,9)="DOANH THU",LEFT(B24,8)="SỐ LƯỢNG"),A24,IF(A24="","",K23))</f>
        <v/>
      </c>
      <c r="L24">
        <f>IF(A24="","",IF(ISNUMBER(--LEFT(A24,FIND(" - ",A24&amp;" - ")-1)),LEFT(A24,FIND(" - ",A24&amp;" - ")-1),TRIM(A24)))</f>
        <v/>
      </c>
      <c r="M24">
        <f>IF(OR(K24="",K24=A24,A24=""),"",K24&amp;"|"&amp;L24)</f>
        <v/>
      </c>
      <c r="N24">
        <f>IF(M24="","",IF(ISNUMBER(B24),B24,IFERROR(_xlfn.NUMBERVALUE(B24,".",","),0)))</f>
        <v/>
      </c>
      <c r="O24">
        <f>IF(M24="","",IF(ISNUMBER(C24),C24,IFERROR(_xlfn.NUMBERVALUE(C24,".",","),0)))</f>
        <v/>
      </c>
    </row>
    <row r="25">
      <c r="K25">
        <f>IF(OR(LEFT(B25,9)="DOANH THU",LEFT(B25,8)="SỐ LƯỢNG"),A25,IF(A25="","",K24))</f>
        <v/>
      </c>
      <c r="L25">
        <f>IF(A25="","",IF(ISNUMBER(--LEFT(A25,FIND(" - ",A25&amp;" - ")-1)),LEFT(A25,FIND(" - ",A25&amp;" - ")-1),TRIM(A25)))</f>
        <v/>
      </c>
      <c r="M25">
        <f>IF(OR(K25="",K25=A25,A25=""),"",K25&amp;"|"&amp;L25)</f>
        <v/>
      </c>
      <c r="N25">
        <f>IF(M25="","",IF(ISNUMBER(B25),B25,IFERROR(_xlfn.NUMBERVALUE(B25,".",","),0)))</f>
        <v/>
      </c>
      <c r="O25">
        <f>IF(M25="","",IF(ISNUMBER(C25),C25,IFERROR(_xlfn.NUMBERVALUE(C25,".",","),0)))</f>
        <v/>
      </c>
    </row>
    <row r="26">
      <c r="K26">
        <f>IF(OR(LEFT(B26,9)="DOANH THU",LEFT(B26,8)="SỐ LƯỢNG"),A26,IF(A26="","",K25))</f>
        <v/>
      </c>
      <c r="L26">
        <f>IF(A26="","",IF(ISNUMBER(--LEFT(A26,FIND(" - ",A26&amp;" - ")-1)),LEFT(A26,FIND(" - ",A26&amp;" - ")-1),TRIM(A26)))</f>
        <v/>
      </c>
      <c r="M26">
        <f>IF(OR(K26="",K26=A26,A26=""),"",K26&amp;"|"&amp;L26)</f>
        <v/>
      </c>
      <c r="N26">
        <f>IF(M26="","",IF(ISNUMBER(B26),B26,IFERROR(_xlfn.NUMBERVALUE(B26,".",","),0)))</f>
        <v/>
      </c>
      <c r="O26">
        <f>IF(M26="","",IF(ISNUMBER(C26),C26,IFERROR(_xlfn.NUMBERVALUE(C26,".",","),0)))</f>
        <v/>
      </c>
    </row>
    <row r="27">
      <c r="K27">
        <f>IF(OR(LEFT(B27,9)="DOANH THU",LEFT(B27,8)="SỐ LƯỢNG"),A27,IF(A27="","",K26))</f>
        <v/>
      </c>
      <c r="L27">
        <f>IF(A27="","",IF(ISNUMBER(--LEFT(A27,FIND(" - ",A27&amp;" - ")-1)),LEFT(A27,FIND(" - ",A27&amp;" - ")-1),TRIM(A27)))</f>
        <v/>
      </c>
      <c r="M27">
        <f>IF(OR(K27="",K27=A27,A27=""),"",K27&amp;"|"&amp;L27)</f>
        <v/>
      </c>
      <c r="N27">
        <f>IF(M27="","",IF(ISNUMBER(B27),B27,IFERROR(_xlfn.NUMBERVALUE(B27,".",","),0)))</f>
        <v/>
      </c>
      <c r="O27">
        <f>IF(M27="","",IF(ISNUMBER(C27),C27,IFERROR(_xlfn.NUMBERVALUE(C27,".",","),0)))</f>
        <v/>
      </c>
    </row>
    <row r="28">
      <c r="K28">
        <f>IF(OR(LEFT(B28,9)="DOANH THU",LEFT(B28,8)="SỐ LƯỢNG"),A28,IF(A28="","",K27))</f>
        <v/>
      </c>
      <c r="L28">
        <f>IF(A28="","",IF(ISNUMBER(--LEFT(A28,FIND(" - ",A28&amp;" - ")-1)),LEFT(A28,FIND(" - ",A28&amp;" - ")-1),TRIM(A28)))</f>
        <v/>
      </c>
      <c r="M28">
        <f>IF(OR(K28="",K28=A28,A28=""),"",K28&amp;"|"&amp;L28)</f>
        <v/>
      </c>
      <c r="N28">
        <f>IF(M28="","",IF(ISNUMBER(B28),B28,IFERROR(_xlfn.NUMBERVALUE(B28,".",","),0)))</f>
        <v/>
      </c>
      <c r="O28">
        <f>IF(M28="","",IF(ISNUMBER(C28),C28,IFERROR(_xlfn.NUMBERVALUE(C28,".",","),0)))</f>
        <v/>
      </c>
    </row>
    <row r="29">
      <c r="K29">
        <f>IF(OR(LEFT(B29,9)="DOANH THU",LEFT(B29,8)="SỐ LƯỢNG"),A29,IF(A29="","",K28))</f>
        <v/>
      </c>
      <c r="L29">
        <f>IF(A29="","",IF(ISNUMBER(--LEFT(A29,FIND(" - ",A29&amp;" - ")-1)),LEFT(A29,FIND(" - ",A29&amp;" - ")-1),TRIM(A29)))</f>
        <v/>
      </c>
      <c r="M29">
        <f>IF(OR(K29="",K29=A29,A29=""),"",K29&amp;"|"&amp;L29)</f>
        <v/>
      </c>
      <c r="N29">
        <f>IF(M29="","",IF(ISNUMBER(B29),B29,IFERROR(_xlfn.NUMBERVALUE(B29,".",","),0)))</f>
        <v/>
      </c>
      <c r="O29">
        <f>IF(M29="","",IF(ISNUMBER(C29),C29,IFERROR(_xlfn.NUMBERVALUE(C29,".",","),0)))</f>
        <v/>
      </c>
    </row>
    <row r="30">
      <c r="K30">
        <f>IF(OR(LEFT(B30,9)="DOANH THU",LEFT(B30,8)="SỐ LƯỢNG"),A30,IF(A30="","",K29))</f>
        <v/>
      </c>
      <c r="L30">
        <f>IF(A30="","",IF(ISNUMBER(--LEFT(A30,FIND(" - ",A30&amp;" - ")-1)),LEFT(A30,FIND(" - ",A30&amp;" - ")-1),TRIM(A30)))</f>
        <v/>
      </c>
      <c r="M30">
        <f>IF(OR(K30="",K30=A30,A30=""),"",K30&amp;"|"&amp;L30)</f>
        <v/>
      </c>
      <c r="N30">
        <f>IF(M30="","",IF(ISNUMBER(B30),B30,IFERROR(_xlfn.NUMBERVALUE(B30,".",","),0)))</f>
        <v/>
      </c>
      <c r="O30">
        <f>IF(M30="","",IF(ISNUMBER(C30),C30,IFERROR(_xlfn.NUMBERVALUE(C30,".",","),0)))</f>
        <v/>
      </c>
    </row>
    <row r="31">
      <c r="K31">
        <f>IF(OR(LEFT(B31,9)="DOANH THU",LEFT(B31,8)="SỐ LƯỢNG"),A31,IF(A31="","",K30))</f>
        <v/>
      </c>
      <c r="L31">
        <f>IF(A31="","",IF(ISNUMBER(--LEFT(A31,FIND(" - ",A31&amp;" - ")-1)),LEFT(A31,FIND(" - ",A31&amp;" - ")-1),TRIM(A31)))</f>
        <v/>
      </c>
      <c r="M31">
        <f>IF(OR(K31="",K31=A31,A31=""),"",K31&amp;"|"&amp;L31)</f>
        <v/>
      </c>
      <c r="N31">
        <f>IF(M31="","",IF(ISNUMBER(B31),B31,IFERROR(_xlfn.NUMBERVALUE(B31,".",","),0)))</f>
        <v/>
      </c>
      <c r="O31">
        <f>IF(M31="","",IF(ISNUMBER(C31),C31,IFERROR(_xlfn.NUMBERVALUE(C31,".",","),0)))</f>
        <v/>
      </c>
    </row>
    <row r="32">
      <c r="K32">
        <f>IF(OR(LEFT(B32,9)="DOANH THU",LEFT(B32,8)="SỐ LƯỢNG"),A32,IF(A32="","",K31))</f>
        <v/>
      </c>
      <c r="L32">
        <f>IF(A32="","",IF(ISNUMBER(--LEFT(A32,FIND(" - ",A32&amp;" - ")-1)),LEFT(A32,FIND(" - ",A32&amp;" - ")-1),TRIM(A32)))</f>
        <v/>
      </c>
      <c r="M32">
        <f>IF(OR(K32="",K32=A32,A32=""),"",K32&amp;"|"&amp;L32)</f>
        <v/>
      </c>
      <c r="N32">
        <f>IF(M32="","",IF(ISNUMBER(B32),B32,IFERROR(_xlfn.NUMBERVALUE(B32,".",","),0)))</f>
        <v/>
      </c>
      <c r="O32">
        <f>IF(M32="","",IF(ISNUMBER(C32),C32,IFERROR(_xlfn.NUMBERVALUE(C32,".",","),0)))</f>
        <v/>
      </c>
    </row>
    <row r="33">
      <c r="K33">
        <f>IF(OR(LEFT(B33,9)="DOANH THU",LEFT(B33,8)="SỐ LƯỢNG"),A33,IF(A33="","",K32))</f>
        <v/>
      </c>
      <c r="L33">
        <f>IF(A33="","",IF(ISNUMBER(--LEFT(A33,FIND(" - ",A33&amp;" - ")-1)),LEFT(A33,FIND(" - ",A33&amp;" - ")-1),TRIM(A33)))</f>
        <v/>
      </c>
      <c r="M33">
        <f>IF(OR(K33="",K33=A33,A33=""),"",K33&amp;"|"&amp;L33)</f>
        <v/>
      </c>
      <c r="N33">
        <f>IF(M33="","",IF(ISNUMBER(B33),B33,IFERROR(_xlfn.NUMBERVALUE(B33,".",","),0)))</f>
        <v/>
      </c>
      <c r="O33">
        <f>IF(M33="","",IF(ISNUMBER(C33),C33,IFERROR(_xlfn.NUMBERVALUE(C33,".",","),0)))</f>
        <v/>
      </c>
    </row>
    <row r="34">
      <c r="K34">
        <f>IF(OR(LEFT(B34,9)="DOANH THU",LEFT(B34,8)="SỐ LƯỢNG"),A34,IF(A34="","",K33))</f>
        <v/>
      </c>
      <c r="L34">
        <f>IF(A34="","",IF(ISNUMBER(--LEFT(A34,FIND(" - ",A34&amp;" - ")-1)),LEFT(A34,FIND(" - ",A34&amp;" - ")-1),TRIM(A34)))</f>
        <v/>
      </c>
      <c r="M34">
        <f>IF(OR(K34="",K34=A34,A34=""),"",K34&amp;"|"&amp;L34)</f>
        <v/>
      </c>
      <c r="N34">
        <f>IF(M34="","",IF(ISNUMBER(B34),B34,IFERROR(_xlfn.NUMBERVALUE(B34,".",","),0)))</f>
        <v/>
      </c>
      <c r="O34">
        <f>IF(M34="","",IF(ISNUMBER(C34),C34,IFERROR(_xlfn.NUMBERVALUE(C34,".",","),0)))</f>
        <v/>
      </c>
    </row>
    <row r="35">
      <c r="K35">
        <f>IF(OR(LEFT(B35,9)="DOANH THU",LEFT(B35,8)="SỐ LƯỢNG"),A35,IF(A35="","",K34))</f>
        <v/>
      </c>
      <c r="L35">
        <f>IF(A35="","",IF(ISNUMBER(--LEFT(A35,FIND(" - ",A35&amp;" - ")-1)),LEFT(A35,FIND(" - ",A35&amp;" - ")-1),TRIM(A35)))</f>
        <v/>
      </c>
      <c r="M35">
        <f>IF(OR(K35="",K35=A35,A35=""),"",K35&amp;"|"&amp;L35)</f>
        <v/>
      </c>
      <c r="N35">
        <f>IF(M35="","",IF(ISNUMBER(B35),B35,IFERROR(_xlfn.NUMBERVALUE(B35,".",","),0)))</f>
        <v/>
      </c>
      <c r="O35">
        <f>IF(M35="","",IF(ISNUMBER(C35),C35,IFERROR(_xlfn.NUMBERVALUE(C35,".",","),0)))</f>
        <v/>
      </c>
    </row>
    <row r="36">
      <c r="K36">
        <f>IF(OR(LEFT(B36,9)="DOANH THU",LEFT(B36,8)="SỐ LƯỢNG"),A36,IF(A36="","",K35))</f>
        <v/>
      </c>
      <c r="L36">
        <f>IF(A36="","",IF(ISNUMBER(--LEFT(A36,FIND(" - ",A36&amp;" - ")-1)),LEFT(A36,FIND(" - ",A36&amp;" - ")-1),TRIM(A36)))</f>
        <v/>
      </c>
      <c r="M36">
        <f>IF(OR(K36="",K36=A36,A36=""),"",K36&amp;"|"&amp;L36)</f>
        <v/>
      </c>
      <c r="N36">
        <f>IF(M36="","",IF(ISNUMBER(B36),B36,IFERROR(_xlfn.NUMBERVALUE(B36,".",","),0)))</f>
        <v/>
      </c>
      <c r="O36">
        <f>IF(M36="","",IF(ISNUMBER(C36),C36,IFERROR(_xlfn.NUMBERVALUE(C36,".",","),0)))</f>
        <v/>
      </c>
    </row>
    <row r="37">
      <c r="K37">
        <f>IF(OR(LEFT(B37,9)="DOANH THU",LEFT(B37,8)="SỐ LƯỢNG"),A37,IF(A37="","",K36))</f>
        <v/>
      </c>
      <c r="L37">
        <f>IF(A37="","",IF(ISNUMBER(--LEFT(A37,FIND(" - ",A37&amp;" - ")-1)),LEFT(A37,FIND(" - ",A37&amp;" - ")-1),TRIM(A37)))</f>
        <v/>
      </c>
      <c r="M37">
        <f>IF(OR(K37="",K37=A37,A37=""),"",K37&amp;"|"&amp;L37)</f>
        <v/>
      </c>
      <c r="N37">
        <f>IF(M37="","",IF(ISNUMBER(B37),B37,IFERROR(_xlfn.NUMBERVALUE(B37,".",","),0)))</f>
        <v/>
      </c>
      <c r="O37">
        <f>IF(M37="","",IF(ISNUMBER(C37),C37,IFERROR(_xlfn.NUMBERVALUE(C37,".",","),0)))</f>
        <v/>
      </c>
    </row>
    <row r="38">
      <c r="K38">
        <f>IF(OR(LEFT(B38,9)="DOANH THU",LEFT(B38,8)="SỐ LƯỢNG"),A38,IF(A38="","",K37))</f>
        <v/>
      </c>
      <c r="L38">
        <f>IF(A38="","",IF(ISNUMBER(--LEFT(A38,FIND(" - ",A38&amp;" - ")-1)),LEFT(A38,FIND(" - ",A38&amp;" - ")-1),TRIM(A38)))</f>
        <v/>
      </c>
      <c r="M38">
        <f>IF(OR(K38="",K38=A38,A38=""),"",K38&amp;"|"&amp;L38)</f>
        <v/>
      </c>
      <c r="N38">
        <f>IF(M38="","",IF(ISNUMBER(B38),B38,IFERROR(_xlfn.NUMBERVALUE(B38,".",","),0)))</f>
        <v/>
      </c>
      <c r="O38">
        <f>IF(M38="","",IF(ISNUMBER(C38),C38,IFERROR(_xlfn.NUMBERVALUE(C38,".",","),0)))</f>
        <v/>
      </c>
    </row>
    <row r="39">
      <c r="K39">
        <f>IF(OR(LEFT(B39,9)="DOANH THU",LEFT(B39,8)="SỐ LƯỢNG"),A39,IF(A39="","",K38))</f>
        <v/>
      </c>
      <c r="L39">
        <f>IF(A39="","",IF(ISNUMBER(--LEFT(A39,FIND(" - ",A39&amp;" - ")-1)),LEFT(A39,FIND(" - ",A39&amp;" - ")-1),TRIM(A39)))</f>
        <v/>
      </c>
      <c r="M39">
        <f>IF(OR(K39="",K39=A39,A39=""),"",K39&amp;"|"&amp;L39)</f>
        <v/>
      </c>
      <c r="N39">
        <f>IF(M39="","",IF(ISNUMBER(B39),B39,IFERROR(_xlfn.NUMBERVALUE(B39,".",","),0)))</f>
        <v/>
      </c>
      <c r="O39">
        <f>IF(M39="","",IF(ISNUMBER(C39),C39,IFERROR(_xlfn.NUMBERVALUE(C39,".",","),0)))</f>
        <v/>
      </c>
    </row>
    <row r="40">
      <c r="K40">
        <f>IF(OR(LEFT(B40,9)="DOANH THU",LEFT(B40,8)="SỐ LƯỢNG"),A40,IF(A40="","",K39))</f>
        <v/>
      </c>
      <c r="L40">
        <f>IF(A40="","",IF(ISNUMBER(--LEFT(A40,FIND(" - ",A40&amp;" - ")-1)),LEFT(A40,FIND(" - ",A40&amp;" - ")-1),TRIM(A40)))</f>
        <v/>
      </c>
      <c r="M40">
        <f>IF(OR(K40="",K40=A40,A40=""),"",K40&amp;"|"&amp;L40)</f>
        <v/>
      </c>
      <c r="N40">
        <f>IF(M40="","",IF(ISNUMBER(B40),B40,IFERROR(_xlfn.NUMBERVALUE(B40,".",","),0)))</f>
        <v/>
      </c>
      <c r="O40">
        <f>IF(M40="","",IF(ISNUMBER(C40),C40,IFERROR(_xlfn.NUMBERVALUE(C40,".",","),0)))</f>
        <v/>
      </c>
    </row>
    <row r="41">
      <c r="K41">
        <f>IF(OR(LEFT(B41,9)="DOANH THU",LEFT(B41,8)="SỐ LƯỢNG"),A41,IF(A41="","",K40))</f>
        <v/>
      </c>
      <c r="L41">
        <f>IF(A41="","",IF(ISNUMBER(--LEFT(A41,FIND(" - ",A41&amp;" - ")-1)),LEFT(A41,FIND(" - ",A41&amp;" - ")-1),TRIM(A41)))</f>
        <v/>
      </c>
      <c r="M41">
        <f>IF(OR(K41="",K41=A41,A41=""),"",K41&amp;"|"&amp;L41)</f>
        <v/>
      </c>
      <c r="N41">
        <f>IF(M41="","",IF(ISNUMBER(B41),B41,IFERROR(_xlfn.NUMBERVALUE(B41,".",","),0)))</f>
        <v/>
      </c>
      <c r="O41">
        <f>IF(M41="","",IF(ISNUMBER(C41),C41,IFERROR(_xlfn.NUMBERVALUE(C41,".",","),0)))</f>
        <v/>
      </c>
    </row>
    <row r="42">
      <c r="K42">
        <f>IF(OR(LEFT(B42,9)="DOANH THU",LEFT(B42,8)="SỐ LƯỢNG"),A42,IF(A42="","",K41))</f>
        <v/>
      </c>
      <c r="L42">
        <f>IF(A42="","",IF(ISNUMBER(--LEFT(A42,FIND(" - ",A42&amp;" - ")-1)),LEFT(A42,FIND(" - ",A42&amp;" - ")-1),TRIM(A42)))</f>
        <v/>
      </c>
      <c r="M42">
        <f>IF(OR(K42="",K42=A42,A42=""),"",K42&amp;"|"&amp;L42)</f>
        <v/>
      </c>
      <c r="N42">
        <f>IF(M42="","",IF(ISNUMBER(B42),B42,IFERROR(_xlfn.NUMBERVALUE(B42,".",","),0)))</f>
        <v/>
      </c>
      <c r="O42">
        <f>IF(M42="","",IF(ISNUMBER(C42),C42,IFERROR(_xlfn.NUMBERVALUE(C42,".",","),0)))</f>
        <v/>
      </c>
    </row>
    <row r="43">
      <c r="K43">
        <f>IF(OR(LEFT(B43,9)="DOANH THU",LEFT(B43,8)="SỐ LƯỢNG"),A43,IF(A43="","",K42))</f>
        <v/>
      </c>
      <c r="L43">
        <f>IF(A43="","",IF(ISNUMBER(--LEFT(A43,FIND(" - ",A43&amp;" - ")-1)),LEFT(A43,FIND(" - ",A43&amp;" - ")-1),TRIM(A43)))</f>
        <v/>
      </c>
      <c r="M43">
        <f>IF(OR(K43="",K43=A43,A43=""),"",K43&amp;"|"&amp;L43)</f>
        <v/>
      </c>
      <c r="N43">
        <f>IF(M43="","",IF(ISNUMBER(B43),B43,IFERROR(_xlfn.NUMBERVALUE(B43,".",","),0)))</f>
        <v/>
      </c>
      <c r="O43">
        <f>IF(M43="","",IF(ISNUMBER(C43),C43,IFERROR(_xlfn.NUMBERVALUE(C43,".",","),0)))</f>
        <v/>
      </c>
    </row>
    <row r="44">
      <c r="K44">
        <f>IF(OR(LEFT(B44,9)="DOANH THU",LEFT(B44,8)="SỐ LƯỢNG"),A44,IF(A44="","",K43))</f>
        <v/>
      </c>
      <c r="L44">
        <f>IF(A44="","",IF(ISNUMBER(--LEFT(A44,FIND(" - ",A44&amp;" - ")-1)),LEFT(A44,FIND(" - ",A44&amp;" - ")-1),TRIM(A44)))</f>
        <v/>
      </c>
      <c r="M44">
        <f>IF(OR(K44="",K44=A44,A44=""),"",K44&amp;"|"&amp;L44)</f>
        <v/>
      </c>
      <c r="N44">
        <f>IF(M44="","",IF(ISNUMBER(B44),B44,IFERROR(_xlfn.NUMBERVALUE(B44,".",","),0)))</f>
        <v/>
      </c>
      <c r="O44">
        <f>IF(M44="","",IF(ISNUMBER(C44),C44,IFERROR(_xlfn.NUMBERVALUE(C44,".",","),0)))</f>
        <v/>
      </c>
    </row>
    <row r="45">
      <c r="K45">
        <f>IF(OR(LEFT(B45,9)="DOANH THU",LEFT(B45,8)="SỐ LƯỢNG"),A45,IF(A45="","",K44))</f>
        <v/>
      </c>
      <c r="L45">
        <f>IF(A45="","",IF(ISNUMBER(--LEFT(A45,FIND(" - ",A45&amp;" - ")-1)),LEFT(A45,FIND(" - ",A45&amp;" - ")-1),TRIM(A45)))</f>
        <v/>
      </c>
      <c r="M45">
        <f>IF(OR(K45="",K45=A45,A45=""),"",K45&amp;"|"&amp;L45)</f>
        <v/>
      </c>
      <c r="N45">
        <f>IF(M45="","",IF(ISNUMBER(B45),B45,IFERROR(_xlfn.NUMBERVALUE(B45,".",","),0)))</f>
        <v/>
      </c>
      <c r="O45">
        <f>IF(M45="","",IF(ISNUMBER(C45),C45,IFERROR(_xlfn.NUMBERVALUE(C45,".",","),0)))</f>
        <v/>
      </c>
    </row>
    <row r="46">
      <c r="K46">
        <f>IF(OR(LEFT(B46,9)="DOANH THU",LEFT(B46,8)="SỐ LƯỢNG"),A46,IF(A46="","",K45))</f>
        <v/>
      </c>
      <c r="L46">
        <f>IF(A46="","",IF(ISNUMBER(--LEFT(A46,FIND(" - ",A46&amp;" - ")-1)),LEFT(A46,FIND(" - ",A46&amp;" - ")-1),TRIM(A46)))</f>
        <v/>
      </c>
      <c r="M46">
        <f>IF(OR(K46="",K46=A46,A46=""),"",K46&amp;"|"&amp;L46)</f>
        <v/>
      </c>
      <c r="N46">
        <f>IF(M46="","",IF(ISNUMBER(B46),B46,IFERROR(_xlfn.NUMBERVALUE(B46,".",","),0)))</f>
        <v/>
      </c>
      <c r="O46">
        <f>IF(M46="","",IF(ISNUMBER(C46),C46,IFERROR(_xlfn.NUMBERVALUE(C46,".",","),0)))</f>
        <v/>
      </c>
    </row>
    <row r="47">
      <c r="K47">
        <f>IF(OR(LEFT(B47,9)="DOANH THU",LEFT(B47,8)="SỐ LƯỢNG"),A47,IF(A47="","",K46))</f>
        <v/>
      </c>
      <c r="L47">
        <f>IF(A47="","",IF(ISNUMBER(--LEFT(A47,FIND(" - ",A47&amp;" - ")-1)),LEFT(A47,FIND(" - ",A47&amp;" - ")-1),TRIM(A47)))</f>
        <v/>
      </c>
      <c r="M47">
        <f>IF(OR(K47="",K47=A47,A47=""),"",K47&amp;"|"&amp;L47)</f>
        <v/>
      </c>
      <c r="N47">
        <f>IF(M47="","",IF(ISNUMBER(B47),B47,IFERROR(_xlfn.NUMBERVALUE(B47,".",","),0)))</f>
        <v/>
      </c>
      <c r="O47">
        <f>IF(M47="","",IF(ISNUMBER(C47),C47,IFERROR(_xlfn.NUMBERVALUE(C47,".",","),0)))</f>
        <v/>
      </c>
    </row>
    <row r="48">
      <c r="K48">
        <f>IF(OR(LEFT(B48,9)="DOANH THU",LEFT(B48,8)="SỐ LƯỢNG"),A48,IF(A48="","",K47))</f>
        <v/>
      </c>
      <c r="L48">
        <f>IF(A48="","",IF(ISNUMBER(--LEFT(A48,FIND(" - ",A48&amp;" - ")-1)),LEFT(A48,FIND(" - ",A48&amp;" - ")-1),TRIM(A48)))</f>
        <v/>
      </c>
      <c r="M48">
        <f>IF(OR(K48="",K48=A48,A48=""),"",K48&amp;"|"&amp;L48)</f>
        <v/>
      </c>
      <c r="N48">
        <f>IF(M48="","",IF(ISNUMBER(B48),B48,IFERROR(_xlfn.NUMBERVALUE(B48,".",","),0)))</f>
        <v/>
      </c>
      <c r="O48">
        <f>IF(M48="","",IF(ISNUMBER(C48),C48,IFERROR(_xlfn.NUMBERVALUE(C48,".",","),0)))</f>
        <v/>
      </c>
    </row>
    <row r="49">
      <c r="K49">
        <f>IF(OR(LEFT(B49,9)="DOANH THU",LEFT(B49,8)="SỐ LƯỢNG"),A49,IF(A49="","",K48))</f>
        <v/>
      </c>
      <c r="L49">
        <f>IF(A49="","",IF(ISNUMBER(--LEFT(A49,FIND(" - ",A49&amp;" - ")-1)),LEFT(A49,FIND(" - ",A49&amp;" - ")-1),TRIM(A49)))</f>
        <v/>
      </c>
      <c r="M49">
        <f>IF(OR(K49="",K49=A49,A49=""),"",K49&amp;"|"&amp;L49)</f>
        <v/>
      </c>
      <c r="N49">
        <f>IF(M49="","",IF(ISNUMBER(B49),B49,IFERROR(_xlfn.NUMBERVALUE(B49,".",","),0)))</f>
        <v/>
      </c>
      <c r="O49">
        <f>IF(M49="","",IF(ISNUMBER(C49),C49,IFERROR(_xlfn.NUMBERVALUE(C49,".",","),0)))</f>
        <v/>
      </c>
    </row>
    <row r="50">
      <c r="K50">
        <f>IF(OR(LEFT(B50,9)="DOANH THU",LEFT(B50,8)="SỐ LƯỢNG"),A50,IF(A50="","",K49))</f>
        <v/>
      </c>
      <c r="L50">
        <f>IF(A50="","",IF(ISNUMBER(--LEFT(A50,FIND(" - ",A50&amp;" - ")-1)),LEFT(A50,FIND(" - ",A50&amp;" - ")-1),TRIM(A50)))</f>
        <v/>
      </c>
      <c r="M50">
        <f>IF(OR(K50="",K50=A50,A50=""),"",K50&amp;"|"&amp;L50)</f>
        <v/>
      </c>
      <c r="N50">
        <f>IF(M50="","",IF(ISNUMBER(B50),B50,IFERROR(_xlfn.NUMBERVALUE(B50,".",","),0)))</f>
        <v/>
      </c>
      <c r="O50">
        <f>IF(M50="","",IF(ISNUMBER(C50),C50,IFERROR(_xlfn.NUMBERVALUE(C50,".",","),0)))</f>
        <v/>
      </c>
    </row>
    <row r="51">
      <c r="K51">
        <f>IF(OR(LEFT(B51,9)="DOANH THU",LEFT(B51,8)="SỐ LƯỢNG"),A51,IF(A51="","",K50))</f>
        <v/>
      </c>
      <c r="L51">
        <f>IF(A51="","",IF(ISNUMBER(--LEFT(A51,FIND(" - ",A51&amp;" - ")-1)),LEFT(A51,FIND(" - ",A51&amp;" - ")-1),TRIM(A51)))</f>
        <v/>
      </c>
      <c r="M51">
        <f>IF(OR(K51="",K51=A51,A51=""),"",K51&amp;"|"&amp;L51)</f>
        <v/>
      </c>
      <c r="N51">
        <f>IF(M51="","",IF(ISNUMBER(B51),B51,IFERROR(_xlfn.NUMBERVALUE(B51,".",","),0)))</f>
        <v/>
      </c>
      <c r="O51">
        <f>IF(M51="","",IF(ISNUMBER(C51),C51,IFERROR(_xlfn.NUMBERVALUE(C51,".",","),0)))</f>
        <v/>
      </c>
    </row>
    <row r="52">
      <c r="K52">
        <f>IF(OR(LEFT(B52,9)="DOANH THU",LEFT(B52,8)="SỐ LƯỢNG"),A52,IF(A52="","",K51))</f>
        <v/>
      </c>
      <c r="L52">
        <f>IF(A52="","",IF(ISNUMBER(--LEFT(A52,FIND(" - ",A52&amp;" - ")-1)),LEFT(A52,FIND(" - ",A52&amp;" - ")-1),TRIM(A52)))</f>
        <v/>
      </c>
      <c r="M52">
        <f>IF(OR(K52="",K52=A52,A52=""),"",K52&amp;"|"&amp;L52)</f>
        <v/>
      </c>
      <c r="N52">
        <f>IF(M52="","",IF(ISNUMBER(B52),B52,IFERROR(_xlfn.NUMBERVALUE(B52,".",","),0)))</f>
        <v/>
      </c>
      <c r="O52">
        <f>IF(M52="","",IF(ISNUMBER(C52),C52,IFERROR(_xlfn.NUMBERVALUE(C52,".",","),0)))</f>
        <v/>
      </c>
    </row>
    <row r="53">
      <c r="K53">
        <f>IF(OR(LEFT(B53,9)="DOANH THU",LEFT(B53,8)="SỐ LƯỢNG"),A53,IF(A53="","",K52))</f>
        <v/>
      </c>
      <c r="L53">
        <f>IF(A53="","",IF(ISNUMBER(--LEFT(A53,FIND(" - ",A53&amp;" - ")-1)),LEFT(A53,FIND(" - ",A53&amp;" - ")-1),TRIM(A53)))</f>
        <v/>
      </c>
      <c r="M53">
        <f>IF(OR(K53="",K53=A53,A53=""),"",K53&amp;"|"&amp;L53)</f>
        <v/>
      </c>
      <c r="N53">
        <f>IF(M53="","",IF(ISNUMBER(B53),B53,IFERROR(_xlfn.NUMBERVALUE(B53,".",","),0)))</f>
        <v/>
      </c>
      <c r="O53">
        <f>IF(M53="","",IF(ISNUMBER(C53),C53,IFERROR(_xlfn.NUMBERVALUE(C53,".",","),0)))</f>
        <v/>
      </c>
    </row>
    <row r="54">
      <c r="K54">
        <f>IF(OR(LEFT(B54,9)="DOANH THU",LEFT(B54,8)="SỐ LƯỢNG"),A54,IF(A54="","",K53))</f>
        <v/>
      </c>
      <c r="L54">
        <f>IF(A54="","",IF(ISNUMBER(--LEFT(A54,FIND(" - ",A54&amp;" - ")-1)),LEFT(A54,FIND(" - ",A54&amp;" - ")-1),TRIM(A54)))</f>
        <v/>
      </c>
      <c r="M54">
        <f>IF(OR(K54="",K54=A54,A54=""),"",K54&amp;"|"&amp;L54)</f>
        <v/>
      </c>
      <c r="N54">
        <f>IF(M54="","",IF(ISNUMBER(B54),B54,IFERROR(_xlfn.NUMBERVALUE(B54,".",","),0)))</f>
        <v/>
      </c>
      <c r="O54">
        <f>IF(M54="","",IF(ISNUMBER(C54),C54,IFERROR(_xlfn.NUMBERVALUE(C54,".",","),0)))</f>
        <v/>
      </c>
    </row>
    <row r="55">
      <c r="K55">
        <f>IF(OR(LEFT(B55,9)="DOANH THU",LEFT(B55,8)="SỐ LƯỢNG"),A55,IF(A55="","",K54))</f>
        <v/>
      </c>
      <c r="L55">
        <f>IF(A55="","",IF(ISNUMBER(--LEFT(A55,FIND(" - ",A55&amp;" - ")-1)),LEFT(A55,FIND(" - ",A55&amp;" - ")-1),TRIM(A55)))</f>
        <v/>
      </c>
      <c r="M55">
        <f>IF(OR(K55="",K55=A55,A55=""),"",K55&amp;"|"&amp;L55)</f>
        <v/>
      </c>
      <c r="N55">
        <f>IF(M55="","",IF(ISNUMBER(B55),B55,IFERROR(_xlfn.NUMBERVALUE(B55,".",","),0)))</f>
        <v/>
      </c>
      <c r="O55">
        <f>IF(M55="","",IF(ISNUMBER(C55),C55,IFERROR(_xlfn.NUMBERVALUE(C55,".",","),0)))</f>
        <v/>
      </c>
    </row>
    <row r="56">
      <c r="K56">
        <f>IF(OR(LEFT(B56,9)="DOANH THU",LEFT(B56,8)="SỐ LƯỢNG"),A56,IF(A56="","",K55))</f>
        <v/>
      </c>
      <c r="L56">
        <f>IF(A56="","",IF(ISNUMBER(--LEFT(A56,FIND(" - ",A56&amp;" - ")-1)),LEFT(A56,FIND(" - ",A56&amp;" - ")-1),TRIM(A56)))</f>
        <v/>
      </c>
      <c r="M56">
        <f>IF(OR(K56="",K56=A56,A56=""),"",K56&amp;"|"&amp;L56)</f>
        <v/>
      </c>
      <c r="N56">
        <f>IF(M56="","",IF(ISNUMBER(B56),B56,IFERROR(_xlfn.NUMBERVALUE(B56,".",","),0)))</f>
        <v/>
      </c>
      <c r="O56">
        <f>IF(M56="","",IF(ISNUMBER(C56),C56,IFERROR(_xlfn.NUMBERVALUE(C56,".",","),0)))</f>
        <v/>
      </c>
    </row>
    <row r="57">
      <c r="K57">
        <f>IF(OR(LEFT(B57,9)="DOANH THU",LEFT(B57,8)="SỐ LƯỢNG"),A57,IF(A57="","",K56))</f>
        <v/>
      </c>
      <c r="L57">
        <f>IF(A57="","",IF(ISNUMBER(--LEFT(A57,FIND(" - ",A57&amp;" - ")-1)),LEFT(A57,FIND(" - ",A57&amp;" - ")-1),TRIM(A57)))</f>
        <v/>
      </c>
      <c r="M57">
        <f>IF(OR(K57="",K57=A57,A57=""),"",K57&amp;"|"&amp;L57)</f>
        <v/>
      </c>
      <c r="N57">
        <f>IF(M57="","",IF(ISNUMBER(B57),B57,IFERROR(_xlfn.NUMBERVALUE(B57,".",","),0)))</f>
        <v/>
      </c>
      <c r="O57">
        <f>IF(M57="","",IF(ISNUMBER(C57),C57,IFERROR(_xlfn.NUMBERVALUE(C57,".",","),0)))</f>
        <v/>
      </c>
    </row>
    <row r="58">
      <c r="K58">
        <f>IF(OR(LEFT(B58,9)="DOANH THU",LEFT(B58,8)="SỐ LƯỢNG"),A58,IF(A58="","",K57))</f>
        <v/>
      </c>
      <c r="L58">
        <f>IF(A58="","",IF(ISNUMBER(--LEFT(A58,FIND(" - ",A58&amp;" - ")-1)),LEFT(A58,FIND(" - ",A58&amp;" - ")-1),TRIM(A58)))</f>
        <v/>
      </c>
      <c r="M58">
        <f>IF(OR(K58="",K58=A58,A58=""),"",K58&amp;"|"&amp;L58)</f>
        <v/>
      </c>
      <c r="N58">
        <f>IF(M58="","",IF(ISNUMBER(B58),B58,IFERROR(_xlfn.NUMBERVALUE(B58,".",","),0)))</f>
        <v/>
      </c>
      <c r="O58">
        <f>IF(M58="","",IF(ISNUMBER(C58),C58,IFERROR(_xlfn.NUMBERVALUE(C58,".",","),0)))</f>
        <v/>
      </c>
    </row>
    <row r="59">
      <c r="K59">
        <f>IF(OR(LEFT(B59,9)="DOANH THU",LEFT(B59,8)="SỐ LƯỢNG"),A59,IF(A59="","",K58))</f>
        <v/>
      </c>
      <c r="L59">
        <f>IF(A59="","",IF(ISNUMBER(--LEFT(A59,FIND(" - ",A59&amp;" - ")-1)),LEFT(A59,FIND(" - ",A59&amp;" - ")-1),TRIM(A59)))</f>
        <v/>
      </c>
      <c r="M59">
        <f>IF(OR(K59="",K59=A59,A59=""),"",K59&amp;"|"&amp;L59)</f>
        <v/>
      </c>
      <c r="N59">
        <f>IF(M59="","",IF(ISNUMBER(B59),B59,IFERROR(_xlfn.NUMBERVALUE(B59,".",","),0)))</f>
        <v/>
      </c>
      <c r="O59">
        <f>IF(M59="","",IF(ISNUMBER(C59),C59,IFERROR(_xlfn.NUMBERVALUE(C59,".",","),0)))</f>
        <v/>
      </c>
    </row>
    <row r="60">
      <c r="K60">
        <f>IF(OR(LEFT(B60,9)="DOANH THU",LEFT(B60,8)="SỐ LƯỢNG"),A60,IF(A60="","",K59))</f>
        <v/>
      </c>
      <c r="L60">
        <f>IF(A60="","",IF(ISNUMBER(--LEFT(A60,FIND(" - ",A60&amp;" - ")-1)),LEFT(A60,FIND(" - ",A60&amp;" - ")-1),TRIM(A60)))</f>
        <v/>
      </c>
      <c r="M60">
        <f>IF(OR(K60="",K60=A60,A60=""),"",K60&amp;"|"&amp;L60)</f>
        <v/>
      </c>
      <c r="N60">
        <f>IF(M60="","",IF(ISNUMBER(B60),B60,IFERROR(_xlfn.NUMBERVALUE(B60,".",","),0)))</f>
        <v/>
      </c>
      <c r="O60">
        <f>IF(M60="","",IF(ISNUMBER(C60),C60,IFERROR(_xlfn.NUMBERVALUE(C60,".",","),0)))</f>
        <v/>
      </c>
    </row>
    <row r="61">
      <c r="K61">
        <f>IF(OR(LEFT(B61,9)="DOANH THU",LEFT(B61,8)="SỐ LƯỢNG"),A61,IF(A61="","",K60))</f>
        <v/>
      </c>
      <c r="L61">
        <f>IF(A61="","",IF(ISNUMBER(--LEFT(A61,FIND(" - ",A61&amp;" - ")-1)),LEFT(A61,FIND(" - ",A61&amp;" - ")-1),TRIM(A61)))</f>
        <v/>
      </c>
      <c r="M61">
        <f>IF(OR(K61="",K61=A61,A61=""),"",K61&amp;"|"&amp;L61)</f>
        <v/>
      </c>
      <c r="N61">
        <f>IF(M61="","",IF(ISNUMBER(B61),B61,IFERROR(_xlfn.NUMBERVALUE(B61,".",","),0)))</f>
        <v/>
      </c>
      <c r="O61">
        <f>IF(M61="","",IF(ISNUMBER(C61),C61,IFERROR(_xlfn.NUMBERVALUE(C61,".",","),0)))</f>
        <v/>
      </c>
    </row>
    <row r="62">
      <c r="K62">
        <f>IF(OR(LEFT(B62,9)="DOANH THU",LEFT(B62,8)="SỐ LƯỢNG"),A62,IF(A62="","",K61))</f>
        <v/>
      </c>
      <c r="L62">
        <f>IF(A62="","",IF(ISNUMBER(--LEFT(A62,FIND(" - ",A62&amp;" - ")-1)),LEFT(A62,FIND(" - ",A62&amp;" - ")-1),TRIM(A62)))</f>
        <v/>
      </c>
      <c r="M62">
        <f>IF(OR(K62="",K62=A62,A62=""),"",K62&amp;"|"&amp;L62)</f>
        <v/>
      </c>
      <c r="N62">
        <f>IF(M62="","",IF(ISNUMBER(B62),B62,IFERROR(_xlfn.NUMBERVALUE(B62,".",","),0)))</f>
        <v/>
      </c>
      <c r="O62">
        <f>IF(M62="","",IF(ISNUMBER(C62),C62,IFERROR(_xlfn.NUMBERVALUE(C62,".",","),0)))</f>
        <v/>
      </c>
    </row>
    <row r="63">
      <c r="K63">
        <f>IF(OR(LEFT(B63,9)="DOANH THU",LEFT(B63,8)="SỐ LƯỢNG"),A63,IF(A63="","",K62))</f>
        <v/>
      </c>
      <c r="L63">
        <f>IF(A63="","",IF(ISNUMBER(--LEFT(A63,FIND(" - ",A63&amp;" - ")-1)),LEFT(A63,FIND(" - ",A63&amp;" - ")-1),TRIM(A63)))</f>
        <v/>
      </c>
      <c r="M63">
        <f>IF(OR(K63="",K63=A63,A63=""),"",K63&amp;"|"&amp;L63)</f>
        <v/>
      </c>
      <c r="N63">
        <f>IF(M63="","",IF(ISNUMBER(B63),B63,IFERROR(_xlfn.NUMBERVALUE(B63,".",","),0)))</f>
        <v/>
      </c>
      <c r="O63">
        <f>IF(M63="","",IF(ISNUMBER(C63),C63,IFERROR(_xlfn.NUMBERVALUE(C63,".",","),0)))</f>
        <v/>
      </c>
    </row>
    <row r="64">
      <c r="K64">
        <f>IF(OR(LEFT(B64,9)="DOANH THU",LEFT(B64,8)="SỐ LƯỢNG"),A64,IF(A64="","",K63))</f>
        <v/>
      </c>
      <c r="L64">
        <f>IF(A64="","",IF(ISNUMBER(--LEFT(A64,FIND(" - ",A64&amp;" - ")-1)),LEFT(A64,FIND(" - ",A64&amp;" - ")-1),TRIM(A64)))</f>
        <v/>
      </c>
      <c r="M64">
        <f>IF(OR(K64="",K64=A64,A64=""),"",K64&amp;"|"&amp;L64)</f>
        <v/>
      </c>
      <c r="N64">
        <f>IF(M64="","",IF(ISNUMBER(B64),B64,IFERROR(_xlfn.NUMBERVALUE(B64,".",","),0)))</f>
        <v/>
      </c>
      <c r="O64">
        <f>IF(M64="","",IF(ISNUMBER(C64),C64,IFERROR(_xlfn.NUMBERVALUE(C64,".",","),0)))</f>
        <v/>
      </c>
    </row>
    <row r="65">
      <c r="K65">
        <f>IF(OR(LEFT(B65,9)="DOANH THU",LEFT(B65,8)="SỐ LƯỢNG"),A65,IF(A65="","",K64))</f>
        <v/>
      </c>
      <c r="L65">
        <f>IF(A65="","",IF(ISNUMBER(--LEFT(A65,FIND(" - ",A65&amp;" - ")-1)),LEFT(A65,FIND(" - ",A65&amp;" - ")-1),TRIM(A65)))</f>
        <v/>
      </c>
      <c r="M65">
        <f>IF(OR(K65="",K65=A65,A65=""),"",K65&amp;"|"&amp;L65)</f>
        <v/>
      </c>
      <c r="N65">
        <f>IF(M65="","",IF(ISNUMBER(B65),B65,IFERROR(_xlfn.NUMBERVALUE(B65,".",","),0)))</f>
        <v/>
      </c>
      <c r="O65">
        <f>IF(M65="","",IF(ISNUMBER(C65),C65,IFERROR(_xlfn.NUMBERVALUE(C65,".",","),0)))</f>
        <v/>
      </c>
    </row>
    <row r="66">
      <c r="K66">
        <f>IF(OR(LEFT(B66,9)="DOANH THU",LEFT(B66,8)="SỐ LƯỢNG"),A66,IF(A66="","",K65))</f>
        <v/>
      </c>
      <c r="L66">
        <f>IF(A66="","",IF(ISNUMBER(--LEFT(A66,FIND(" - ",A66&amp;" - ")-1)),LEFT(A66,FIND(" - ",A66&amp;" - ")-1),TRIM(A66)))</f>
        <v/>
      </c>
      <c r="M66">
        <f>IF(OR(K66="",K66=A66,A66=""),"",K66&amp;"|"&amp;L66)</f>
        <v/>
      </c>
      <c r="N66">
        <f>IF(M66="","",IF(ISNUMBER(B66),B66,IFERROR(_xlfn.NUMBERVALUE(B66,".",","),0)))</f>
        <v/>
      </c>
      <c r="O66">
        <f>IF(M66="","",IF(ISNUMBER(C66),C66,IFERROR(_xlfn.NUMBERVALUE(C66,".",","),0)))</f>
        <v/>
      </c>
    </row>
    <row r="67">
      <c r="K67">
        <f>IF(OR(LEFT(B67,9)="DOANH THU",LEFT(B67,8)="SỐ LƯỢNG"),A67,IF(A67="","",K66))</f>
        <v/>
      </c>
      <c r="L67">
        <f>IF(A67="","",IF(ISNUMBER(--LEFT(A67,FIND(" - ",A67&amp;" - ")-1)),LEFT(A67,FIND(" - ",A67&amp;" - ")-1),TRIM(A67)))</f>
        <v/>
      </c>
      <c r="M67">
        <f>IF(OR(K67="",K67=A67,A67=""),"",K67&amp;"|"&amp;L67)</f>
        <v/>
      </c>
      <c r="N67">
        <f>IF(M67="","",IF(ISNUMBER(B67),B67,IFERROR(_xlfn.NUMBERVALUE(B67,".",","),0)))</f>
        <v/>
      </c>
      <c r="O67">
        <f>IF(M67="","",IF(ISNUMBER(C67),C67,IFERROR(_xlfn.NUMBERVALUE(C67,".",","),0)))</f>
        <v/>
      </c>
    </row>
    <row r="68">
      <c r="K68">
        <f>IF(OR(LEFT(B68,9)="DOANH THU",LEFT(B68,8)="SỐ LƯỢNG"),A68,IF(A68="","",K67))</f>
        <v/>
      </c>
      <c r="L68">
        <f>IF(A68="","",IF(ISNUMBER(--LEFT(A68,FIND(" - ",A68&amp;" - ")-1)),LEFT(A68,FIND(" - ",A68&amp;" - ")-1),TRIM(A68)))</f>
        <v/>
      </c>
      <c r="M68">
        <f>IF(OR(K68="",K68=A68,A68=""),"",K68&amp;"|"&amp;L68)</f>
        <v/>
      </c>
      <c r="N68">
        <f>IF(M68="","",IF(ISNUMBER(B68),B68,IFERROR(_xlfn.NUMBERVALUE(B68,".",","),0)))</f>
        <v/>
      </c>
      <c r="O68">
        <f>IF(M68="","",IF(ISNUMBER(C68),C68,IFERROR(_xlfn.NUMBERVALUE(C68,".",","),0)))</f>
        <v/>
      </c>
    </row>
    <row r="69">
      <c r="K69">
        <f>IF(OR(LEFT(B69,9)="DOANH THU",LEFT(B69,8)="SỐ LƯỢNG"),A69,IF(A69="","",K68))</f>
        <v/>
      </c>
      <c r="L69">
        <f>IF(A69="","",IF(ISNUMBER(--LEFT(A69,FIND(" - ",A69&amp;" - ")-1)),LEFT(A69,FIND(" - ",A69&amp;" - ")-1),TRIM(A69)))</f>
        <v/>
      </c>
      <c r="M69">
        <f>IF(OR(K69="",K69=A69,A69=""),"",K69&amp;"|"&amp;L69)</f>
        <v/>
      </c>
      <c r="N69">
        <f>IF(M69="","",IF(ISNUMBER(B69),B69,IFERROR(_xlfn.NUMBERVALUE(B69,".",","),0)))</f>
        <v/>
      </c>
      <c r="O69">
        <f>IF(M69="","",IF(ISNUMBER(C69),C69,IFERROR(_xlfn.NUMBERVALUE(C69,".",","),0)))</f>
        <v/>
      </c>
    </row>
    <row r="70">
      <c r="K70">
        <f>IF(OR(LEFT(B70,9)="DOANH THU",LEFT(B70,8)="SỐ LƯỢNG"),A70,IF(A70="","",K69))</f>
        <v/>
      </c>
      <c r="L70">
        <f>IF(A70="","",IF(ISNUMBER(--LEFT(A70,FIND(" - ",A70&amp;" - ")-1)),LEFT(A70,FIND(" - ",A70&amp;" - ")-1),TRIM(A70)))</f>
        <v/>
      </c>
      <c r="M70">
        <f>IF(OR(K70="",K70=A70,A70=""),"",K70&amp;"|"&amp;L70)</f>
        <v/>
      </c>
      <c r="N70">
        <f>IF(M70="","",IF(ISNUMBER(B70),B70,IFERROR(_xlfn.NUMBERVALUE(B70,".",","),0)))</f>
        <v/>
      </c>
      <c r="O70">
        <f>IF(M70="","",IF(ISNUMBER(C70),C70,IFERROR(_xlfn.NUMBERVALUE(C70,".",","),0)))</f>
        <v/>
      </c>
    </row>
    <row r="71">
      <c r="K71">
        <f>IF(OR(LEFT(B71,9)="DOANH THU",LEFT(B71,8)="SỐ LƯỢNG"),A71,IF(A71="","",K70))</f>
        <v/>
      </c>
      <c r="L71">
        <f>IF(A71="","",IF(ISNUMBER(--LEFT(A71,FIND(" - ",A71&amp;" - ")-1)),LEFT(A71,FIND(" - ",A71&amp;" - ")-1),TRIM(A71)))</f>
        <v/>
      </c>
      <c r="M71">
        <f>IF(OR(K71="",K71=A71,A71=""),"",K71&amp;"|"&amp;L71)</f>
        <v/>
      </c>
      <c r="N71">
        <f>IF(M71="","",IF(ISNUMBER(B71),B71,IFERROR(_xlfn.NUMBERVALUE(B71,".",","),0)))</f>
        <v/>
      </c>
      <c r="O71">
        <f>IF(M71="","",IF(ISNUMBER(C71),C71,IFERROR(_xlfn.NUMBERVALUE(C71,".",","),0)))</f>
        <v/>
      </c>
    </row>
    <row r="72">
      <c r="K72">
        <f>IF(OR(LEFT(B72,9)="DOANH THU",LEFT(B72,8)="SỐ LƯỢNG"),A72,IF(A72="","",K71))</f>
        <v/>
      </c>
      <c r="L72">
        <f>IF(A72="","",IF(ISNUMBER(--LEFT(A72,FIND(" - ",A72&amp;" - ")-1)),LEFT(A72,FIND(" - ",A72&amp;" - ")-1),TRIM(A72)))</f>
        <v/>
      </c>
      <c r="M72">
        <f>IF(OR(K72="",K72=A72,A72=""),"",K72&amp;"|"&amp;L72)</f>
        <v/>
      </c>
      <c r="N72">
        <f>IF(M72="","",IF(ISNUMBER(B72),B72,IFERROR(_xlfn.NUMBERVALUE(B72,".",","),0)))</f>
        <v/>
      </c>
      <c r="O72">
        <f>IF(M72="","",IF(ISNUMBER(C72),C72,IFERROR(_xlfn.NUMBERVALUE(C72,".",","),0)))</f>
        <v/>
      </c>
    </row>
    <row r="73">
      <c r="K73">
        <f>IF(OR(LEFT(B73,9)="DOANH THU",LEFT(B73,8)="SỐ LƯỢNG"),A73,IF(A73="","",K72))</f>
        <v/>
      </c>
      <c r="L73">
        <f>IF(A73="","",IF(ISNUMBER(--LEFT(A73,FIND(" - ",A73&amp;" - ")-1)),LEFT(A73,FIND(" - ",A73&amp;" - ")-1),TRIM(A73)))</f>
        <v/>
      </c>
      <c r="M73">
        <f>IF(OR(K73="",K73=A73,A73=""),"",K73&amp;"|"&amp;L73)</f>
        <v/>
      </c>
      <c r="N73">
        <f>IF(M73="","",IF(ISNUMBER(B73),B73,IFERROR(_xlfn.NUMBERVALUE(B73,".",","),0)))</f>
        <v/>
      </c>
      <c r="O73">
        <f>IF(M73="","",IF(ISNUMBER(C73),C73,IFERROR(_xlfn.NUMBERVALUE(C73,".",","),0)))</f>
        <v/>
      </c>
    </row>
    <row r="74">
      <c r="K74">
        <f>IF(OR(LEFT(B74,9)="DOANH THU",LEFT(B74,8)="SỐ LƯỢNG"),A74,IF(A74="","",K73))</f>
        <v/>
      </c>
      <c r="L74">
        <f>IF(A74="","",IF(ISNUMBER(--LEFT(A74,FIND(" - ",A74&amp;" - ")-1)),LEFT(A74,FIND(" - ",A74&amp;" - ")-1),TRIM(A74)))</f>
        <v/>
      </c>
      <c r="M74">
        <f>IF(OR(K74="",K74=A74,A74=""),"",K74&amp;"|"&amp;L74)</f>
        <v/>
      </c>
      <c r="N74">
        <f>IF(M74="","",IF(ISNUMBER(B74),B74,IFERROR(_xlfn.NUMBERVALUE(B74,".",","),0)))</f>
        <v/>
      </c>
      <c r="O74">
        <f>IF(M74="","",IF(ISNUMBER(C74),C74,IFERROR(_xlfn.NUMBERVALUE(C74,".",","),0)))</f>
        <v/>
      </c>
    </row>
    <row r="75">
      <c r="K75">
        <f>IF(OR(LEFT(B75,9)="DOANH THU",LEFT(B75,8)="SỐ LƯỢNG"),A75,IF(A75="","",K74))</f>
        <v/>
      </c>
      <c r="L75">
        <f>IF(A75="","",IF(ISNUMBER(--LEFT(A75,FIND(" - ",A75&amp;" - ")-1)),LEFT(A75,FIND(" - ",A75&amp;" - ")-1),TRIM(A75)))</f>
        <v/>
      </c>
      <c r="M75">
        <f>IF(OR(K75="",K75=A75,A75=""),"",K75&amp;"|"&amp;L75)</f>
        <v/>
      </c>
      <c r="N75">
        <f>IF(M75="","",IF(ISNUMBER(B75),B75,IFERROR(_xlfn.NUMBERVALUE(B75,".",","),0)))</f>
        <v/>
      </c>
      <c r="O75">
        <f>IF(M75="","",IF(ISNUMBER(C75),C75,IFERROR(_xlfn.NUMBERVALUE(C75,".",","),0)))</f>
        <v/>
      </c>
    </row>
    <row r="76">
      <c r="K76">
        <f>IF(OR(LEFT(B76,9)="DOANH THU",LEFT(B76,8)="SỐ LƯỢNG"),A76,IF(A76="","",K75))</f>
        <v/>
      </c>
      <c r="L76">
        <f>IF(A76="","",IF(ISNUMBER(--LEFT(A76,FIND(" - ",A76&amp;" - ")-1)),LEFT(A76,FIND(" - ",A76&amp;" - ")-1),TRIM(A76)))</f>
        <v/>
      </c>
      <c r="M76">
        <f>IF(OR(K76="",K76=A76,A76=""),"",K76&amp;"|"&amp;L76)</f>
        <v/>
      </c>
      <c r="N76">
        <f>IF(M76="","",IF(ISNUMBER(B76),B76,IFERROR(_xlfn.NUMBERVALUE(B76,".",","),0)))</f>
        <v/>
      </c>
      <c r="O76">
        <f>IF(M76="","",IF(ISNUMBER(C76),C76,IFERROR(_xlfn.NUMBERVALUE(C76,".",","),0)))</f>
        <v/>
      </c>
    </row>
    <row r="77">
      <c r="K77">
        <f>IF(OR(LEFT(B77,9)="DOANH THU",LEFT(B77,8)="SỐ LƯỢNG"),A77,IF(A77="","",K76))</f>
        <v/>
      </c>
      <c r="L77">
        <f>IF(A77="","",IF(ISNUMBER(--LEFT(A77,FIND(" - ",A77&amp;" - ")-1)),LEFT(A77,FIND(" - ",A77&amp;" - ")-1),TRIM(A77)))</f>
        <v/>
      </c>
      <c r="M77">
        <f>IF(OR(K77="",K77=A77,A77=""),"",K77&amp;"|"&amp;L77)</f>
        <v/>
      </c>
      <c r="N77">
        <f>IF(M77="","",IF(ISNUMBER(B77),B77,IFERROR(_xlfn.NUMBERVALUE(B77,".",","),0)))</f>
        <v/>
      </c>
      <c r="O77">
        <f>IF(M77="","",IF(ISNUMBER(C77),C77,IFERROR(_xlfn.NUMBERVALUE(C77,".",","),0)))</f>
        <v/>
      </c>
    </row>
    <row r="78">
      <c r="K78">
        <f>IF(OR(LEFT(B78,9)="DOANH THU",LEFT(B78,8)="SỐ LƯỢNG"),A78,IF(A78="","",K77))</f>
        <v/>
      </c>
      <c r="L78">
        <f>IF(A78="","",IF(ISNUMBER(--LEFT(A78,FIND(" - ",A78&amp;" - ")-1)),LEFT(A78,FIND(" - ",A78&amp;" - ")-1),TRIM(A78)))</f>
        <v/>
      </c>
      <c r="M78">
        <f>IF(OR(K78="",K78=A78,A78=""),"",K78&amp;"|"&amp;L78)</f>
        <v/>
      </c>
      <c r="N78">
        <f>IF(M78="","",IF(ISNUMBER(B78),B78,IFERROR(_xlfn.NUMBERVALUE(B78,".",","),0)))</f>
        <v/>
      </c>
      <c r="O78">
        <f>IF(M78="","",IF(ISNUMBER(C78),C78,IFERROR(_xlfn.NUMBERVALUE(C78,".",","),0)))</f>
        <v/>
      </c>
    </row>
    <row r="79">
      <c r="K79">
        <f>IF(OR(LEFT(B79,9)="DOANH THU",LEFT(B79,8)="SỐ LƯỢNG"),A79,IF(A79="","",K78))</f>
        <v/>
      </c>
      <c r="L79">
        <f>IF(A79="","",IF(ISNUMBER(--LEFT(A79,FIND(" - ",A79&amp;" - ")-1)),LEFT(A79,FIND(" - ",A79&amp;" - ")-1),TRIM(A79)))</f>
        <v/>
      </c>
      <c r="M79">
        <f>IF(OR(K79="",K79=A79,A79=""),"",K79&amp;"|"&amp;L79)</f>
        <v/>
      </c>
      <c r="N79">
        <f>IF(M79="","",IF(ISNUMBER(B79),B79,IFERROR(_xlfn.NUMBERVALUE(B79,".",","),0)))</f>
        <v/>
      </c>
      <c r="O79">
        <f>IF(M79="","",IF(ISNUMBER(C79),C79,IFERROR(_xlfn.NUMBERVALUE(C79,".",","),0)))</f>
        <v/>
      </c>
    </row>
    <row r="80">
      <c r="K80">
        <f>IF(OR(LEFT(B80,9)="DOANH THU",LEFT(B80,8)="SỐ LƯỢNG"),A80,IF(A80="","",K79))</f>
        <v/>
      </c>
      <c r="L80">
        <f>IF(A80="","",IF(ISNUMBER(--LEFT(A80,FIND(" - ",A80&amp;" - ")-1)),LEFT(A80,FIND(" - ",A80&amp;" - ")-1),TRIM(A80)))</f>
        <v/>
      </c>
      <c r="M80">
        <f>IF(OR(K80="",K80=A80,A80=""),"",K80&amp;"|"&amp;L80)</f>
        <v/>
      </c>
      <c r="N80">
        <f>IF(M80="","",IF(ISNUMBER(B80),B80,IFERROR(_xlfn.NUMBERVALUE(B80,".",","),0)))</f>
        <v/>
      </c>
      <c r="O80">
        <f>IF(M80="","",IF(ISNUMBER(C80),C80,IFERROR(_xlfn.NUMBERVALUE(C80,".",","),0)))</f>
        <v/>
      </c>
    </row>
    <row r="81">
      <c r="K81">
        <f>IF(OR(LEFT(B81,9)="DOANH THU",LEFT(B81,8)="SỐ LƯỢNG"),A81,IF(A81="","",K80))</f>
        <v/>
      </c>
      <c r="L81">
        <f>IF(A81="","",IF(ISNUMBER(--LEFT(A81,FIND(" - ",A81&amp;" - ")-1)),LEFT(A81,FIND(" - ",A81&amp;" - ")-1),TRIM(A81)))</f>
        <v/>
      </c>
      <c r="M81">
        <f>IF(OR(K81="",K81=A81,A81=""),"",K81&amp;"|"&amp;L81)</f>
        <v/>
      </c>
      <c r="N81">
        <f>IF(M81="","",IF(ISNUMBER(B81),B81,IFERROR(_xlfn.NUMBERVALUE(B81,".",","),0)))</f>
        <v/>
      </c>
      <c r="O81">
        <f>IF(M81="","",IF(ISNUMBER(C81),C81,IFERROR(_xlfn.NUMBERVALUE(C81,".",","),0)))</f>
        <v/>
      </c>
    </row>
    <row r="82">
      <c r="K82">
        <f>IF(OR(LEFT(B82,9)="DOANH THU",LEFT(B82,8)="SỐ LƯỢNG"),A82,IF(A82="","",K81))</f>
        <v/>
      </c>
      <c r="L82">
        <f>IF(A82="","",IF(ISNUMBER(--LEFT(A82,FIND(" - ",A82&amp;" - ")-1)),LEFT(A82,FIND(" - ",A82&amp;" - ")-1),TRIM(A82)))</f>
        <v/>
      </c>
      <c r="M82">
        <f>IF(OR(K82="",K82=A82,A82=""),"",K82&amp;"|"&amp;L82)</f>
        <v/>
      </c>
      <c r="N82">
        <f>IF(M82="","",IF(ISNUMBER(B82),B82,IFERROR(_xlfn.NUMBERVALUE(B82,".",","),0)))</f>
        <v/>
      </c>
      <c r="O82">
        <f>IF(M82="","",IF(ISNUMBER(C82),C82,IFERROR(_xlfn.NUMBERVALUE(C82,".",","),0)))</f>
        <v/>
      </c>
    </row>
    <row r="83">
      <c r="K83">
        <f>IF(OR(LEFT(B83,9)="DOANH THU",LEFT(B83,8)="SỐ LƯỢNG"),A83,IF(A83="","",K82))</f>
        <v/>
      </c>
      <c r="L83">
        <f>IF(A83="","",IF(ISNUMBER(--LEFT(A83,FIND(" - ",A83&amp;" - ")-1)),LEFT(A83,FIND(" - ",A83&amp;" - ")-1),TRIM(A83)))</f>
        <v/>
      </c>
      <c r="M83">
        <f>IF(OR(K83="",K83=A83,A83=""),"",K83&amp;"|"&amp;L83)</f>
        <v/>
      </c>
      <c r="N83">
        <f>IF(M83="","",IF(ISNUMBER(B83),B83,IFERROR(_xlfn.NUMBERVALUE(B83,".",","),0)))</f>
        <v/>
      </c>
      <c r="O83">
        <f>IF(M83="","",IF(ISNUMBER(C83),C83,IFERROR(_xlfn.NUMBERVALUE(C83,".",","),0)))</f>
        <v/>
      </c>
    </row>
    <row r="84">
      <c r="K84">
        <f>IF(OR(LEFT(B84,9)="DOANH THU",LEFT(B84,8)="SỐ LƯỢNG"),A84,IF(A84="","",K83))</f>
        <v/>
      </c>
      <c r="L84">
        <f>IF(A84="","",IF(ISNUMBER(--LEFT(A84,FIND(" - ",A84&amp;" - ")-1)),LEFT(A84,FIND(" - ",A84&amp;" - ")-1),TRIM(A84)))</f>
        <v/>
      </c>
      <c r="M84">
        <f>IF(OR(K84="",K84=A84,A84=""),"",K84&amp;"|"&amp;L84)</f>
        <v/>
      </c>
      <c r="N84">
        <f>IF(M84="","",IF(ISNUMBER(B84),B84,IFERROR(_xlfn.NUMBERVALUE(B84,".",","),0)))</f>
        <v/>
      </c>
      <c r="O84">
        <f>IF(M84="","",IF(ISNUMBER(C84),C84,IFERROR(_xlfn.NUMBERVALUE(C84,".",","),0)))</f>
        <v/>
      </c>
    </row>
    <row r="85">
      <c r="K85">
        <f>IF(OR(LEFT(B85,9)="DOANH THU",LEFT(B85,8)="SỐ LƯỢNG"),A85,IF(A85="","",K84))</f>
        <v/>
      </c>
      <c r="L85">
        <f>IF(A85="","",IF(ISNUMBER(--LEFT(A85,FIND(" - ",A85&amp;" - ")-1)),LEFT(A85,FIND(" - ",A85&amp;" - ")-1),TRIM(A85)))</f>
        <v/>
      </c>
      <c r="M85">
        <f>IF(OR(K85="",K85=A85,A85=""),"",K85&amp;"|"&amp;L85)</f>
        <v/>
      </c>
      <c r="N85">
        <f>IF(M85="","",IF(ISNUMBER(B85),B85,IFERROR(_xlfn.NUMBERVALUE(B85,".",","),0)))</f>
        <v/>
      </c>
      <c r="O85">
        <f>IF(M85="","",IF(ISNUMBER(C85),C85,IFERROR(_xlfn.NUMBERVALUE(C85,".",","),0)))</f>
        <v/>
      </c>
    </row>
    <row r="86">
      <c r="K86">
        <f>IF(OR(LEFT(B86,9)="DOANH THU",LEFT(B86,8)="SỐ LƯỢNG"),A86,IF(A86="","",K85))</f>
        <v/>
      </c>
      <c r="L86">
        <f>IF(A86="","",IF(ISNUMBER(--LEFT(A86,FIND(" - ",A86&amp;" - ")-1)),LEFT(A86,FIND(" - ",A86&amp;" - ")-1),TRIM(A86)))</f>
        <v/>
      </c>
      <c r="M86">
        <f>IF(OR(K86="",K86=A86,A86=""),"",K86&amp;"|"&amp;L86)</f>
        <v/>
      </c>
      <c r="N86">
        <f>IF(M86="","",IF(ISNUMBER(B86),B86,IFERROR(_xlfn.NUMBERVALUE(B86,".",","),0)))</f>
        <v/>
      </c>
      <c r="O86">
        <f>IF(M86="","",IF(ISNUMBER(C86),C86,IFERROR(_xlfn.NUMBERVALUE(C86,".",","),0)))</f>
        <v/>
      </c>
    </row>
    <row r="87">
      <c r="K87">
        <f>IF(OR(LEFT(B87,9)="DOANH THU",LEFT(B87,8)="SỐ LƯỢNG"),A87,IF(A87="","",K86))</f>
        <v/>
      </c>
      <c r="L87">
        <f>IF(A87="","",IF(ISNUMBER(--LEFT(A87,FIND(" - ",A87&amp;" - ")-1)),LEFT(A87,FIND(" - ",A87&amp;" - ")-1),TRIM(A87)))</f>
        <v/>
      </c>
      <c r="M87">
        <f>IF(OR(K87="",K87=A87,A87=""),"",K87&amp;"|"&amp;L87)</f>
        <v/>
      </c>
      <c r="N87">
        <f>IF(M87="","",IF(ISNUMBER(B87),B87,IFERROR(_xlfn.NUMBERVALUE(B87,".",","),0)))</f>
        <v/>
      </c>
      <c r="O87">
        <f>IF(M87="","",IF(ISNUMBER(C87),C87,IFERROR(_xlfn.NUMBERVALUE(C87,".",","),0)))</f>
        <v/>
      </c>
    </row>
    <row r="88">
      <c r="K88">
        <f>IF(OR(LEFT(B88,9)="DOANH THU",LEFT(B88,8)="SỐ LƯỢNG"),A88,IF(A88="","",K87))</f>
        <v/>
      </c>
      <c r="L88">
        <f>IF(A88="","",IF(ISNUMBER(--LEFT(A88,FIND(" - ",A88&amp;" - ")-1)),LEFT(A88,FIND(" - ",A88&amp;" - ")-1),TRIM(A88)))</f>
        <v/>
      </c>
      <c r="M88">
        <f>IF(OR(K88="",K88=A88,A88=""),"",K88&amp;"|"&amp;L88)</f>
        <v/>
      </c>
      <c r="N88">
        <f>IF(M88="","",IF(ISNUMBER(B88),B88,IFERROR(_xlfn.NUMBERVALUE(B88,".",","),0)))</f>
        <v/>
      </c>
      <c r="O88">
        <f>IF(M88="","",IF(ISNUMBER(C88),C88,IFERROR(_xlfn.NUMBERVALUE(C88,".",","),0)))</f>
        <v/>
      </c>
    </row>
    <row r="89">
      <c r="K89">
        <f>IF(OR(LEFT(B89,9)="DOANH THU",LEFT(B89,8)="SỐ LƯỢNG"),A89,IF(A89="","",K88))</f>
        <v/>
      </c>
      <c r="L89">
        <f>IF(A89="","",IF(ISNUMBER(--LEFT(A89,FIND(" - ",A89&amp;" - ")-1)),LEFT(A89,FIND(" - ",A89&amp;" - ")-1),TRIM(A89)))</f>
        <v/>
      </c>
      <c r="M89">
        <f>IF(OR(K89="",K89=A89,A89=""),"",K89&amp;"|"&amp;L89)</f>
        <v/>
      </c>
      <c r="N89">
        <f>IF(M89="","",IF(ISNUMBER(B89),B89,IFERROR(_xlfn.NUMBERVALUE(B89,".",","),0)))</f>
        <v/>
      </c>
      <c r="O89">
        <f>IF(M89="","",IF(ISNUMBER(C89),C89,IFERROR(_xlfn.NUMBERVALUE(C89,".",","),0)))</f>
        <v/>
      </c>
    </row>
    <row r="90">
      <c r="K90">
        <f>IF(OR(LEFT(B90,9)="DOANH THU",LEFT(B90,8)="SỐ LƯỢNG"),A90,IF(A90="","",K89))</f>
        <v/>
      </c>
      <c r="L90">
        <f>IF(A90="","",IF(ISNUMBER(--LEFT(A90,FIND(" - ",A90&amp;" - ")-1)),LEFT(A90,FIND(" - ",A90&amp;" - ")-1),TRIM(A90)))</f>
        <v/>
      </c>
      <c r="M90">
        <f>IF(OR(K90="",K90=A90,A90=""),"",K90&amp;"|"&amp;L90)</f>
        <v/>
      </c>
      <c r="N90">
        <f>IF(M90="","",IF(ISNUMBER(B90),B90,IFERROR(_xlfn.NUMBERVALUE(B90,".",","),0)))</f>
        <v/>
      </c>
      <c r="O90">
        <f>IF(M90="","",IF(ISNUMBER(C90),C90,IFERROR(_xlfn.NUMBERVALUE(C90,".",","),0)))</f>
        <v/>
      </c>
    </row>
    <row r="91">
      <c r="K91">
        <f>IF(OR(LEFT(B91,9)="DOANH THU",LEFT(B91,8)="SỐ LƯỢNG"),A91,IF(A91="","",K90))</f>
        <v/>
      </c>
      <c r="L91">
        <f>IF(A91="","",IF(ISNUMBER(--LEFT(A91,FIND(" - ",A91&amp;" - ")-1)),LEFT(A91,FIND(" - ",A91&amp;" - ")-1),TRIM(A91)))</f>
        <v/>
      </c>
      <c r="M91">
        <f>IF(OR(K91="",K91=A91,A91=""),"",K91&amp;"|"&amp;L91)</f>
        <v/>
      </c>
      <c r="N91">
        <f>IF(M91="","",IF(ISNUMBER(B91),B91,IFERROR(_xlfn.NUMBERVALUE(B91,".",","),0)))</f>
        <v/>
      </c>
      <c r="O91">
        <f>IF(M91="","",IF(ISNUMBER(C91),C91,IFERROR(_xlfn.NUMBERVALUE(C91,".",","),0)))</f>
        <v/>
      </c>
    </row>
    <row r="92">
      <c r="K92">
        <f>IF(OR(LEFT(B92,9)="DOANH THU",LEFT(B92,8)="SỐ LƯỢNG"),A92,IF(A92="","",K91))</f>
        <v/>
      </c>
      <c r="L92">
        <f>IF(A92="","",IF(ISNUMBER(--LEFT(A92,FIND(" - ",A92&amp;" - ")-1)),LEFT(A92,FIND(" - ",A92&amp;" - ")-1),TRIM(A92)))</f>
        <v/>
      </c>
      <c r="M92">
        <f>IF(OR(K92="",K92=A92,A92=""),"",K92&amp;"|"&amp;L92)</f>
        <v/>
      </c>
      <c r="N92">
        <f>IF(M92="","",IF(ISNUMBER(B92),B92,IFERROR(_xlfn.NUMBERVALUE(B92,".",","),0)))</f>
        <v/>
      </c>
      <c r="O92">
        <f>IF(M92="","",IF(ISNUMBER(C92),C92,IFERROR(_xlfn.NUMBERVALUE(C92,".",","),0)))</f>
        <v/>
      </c>
    </row>
    <row r="93">
      <c r="K93">
        <f>IF(OR(LEFT(B93,9)="DOANH THU",LEFT(B93,8)="SỐ LƯỢNG"),A93,IF(A93="","",K92))</f>
        <v/>
      </c>
      <c r="L93">
        <f>IF(A93="","",IF(ISNUMBER(--LEFT(A93,FIND(" - ",A93&amp;" - ")-1)),LEFT(A93,FIND(" - ",A93&amp;" - ")-1),TRIM(A93)))</f>
        <v/>
      </c>
      <c r="M93">
        <f>IF(OR(K93="",K93=A93,A93=""),"",K93&amp;"|"&amp;L93)</f>
        <v/>
      </c>
      <c r="N93">
        <f>IF(M93="","",IF(ISNUMBER(B93),B93,IFERROR(_xlfn.NUMBERVALUE(B93,".",","),0)))</f>
        <v/>
      </c>
      <c r="O93">
        <f>IF(M93="","",IF(ISNUMBER(C93),C93,IFERROR(_xlfn.NUMBERVALUE(C93,".",","),0)))</f>
        <v/>
      </c>
    </row>
    <row r="94">
      <c r="K94">
        <f>IF(OR(LEFT(B94,9)="DOANH THU",LEFT(B94,8)="SỐ LƯỢNG"),A94,IF(A94="","",K93))</f>
        <v/>
      </c>
      <c r="L94">
        <f>IF(A94="","",IF(ISNUMBER(--LEFT(A94,FIND(" - ",A94&amp;" - ")-1)),LEFT(A94,FIND(" - ",A94&amp;" - ")-1),TRIM(A94)))</f>
        <v/>
      </c>
      <c r="M94">
        <f>IF(OR(K94="",K94=A94,A94=""),"",K94&amp;"|"&amp;L94)</f>
        <v/>
      </c>
      <c r="N94">
        <f>IF(M94="","",IF(ISNUMBER(B94),B94,IFERROR(_xlfn.NUMBERVALUE(B94,".",","),0)))</f>
        <v/>
      </c>
      <c r="O94">
        <f>IF(M94="","",IF(ISNUMBER(C94),C94,IFERROR(_xlfn.NUMBERVALUE(C94,".",","),0)))</f>
        <v/>
      </c>
    </row>
    <row r="95">
      <c r="K95">
        <f>IF(OR(LEFT(B95,9)="DOANH THU",LEFT(B95,8)="SỐ LƯỢNG"),A95,IF(A95="","",K94))</f>
        <v/>
      </c>
      <c r="L95">
        <f>IF(A95="","",IF(ISNUMBER(--LEFT(A95,FIND(" - ",A95&amp;" - ")-1)),LEFT(A95,FIND(" - ",A95&amp;" - ")-1),TRIM(A95)))</f>
        <v/>
      </c>
      <c r="M95">
        <f>IF(OR(K95="",K95=A95,A95=""),"",K95&amp;"|"&amp;L95)</f>
        <v/>
      </c>
      <c r="N95">
        <f>IF(M95="","",IF(ISNUMBER(B95),B95,IFERROR(_xlfn.NUMBERVALUE(B95,".",","),0)))</f>
        <v/>
      </c>
      <c r="O95">
        <f>IF(M95="","",IF(ISNUMBER(C95),C95,IFERROR(_xlfn.NUMBERVALUE(C95,".",","),0)))</f>
        <v/>
      </c>
    </row>
    <row r="96">
      <c r="K96">
        <f>IF(OR(LEFT(B96,9)="DOANH THU",LEFT(B96,8)="SỐ LƯỢNG"),A96,IF(A96="","",K95))</f>
        <v/>
      </c>
      <c r="L96">
        <f>IF(A96="","",IF(ISNUMBER(--LEFT(A96,FIND(" - ",A96&amp;" - ")-1)),LEFT(A96,FIND(" - ",A96&amp;" - ")-1),TRIM(A96)))</f>
        <v/>
      </c>
      <c r="M96">
        <f>IF(OR(K96="",K96=A96,A96=""),"",K96&amp;"|"&amp;L96)</f>
        <v/>
      </c>
      <c r="N96">
        <f>IF(M96="","",IF(ISNUMBER(B96),B96,IFERROR(_xlfn.NUMBERVALUE(B96,".",","),0)))</f>
        <v/>
      </c>
      <c r="O96">
        <f>IF(M96="","",IF(ISNUMBER(C96),C96,IFERROR(_xlfn.NUMBERVALUE(C96,".",","),0)))</f>
        <v/>
      </c>
    </row>
    <row r="97">
      <c r="K97">
        <f>IF(OR(LEFT(B97,9)="DOANH THU",LEFT(B97,8)="SỐ LƯỢNG"),A97,IF(A97="","",K96))</f>
        <v/>
      </c>
      <c r="L97">
        <f>IF(A97="","",IF(ISNUMBER(--LEFT(A97,FIND(" - ",A97&amp;" - ")-1)),LEFT(A97,FIND(" - ",A97&amp;" - ")-1),TRIM(A97)))</f>
        <v/>
      </c>
      <c r="M97">
        <f>IF(OR(K97="",K97=A97,A97=""),"",K97&amp;"|"&amp;L97)</f>
        <v/>
      </c>
      <c r="N97">
        <f>IF(M97="","",IF(ISNUMBER(B97),B97,IFERROR(_xlfn.NUMBERVALUE(B97,".",","),0)))</f>
        <v/>
      </c>
      <c r="O97">
        <f>IF(M97="","",IF(ISNUMBER(C97),C97,IFERROR(_xlfn.NUMBERVALUE(C97,".",","),0)))</f>
        <v/>
      </c>
    </row>
    <row r="98">
      <c r="K98">
        <f>IF(OR(LEFT(B98,9)="DOANH THU",LEFT(B98,8)="SỐ LƯỢNG"),A98,IF(A98="","",K97))</f>
        <v/>
      </c>
      <c r="L98">
        <f>IF(A98="","",IF(ISNUMBER(--LEFT(A98,FIND(" - ",A98&amp;" - ")-1)),LEFT(A98,FIND(" - ",A98&amp;" - ")-1),TRIM(A98)))</f>
        <v/>
      </c>
      <c r="M98">
        <f>IF(OR(K98="",K98=A98,A98=""),"",K98&amp;"|"&amp;L98)</f>
        <v/>
      </c>
      <c r="N98">
        <f>IF(M98="","",IF(ISNUMBER(B98),B98,IFERROR(_xlfn.NUMBERVALUE(B98,".",","),0)))</f>
        <v/>
      </c>
      <c r="O98">
        <f>IF(M98="","",IF(ISNUMBER(C98),C98,IFERROR(_xlfn.NUMBERVALUE(C98,".",","),0)))</f>
        <v/>
      </c>
    </row>
    <row r="99">
      <c r="K99">
        <f>IF(OR(LEFT(B99,9)="DOANH THU",LEFT(B99,8)="SỐ LƯỢNG"),A99,IF(A99="","",K98))</f>
        <v/>
      </c>
      <c r="L99">
        <f>IF(A99="","",IF(ISNUMBER(--LEFT(A99,FIND(" - ",A99&amp;" - ")-1)),LEFT(A99,FIND(" - ",A99&amp;" - ")-1),TRIM(A99)))</f>
        <v/>
      </c>
      <c r="M99">
        <f>IF(OR(K99="",K99=A99,A99=""),"",K99&amp;"|"&amp;L99)</f>
        <v/>
      </c>
      <c r="N99">
        <f>IF(M99="","",IF(ISNUMBER(B99),B99,IFERROR(_xlfn.NUMBERVALUE(B99,".",","),0)))</f>
        <v/>
      </c>
      <c r="O99">
        <f>IF(M99="","",IF(ISNUMBER(C99),C99,IFERROR(_xlfn.NUMBERVALUE(C99,".",","),0)))</f>
        <v/>
      </c>
    </row>
    <row r="100">
      <c r="K100">
        <f>IF(OR(LEFT(B100,9)="DOANH THU",LEFT(B100,8)="SỐ LƯỢNG"),A100,IF(A100="","",K99))</f>
        <v/>
      </c>
      <c r="L100">
        <f>IF(A100="","",IF(ISNUMBER(--LEFT(A100,FIND(" - ",A100&amp;" - ")-1)),LEFT(A100,FIND(" - ",A100&amp;" - ")-1),TRIM(A100)))</f>
        <v/>
      </c>
      <c r="M100">
        <f>IF(OR(K100="",K100=A100,A100=""),"",K100&amp;"|"&amp;L100)</f>
        <v/>
      </c>
      <c r="N100">
        <f>IF(M100="","",IF(ISNUMBER(B100),B100,IFERROR(_xlfn.NUMBERVALUE(B100,".",","),0)))</f>
        <v/>
      </c>
      <c r="O100">
        <f>IF(M100="","",IF(ISNUMBER(C100),C100,IFERROR(_xlfn.NUMBERVALUE(C100,".",","),0)))</f>
        <v/>
      </c>
    </row>
    <row r="101">
      <c r="K101">
        <f>IF(OR(LEFT(B101,9)="DOANH THU",LEFT(B101,8)="SỐ LƯỢNG"),A101,IF(A101="","",K100))</f>
        <v/>
      </c>
      <c r="L101">
        <f>IF(A101="","",IF(ISNUMBER(--LEFT(A101,FIND(" - ",A101&amp;" - ")-1)),LEFT(A101,FIND(" - ",A101&amp;" - ")-1),TRIM(A101)))</f>
        <v/>
      </c>
      <c r="M101">
        <f>IF(OR(K101="",K101=A101,A101=""),"",K101&amp;"|"&amp;L101)</f>
        <v/>
      </c>
      <c r="N101">
        <f>IF(M101="","",IF(ISNUMBER(B101),B101,IFERROR(_xlfn.NUMBERVALUE(B101,".",","),0)))</f>
        <v/>
      </c>
      <c r="O101">
        <f>IF(M101="","",IF(ISNUMBER(C101),C101,IFERROR(_xlfn.NUMBERVALUE(C101,".",","),0)))</f>
        <v/>
      </c>
    </row>
    <row r="102">
      <c r="K102">
        <f>IF(OR(LEFT(B102,9)="DOANH THU",LEFT(B102,8)="SỐ LƯỢNG"),A102,IF(A102="","",K101))</f>
        <v/>
      </c>
      <c r="L102">
        <f>IF(A102="","",IF(ISNUMBER(--LEFT(A102,FIND(" - ",A102&amp;" - ")-1)),LEFT(A102,FIND(" - ",A102&amp;" - ")-1),TRIM(A102)))</f>
        <v/>
      </c>
      <c r="M102">
        <f>IF(OR(K102="",K102=A102,A102=""),"",K102&amp;"|"&amp;L102)</f>
        <v/>
      </c>
      <c r="N102">
        <f>IF(M102="","",IF(ISNUMBER(B102),B102,IFERROR(_xlfn.NUMBERVALUE(B102,".",","),0)))</f>
        <v/>
      </c>
      <c r="O102">
        <f>IF(M102="","",IF(ISNUMBER(C102),C102,IFERROR(_xlfn.NUMBERVALUE(C102,".",","),0)))</f>
        <v/>
      </c>
    </row>
    <row r="103">
      <c r="K103">
        <f>IF(OR(LEFT(B103,9)="DOANH THU",LEFT(B103,8)="SỐ LƯỢNG"),A103,IF(A103="","",K102))</f>
        <v/>
      </c>
      <c r="L103">
        <f>IF(A103="","",IF(ISNUMBER(--LEFT(A103,FIND(" - ",A103&amp;" - ")-1)),LEFT(A103,FIND(" - ",A103&amp;" - ")-1),TRIM(A103)))</f>
        <v/>
      </c>
      <c r="M103">
        <f>IF(OR(K103="",K103=A103,A103=""),"",K103&amp;"|"&amp;L103)</f>
        <v/>
      </c>
      <c r="N103">
        <f>IF(M103="","",IF(ISNUMBER(B103),B103,IFERROR(_xlfn.NUMBERVALUE(B103,".",","),0)))</f>
        <v/>
      </c>
      <c r="O103">
        <f>IF(M103="","",IF(ISNUMBER(C103),C103,IFERROR(_xlfn.NUMBERVALUE(C103,".",","),0)))</f>
        <v/>
      </c>
    </row>
    <row r="104">
      <c r="K104">
        <f>IF(OR(LEFT(B104,9)="DOANH THU",LEFT(B104,8)="SỐ LƯỢNG"),A104,IF(A104="","",K103))</f>
        <v/>
      </c>
      <c r="L104">
        <f>IF(A104="","",IF(ISNUMBER(--LEFT(A104,FIND(" - ",A104&amp;" - ")-1)),LEFT(A104,FIND(" - ",A104&amp;" - ")-1),TRIM(A104)))</f>
        <v/>
      </c>
      <c r="M104">
        <f>IF(OR(K104="",K104=A104,A104=""),"",K104&amp;"|"&amp;L104)</f>
        <v/>
      </c>
      <c r="N104">
        <f>IF(M104="","",IF(ISNUMBER(B104),B104,IFERROR(_xlfn.NUMBERVALUE(B104,".",","),0)))</f>
        <v/>
      </c>
      <c r="O104">
        <f>IF(M104="","",IF(ISNUMBER(C104),C104,IFERROR(_xlfn.NUMBERVALUE(C104,".",","),0)))</f>
        <v/>
      </c>
    </row>
    <row r="105">
      <c r="K105">
        <f>IF(OR(LEFT(B105,9)="DOANH THU",LEFT(B105,8)="SỐ LƯỢNG"),A105,IF(A105="","",K104))</f>
        <v/>
      </c>
      <c r="L105">
        <f>IF(A105="","",IF(ISNUMBER(--LEFT(A105,FIND(" - ",A105&amp;" - ")-1)),LEFT(A105,FIND(" - ",A105&amp;" - ")-1),TRIM(A105)))</f>
        <v/>
      </c>
      <c r="M105">
        <f>IF(OR(K105="",K105=A105,A105=""),"",K105&amp;"|"&amp;L105)</f>
        <v/>
      </c>
      <c r="N105">
        <f>IF(M105="","",IF(ISNUMBER(B105),B105,IFERROR(_xlfn.NUMBERVALUE(B105,".",","),0)))</f>
        <v/>
      </c>
      <c r="O105">
        <f>IF(M105="","",IF(ISNUMBER(C105),C105,IFERROR(_xlfn.NUMBERVALUE(C105,".",","),0)))</f>
        <v/>
      </c>
    </row>
    <row r="106">
      <c r="K106">
        <f>IF(OR(LEFT(B106,9)="DOANH THU",LEFT(B106,8)="SỐ LƯỢNG"),A106,IF(A106="","",K105))</f>
        <v/>
      </c>
      <c r="L106">
        <f>IF(A106="","",IF(ISNUMBER(--LEFT(A106,FIND(" - ",A106&amp;" - ")-1)),LEFT(A106,FIND(" - ",A106&amp;" - ")-1),TRIM(A106)))</f>
        <v/>
      </c>
      <c r="M106">
        <f>IF(OR(K106="",K106=A106,A106=""),"",K106&amp;"|"&amp;L106)</f>
        <v/>
      </c>
      <c r="N106">
        <f>IF(M106="","",IF(ISNUMBER(B106),B106,IFERROR(_xlfn.NUMBERVALUE(B106,".",","),0)))</f>
        <v/>
      </c>
      <c r="O106">
        <f>IF(M106="","",IF(ISNUMBER(C106),C106,IFERROR(_xlfn.NUMBERVALUE(C106,".",","),0)))</f>
        <v/>
      </c>
    </row>
    <row r="107">
      <c r="K107">
        <f>IF(OR(LEFT(B107,9)="DOANH THU",LEFT(B107,8)="SỐ LƯỢNG"),A107,IF(A107="","",K106))</f>
        <v/>
      </c>
      <c r="L107">
        <f>IF(A107="","",IF(ISNUMBER(--LEFT(A107,FIND(" - ",A107&amp;" - ")-1)),LEFT(A107,FIND(" - ",A107&amp;" - ")-1),TRIM(A107)))</f>
        <v/>
      </c>
      <c r="M107">
        <f>IF(OR(K107="",K107=A107,A107=""),"",K107&amp;"|"&amp;L107)</f>
        <v/>
      </c>
      <c r="N107">
        <f>IF(M107="","",IF(ISNUMBER(B107),B107,IFERROR(_xlfn.NUMBERVALUE(B107,".",","),0)))</f>
        <v/>
      </c>
      <c r="O107">
        <f>IF(M107="","",IF(ISNUMBER(C107),C107,IFERROR(_xlfn.NUMBERVALUE(C107,".",","),0)))</f>
        <v/>
      </c>
    </row>
    <row r="108">
      <c r="K108">
        <f>IF(OR(LEFT(B108,9)="DOANH THU",LEFT(B108,8)="SỐ LƯỢNG"),A108,IF(A108="","",K107))</f>
        <v/>
      </c>
      <c r="L108">
        <f>IF(A108="","",IF(ISNUMBER(--LEFT(A108,FIND(" - ",A108&amp;" - ")-1)),LEFT(A108,FIND(" - ",A108&amp;" - ")-1),TRIM(A108)))</f>
        <v/>
      </c>
      <c r="M108">
        <f>IF(OR(K108="",K108=A108,A108=""),"",K108&amp;"|"&amp;L108)</f>
        <v/>
      </c>
      <c r="N108">
        <f>IF(M108="","",IF(ISNUMBER(B108),B108,IFERROR(_xlfn.NUMBERVALUE(B108,".",","),0)))</f>
        <v/>
      </c>
      <c r="O108">
        <f>IF(M108="","",IF(ISNUMBER(C108),C108,IFERROR(_xlfn.NUMBERVALUE(C108,".",","),0)))</f>
        <v/>
      </c>
    </row>
    <row r="109">
      <c r="K109">
        <f>IF(OR(LEFT(B109,9)="DOANH THU",LEFT(B109,8)="SỐ LƯỢNG"),A109,IF(A109="","",K108))</f>
        <v/>
      </c>
      <c r="L109">
        <f>IF(A109="","",IF(ISNUMBER(--LEFT(A109,FIND(" - ",A109&amp;" - ")-1)),LEFT(A109,FIND(" - ",A109&amp;" - ")-1),TRIM(A109)))</f>
        <v/>
      </c>
      <c r="M109">
        <f>IF(OR(K109="",K109=A109,A109=""),"",K109&amp;"|"&amp;L109)</f>
        <v/>
      </c>
      <c r="N109">
        <f>IF(M109="","",IF(ISNUMBER(B109),B109,IFERROR(_xlfn.NUMBERVALUE(B109,".",","),0)))</f>
        <v/>
      </c>
      <c r="O109">
        <f>IF(M109="","",IF(ISNUMBER(C109),C109,IFERROR(_xlfn.NUMBERVALUE(C109,".",","),0)))</f>
        <v/>
      </c>
    </row>
    <row r="110">
      <c r="K110">
        <f>IF(OR(LEFT(B110,9)="DOANH THU",LEFT(B110,8)="SỐ LƯỢNG"),A110,IF(A110="","",K109))</f>
        <v/>
      </c>
      <c r="L110">
        <f>IF(A110="","",IF(ISNUMBER(--LEFT(A110,FIND(" - ",A110&amp;" - ")-1)),LEFT(A110,FIND(" - ",A110&amp;" - ")-1),TRIM(A110)))</f>
        <v/>
      </c>
      <c r="M110">
        <f>IF(OR(K110="",K110=A110,A110=""),"",K110&amp;"|"&amp;L110)</f>
        <v/>
      </c>
      <c r="N110">
        <f>IF(M110="","",IF(ISNUMBER(B110),B110,IFERROR(_xlfn.NUMBERVALUE(B110,".",","),0)))</f>
        <v/>
      </c>
      <c r="O110">
        <f>IF(M110="","",IF(ISNUMBER(C110),C110,IFERROR(_xlfn.NUMBERVALUE(C110,".",","),0)))</f>
        <v/>
      </c>
    </row>
    <row r="111">
      <c r="K111">
        <f>IF(OR(LEFT(B111,9)="DOANH THU",LEFT(B111,8)="SỐ LƯỢNG"),A111,IF(A111="","",K110))</f>
        <v/>
      </c>
      <c r="L111">
        <f>IF(A111="","",IF(ISNUMBER(--LEFT(A111,FIND(" - ",A111&amp;" - ")-1)),LEFT(A111,FIND(" - ",A111&amp;" - ")-1),TRIM(A111)))</f>
        <v/>
      </c>
      <c r="M111">
        <f>IF(OR(K111="",K111=A111,A111=""),"",K111&amp;"|"&amp;L111)</f>
        <v/>
      </c>
      <c r="N111">
        <f>IF(M111="","",IF(ISNUMBER(B111),B111,IFERROR(_xlfn.NUMBERVALUE(B111,".",","),0)))</f>
        <v/>
      </c>
      <c r="O111">
        <f>IF(M111="","",IF(ISNUMBER(C111),C111,IFERROR(_xlfn.NUMBERVALUE(C111,".",","),0)))</f>
        <v/>
      </c>
    </row>
    <row r="112">
      <c r="K112">
        <f>IF(OR(LEFT(B112,9)="DOANH THU",LEFT(B112,8)="SỐ LƯỢNG"),A112,IF(A112="","",K111))</f>
        <v/>
      </c>
      <c r="L112">
        <f>IF(A112="","",IF(ISNUMBER(--LEFT(A112,FIND(" - ",A112&amp;" - ")-1)),LEFT(A112,FIND(" - ",A112&amp;" - ")-1),TRIM(A112)))</f>
        <v/>
      </c>
      <c r="M112">
        <f>IF(OR(K112="",K112=A112,A112=""),"",K112&amp;"|"&amp;L112)</f>
        <v/>
      </c>
      <c r="N112">
        <f>IF(M112="","",IF(ISNUMBER(B112),B112,IFERROR(_xlfn.NUMBERVALUE(B112,".",","),0)))</f>
        <v/>
      </c>
      <c r="O112">
        <f>IF(M112="","",IF(ISNUMBER(C112),C112,IFERROR(_xlfn.NUMBERVALUE(C112,".",","),0)))</f>
        <v/>
      </c>
    </row>
    <row r="113">
      <c r="K113">
        <f>IF(OR(LEFT(B113,9)="DOANH THU",LEFT(B113,8)="SỐ LƯỢNG"),A113,IF(A113="","",K112))</f>
        <v/>
      </c>
      <c r="L113">
        <f>IF(A113="","",IF(ISNUMBER(--LEFT(A113,FIND(" - ",A113&amp;" - ")-1)),LEFT(A113,FIND(" - ",A113&amp;" - ")-1),TRIM(A113)))</f>
        <v/>
      </c>
      <c r="M113">
        <f>IF(OR(K113="",K113=A113,A113=""),"",K113&amp;"|"&amp;L113)</f>
        <v/>
      </c>
      <c r="N113">
        <f>IF(M113="","",IF(ISNUMBER(B113),B113,IFERROR(_xlfn.NUMBERVALUE(B113,".",","),0)))</f>
        <v/>
      </c>
      <c r="O113">
        <f>IF(M113="","",IF(ISNUMBER(C113),C113,IFERROR(_xlfn.NUMBERVALUE(C113,".",","),0)))</f>
        <v/>
      </c>
    </row>
    <row r="114">
      <c r="K114">
        <f>IF(OR(LEFT(B114,9)="DOANH THU",LEFT(B114,8)="SỐ LƯỢNG"),A114,IF(A114="","",K113))</f>
        <v/>
      </c>
      <c r="L114">
        <f>IF(A114="","",IF(ISNUMBER(--LEFT(A114,FIND(" - ",A114&amp;" - ")-1)),LEFT(A114,FIND(" - ",A114&amp;" - ")-1),TRIM(A114)))</f>
        <v/>
      </c>
      <c r="M114">
        <f>IF(OR(K114="",K114=A114,A114=""),"",K114&amp;"|"&amp;L114)</f>
        <v/>
      </c>
      <c r="N114">
        <f>IF(M114="","",IF(ISNUMBER(B114),B114,IFERROR(_xlfn.NUMBERVALUE(B114,".",","),0)))</f>
        <v/>
      </c>
      <c r="O114">
        <f>IF(M114="","",IF(ISNUMBER(C114),C114,IFERROR(_xlfn.NUMBERVALUE(C114,".",","),0)))</f>
        <v/>
      </c>
    </row>
    <row r="115">
      <c r="K115">
        <f>IF(OR(LEFT(B115,9)="DOANH THU",LEFT(B115,8)="SỐ LƯỢNG"),A115,IF(A115="","",K114))</f>
        <v/>
      </c>
      <c r="L115">
        <f>IF(A115="","",IF(ISNUMBER(--LEFT(A115,FIND(" - ",A115&amp;" - ")-1)),LEFT(A115,FIND(" - ",A115&amp;" - ")-1),TRIM(A115)))</f>
        <v/>
      </c>
      <c r="M115">
        <f>IF(OR(K115="",K115=A115,A115=""),"",K115&amp;"|"&amp;L115)</f>
        <v/>
      </c>
      <c r="N115">
        <f>IF(M115="","",IF(ISNUMBER(B115),B115,IFERROR(_xlfn.NUMBERVALUE(B115,".",","),0)))</f>
        <v/>
      </c>
      <c r="O115">
        <f>IF(M115="","",IF(ISNUMBER(C115),C115,IFERROR(_xlfn.NUMBERVALUE(C115,".",","),0)))</f>
        <v/>
      </c>
    </row>
    <row r="116">
      <c r="K116">
        <f>IF(OR(LEFT(B116,9)="DOANH THU",LEFT(B116,8)="SỐ LƯỢNG"),A116,IF(A116="","",K115))</f>
        <v/>
      </c>
      <c r="L116">
        <f>IF(A116="","",IF(ISNUMBER(--LEFT(A116,FIND(" - ",A116&amp;" - ")-1)),LEFT(A116,FIND(" - ",A116&amp;" - ")-1),TRIM(A116)))</f>
        <v/>
      </c>
      <c r="M116">
        <f>IF(OR(K116="",K116=A116,A116=""),"",K116&amp;"|"&amp;L116)</f>
        <v/>
      </c>
      <c r="N116">
        <f>IF(M116="","",IF(ISNUMBER(B116),B116,IFERROR(_xlfn.NUMBERVALUE(B116,".",","),0)))</f>
        <v/>
      </c>
      <c r="O116">
        <f>IF(M116="","",IF(ISNUMBER(C116),C116,IFERROR(_xlfn.NUMBERVALUE(C116,".",","),0)))</f>
        <v/>
      </c>
    </row>
    <row r="117">
      <c r="K117">
        <f>IF(OR(LEFT(B117,9)="DOANH THU",LEFT(B117,8)="SỐ LƯỢNG"),A117,IF(A117="","",K116))</f>
        <v/>
      </c>
      <c r="L117">
        <f>IF(A117="","",IF(ISNUMBER(--LEFT(A117,FIND(" - ",A117&amp;" - ")-1)),LEFT(A117,FIND(" - ",A117&amp;" - ")-1),TRIM(A117)))</f>
        <v/>
      </c>
      <c r="M117">
        <f>IF(OR(K117="",K117=A117,A117=""),"",K117&amp;"|"&amp;L117)</f>
        <v/>
      </c>
      <c r="N117">
        <f>IF(M117="","",IF(ISNUMBER(B117),B117,IFERROR(_xlfn.NUMBERVALUE(B117,".",","),0)))</f>
        <v/>
      </c>
      <c r="O117">
        <f>IF(M117="","",IF(ISNUMBER(C117),C117,IFERROR(_xlfn.NUMBERVALUE(C117,".",","),0)))</f>
        <v/>
      </c>
    </row>
    <row r="118">
      <c r="K118">
        <f>IF(OR(LEFT(B118,9)="DOANH THU",LEFT(B118,8)="SỐ LƯỢNG"),A118,IF(A118="","",K117))</f>
        <v/>
      </c>
      <c r="L118">
        <f>IF(A118="","",IF(ISNUMBER(--LEFT(A118,FIND(" - ",A118&amp;" - ")-1)),LEFT(A118,FIND(" - ",A118&amp;" - ")-1),TRIM(A118)))</f>
        <v/>
      </c>
      <c r="M118">
        <f>IF(OR(K118="",K118=A118,A118=""),"",K118&amp;"|"&amp;L118)</f>
        <v/>
      </c>
      <c r="N118">
        <f>IF(M118="","",IF(ISNUMBER(B118),B118,IFERROR(_xlfn.NUMBERVALUE(B118,".",","),0)))</f>
        <v/>
      </c>
      <c r="O118">
        <f>IF(M118="","",IF(ISNUMBER(C118),C118,IFERROR(_xlfn.NUMBERVALUE(C118,".",","),0)))</f>
        <v/>
      </c>
    </row>
    <row r="119">
      <c r="K119">
        <f>IF(OR(LEFT(B119,9)="DOANH THU",LEFT(B119,8)="SỐ LƯỢNG"),A119,IF(A119="","",K118))</f>
        <v/>
      </c>
      <c r="L119">
        <f>IF(A119="","",IF(ISNUMBER(--LEFT(A119,FIND(" - ",A119&amp;" - ")-1)),LEFT(A119,FIND(" - ",A119&amp;" - ")-1),TRIM(A119)))</f>
        <v/>
      </c>
      <c r="M119">
        <f>IF(OR(K119="",K119=A119,A119=""),"",K119&amp;"|"&amp;L119)</f>
        <v/>
      </c>
      <c r="N119">
        <f>IF(M119="","",IF(ISNUMBER(B119),B119,IFERROR(_xlfn.NUMBERVALUE(B119,".",","),0)))</f>
        <v/>
      </c>
      <c r="O119">
        <f>IF(M119="","",IF(ISNUMBER(C119),C119,IFERROR(_xlfn.NUMBERVALUE(C119,".",","),0)))</f>
        <v/>
      </c>
    </row>
    <row r="120">
      <c r="K120">
        <f>IF(OR(LEFT(B120,9)="DOANH THU",LEFT(B120,8)="SỐ LƯỢNG"),A120,IF(A120="","",K119))</f>
        <v/>
      </c>
      <c r="L120">
        <f>IF(A120="","",IF(ISNUMBER(--LEFT(A120,FIND(" - ",A120&amp;" - ")-1)),LEFT(A120,FIND(" - ",A120&amp;" - ")-1),TRIM(A120)))</f>
        <v/>
      </c>
      <c r="M120">
        <f>IF(OR(K120="",K120=A120,A120=""),"",K120&amp;"|"&amp;L120)</f>
        <v/>
      </c>
      <c r="N120">
        <f>IF(M120="","",IF(ISNUMBER(B120),B120,IFERROR(_xlfn.NUMBERVALUE(B120,".",","),0)))</f>
        <v/>
      </c>
      <c r="O120">
        <f>IF(M120="","",IF(ISNUMBER(C120),C120,IFERROR(_xlfn.NUMBERVALUE(C120,".",","),0)))</f>
        <v/>
      </c>
    </row>
    <row r="121">
      <c r="K121">
        <f>IF(OR(LEFT(B121,9)="DOANH THU",LEFT(B121,8)="SỐ LƯỢNG"),A121,IF(A121="","",K120))</f>
        <v/>
      </c>
      <c r="L121">
        <f>IF(A121="","",IF(ISNUMBER(--LEFT(A121,FIND(" - ",A121&amp;" - ")-1)),LEFT(A121,FIND(" - ",A121&amp;" - ")-1),TRIM(A121)))</f>
        <v/>
      </c>
      <c r="M121">
        <f>IF(OR(K121="",K121=A121,A121=""),"",K121&amp;"|"&amp;L121)</f>
        <v/>
      </c>
      <c r="N121">
        <f>IF(M121="","",IF(ISNUMBER(B121),B121,IFERROR(_xlfn.NUMBERVALUE(B121,".",","),0)))</f>
        <v/>
      </c>
      <c r="O121">
        <f>IF(M121="","",IF(ISNUMBER(C121),C121,IFERROR(_xlfn.NUMBERVALUE(C121,".",","),0)))</f>
        <v/>
      </c>
    </row>
    <row r="122">
      <c r="K122">
        <f>IF(OR(LEFT(B122,9)="DOANH THU",LEFT(B122,8)="SỐ LƯỢNG"),A122,IF(A122="","",K121))</f>
        <v/>
      </c>
      <c r="L122">
        <f>IF(A122="","",IF(ISNUMBER(--LEFT(A122,FIND(" - ",A122&amp;" - ")-1)),LEFT(A122,FIND(" - ",A122&amp;" - ")-1),TRIM(A122)))</f>
        <v/>
      </c>
      <c r="M122">
        <f>IF(OR(K122="",K122=A122,A122=""),"",K122&amp;"|"&amp;L122)</f>
        <v/>
      </c>
      <c r="N122">
        <f>IF(M122="","",IF(ISNUMBER(B122),B122,IFERROR(_xlfn.NUMBERVALUE(B122,".",","),0)))</f>
        <v/>
      </c>
      <c r="O122">
        <f>IF(M122="","",IF(ISNUMBER(C122),C122,IFERROR(_xlfn.NUMBERVALUE(C122,".",","),0)))</f>
        <v/>
      </c>
    </row>
    <row r="123">
      <c r="K123">
        <f>IF(OR(LEFT(B123,9)="DOANH THU",LEFT(B123,8)="SỐ LƯỢNG"),A123,IF(A123="","",K122))</f>
        <v/>
      </c>
      <c r="L123">
        <f>IF(A123="","",IF(ISNUMBER(--LEFT(A123,FIND(" - ",A123&amp;" - ")-1)),LEFT(A123,FIND(" - ",A123&amp;" - ")-1),TRIM(A123)))</f>
        <v/>
      </c>
      <c r="M123">
        <f>IF(OR(K123="",K123=A123,A123=""),"",K123&amp;"|"&amp;L123)</f>
        <v/>
      </c>
      <c r="N123">
        <f>IF(M123="","",IF(ISNUMBER(B123),B123,IFERROR(_xlfn.NUMBERVALUE(B123,".",","),0)))</f>
        <v/>
      </c>
      <c r="O123">
        <f>IF(M123="","",IF(ISNUMBER(C123),C123,IFERROR(_xlfn.NUMBERVALUE(C123,".",","),0)))</f>
        <v/>
      </c>
    </row>
    <row r="124">
      <c r="K124">
        <f>IF(OR(LEFT(B124,9)="DOANH THU",LEFT(B124,8)="SỐ LƯỢNG"),A124,IF(A124="","",K123))</f>
        <v/>
      </c>
      <c r="L124">
        <f>IF(A124="","",IF(ISNUMBER(--LEFT(A124,FIND(" - ",A124&amp;" - ")-1)),LEFT(A124,FIND(" - ",A124&amp;" - ")-1),TRIM(A124)))</f>
        <v/>
      </c>
      <c r="M124">
        <f>IF(OR(K124="",K124=A124,A124=""),"",K124&amp;"|"&amp;L124)</f>
        <v/>
      </c>
      <c r="N124">
        <f>IF(M124="","",IF(ISNUMBER(B124),B124,IFERROR(_xlfn.NUMBERVALUE(B124,".",","),0)))</f>
        <v/>
      </c>
      <c r="O124">
        <f>IF(M124="","",IF(ISNUMBER(C124),C124,IFERROR(_xlfn.NUMBERVALUE(C124,".",","),0)))</f>
        <v/>
      </c>
    </row>
    <row r="125">
      <c r="K125">
        <f>IF(OR(LEFT(B125,9)="DOANH THU",LEFT(B125,8)="SỐ LƯỢNG"),A125,IF(A125="","",K124))</f>
        <v/>
      </c>
      <c r="L125">
        <f>IF(A125="","",IF(ISNUMBER(--LEFT(A125,FIND(" - ",A125&amp;" - ")-1)),LEFT(A125,FIND(" - ",A125&amp;" - ")-1),TRIM(A125)))</f>
        <v/>
      </c>
      <c r="M125">
        <f>IF(OR(K125="",K125=A125,A125=""),"",K125&amp;"|"&amp;L125)</f>
        <v/>
      </c>
      <c r="N125">
        <f>IF(M125="","",IF(ISNUMBER(B125),B125,IFERROR(_xlfn.NUMBERVALUE(B125,".",","),0)))</f>
        <v/>
      </c>
      <c r="O125">
        <f>IF(M125="","",IF(ISNUMBER(C125),C125,IFERROR(_xlfn.NUMBERVALUE(C125,".",","),0)))</f>
        <v/>
      </c>
    </row>
    <row r="126">
      <c r="K126">
        <f>IF(OR(LEFT(B126,9)="DOANH THU",LEFT(B126,8)="SỐ LƯỢNG"),A126,IF(A126="","",K125))</f>
        <v/>
      </c>
      <c r="L126">
        <f>IF(A126="","",IF(ISNUMBER(--LEFT(A126,FIND(" - ",A126&amp;" - ")-1)),LEFT(A126,FIND(" - ",A126&amp;" - ")-1),TRIM(A126)))</f>
        <v/>
      </c>
      <c r="M126">
        <f>IF(OR(K126="",K126=A126,A126=""),"",K126&amp;"|"&amp;L126)</f>
        <v/>
      </c>
      <c r="N126">
        <f>IF(M126="","",IF(ISNUMBER(B126),B126,IFERROR(_xlfn.NUMBERVALUE(B126,".",","),0)))</f>
        <v/>
      </c>
      <c r="O126">
        <f>IF(M126="","",IF(ISNUMBER(C126),C126,IFERROR(_xlfn.NUMBERVALUE(C126,".",","),0)))</f>
        <v/>
      </c>
    </row>
    <row r="127">
      <c r="K127">
        <f>IF(OR(LEFT(B127,9)="DOANH THU",LEFT(B127,8)="SỐ LƯỢNG"),A127,IF(A127="","",K126))</f>
        <v/>
      </c>
      <c r="L127">
        <f>IF(A127="","",IF(ISNUMBER(--LEFT(A127,FIND(" - ",A127&amp;" - ")-1)),LEFT(A127,FIND(" - ",A127&amp;" - ")-1),TRIM(A127)))</f>
        <v/>
      </c>
      <c r="M127">
        <f>IF(OR(K127="",K127=A127,A127=""),"",K127&amp;"|"&amp;L127)</f>
        <v/>
      </c>
      <c r="N127">
        <f>IF(M127="","",IF(ISNUMBER(B127),B127,IFERROR(_xlfn.NUMBERVALUE(B127,".",","),0)))</f>
        <v/>
      </c>
      <c r="O127">
        <f>IF(M127="","",IF(ISNUMBER(C127),C127,IFERROR(_xlfn.NUMBERVALUE(C127,".",","),0)))</f>
        <v/>
      </c>
    </row>
    <row r="128">
      <c r="K128">
        <f>IF(OR(LEFT(B128,9)="DOANH THU",LEFT(B128,8)="SỐ LƯỢNG"),A128,IF(A128="","",K127))</f>
        <v/>
      </c>
      <c r="L128">
        <f>IF(A128="","",IF(ISNUMBER(--LEFT(A128,FIND(" - ",A128&amp;" - ")-1)),LEFT(A128,FIND(" - ",A128&amp;" - ")-1),TRIM(A128)))</f>
        <v/>
      </c>
      <c r="M128">
        <f>IF(OR(K128="",K128=A128,A128=""),"",K128&amp;"|"&amp;L128)</f>
        <v/>
      </c>
      <c r="N128">
        <f>IF(M128="","",IF(ISNUMBER(B128),B128,IFERROR(_xlfn.NUMBERVALUE(B128,".",","),0)))</f>
        <v/>
      </c>
      <c r="O128">
        <f>IF(M128="","",IF(ISNUMBER(C128),C128,IFERROR(_xlfn.NUMBERVALUE(C128,".",","),0)))</f>
        <v/>
      </c>
    </row>
    <row r="129">
      <c r="K129">
        <f>IF(OR(LEFT(B129,9)="DOANH THU",LEFT(B129,8)="SỐ LƯỢNG"),A129,IF(A129="","",K128))</f>
        <v/>
      </c>
      <c r="L129">
        <f>IF(A129="","",IF(ISNUMBER(--LEFT(A129,FIND(" - ",A129&amp;" - ")-1)),LEFT(A129,FIND(" - ",A129&amp;" - ")-1),TRIM(A129)))</f>
        <v/>
      </c>
      <c r="M129">
        <f>IF(OR(K129="",K129=A129,A129=""),"",K129&amp;"|"&amp;L129)</f>
        <v/>
      </c>
      <c r="N129">
        <f>IF(M129="","",IF(ISNUMBER(B129),B129,IFERROR(_xlfn.NUMBERVALUE(B129,".",","),0)))</f>
        <v/>
      </c>
      <c r="O129">
        <f>IF(M129="","",IF(ISNUMBER(C129),C129,IFERROR(_xlfn.NUMBERVALUE(C129,".",","),0)))</f>
        <v/>
      </c>
    </row>
    <row r="130">
      <c r="K130">
        <f>IF(OR(LEFT(B130,9)="DOANH THU",LEFT(B130,8)="SỐ LƯỢNG"),A130,IF(A130="","",K129))</f>
        <v/>
      </c>
      <c r="L130">
        <f>IF(A130="","",IF(ISNUMBER(--LEFT(A130,FIND(" - ",A130&amp;" - ")-1)),LEFT(A130,FIND(" - ",A130&amp;" - ")-1),TRIM(A130)))</f>
        <v/>
      </c>
      <c r="M130">
        <f>IF(OR(K130="",K130=A130,A130=""),"",K130&amp;"|"&amp;L130)</f>
        <v/>
      </c>
      <c r="N130">
        <f>IF(M130="","",IF(ISNUMBER(B130),B130,IFERROR(_xlfn.NUMBERVALUE(B130,".",","),0)))</f>
        <v/>
      </c>
      <c r="O130">
        <f>IF(M130="","",IF(ISNUMBER(C130),C130,IFERROR(_xlfn.NUMBERVALUE(C130,".",","),0)))</f>
        <v/>
      </c>
    </row>
    <row r="131">
      <c r="K131">
        <f>IF(OR(LEFT(B131,9)="DOANH THU",LEFT(B131,8)="SỐ LƯỢNG"),A131,IF(A131="","",K130))</f>
        <v/>
      </c>
      <c r="L131">
        <f>IF(A131="","",IF(ISNUMBER(--LEFT(A131,FIND(" - ",A131&amp;" - ")-1)),LEFT(A131,FIND(" - ",A131&amp;" - ")-1),TRIM(A131)))</f>
        <v/>
      </c>
      <c r="M131">
        <f>IF(OR(K131="",K131=A131,A131=""),"",K131&amp;"|"&amp;L131)</f>
        <v/>
      </c>
      <c r="N131">
        <f>IF(M131="","",IF(ISNUMBER(B131),B131,IFERROR(_xlfn.NUMBERVALUE(B131,".",","),0)))</f>
        <v/>
      </c>
      <c r="O131">
        <f>IF(M131="","",IF(ISNUMBER(C131),C131,IFERROR(_xlfn.NUMBERVALUE(C131,".",","),0)))</f>
        <v/>
      </c>
    </row>
    <row r="132">
      <c r="K132">
        <f>IF(OR(LEFT(B132,9)="DOANH THU",LEFT(B132,8)="SỐ LƯỢNG"),A132,IF(A132="","",K131))</f>
        <v/>
      </c>
      <c r="L132">
        <f>IF(A132="","",IF(ISNUMBER(--LEFT(A132,FIND(" - ",A132&amp;" - ")-1)),LEFT(A132,FIND(" - ",A132&amp;" - ")-1),TRIM(A132)))</f>
        <v/>
      </c>
      <c r="M132">
        <f>IF(OR(K132="",K132=A132,A132=""),"",K132&amp;"|"&amp;L132)</f>
        <v/>
      </c>
      <c r="N132">
        <f>IF(M132="","",IF(ISNUMBER(B132),B132,IFERROR(_xlfn.NUMBERVALUE(B132,".",","),0)))</f>
        <v/>
      </c>
      <c r="O132">
        <f>IF(M132="","",IF(ISNUMBER(C132),C132,IFERROR(_xlfn.NUMBERVALUE(C132,".",","),0)))</f>
        <v/>
      </c>
    </row>
    <row r="133">
      <c r="K133">
        <f>IF(OR(LEFT(B133,9)="DOANH THU",LEFT(B133,8)="SỐ LƯỢNG"),A133,IF(A133="","",K132))</f>
        <v/>
      </c>
      <c r="L133">
        <f>IF(A133="","",IF(ISNUMBER(--LEFT(A133,FIND(" - ",A133&amp;" - ")-1)),LEFT(A133,FIND(" - ",A133&amp;" - ")-1),TRIM(A133)))</f>
        <v/>
      </c>
      <c r="M133">
        <f>IF(OR(K133="",K133=A133,A133=""),"",K133&amp;"|"&amp;L133)</f>
        <v/>
      </c>
      <c r="N133">
        <f>IF(M133="","",IF(ISNUMBER(B133),B133,IFERROR(_xlfn.NUMBERVALUE(B133,".",","),0)))</f>
        <v/>
      </c>
      <c r="O133">
        <f>IF(M133="","",IF(ISNUMBER(C133),C133,IFERROR(_xlfn.NUMBERVALUE(C133,".",","),0)))</f>
        <v/>
      </c>
    </row>
    <row r="134">
      <c r="K134">
        <f>IF(OR(LEFT(B134,9)="DOANH THU",LEFT(B134,8)="SỐ LƯỢNG"),A134,IF(A134="","",K133))</f>
        <v/>
      </c>
      <c r="L134">
        <f>IF(A134="","",IF(ISNUMBER(--LEFT(A134,FIND(" - ",A134&amp;" - ")-1)),LEFT(A134,FIND(" - ",A134&amp;" - ")-1),TRIM(A134)))</f>
        <v/>
      </c>
      <c r="M134">
        <f>IF(OR(K134="",K134=A134,A134=""),"",K134&amp;"|"&amp;L134)</f>
        <v/>
      </c>
      <c r="N134">
        <f>IF(M134="","",IF(ISNUMBER(B134),B134,IFERROR(_xlfn.NUMBERVALUE(B134,".",","),0)))</f>
        <v/>
      </c>
      <c r="O134">
        <f>IF(M134="","",IF(ISNUMBER(C134),C134,IFERROR(_xlfn.NUMBERVALUE(C134,".",","),0)))</f>
        <v/>
      </c>
    </row>
    <row r="135">
      <c r="K135">
        <f>IF(OR(LEFT(B135,9)="DOANH THU",LEFT(B135,8)="SỐ LƯỢNG"),A135,IF(A135="","",K134))</f>
        <v/>
      </c>
      <c r="L135">
        <f>IF(A135="","",IF(ISNUMBER(--LEFT(A135,FIND(" - ",A135&amp;" - ")-1)),LEFT(A135,FIND(" - ",A135&amp;" - ")-1),TRIM(A135)))</f>
        <v/>
      </c>
      <c r="M135">
        <f>IF(OR(K135="",K135=A135,A135=""),"",K135&amp;"|"&amp;L135)</f>
        <v/>
      </c>
      <c r="N135">
        <f>IF(M135="","",IF(ISNUMBER(B135),B135,IFERROR(_xlfn.NUMBERVALUE(B135,".",","),0)))</f>
        <v/>
      </c>
      <c r="O135">
        <f>IF(M135="","",IF(ISNUMBER(C135),C135,IFERROR(_xlfn.NUMBERVALUE(C135,".",","),0)))</f>
        <v/>
      </c>
    </row>
    <row r="136">
      <c r="K136">
        <f>IF(OR(LEFT(B136,9)="DOANH THU",LEFT(B136,8)="SỐ LƯỢNG"),A136,IF(A136="","",K135))</f>
        <v/>
      </c>
      <c r="L136">
        <f>IF(A136="","",IF(ISNUMBER(--LEFT(A136,FIND(" - ",A136&amp;" - ")-1)),LEFT(A136,FIND(" - ",A136&amp;" - ")-1),TRIM(A136)))</f>
        <v/>
      </c>
      <c r="M136">
        <f>IF(OR(K136="",K136=A136,A136=""),"",K136&amp;"|"&amp;L136)</f>
        <v/>
      </c>
      <c r="N136">
        <f>IF(M136="","",IF(ISNUMBER(B136),B136,IFERROR(_xlfn.NUMBERVALUE(B136,".",","),0)))</f>
        <v/>
      </c>
      <c r="O136">
        <f>IF(M136="","",IF(ISNUMBER(C136),C136,IFERROR(_xlfn.NUMBERVALUE(C136,".",","),0)))</f>
        <v/>
      </c>
    </row>
    <row r="137">
      <c r="K137">
        <f>IF(OR(LEFT(B137,9)="DOANH THU",LEFT(B137,8)="SỐ LƯỢNG"),A137,IF(A137="","",K136))</f>
        <v/>
      </c>
      <c r="L137">
        <f>IF(A137="","",IF(ISNUMBER(--LEFT(A137,FIND(" - ",A137&amp;" - ")-1)),LEFT(A137,FIND(" - ",A137&amp;" - ")-1),TRIM(A137)))</f>
        <v/>
      </c>
      <c r="M137">
        <f>IF(OR(K137="",K137=A137,A137=""),"",K137&amp;"|"&amp;L137)</f>
        <v/>
      </c>
      <c r="N137">
        <f>IF(M137="","",IF(ISNUMBER(B137),B137,IFERROR(_xlfn.NUMBERVALUE(B137,".",","),0)))</f>
        <v/>
      </c>
      <c r="O137">
        <f>IF(M137="","",IF(ISNUMBER(C137),C137,IFERROR(_xlfn.NUMBERVALUE(C137,".",","),0)))</f>
        <v/>
      </c>
    </row>
    <row r="138">
      <c r="K138">
        <f>IF(OR(LEFT(B138,9)="DOANH THU",LEFT(B138,8)="SỐ LƯỢNG"),A138,IF(A138="","",K137))</f>
        <v/>
      </c>
      <c r="L138">
        <f>IF(A138="","",IF(ISNUMBER(--LEFT(A138,FIND(" - ",A138&amp;" - ")-1)),LEFT(A138,FIND(" - ",A138&amp;" - ")-1),TRIM(A138)))</f>
        <v/>
      </c>
      <c r="M138">
        <f>IF(OR(K138="",K138=A138,A138=""),"",K138&amp;"|"&amp;L138)</f>
        <v/>
      </c>
      <c r="N138">
        <f>IF(M138="","",IF(ISNUMBER(B138),B138,IFERROR(_xlfn.NUMBERVALUE(B138,".",","),0)))</f>
        <v/>
      </c>
      <c r="O138">
        <f>IF(M138="","",IF(ISNUMBER(C138),C138,IFERROR(_xlfn.NUMBERVALUE(C138,".",","),0)))</f>
        <v/>
      </c>
    </row>
    <row r="139">
      <c r="K139">
        <f>IF(OR(LEFT(B139,9)="DOANH THU",LEFT(B139,8)="SỐ LƯỢNG"),A139,IF(A139="","",K138))</f>
        <v/>
      </c>
      <c r="L139">
        <f>IF(A139="","",IF(ISNUMBER(--LEFT(A139,FIND(" - ",A139&amp;" - ")-1)),LEFT(A139,FIND(" - ",A139&amp;" - ")-1),TRIM(A139)))</f>
        <v/>
      </c>
      <c r="M139">
        <f>IF(OR(K139="",K139=A139,A139=""),"",K139&amp;"|"&amp;L139)</f>
        <v/>
      </c>
      <c r="N139">
        <f>IF(M139="","",IF(ISNUMBER(B139),B139,IFERROR(_xlfn.NUMBERVALUE(B139,".",","),0)))</f>
        <v/>
      </c>
      <c r="O139">
        <f>IF(M139="","",IF(ISNUMBER(C139),C139,IFERROR(_xlfn.NUMBERVALUE(C139,".",","),0)))</f>
        <v/>
      </c>
    </row>
    <row r="140">
      <c r="K140">
        <f>IF(OR(LEFT(B140,9)="DOANH THU",LEFT(B140,8)="SỐ LƯỢNG"),A140,IF(A140="","",K139))</f>
        <v/>
      </c>
      <c r="L140">
        <f>IF(A140="","",IF(ISNUMBER(--LEFT(A140,FIND(" - ",A140&amp;" - ")-1)),LEFT(A140,FIND(" - ",A140&amp;" - ")-1),TRIM(A140)))</f>
        <v/>
      </c>
      <c r="M140">
        <f>IF(OR(K140="",K140=A140,A140=""),"",K140&amp;"|"&amp;L140)</f>
        <v/>
      </c>
      <c r="N140">
        <f>IF(M140="","",IF(ISNUMBER(B140),B140,IFERROR(_xlfn.NUMBERVALUE(B140,".",","),0)))</f>
        <v/>
      </c>
      <c r="O140">
        <f>IF(M140="","",IF(ISNUMBER(C140),C140,IFERROR(_xlfn.NUMBERVALUE(C140,".",","),0)))</f>
        <v/>
      </c>
    </row>
    <row r="141">
      <c r="K141">
        <f>IF(OR(LEFT(B141,9)="DOANH THU",LEFT(B141,8)="SỐ LƯỢNG"),A141,IF(A141="","",K140))</f>
        <v/>
      </c>
      <c r="L141">
        <f>IF(A141="","",IF(ISNUMBER(--LEFT(A141,FIND(" - ",A141&amp;" - ")-1)),LEFT(A141,FIND(" - ",A141&amp;" - ")-1),TRIM(A141)))</f>
        <v/>
      </c>
      <c r="M141">
        <f>IF(OR(K141="",K141=A141,A141=""),"",K141&amp;"|"&amp;L141)</f>
        <v/>
      </c>
      <c r="N141">
        <f>IF(M141="","",IF(ISNUMBER(B141),B141,IFERROR(_xlfn.NUMBERVALUE(B141,".",","),0)))</f>
        <v/>
      </c>
      <c r="O141">
        <f>IF(M141="","",IF(ISNUMBER(C141),C141,IFERROR(_xlfn.NUMBERVALUE(C141,".",","),0)))</f>
        <v/>
      </c>
    </row>
    <row r="142">
      <c r="K142">
        <f>IF(OR(LEFT(B142,9)="DOANH THU",LEFT(B142,8)="SỐ LƯỢNG"),A142,IF(A142="","",K141))</f>
        <v/>
      </c>
      <c r="L142">
        <f>IF(A142="","",IF(ISNUMBER(--LEFT(A142,FIND(" - ",A142&amp;" - ")-1)),LEFT(A142,FIND(" - ",A142&amp;" - ")-1),TRIM(A142)))</f>
        <v/>
      </c>
      <c r="M142">
        <f>IF(OR(K142="",K142=A142,A142=""),"",K142&amp;"|"&amp;L142)</f>
        <v/>
      </c>
      <c r="N142">
        <f>IF(M142="","",IF(ISNUMBER(B142),B142,IFERROR(_xlfn.NUMBERVALUE(B142,".",","),0)))</f>
        <v/>
      </c>
      <c r="O142">
        <f>IF(M142="","",IF(ISNUMBER(C142),C142,IFERROR(_xlfn.NUMBERVALUE(C142,".",","),0)))</f>
        <v/>
      </c>
    </row>
    <row r="143">
      <c r="K143">
        <f>IF(OR(LEFT(B143,9)="DOANH THU",LEFT(B143,8)="SỐ LƯỢNG"),A143,IF(A143="","",K142))</f>
        <v/>
      </c>
      <c r="L143">
        <f>IF(A143="","",IF(ISNUMBER(--LEFT(A143,FIND(" - ",A143&amp;" - ")-1)),LEFT(A143,FIND(" - ",A143&amp;" - ")-1),TRIM(A143)))</f>
        <v/>
      </c>
      <c r="M143">
        <f>IF(OR(K143="",K143=A143,A143=""),"",K143&amp;"|"&amp;L143)</f>
        <v/>
      </c>
      <c r="N143">
        <f>IF(M143="","",IF(ISNUMBER(B143),B143,IFERROR(_xlfn.NUMBERVALUE(B143,".",","),0)))</f>
        <v/>
      </c>
      <c r="O143">
        <f>IF(M143="","",IF(ISNUMBER(C143),C143,IFERROR(_xlfn.NUMBERVALUE(C143,".",","),0)))</f>
        <v/>
      </c>
    </row>
    <row r="144">
      <c r="K144">
        <f>IF(OR(LEFT(B144,9)="DOANH THU",LEFT(B144,8)="SỐ LƯỢNG"),A144,IF(A144="","",K143))</f>
        <v/>
      </c>
      <c r="L144">
        <f>IF(A144="","",IF(ISNUMBER(--LEFT(A144,FIND(" - ",A144&amp;" - ")-1)),LEFT(A144,FIND(" - ",A144&amp;" - ")-1),TRIM(A144)))</f>
        <v/>
      </c>
      <c r="M144">
        <f>IF(OR(K144="",K144=A144,A144=""),"",K144&amp;"|"&amp;L144)</f>
        <v/>
      </c>
      <c r="N144">
        <f>IF(M144="","",IF(ISNUMBER(B144),B144,IFERROR(_xlfn.NUMBERVALUE(B144,".",","),0)))</f>
        <v/>
      </c>
      <c r="O144">
        <f>IF(M144="","",IF(ISNUMBER(C144),C144,IFERROR(_xlfn.NUMBERVALUE(C144,".",","),0)))</f>
        <v/>
      </c>
    </row>
    <row r="145">
      <c r="K145">
        <f>IF(OR(LEFT(B145,9)="DOANH THU",LEFT(B145,8)="SỐ LƯỢNG"),A145,IF(A145="","",K144))</f>
        <v/>
      </c>
      <c r="L145">
        <f>IF(A145="","",IF(ISNUMBER(--LEFT(A145,FIND(" - ",A145&amp;" - ")-1)),LEFT(A145,FIND(" - ",A145&amp;" - ")-1),TRIM(A145)))</f>
        <v/>
      </c>
      <c r="M145">
        <f>IF(OR(K145="",K145=A145,A145=""),"",K145&amp;"|"&amp;L145)</f>
        <v/>
      </c>
      <c r="N145">
        <f>IF(M145="","",IF(ISNUMBER(B145),B145,IFERROR(_xlfn.NUMBERVALUE(B145,".",","),0)))</f>
        <v/>
      </c>
      <c r="O145">
        <f>IF(M145="","",IF(ISNUMBER(C145),C145,IFERROR(_xlfn.NUMBERVALUE(C145,".",","),0)))</f>
        <v/>
      </c>
    </row>
    <row r="146">
      <c r="K146">
        <f>IF(OR(LEFT(B146,9)="DOANH THU",LEFT(B146,8)="SỐ LƯỢNG"),A146,IF(A146="","",K145))</f>
        <v/>
      </c>
      <c r="L146">
        <f>IF(A146="","",IF(ISNUMBER(--LEFT(A146,FIND(" - ",A146&amp;" - ")-1)),LEFT(A146,FIND(" - ",A146&amp;" - ")-1),TRIM(A146)))</f>
        <v/>
      </c>
      <c r="M146">
        <f>IF(OR(K146="",K146=A146,A146=""),"",K146&amp;"|"&amp;L146)</f>
        <v/>
      </c>
      <c r="N146">
        <f>IF(M146="","",IF(ISNUMBER(B146),B146,IFERROR(_xlfn.NUMBERVALUE(B146,".",","),0)))</f>
        <v/>
      </c>
      <c r="O146">
        <f>IF(M146="","",IF(ISNUMBER(C146),C146,IFERROR(_xlfn.NUMBERVALUE(C146,".",","),0)))</f>
        <v/>
      </c>
    </row>
    <row r="147">
      <c r="K147">
        <f>IF(OR(LEFT(B147,9)="DOANH THU",LEFT(B147,8)="SỐ LƯỢNG"),A147,IF(A147="","",K146))</f>
        <v/>
      </c>
      <c r="L147">
        <f>IF(A147="","",IF(ISNUMBER(--LEFT(A147,FIND(" - ",A147&amp;" - ")-1)),LEFT(A147,FIND(" - ",A147&amp;" - ")-1),TRIM(A147)))</f>
        <v/>
      </c>
      <c r="M147">
        <f>IF(OR(K147="",K147=A147,A147=""),"",K147&amp;"|"&amp;L147)</f>
        <v/>
      </c>
      <c r="N147">
        <f>IF(M147="","",IF(ISNUMBER(B147),B147,IFERROR(_xlfn.NUMBERVALUE(B147,".",","),0)))</f>
        <v/>
      </c>
      <c r="O147">
        <f>IF(M147="","",IF(ISNUMBER(C147),C147,IFERROR(_xlfn.NUMBERVALUE(C147,".",","),0)))</f>
        <v/>
      </c>
    </row>
    <row r="148">
      <c r="K148">
        <f>IF(OR(LEFT(B148,9)="DOANH THU",LEFT(B148,8)="SỐ LƯỢNG"),A148,IF(A148="","",K147))</f>
        <v/>
      </c>
      <c r="L148">
        <f>IF(A148="","",IF(ISNUMBER(--LEFT(A148,FIND(" - ",A148&amp;" - ")-1)),LEFT(A148,FIND(" - ",A148&amp;" - ")-1),TRIM(A148)))</f>
        <v/>
      </c>
      <c r="M148">
        <f>IF(OR(K148="",K148=A148,A148=""),"",K148&amp;"|"&amp;L148)</f>
        <v/>
      </c>
      <c r="N148">
        <f>IF(M148="","",IF(ISNUMBER(B148),B148,IFERROR(_xlfn.NUMBERVALUE(B148,".",","),0)))</f>
        <v/>
      </c>
      <c r="O148">
        <f>IF(M148="","",IF(ISNUMBER(C148),C148,IFERROR(_xlfn.NUMBERVALUE(C148,".",","),0)))</f>
        <v/>
      </c>
    </row>
    <row r="149">
      <c r="K149">
        <f>IF(OR(LEFT(B149,9)="DOANH THU",LEFT(B149,8)="SỐ LƯỢNG"),A149,IF(A149="","",K148))</f>
        <v/>
      </c>
      <c r="L149">
        <f>IF(A149="","",IF(ISNUMBER(--LEFT(A149,FIND(" - ",A149&amp;" - ")-1)),LEFT(A149,FIND(" - ",A149&amp;" - ")-1),TRIM(A149)))</f>
        <v/>
      </c>
      <c r="M149">
        <f>IF(OR(K149="",K149=A149,A149=""),"",K149&amp;"|"&amp;L149)</f>
        <v/>
      </c>
      <c r="N149">
        <f>IF(M149="","",IF(ISNUMBER(B149),B149,IFERROR(_xlfn.NUMBERVALUE(B149,".",","),0)))</f>
        <v/>
      </c>
      <c r="O149">
        <f>IF(M149="","",IF(ISNUMBER(C149),C149,IFERROR(_xlfn.NUMBERVALUE(C149,".",","),0)))</f>
        <v/>
      </c>
    </row>
    <row r="150">
      <c r="K150">
        <f>IF(OR(LEFT(B150,9)="DOANH THU",LEFT(B150,8)="SỐ LƯỢNG"),A150,IF(A150="","",K149))</f>
        <v/>
      </c>
      <c r="L150">
        <f>IF(A150="","",IF(ISNUMBER(--LEFT(A150,FIND(" - ",A150&amp;" - ")-1)),LEFT(A150,FIND(" - ",A150&amp;" - ")-1),TRIM(A150)))</f>
        <v/>
      </c>
      <c r="M150">
        <f>IF(OR(K150="",K150=A150,A150=""),"",K150&amp;"|"&amp;L150)</f>
        <v/>
      </c>
      <c r="N150">
        <f>IF(M150="","",IF(ISNUMBER(B150),B150,IFERROR(_xlfn.NUMBERVALUE(B150,".",","),0)))</f>
        <v/>
      </c>
      <c r="O150">
        <f>IF(M150="","",IF(ISNUMBER(C150),C150,IFERROR(_xlfn.NUMBERVALUE(C150,".",","),0)))</f>
        <v/>
      </c>
    </row>
    <row r="151">
      <c r="K151">
        <f>IF(OR(LEFT(B151,9)="DOANH THU",LEFT(B151,8)="SỐ LƯỢNG"),A151,IF(A151="","",K150))</f>
        <v/>
      </c>
      <c r="L151">
        <f>IF(A151="","",IF(ISNUMBER(--LEFT(A151,FIND(" - ",A151&amp;" - ")-1)),LEFT(A151,FIND(" - ",A151&amp;" - ")-1),TRIM(A151)))</f>
        <v/>
      </c>
      <c r="M151">
        <f>IF(OR(K151="",K151=A151,A151=""),"",K151&amp;"|"&amp;L151)</f>
        <v/>
      </c>
      <c r="N151">
        <f>IF(M151="","",IF(ISNUMBER(B151),B151,IFERROR(_xlfn.NUMBERVALUE(B151,".",","),0)))</f>
        <v/>
      </c>
      <c r="O151">
        <f>IF(M151="","",IF(ISNUMBER(C151),C151,IFERROR(_xlfn.NUMBERVALUE(C151,".",","),0)))</f>
        <v/>
      </c>
    </row>
    <row r="152">
      <c r="K152">
        <f>IF(OR(LEFT(B152,9)="DOANH THU",LEFT(B152,8)="SỐ LƯỢNG"),A152,IF(A152="","",K151))</f>
        <v/>
      </c>
      <c r="L152">
        <f>IF(A152="","",IF(ISNUMBER(--LEFT(A152,FIND(" - ",A152&amp;" - ")-1)),LEFT(A152,FIND(" - ",A152&amp;" - ")-1),TRIM(A152)))</f>
        <v/>
      </c>
      <c r="M152">
        <f>IF(OR(K152="",K152=A152,A152=""),"",K152&amp;"|"&amp;L152)</f>
        <v/>
      </c>
      <c r="N152">
        <f>IF(M152="","",IF(ISNUMBER(B152),B152,IFERROR(_xlfn.NUMBERVALUE(B152,".",","),0)))</f>
        <v/>
      </c>
      <c r="O152">
        <f>IF(M152="","",IF(ISNUMBER(C152),C152,IFERROR(_xlfn.NUMBERVALUE(C152,".",","),0)))</f>
        <v/>
      </c>
    </row>
    <row r="153">
      <c r="K153">
        <f>IF(OR(LEFT(B153,9)="DOANH THU",LEFT(B153,8)="SỐ LƯỢNG"),A153,IF(A153="","",K152))</f>
        <v/>
      </c>
      <c r="L153">
        <f>IF(A153="","",IF(ISNUMBER(--LEFT(A153,FIND(" - ",A153&amp;" - ")-1)),LEFT(A153,FIND(" - ",A153&amp;" - ")-1),TRIM(A153)))</f>
        <v/>
      </c>
      <c r="M153">
        <f>IF(OR(K153="",K153=A153,A153=""),"",K153&amp;"|"&amp;L153)</f>
        <v/>
      </c>
      <c r="N153">
        <f>IF(M153="","",IF(ISNUMBER(B153),B153,IFERROR(_xlfn.NUMBERVALUE(B153,".",","),0)))</f>
        <v/>
      </c>
      <c r="O153">
        <f>IF(M153="","",IF(ISNUMBER(C153),C153,IFERROR(_xlfn.NUMBERVALUE(C153,".",","),0)))</f>
        <v/>
      </c>
    </row>
    <row r="154">
      <c r="K154">
        <f>IF(OR(LEFT(B154,9)="DOANH THU",LEFT(B154,8)="SỐ LƯỢNG"),A154,IF(A154="","",K153))</f>
        <v/>
      </c>
      <c r="L154">
        <f>IF(A154="","",IF(ISNUMBER(--LEFT(A154,FIND(" - ",A154&amp;" - ")-1)),LEFT(A154,FIND(" - ",A154&amp;" - ")-1),TRIM(A154)))</f>
        <v/>
      </c>
      <c r="M154">
        <f>IF(OR(K154="",K154=A154,A154=""),"",K154&amp;"|"&amp;L154)</f>
        <v/>
      </c>
      <c r="N154">
        <f>IF(M154="","",IF(ISNUMBER(B154),B154,IFERROR(_xlfn.NUMBERVALUE(B154,".",","),0)))</f>
        <v/>
      </c>
      <c r="O154">
        <f>IF(M154="","",IF(ISNUMBER(C154),C154,IFERROR(_xlfn.NUMBERVALUE(C154,".",","),0)))</f>
        <v/>
      </c>
    </row>
    <row r="155">
      <c r="K155">
        <f>IF(OR(LEFT(B155,9)="DOANH THU",LEFT(B155,8)="SỐ LƯỢNG"),A155,IF(A155="","",K154))</f>
        <v/>
      </c>
      <c r="L155">
        <f>IF(A155="","",IF(ISNUMBER(--LEFT(A155,FIND(" - ",A155&amp;" - ")-1)),LEFT(A155,FIND(" - ",A155&amp;" - ")-1),TRIM(A155)))</f>
        <v/>
      </c>
      <c r="M155">
        <f>IF(OR(K155="",K155=A155,A155=""),"",K155&amp;"|"&amp;L155)</f>
        <v/>
      </c>
      <c r="N155">
        <f>IF(M155="","",IF(ISNUMBER(B155),B155,IFERROR(_xlfn.NUMBERVALUE(B155,".",","),0)))</f>
        <v/>
      </c>
      <c r="O155">
        <f>IF(M155="","",IF(ISNUMBER(C155),C155,IFERROR(_xlfn.NUMBERVALUE(C155,".",","),0)))</f>
        <v/>
      </c>
    </row>
    <row r="156">
      <c r="K156">
        <f>IF(OR(LEFT(B156,9)="DOANH THU",LEFT(B156,8)="SỐ LƯỢNG"),A156,IF(A156="","",K155))</f>
        <v/>
      </c>
      <c r="L156">
        <f>IF(A156="","",IF(ISNUMBER(--LEFT(A156,FIND(" - ",A156&amp;" - ")-1)),LEFT(A156,FIND(" - ",A156&amp;" - ")-1),TRIM(A156)))</f>
        <v/>
      </c>
      <c r="M156">
        <f>IF(OR(K156="",K156=A156,A156=""),"",K156&amp;"|"&amp;L156)</f>
        <v/>
      </c>
      <c r="N156">
        <f>IF(M156="","",IF(ISNUMBER(B156),B156,IFERROR(_xlfn.NUMBERVALUE(B156,".",","),0)))</f>
        <v/>
      </c>
      <c r="O156">
        <f>IF(M156="","",IF(ISNUMBER(C156),C156,IFERROR(_xlfn.NUMBERVALUE(C156,".",","),0)))</f>
        <v/>
      </c>
    </row>
    <row r="157">
      <c r="K157">
        <f>IF(OR(LEFT(B157,9)="DOANH THU",LEFT(B157,8)="SỐ LƯỢNG"),A157,IF(A157="","",K156))</f>
        <v/>
      </c>
      <c r="L157">
        <f>IF(A157="","",IF(ISNUMBER(--LEFT(A157,FIND(" - ",A157&amp;" - ")-1)),LEFT(A157,FIND(" - ",A157&amp;" - ")-1),TRIM(A157)))</f>
        <v/>
      </c>
      <c r="M157">
        <f>IF(OR(K157="",K157=A157,A157=""),"",K157&amp;"|"&amp;L157)</f>
        <v/>
      </c>
      <c r="N157">
        <f>IF(M157="","",IF(ISNUMBER(B157),B157,IFERROR(_xlfn.NUMBERVALUE(B157,".",","),0)))</f>
        <v/>
      </c>
      <c r="O157">
        <f>IF(M157="","",IF(ISNUMBER(C157),C157,IFERROR(_xlfn.NUMBERVALUE(C157,".",","),0)))</f>
        <v/>
      </c>
    </row>
    <row r="158">
      <c r="K158">
        <f>IF(OR(LEFT(B158,9)="DOANH THU",LEFT(B158,8)="SỐ LƯỢNG"),A158,IF(A158="","",K157))</f>
        <v/>
      </c>
      <c r="L158">
        <f>IF(A158="","",IF(ISNUMBER(--LEFT(A158,FIND(" - ",A158&amp;" - ")-1)),LEFT(A158,FIND(" - ",A158&amp;" - ")-1),TRIM(A158)))</f>
        <v/>
      </c>
      <c r="M158">
        <f>IF(OR(K158="",K158=A158,A158=""),"",K158&amp;"|"&amp;L158)</f>
        <v/>
      </c>
      <c r="N158">
        <f>IF(M158="","",IF(ISNUMBER(B158),B158,IFERROR(_xlfn.NUMBERVALUE(B158,".",","),0)))</f>
        <v/>
      </c>
      <c r="O158">
        <f>IF(M158="","",IF(ISNUMBER(C158),C158,IFERROR(_xlfn.NUMBERVALUE(C158,".",","),0)))</f>
        <v/>
      </c>
    </row>
    <row r="159">
      <c r="K159">
        <f>IF(OR(LEFT(B159,9)="DOANH THU",LEFT(B159,8)="SỐ LƯỢNG"),A159,IF(A159="","",K158))</f>
        <v/>
      </c>
      <c r="L159">
        <f>IF(A159="","",IF(ISNUMBER(--LEFT(A159,FIND(" - ",A159&amp;" - ")-1)),LEFT(A159,FIND(" - ",A159&amp;" - ")-1),TRIM(A159)))</f>
        <v/>
      </c>
      <c r="M159">
        <f>IF(OR(K159="",K159=A159,A159=""),"",K159&amp;"|"&amp;L159)</f>
        <v/>
      </c>
      <c r="N159">
        <f>IF(M159="","",IF(ISNUMBER(B159),B159,IFERROR(_xlfn.NUMBERVALUE(B159,".",","),0)))</f>
        <v/>
      </c>
      <c r="O159">
        <f>IF(M159="","",IF(ISNUMBER(C159),C159,IFERROR(_xlfn.NUMBERVALUE(C159,".",","),0)))</f>
        <v/>
      </c>
    </row>
    <row r="160">
      <c r="K160">
        <f>IF(OR(LEFT(B160,9)="DOANH THU",LEFT(B160,8)="SỐ LƯỢNG"),A160,IF(A160="","",K159))</f>
        <v/>
      </c>
      <c r="L160">
        <f>IF(A160="","",IF(ISNUMBER(--LEFT(A160,FIND(" - ",A160&amp;" - ")-1)),LEFT(A160,FIND(" - ",A160&amp;" - ")-1),TRIM(A160)))</f>
        <v/>
      </c>
      <c r="M160">
        <f>IF(OR(K160="",K160=A160,A160=""),"",K160&amp;"|"&amp;L160)</f>
        <v/>
      </c>
      <c r="N160">
        <f>IF(M160="","",IF(ISNUMBER(B160),B160,IFERROR(_xlfn.NUMBERVALUE(B160,".",","),0)))</f>
        <v/>
      </c>
      <c r="O160">
        <f>IF(M160="","",IF(ISNUMBER(C160),C160,IFERROR(_xlfn.NUMBERVALUE(C160,".",","),0)))</f>
        <v/>
      </c>
    </row>
    <row r="161">
      <c r="K161">
        <f>IF(OR(LEFT(B161,9)="DOANH THU",LEFT(B161,8)="SỐ LƯỢNG"),A161,IF(A161="","",K160))</f>
        <v/>
      </c>
      <c r="L161">
        <f>IF(A161="","",IF(ISNUMBER(--LEFT(A161,FIND(" - ",A161&amp;" - ")-1)),LEFT(A161,FIND(" - ",A161&amp;" - ")-1),TRIM(A161)))</f>
        <v/>
      </c>
      <c r="M161">
        <f>IF(OR(K161="",K161=A161,A161=""),"",K161&amp;"|"&amp;L161)</f>
        <v/>
      </c>
      <c r="N161">
        <f>IF(M161="","",IF(ISNUMBER(B161),B161,IFERROR(_xlfn.NUMBERVALUE(B161,".",","),0)))</f>
        <v/>
      </c>
      <c r="O161">
        <f>IF(M161="","",IF(ISNUMBER(C161),C161,IFERROR(_xlfn.NUMBERVALUE(C161,".",","),0)))</f>
        <v/>
      </c>
    </row>
    <row r="162">
      <c r="K162">
        <f>IF(OR(LEFT(B162,9)="DOANH THU",LEFT(B162,8)="SỐ LƯỢNG"),A162,IF(A162="","",K161))</f>
        <v/>
      </c>
      <c r="L162">
        <f>IF(A162="","",IF(ISNUMBER(--LEFT(A162,FIND(" - ",A162&amp;" - ")-1)),LEFT(A162,FIND(" - ",A162&amp;" - ")-1),TRIM(A162)))</f>
        <v/>
      </c>
      <c r="M162">
        <f>IF(OR(K162="",K162=A162,A162=""),"",K162&amp;"|"&amp;L162)</f>
        <v/>
      </c>
      <c r="N162">
        <f>IF(M162="","",IF(ISNUMBER(B162),B162,IFERROR(_xlfn.NUMBERVALUE(B162,".",","),0)))</f>
        <v/>
      </c>
      <c r="O162">
        <f>IF(M162="","",IF(ISNUMBER(C162),C162,IFERROR(_xlfn.NUMBERVALUE(C162,".",","),0)))</f>
        <v/>
      </c>
    </row>
    <row r="163">
      <c r="K163">
        <f>IF(OR(LEFT(B163,9)="DOANH THU",LEFT(B163,8)="SỐ LƯỢNG"),A163,IF(A163="","",K162))</f>
        <v/>
      </c>
      <c r="L163">
        <f>IF(A163="","",IF(ISNUMBER(--LEFT(A163,FIND(" - ",A163&amp;" - ")-1)),LEFT(A163,FIND(" - ",A163&amp;" - ")-1),TRIM(A163)))</f>
        <v/>
      </c>
      <c r="M163">
        <f>IF(OR(K163="",K163=A163,A163=""),"",K163&amp;"|"&amp;L163)</f>
        <v/>
      </c>
      <c r="N163">
        <f>IF(M163="","",IF(ISNUMBER(B163),B163,IFERROR(_xlfn.NUMBERVALUE(B163,".",","),0)))</f>
        <v/>
      </c>
      <c r="O163">
        <f>IF(M163="","",IF(ISNUMBER(C163),C163,IFERROR(_xlfn.NUMBERVALUE(C163,".",","),0)))</f>
        <v/>
      </c>
    </row>
    <row r="164">
      <c r="K164">
        <f>IF(OR(LEFT(B164,9)="DOANH THU",LEFT(B164,8)="SỐ LƯỢNG"),A164,IF(A164="","",K163))</f>
        <v/>
      </c>
      <c r="L164">
        <f>IF(A164="","",IF(ISNUMBER(--LEFT(A164,FIND(" - ",A164&amp;" - ")-1)),LEFT(A164,FIND(" - ",A164&amp;" - ")-1),TRIM(A164)))</f>
        <v/>
      </c>
      <c r="M164">
        <f>IF(OR(K164="",K164=A164,A164=""),"",K164&amp;"|"&amp;L164)</f>
        <v/>
      </c>
      <c r="N164">
        <f>IF(M164="","",IF(ISNUMBER(B164),B164,IFERROR(_xlfn.NUMBERVALUE(B164,".",","),0)))</f>
        <v/>
      </c>
      <c r="O164">
        <f>IF(M164="","",IF(ISNUMBER(C164),C164,IFERROR(_xlfn.NUMBERVALUE(C164,".",","),0)))</f>
        <v/>
      </c>
    </row>
    <row r="165">
      <c r="K165">
        <f>IF(OR(LEFT(B165,9)="DOANH THU",LEFT(B165,8)="SỐ LƯỢNG"),A165,IF(A165="","",K164))</f>
        <v/>
      </c>
      <c r="L165">
        <f>IF(A165="","",IF(ISNUMBER(--LEFT(A165,FIND(" - ",A165&amp;" - ")-1)),LEFT(A165,FIND(" - ",A165&amp;" - ")-1),TRIM(A165)))</f>
        <v/>
      </c>
      <c r="M165">
        <f>IF(OR(K165="",K165=A165,A165=""),"",K165&amp;"|"&amp;L165)</f>
        <v/>
      </c>
      <c r="N165">
        <f>IF(M165="","",IF(ISNUMBER(B165),B165,IFERROR(_xlfn.NUMBERVALUE(B165,".",","),0)))</f>
        <v/>
      </c>
      <c r="O165">
        <f>IF(M165="","",IF(ISNUMBER(C165),C165,IFERROR(_xlfn.NUMBERVALUE(C165,".",","),0)))</f>
        <v/>
      </c>
    </row>
    <row r="166">
      <c r="K166">
        <f>IF(OR(LEFT(B166,9)="DOANH THU",LEFT(B166,8)="SỐ LƯỢNG"),A166,IF(A166="","",K165))</f>
        <v/>
      </c>
      <c r="L166">
        <f>IF(A166="","",IF(ISNUMBER(--LEFT(A166,FIND(" - ",A166&amp;" - ")-1)),LEFT(A166,FIND(" - ",A166&amp;" - ")-1),TRIM(A166)))</f>
        <v/>
      </c>
      <c r="M166">
        <f>IF(OR(K166="",K166=A166,A166=""),"",K166&amp;"|"&amp;L166)</f>
        <v/>
      </c>
      <c r="N166">
        <f>IF(M166="","",IF(ISNUMBER(B166),B166,IFERROR(_xlfn.NUMBERVALUE(B166,".",","),0)))</f>
        <v/>
      </c>
      <c r="O166">
        <f>IF(M166="","",IF(ISNUMBER(C166),C166,IFERROR(_xlfn.NUMBERVALUE(C166,".",","),0)))</f>
        <v/>
      </c>
    </row>
    <row r="167">
      <c r="K167">
        <f>IF(OR(LEFT(B167,9)="DOANH THU",LEFT(B167,8)="SỐ LƯỢNG"),A167,IF(A167="","",K166))</f>
        <v/>
      </c>
      <c r="L167">
        <f>IF(A167="","",IF(ISNUMBER(--LEFT(A167,FIND(" - ",A167&amp;" - ")-1)),LEFT(A167,FIND(" - ",A167&amp;" - ")-1),TRIM(A167)))</f>
        <v/>
      </c>
      <c r="M167">
        <f>IF(OR(K167="",K167=A167,A167=""),"",K167&amp;"|"&amp;L167)</f>
        <v/>
      </c>
      <c r="N167">
        <f>IF(M167="","",IF(ISNUMBER(B167),B167,IFERROR(_xlfn.NUMBERVALUE(B167,".",","),0)))</f>
        <v/>
      </c>
      <c r="O167">
        <f>IF(M167="","",IF(ISNUMBER(C167),C167,IFERROR(_xlfn.NUMBERVALUE(C167,".",","),0)))</f>
        <v/>
      </c>
    </row>
    <row r="168">
      <c r="K168">
        <f>IF(OR(LEFT(B168,9)="DOANH THU",LEFT(B168,8)="SỐ LƯỢNG"),A168,IF(A168="","",K167))</f>
        <v/>
      </c>
      <c r="L168">
        <f>IF(A168="","",IF(ISNUMBER(--LEFT(A168,FIND(" - ",A168&amp;" - ")-1)),LEFT(A168,FIND(" - ",A168&amp;" - ")-1),TRIM(A168)))</f>
        <v/>
      </c>
      <c r="M168">
        <f>IF(OR(K168="",K168=A168,A168=""),"",K168&amp;"|"&amp;L168)</f>
        <v/>
      </c>
      <c r="N168">
        <f>IF(M168="","",IF(ISNUMBER(B168),B168,IFERROR(_xlfn.NUMBERVALUE(B168,".",","),0)))</f>
        <v/>
      </c>
      <c r="O168">
        <f>IF(M168="","",IF(ISNUMBER(C168),C168,IFERROR(_xlfn.NUMBERVALUE(C168,".",","),0)))</f>
        <v/>
      </c>
    </row>
    <row r="169">
      <c r="K169">
        <f>IF(OR(LEFT(B169,9)="DOANH THU",LEFT(B169,8)="SỐ LƯỢNG"),A169,IF(A169="","",K168))</f>
        <v/>
      </c>
      <c r="L169">
        <f>IF(A169="","",IF(ISNUMBER(--LEFT(A169,FIND(" - ",A169&amp;" - ")-1)),LEFT(A169,FIND(" - ",A169&amp;" - ")-1),TRIM(A169)))</f>
        <v/>
      </c>
      <c r="M169">
        <f>IF(OR(K169="",K169=A169,A169=""),"",K169&amp;"|"&amp;L169)</f>
        <v/>
      </c>
      <c r="N169">
        <f>IF(M169="","",IF(ISNUMBER(B169),B169,IFERROR(_xlfn.NUMBERVALUE(B169,".",","),0)))</f>
        <v/>
      </c>
      <c r="O169">
        <f>IF(M169="","",IF(ISNUMBER(C169),C169,IFERROR(_xlfn.NUMBERVALUE(C169,".",","),0)))</f>
        <v/>
      </c>
    </row>
    <row r="170">
      <c r="K170">
        <f>IF(OR(LEFT(B170,9)="DOANH THU",LEFT(B170,8)="SỐ LƯỢNG"),A170,IF(A170="","",K169))</f>
        <v/>
      </c>
      <c r="L170">
        <f>IF(A170="","",IF(ISNUMBER(--LEFT(A170,FIND(" - ",A170&amp;" - ")-1)),LEFT(A170,FIND(" - ",A170&amp;" - ")-1),TRIM(A170)))</f>
        <v/>
      </c>
      <c r="M170">
        <f>IF(OR(K170="",K170=A170,A170=""),"",K170&amp;"|"&amp;L170)</f>
        <v/>
      </c>
      <c r="N170">
        <f>IF(M170="","",IF(ISNUMBER(B170),B170,IFERROR(_xlfn.NUMBERVALUE(B170,".",","),0)))</f>
        <v/>
      </c>
      <c r="O170">
        <f>IF(M170="","",IF(ISNUMBER(C170),C170,IFERROR(_xlfn.NUMBERVALUE(C170,".",","),0)))</f>
        <v/>
      </c>
    </row>
    <row r="171">
      <c r="K171">
        <f>IF(OR(LEFT(B171,9)="DOANH THU",LEFT(B171,8)="SỐ LƯỢNG"),A171,IF(A171="","",K170))</f>
        <v/>
      </c>
      <c r="L171">
        <f>IF(A171="","",IF(ISNUMBER(--LEFT(A171,FIND(" - ",A171&amp;" - ")-1)),LEFT(A171,FIND(" - ",A171&amp;" - ")-1),TRIM(A171)))</f>
        <v/>
      </c>
      <c r="M171">
        <f>IF(OR(K171="",K171=A171,A171=""),"",K171&amp;"|"&amp;L171)</f>
        <v/>
      </c>
      <c r="N171">
        <f>IF(M171="","",IF(ISNUMBER(B171),B171,IFERROR(_xlfn.NUMBERVALUE(B171,".",","),0)))</f>
        <v/>
      </c>
      <c r="O171">
        <f>IF(M171="","",IF(ISNUMBER(C171),C171,IFERROR(_xlfn.NUMBERVALUE(C171,".",","),0)))</f>
        <v/>
      </c>
    </row>
    <row r="172">
      <c r="K172">
        <f>IF(OR(LEFT(B172,9)="DOANH THU",LEFT(B172,8)="SỐ LƯỢNG"),A172,IF(A172="","",K171))</f>
        <v/>
      </c>
      <c r="L172">
        <f>IF(A172="","",IF(ISNUMBER(--LEFT(A172,FIND(" - ",A172&amp;" - ")-1)),LEFT(A172,FIND(" - ",A172&amp;" - ")-1),TRIM(A172)))</f>
        <v/>
      </c>
      <c r="M172">
        <f>IF(OR(K172="",K172=A172,A172=""),"",K172&amp;"|"&amp;L172)</f>
        <v/>
      </c>
      <c r="N172">
        <f>IF(M172="","",IF(ISNUMBER(B172),B172,IFERROR(_xlfn.NUMBERVALUE(B172,".",","),0)))</f>
        <v/>
      </c>
      <c r="O172">
        <f>IF(M172="","",IF(ISNUMBER(C172),C172,IFERROR(_xlfn.NUMBERVALUE(C172,".",","),0)))</f>
        <v/>
      </c>
    </row>
    <row r="173">
      <c r="K173">
        <f>IF(OR(LEFT(B173,9)="DOANH THU",LEFT(B173,8)="SỐ LƯỢNG"),A173,IF(A173="","",K172))</f>
        <v/>
      </c>
      <c r="L173">
        <f>IF(A173="","",IF(ISNUMBER(--LEFT(A173,FIND(" - ",A173&amp;" - ")-1)),LEFT(A173,FIND(" - ",A173&amp;" - ")-1),TRIM(A173)))</f>
        <v/>
      </c>
      <c r="M173">
        <f>IF(OR(K173="",K173=A173,A173=""),"",K173&amp;"|"&amp;L173)</f>
        <v/>
      </c>
      <c r="N173">
        <f>IF(M173="","",IF(ISNUMBER(B173),B173,IFERROR(_xlfn.NUMBERVALUE(B173,".",","),0)))</f>
        <v/>
      </c>
      <c r="O173">
        <f>IF(M173="","",IF(ISNUMBER(C173),C173,IFERROR(_xlfn.NUMBERVALUE(C173,".",","),0)))</f>
        <v/>
      </c>
    </row>
    <row r="174">
      <c r="K174">
        <f>IF(OR(LEFT(B174,9)="DOANH THU",LEFT(B174,8)="SỐ LƯỢNG"),A174,IF(A174="","",K173))</f>
        <v/>
      </c>
      <c r="L174">
        <f>IF(A174="","",IF(ISNUMBER(--LEFT(A174,FIND(" - ",A174&amp;" - ")-1)),LEFT(A174,FIND(" - ",A174&amp;" - ")-1),TRIM(A174)))</f>
        <v/>
      </c>
      <c r="M174">
        <f>IF(OR(K174="",K174=A174,A174=""),"",K174&amp;"|"&amp;L174)</f>
        <v/>
      </c>
      <c r="N174">
        <f>IF(M174="","",IF(ISNUMBER(B174),B174,IFERROR(_xlfn.NUMBERVALUE(B174,".",","),0)))</f>
        <v/>
      </c>
      <c r="O174">
        <f>IF(M174="","",IF(ISNUMBER(C174),C174,IFERROR(_xlfn.NUMBERVALUE(C174,".",","),0)))</f>
        <v/>
      </c>
    </row>
    <row r="175">
      <c r="K175">
        <f>IF(OR(LEFT(B175,9)="DOANH THU",LEFT(B175,8)="SỐ LƯỢNG"),A175,IF(A175="","",K174))</f>
        <v/>
      </c>
      <c r="L175">
        <f>IF(A175="","",IF(ISNUMBER(--LEFT(A175,FIND(" - ",A175&amp;" - ")-1)),LEFT(A175,FIND(" - ",A175&amp;" - ")-1),TRIM(A175)))</f>
        <v/>
      </c>
      <c r="M175">
        <f>IF(OR(K175="",K175=A175,A175=""),"",K175&amp;"|"&amp;L175)</f>
        <v/>
      </c>
      <c r="N175">
        <f>IF(M175="","",IF(ISNUMBER(B175),B175,IFERROR(_xlfn.NUMBERVALUE(B175,".",","),0)))</f>
        <v/>
      </c>
      <c r="O175">
        <f>IF(M175="","",IF(ISNUMBER(C175),C175,IFERROR(_xlfn.NUMBERVALUE(C175,".",","),0)))</f>
        <v/>
      </c>
    </row>
    <row r="176">
      <c r="K176">
        <f>IF(OR(LEFT(B176,9)="DOANH THU",LEFT(B176,8)="SỐ LƯỢNG"),A176,IF(A176="","",K175))</f>
        <v/>
      </c>
      <c r="L176">
        <f>IF(A176="","",IF(ISNUMBER(--LEFT(A176,FIND(" - ",A176&amp;" - ")-1)),LEFT(A176,FIND(" - ",A176&amp;" - ")-1),TRIM(A176)))</f>
        <v/>
      </c>
      <c r="M176">
        <f>IF(OR(K176="",K176=A176,A176=""),"",K176&amp;"|"&amp;L176)</f>
        <v/>
      </c>
      <c r="N176">
        <f>IF(M176="","",IF(ISNUMBER(B176),B176,IFERROR(_xlfn.NUMBERVALUE(B176,".",","),0)))</f>
        <v/>
      </c>
      <c r="O176">
        <f>IF(M176="","",IF(ISNUMBER(C176),C176,IFERROR(_xlfn.NUMBERVALUE(C176,".",","),0)))</f>
        <v/>
      </c>
    </row>
    <row r="177">
      <c r="K177">
        <f>IF(OR(LEFT(B177,9)="DOANH THU",LEFT(B177,8)="SỐ LƯỢNG"),A177,IF(A177="","",K176))</f>
        <v/>
      </c>
      <c r="L177">
        <f>IF(A177="","",IF(ISNUMBER(--LEFT(A177,FIND(" - ",A177&amp;" - ")-1)),LEFT(A177,FIND(" - ",A177&amp;" - ")-1),TRIM(A177)))</f>
        <v/>
      </c>
      <c r="M177">
        <f>IF(OR(K177="",K177=A177,A177=""),"",K177&amp;"|"&amp;L177)</f>
        <v/>
      </c>
      <c r="N177">
        <f>IF(M177="","",IF(ISNUMBER(B177),B177,IFERROR(_xlfn.NUMBERVALUE(B177,".",","),0)))</f>
        <v/>
      </c>
      <c r="O177">
        <f>IF(M177="","",IF(ISNUMBER(C177),C177,IFERROR(_xlfn.NUMBERVALUE(C177,".",","),0)))</f>
        <v/>
      </c>
    </row>
    <row r="178">
      <c r="K178">
        <f>IF(OR(LEFT(B178,9)="DOANH THU",LEFT(B178,8)="SỐ LƯỢNG"),A178,IF(A178="","",K177))</f>
        <v/>
      </c>
      <c r="L178">
        <f>IF(A178="","",IF(ISNUMBER(--LEFT(A178,FIND(" - ",A178&amp;" - ")-1)),LEFT(A178,FIND(" - ",A178&amp;" - ")-1),TRIM(A178)))</f>
        <v/>
      </c>
      <c r="M178">
        <f>IF(OR(K178="",K178=A178,A178=""),"",K178&amp;"|"&amp;L178)</f>
        <v/>
      </c>
      <c r="N178">
        <f>IF(M178="","",IF(ISNUMBER(B178),B178,IFERROR(_xlfn.NUMBERVALUE(B178,".",","),0)))</f>
        <v/>
      </c>
      <c r="O178">
        <f>IF(M178="","",IF(ISNUMBER(C178),C178,IFERROR(_xlfn.NUMBERVALUE(C178,".",","),0)))</f>
        <v/>
      </c>
    </row>
    <row r="179">
      <c r="K179">
        <f>IF(OR(LEFT(B179,9)="DOANH THU",LEFT(B179,8)="SỐ LƯỢNG"),A179,IF(A179="","",K178))</f>
        <v/>
      </c>
      <c r="L179">
        <f>IF(A179="","",IF(ISNUMBER(--LEFT(A179,FIND(" - ",A179&amp;" - ")-1)),LEFT(A179,FIND(" - ",A179&amp;" - ")-1),TRIM(A179)))</f>
        <v/>
      </c>
      <c r="M179">
        <f>IF(OR(K179="",K179=A179,A179=""),"",K179&amp;"|"&amp;L179)</f>
        <v/>
      </c>
      <c r="N179">
        <f>IF(M179="","",IF(ISNUMBER(B179),B179,IFERROR(_xlfn.NUMBERVALUE(B179,".",","),0)))</f>
        <v/>
      </c>
      <c r="O179">
        <f>IF(M179="","",IF(ISNUMBER(C179),C179,IFERROR(_xlfn.NUMBERVALUE(C179,".",","),0)))</f>
        <v/>
      </c>
    </row>
    <row r="180">
      <c r="K180">
        <f>IF(OR(LEFT(B180,9)="DOANH THU",LEFT(B180,8)="SỐ LƯỢNG"),A180,IF(A180="","",K179))</f>
        <v/>
      </c>
      <c r="L180">
        <f>IF(A180="","",IF(ISNUMBER(--LEFT(A180,FIND(" - ",A180&amp;" - ")-1)),LEFT(A180,FIND(" - ",A180&amp;" - ")-1),TRIM(A180)))</f>
        <v/>
      </c>
      <c r="M180">
        <f>IF(OR(K180="",K180=A180,A180=""),"",K180&amp;"|"&amp;L180)</f>
        <v/>
      </c>
      <c r="N180">
        <f>IF(M180="","",IF(ISNUMBER(B180),B180,IFERROR(_xlfn.NUMBERVALUE(B180,".",","),0)))</f>
        <v/>
      </c>
      <c r="O180">
        <f>IF(M180="","",IF(ISNUMBER(C180),C180,IFERROR(_xlfn.NUMBERVALUE(C180,".",","),0)))</f>
        <v/>
      </c>
    </row>
    <row r="181">
      <c r="K181">
        <f>IF(OR(LEFT(B181,9)="DOANH THU",LEFT(B181,8)="SỐ LƯỢNG"),A181,IF(A181="","",K180))</f>
        <v/>
      </c>
      <c r="L181">
        <f>IF(A181="","",IF(ISNUMBER(--LEFT(A181,FIND(" - ",A181&amp;" - ")-1)),LEFT(A181,FIND(" - ",A181&amp;" - ")-1),TRIM(A181)))</f>
        <v/>
      </c>
      <c r="M181">
        <f>IF(OR(K181="",K181=A181,A181=""),"",K181&amp;"|"&amp;L181)</f>
        <v/>
      </c>
      <c r="N181">
        <f>IF(M181="","",IF(ISNUMBER(B181),B181,IFERROR(_xlfn.NUMBERVALUE(B181,".",","),0)))</f>
        <v/>
      </c>
      <c r="O181">
        <f>IF(M181="","",IF(ISNUMBER(C181),C181,IFERROR(_xlfn.NUMBERVALUE(C181,".",","),0)))</f>
        <v/>
      </c>
    </row>
    <row r="182">
      <c r="K182">
        <f>IF(OR(LEFT(B182,9)="DOANH THU",LEFT(B182,8)="SỐ LƯỢNG"),A182,IF(A182="","",K181))</f>
        <v/>
      </c>
      <c r="L182">
        <f>IF(A182="","",IF(ISNUMBER(--LEFT(A182,FIND(" - ",A182&amp;" - ")-1)),LEFT(A182,FIND(" - ",A182&amp;" - ")-1),TRIM(A182)))</f>
        <v/>
      </c>
      <c r="M182">
        <f>IF(OR(K182="",K182=A182,A182=""),"",K182&amp;"|"&amp;L182)</f>
        <v/>
      </c>
      <c r="N182">
        <f>IF(M182="","",IF(ISNUMBER(B182),B182,IFERROR(_xlfn.NUMBERVALUE(B182,".",","),0)))</f>
        <v/>
      </c>
      <c r="O182">
        <f>IF(M182="","",IF(ISNUMBER(C182),C182,IFERROR(_xlfn.NUMBERVALUE(C182,".",","),0)))</f>
        <v/>
      </c>
    </row>
    <row r="183">
      <c r="K183">
        <f>IF(OR(LEFT(B183,9)="DOANH THU",LEFT(B183,8)="SỐ LƯỢNG"),A183,IF(A183="","",K182))</f>
        <v/>
      </c>
      <c r="L183">
        <f>IF(A183="","",IF(ISNUMBER(--LEFT(A183,FIND(" - ",A183&amp;" - ")-1)),LEFT(A183,FIND(" - ",A183&amp;" - ")-1),TRIM(A183)))</f>
        <v/>
      </c>
      <c r="M183">
        <f>IF(OR(K183="",K183=A183,A183=""),"",K183&amp;"|"&amp;L183)</f>
        <v/>
      </c>
      <c r="N183">
        <f>IF(M183="","",IF(ISNUMBER(B183),B183,IFERROR(_xlfn.NUMBERVALUE(B183,".",","),0)))</f>
        <v/>
      </c>
      <c r="O183">
        <f>IF(M183="","",IF(ISNUMBER(C183),C183,IFERROR(_xlfn.NUMBERVALUE(C183,".",","),0)))</f>
        <v/>
      </c>
    </row>
    <row r="184">
      <c r="K184">
        <f>IF(OR(LEFT(B184,9)="DOANH THU",LEFT(B184,8)="SỐ LƯỢNG"),A184,IF(A184="","",K183))</f>
        <v/>
      </c>
      <c r="L184">
        <f>IF(A184="","",IF(ISNUMBER(--LEFT(A184,FIND(" - ",A184&amp;" - ")-1)),LEFT(A184,FIND(" - ",A184&amp;" - ")-1),TRIM(A184)))</f>
        <v/>
      </c>
      <c r="M184">
        <f>IF(OR(K184="",K184=A184,A184=""),"",K184&amp;"|"&amp;L184)</f>
        <v/>
      </c>
      <c r="N184">
        <f>IF(M184="","",IF(ISNUMBER(B184),B184,IFERROR(_xlfn.NUMBERVALUE(B184,".",","),0)))</f>
        <v/>
      </c>
      <c r="O184">
        <f>IF(M184="","",IF(ISNUMBER(C184),C184,IFERROR(_xlfn.NUMBERVALUE(C184,".",","),0)))</f>
        <v/>
      </c>
    </row>
    <row r="185">
      <c r="K185">
        <f>IF(OR(LEFT(B185,9)="DOANH THU",LEFT(B185,8)="SỐ LƯỢNG"),A185,IF(A185="","",K184))</f>
        <v/>
      </c>
      <c r="L185">
        <f>IF(A185="","",IF(ISNUMBER(--LEFT(A185,FIND(" - ",A185&amp;" - ")-1)),LEFT(A185,FIND(" - ",A185&amp;" - ")-1),TRIM(A185)))</f>
        <v/>
      </c>
      <c r="M185">
        <f>IF(OR(K185="",K185=A185,A185=""),"",K185&amp;"|"&amp;L185)</f>
        <v/>
      </c>
      <c r="N185">
        <f>IF(M185="","",IF(ISNUMBER(B185),B185,IFERROR(_xlfn.NUMBERVALUE(B185,".",","),0)))</f>
        <v/>
      </c>
      <c r="O185">
        <f>IF(M185="","",IF(ISNUMBER(C185),C185,IFERROR(_xlfn.NUMBERVALUE(C185,".",","),0)))</f>
        <v/>
      </c>
    </row>
    <row r="186">
      <c r="K186">
        <f>IF(OR(LEFT(B186,9)="DOANH THU",LEFT(B186,8)="SỐ LƯỢNG"),A186,IF(A186="","",K185))</f>
        <v/>
      </c>
      <c r="L186">
        <f>IF(A186="","",IF(ISNUMBER(--LEFT(A186,FIND(" - ",A186&amp;" - ")-1)),LEFT(A186,FIND(" - ",A186&amp;" - ")-1),TRIM(A186)))</f>
        <v/>
      </c>
      <c r="M186">
        <f>IF(OR(K186="",K186=A186,A186=""),"",K186&amp;"|"&amp;L186)</f>
        <v/>
      </c>
      <c r="N186">
        <f>IF(M186="","",IF(ISNUMBER(B186),B186,IFERROR(_xlfn.NUMBERVALUE(B186,".",","),0)))</f>
        <v/>
      </c>
      <c r="O186">
        <f>IF(M186="","",IF(ISNUMBER(C186),C186,IFERROR(_xlfn.NUMBERVALUE(C186,".",","),0)))</f>
        <v/>
      </c>
    </row>
    <row r="187">
      <c r="K187">
        <f>IF(OR(LEFT(B187,9)="DOANH THU",LEFT(B187,8)="SỐ LƯỢNG"),A187,IF(A187="","",K186))</f>
        <v/>
      </c>
      <c r="L187">
        <f>IF(A187="","",IF(ISNUMBER(--LEFT(A187,FIND(" - ",A187&amp;" - ")-1)),LEFT(A187,FIND(" - ",A187&amp;" - ")-1),TRIM(A187)))</f>
        <v/>
      </c>
      <c r="M187">
        <f>IF(OR(K187="",K187=A187,A187=""),"",K187&amp;"|"&amp;L187)</f>
        <v/>
      </c>
      <c r="N187">
        <f>IF(M187="","",IF(ISNUMBER(B187),B187,IFERROR(_xlfn.NUMBERVALUE(B187,".",","),0)))</f>
        <v/>
      </c>
      <c r="O187">
        <f>IF(M187="","",IF(ISNUMBER(C187),C187,IFERROR(_xlfn.NUMBERVALUE(C187,".",","),0)))</f>
        <v/>
      </c>
    </row>
    <row r="188">
      <c r="K188">
        <f>IF(OR(LEFT(B188,9)="DOANH THU",LEFT(B188,8)="SỐ LƯỢNG"),A188,IF(A188="","",K187))</f>
        <v/>
      </c>
      <c r="L188">
        <f>IF(A188="","",IF(ISNUMBER(--LEFT(A188,FIND(" - ",A188&amp;" - ")-1)),LEFT(A188,FIND(" - ",A188&amp;" - ")-1),TRIM(A188)))</f>
        <v/>
      </c>
      <c r="M188">
        <f>IF(OR(K188="",K188=A188,A188=""),"",K188&amp;"|"&amp;L188)</f>
        <v/>
      </c>
      <c r="N188">
        <f>IF(M188="","",IF(ISNUMBER(B188),B188,IFERROR(_xlfn.NUMBERVALUE(B188,".",","),0)))</f>
        <v/>
      </c>
      <c r="O188">
        <f>IF(M188="","",IF(ISNUMBER(C188),C188,IFERROR(_xlfn.NUMBERVALUE(C188,".",","),0)))</f>
        <v/>
      </c>
    </row>
    <row r="189">
      <c r="K189">
        <f>IF(OR(LEFT(B189,9)="DOANH THU",LEFT(B189,8)="SỐ LƯỢNG"),A189,IF(A189="","",K188))</f>
        <v/>
      </c>
      <c r="L189">
        <f>IF(A189="","",IF(ISNUMBER(--LEFT(A189,FIND(" - ",A189&amp;" - ")-1)),LEFT(A189,FIND(" - ",A189&amp;" - ")-1),TRIM(A189)))</f>
        <v/>
      </c>
      <c r="M189">
        <f>IF(OR(K189="",K189=A189,A189=""),"",K189&amp;"|"&amp;L189)</f>
        <v/>
      </c>
      <c r="N189">
        <f>IF(M189="","",IF(ISNUMBER(B189),B189,IFERROR(_xlfn.NUMBERVALUE(B189,".",","),0)))</f>
        <v/>
      </c>
      <c r="O189">
        <f>IF(M189="","",IF(ISNUMBER(C189),C189,IFERROR(_xlfn.NUMBERVALUE(C189,".",","),0)))</f>
        <v/>
      </c>
    </row>
    <row r="190">
      <c r="K190">
        <f>IF(OR(LEFT(B190,9)="DOANH THU",LEFT(B190,8)="SỐ LƯỢNG"),A190,IF(A190="","",K189))</f>
        <v/>
      </c>
      <c r="L190">
        <f>IF(A190="","",IF(ISNUMBER(--LEFT(A190,FIND(" - ",A190&amp;" - ")-1)),LEFT(A190,FIND(" - ",A190&amp;" - ")-1),TRIM(A190)))</f>
        <v/>
      </c>
      <c r="M190">
        <f>IF(OR(K190="",K190=A190,A190=""),"",K190&amp;"|"&amp;L190)</f>
        <v/>
      </c>
      <c r="N190">
        <f>IF(M190="","",IF(ISNUMBER(B190),B190,IFERROR(_xlfn.NUMBERVALUE(B190,".",","),0)))</f>
        <v/>
      </c>
      <c r="O190">
        <f>IF(M190="","",IF(ISNUMBER(C190),C190,IFERROR(_xlfn.NUMBERVALUE(C190,".",","),0)))</f>
        <v/>
      </c>
    </row>
    <row r="191">
      <c r="K191">
        <f>IF(OR(LEFT(B191,9)="DOANH THU",LEFT(B191,8)="SỐ LƯỢNG"),A191,IF(A191="","",K190))</f>
        <v/>
      </c>
      <c r="L191">
        <f>IF(A191="","",IF(ISNUMBER(--LEFT(A191,FIND(" - ",A191&amp;" - ")-1)),LEFT(A191,FIND(" - ",A191&amp;" - ")-1),TRIM(A191)))</f>
        <v/>
      </c>
      <c r="M191">
        <f>IF(OR(K191="",K191=A191,A191=""),"",K191&amp;"|"&amp;L191)</f>
        <v/>
      </c>
      <c r="N191">
        <f>IF(M191="","",IF(ISNUMBER(B191),B191,IFERROR(_xlfn.NUMBERVALUE(B191,".",","),0)))</f>
        <v/>
      </c>
      <c r="O191">
        <f>IF(M191="","",IF(ISNUMBER(C191),C191,IFERROR(_xlfn.NUMBERVALUE(C191,".",","),0)))</f>
        <v/>
      </c>
    </row>
    <row r="192">
      <c r="K192">
        <f>IF(OR(LEFT(B192,9)="DOANH THU",LEFT(B192,8)="SỐ LƯỢNG"),A192,IF(A192="","",K191))</f>
        <v/>
      </c>
      <c r="L192">
        <f>IF(A192="","",IF(ISNUMBER(--LEFT(A192,FIND(" - ",A192&amp;" - ")-1)),LEFT(A192,FIND(" - ",A192&amp;" - ")-1),TRIM(A192)))</f>
        <v/>
      </c>
      <c r="M192">
        <f>IF(OR(K192="",K192=A192,A192=""),"",K192&amp;"|"&amp;L192)</f>
        <v/>
      </c>
      <c r="N192">
        <f>IF(M192="","",IF(ISNUMBER(B192),B192,IFERROR(_xlfn.NUMBERVALUE(B192,".",","),0)))</f>
        <v/>
      </c>
      <c r="O192">
        <f>IF(M192="","",IF(ISNUMBER(C192),C192,IFERROR(_xlfn.NUMBERVALUE(C192,".",","),0)))</f>
        <v/>
      </c>
    </row>
    <row r="193">
      <c r="K193">
        <f>IF(OR(LEFT(B193,9)="DOANH THU",LEFT(B193,8)="SỐ LƯỢNG"),A193,IF(A193="","",K192))</f>
        <v/>
      </c>
      <c r="L193">
        <f>IF(A193="","",IF(ISNUMBER(--LEFT(A193,FIND(" - ",A193&amp;" - ")-1)),LEFT(A193,FIND(" - ",A193&amp;" - ")-1),TRIM(A193)))</f>
        <v/>
      </c>
      <c r="M193">
        <f>IF(OR(K193="",K193=A193,A193=""),"",K193&amp;"|"&amp;L193)</f>
        <v/>
      </c>
      <c r="N193">
        <f>IF(M193="","",IF(ISNUMBER(B193),B193,IFERROR(_xlfn.NUMBERVALUE(B193,".",","),0)))</f>
        <v/>
      </c>
      <c r="O193">
        <f>IF(M193="","",IF(ISNUMBER(C193),C193,IFERROR(_xlfn.NUMBERVALUE(C193,".",","),0)))</f>
        <v/>
      </c>
    </row>
    <row r="194">
      <c r="K194">
        <f>IF(OR(LEFT(B194,9)="DOANH THU",LEFT(B194,8)="SỐ LƯỢNG"),A194,IF(A194="","",K193))</f>
        <v/>
      </c>
      <c r="L194">
        <f>IF(A194="","",IF(ISNUMBER(--LEFT(A194,FIND(" - ",A194&amp;" - ")-1)),LEFT(A194,FIND(" - ",A194&amp;" - ")-1),TRIM(A194)))</f>
        <v/>
      </c>
      <c r="M194">
        <f>IF(OR(K194="",K194=A194,A194=""),"",K194&amp;"|"&amp;L194)</f>
        <v/>
      </c>
      <c r="N194">
        <f>IF(M194="","",IF(ISNUMBER(B194),B194,IFERROR(_xlfn.NUMBERVALUE(B194,".",","),0)))</f>
        <v/>
      </c>
      <c r="O194">
        <f>IF(M194="","",IF(ISNUMBER(C194),C194,IFERROR(_xlfn.NUMBERVALUE(C194,".",","),0)))</f>
        <v/>
      </c>
    </row>
    <row r="195">
      <c r="K195">
        <f>IF(OR(LEFT(B195,9)="DOANH THU",LEFT(B195,8)="SỐ LƯỢNG"),A195,IF(A195="","",K194))</f>
        <v/>
      </c>
      <c r="L195">
        <f>IF(A195="","",IF(ISNUMBER(--LEFT(A195,FIND(" - ",A195&amp;" - ")-1)),LEFT(A195,FIND(" - ",A195&amp;" - ")-1),TRIM(A195)))</f>
        <v/>
      </c>
      <c r="M195">
        <f>IF(OR(K195="",K195=A195,A195=""),"",K195&amp;"|"&amp;L195)</f>
        <v/>
      </c>
      <c r="N195">
        <f>IF(M195="","",IF(ISNUMBER(B195),B195,IFERROR(_xlfn.NUMBERVALUE(B195,".",","),0)))</f>
        <v/>
      </c>
      <c r="O195">
        <f>IF(M195="","",IF(ISNUMBER(C195),C195,IFERROR(_xlfn.NUMBERVALUE(C195,".",","),0)))</f>
        <v/>
      </c>
    </row>
    <row r="196">
      <c r="K196">
        <f>IF(OR(LEFT(B196,9)="DOANH THU",LEFT(B196,8)="SỐ LƯỢNG"),A196,IF(A196="","",K195))</f>
        <v/>
      </c>
      <c r="L196">
        <f>IF(A196="","",IF(ISNUMBER(--LEFT(A196,FIND(" - ",A196&amp;" - ")-1)),LEFT(A196,FIND(" - ",A196&amp;" - ")-1),TRIM(A196)))</f>
        <v/>
      </c>
      <c r="M196">
        <f>IF(OR(K196="",K196=A196,A196=""),"",K196&amp;"|"&amp;L196)</f>
        <v/>
      </c>
      <c r="N196">
        <f>IF(M196="","",IF(ISNUMBER(B196),B196,IFERROR(_xlfn.NUMBERVALUE(B196,".",","),0)))</f>
        <v/>
      </c>
      <c r="O196">
        <f>IF(M196="","",IF(ISNUMBER(C196),C196,IFERROR(_xlfn.NUMBERVALUE(C196,".",","),0)))</f>
        <v/>
      </c>
    </row>
    <row r="197">
      <c r="K197">
        <f>IF(OR(LEFT(B197,9)="DOANH THU",LEFT(B197,8)="SỐ LƯỢNG"),A197,IF(A197="","",K196))</f>
        <v/>
      </c>
      <c r="L197">
        <f>IF(A197="","",IF(ISNUMBER(--LEFT(A197,FIND(" - ",A197&amp;" - ")-1)),LEFT(A197,FIND(" - ",A197&amp;" - ")-1),TRIM(A197)))</f>
        <v/>
      </c>
      <c r="M197">
        <f>IF(OR(K197="",K197=A197,A197=""),"",K197&amp;"|"&amp;L197)</f>
        <v/>
      </c>
      <c r="N197">
        <f>IF(M197="","",IF(ISNUMBER(B197),B197,IFERROR(_xlfn.NUMBERVALUE(B197,".",","),0)))</f>
        <v/>
      </c>
      <c r="O197">
        <f>IF(M197="","",IF(ISNUMBER(C197),C197,IFERROR(_xlfn.NUMBERVALUE(C197,".",","),0)))</f>
        <v/>
      </c>
    </row>
    <row r="198">
      <c r="K198">
        <f>IF(OR(LEFT(B198,9)="DOANH THU",LEFT(B198,8)="SỐ LƯỢNG"),A198,IF(A198="","",K197))</f>
        <v/>
      </c>
      <c r="L198">
        <f>IF(A198="","",IF(ISNUMBER(--LEFT(A198,FIND(" - ",A198&amp;" - ")-1)),LEFT(A198,FIND(" - ",A198&amp;" - ")-1),TRIM(A198)))</f>
        <v/>
      </c>
      <c r="M198">
        <f>IF(OR(K198="",K198=A198,A198=""),"",K198&amp;"|"&amp;L198)</f>
        <v/>
      </c>
      <c r="N198">
        <f>IF(M198="","",IF(ISNUMBER(B198),B198,IFERROR(_xlfn.NUMBERVALUE(B198,".",","),0)))</f>
        <v/>
      </c>
      <c r="O198">
        <f>IF(M198="","",IF(ISNUMBER(C198),C198,IFERROR(_xlfn.NUMBERVALUE(C198,".",","),0)))</f>
        <v/>
      </c>
    </row>
    <row r="199">
      <c r="K199">
        <f>IF(OR(LEFT(B199,9)="DOANH THU",LEFT(B199,8)="SỐ LƯỢNG"),A199,IF(A199="","",K198))</f>
        <v/>
      </c>
      <c r="L199">
        <f>IF(A199="","",IF(ISNUMBER(--LEFT(A199,FIND(" - ",A199&amp;" - ")-1)),LEFT(A199,FIND(" - ",A199&amp;" - ")-1),TRIM(A199)))</f>
        <v/>
      </c>
      <c r="M199">
        <f>IF(OR(K199="",K199=A199,A199=""),"",K199&amp;"|"&amp;L199)</f>
        <v/>
      </c>
      <c r="N199">
        <f>IF(M199="","",IF(ISNUMBER(B199),B199,IFERROR(_xlfn.NUMBERVALUE(B199,".",","),0)))</f>
        <v/>
      </c>
      <c r="O199">
        <f>IF(M199="","",IF(ISNUMBER(C199),C199,IFERROR(_xlfn.NUMBERVALUE(C199,".",","),0)))</f>
        <v/>
      </c>
    </row>
    <row r="200">
      <c r="K200">
        <f>IF(OR(LEFT(B200,9)="DOANH THU",LEFT(B200,8)="SỐ LƯỢNG"),A200,IF(A200="","",K199))</f>
        <v/>
      </c>
      <c r="L200">
        <f>IF(A200="","",IF(ISNUMBER(--LEFT(A200,FIND(" - ",A200&amp;" - ")-1)),LEFT(A200,FIND(" - ",A200&amp;" - ")-1),TRIM(A200)))</f>
        <v/>
      </c>
      <c r="M200">
        <f>IF(OR(K200="",K200=A200,A200=""),"",K200&amp;"|"&amp;L200)</f>
        <v/>
      </c>
      <c r="N200">
        <f>IF(M200="","",IF(ISNUMBER(B200),B200,IFERROR(_xlfn.NUMBERVALUE(B200,".",","),0)))</f>
        <v/>
      </c>
      <c r="O200">
        <f>IF(M200="","",IF(ISNUMBER(C200),C200,IFERROR(_xlfn.NUMBERVALUE(C200,".",","),0)))</f>
        <v/>
      </c>
    </row>
    <row r="201">
      <c r="K201">
        <f>IF(OR(LEFT(B201,9)="DOANH THU",LEFT(B201,8)="SỐ LƯỢNG"),A201,IF(A201="","",K200))</f>
        <v/>
      </c>
      <c r="L201">
        <f>IF(A201="","",IF(ISNUMBER(--LEFT(A201,FIND(" - ",A201&amp;" - ")-1)),LEFT(A201,FIND(" - ",A201&amp;" - ")-1),TRIM(A201)))</f>
        <v/>
      </c>
      <c r="M201">
        <f>IF(OR(K201="",K201=A201,A201=""),"",K201&amp;"|"&amp;L201)</f>
        <v/>
      </c>
      <c r="N201">
        <f>IF(M201="","",IF(ISNUMBER(B201),B201,IFERROR(_xlfn.NUMBERVALUE(B201,".",","),0)))</f>
        <v/>
      </c>
      <c r="O201">
        <f>IF(M201="","",IF(ISNUMBER(C201),C201,IFERROR(_xlfn.NUMBERVALUE(C201,".",","),0)))</f>
        <v/>
      </c>
    </row>
    <row r="202">
      <c r="K202">
        <f>IF(OR(LEFT(B202,9)="DOANH THU",LEFT(B202,8)="SỐ LƯỢNG"),A202,IF(A202="","",K201))</f>
        <v/>
      </c>
      <c r="L202">
        <f>IF(A202="","",IF(ISNUMBER(--LEFT(A202,FIND(" - ",A202&amp;" - ")-1)),LEFT(A202,FIND(" - ",A202&amp;" - ")-1),TRIM(A202)))</f>
        <v/>
      </c>
      <c r="M202">
        <f>IF(OR(K202="",K202=A202,A202=""),"",K202&amp;"|"&amp;L202)</f>
        <v/>
      </c>
      <c r="N202">
        <f>IF(M202="","",IF(ISNUMBER(B202),B202,IFERROR(_xlfn.NUMBERVALUE(B202,".",","),0)))</f>
        <v/>
      </c>
      <c r="O202">
        <f>IF(M202="","",IF(ISNUMBER(C202),C202,IFERROR(_xlfn.NUMBERVALUE(C202,".",","),0)))</f>
        <v/>
      </c>
    </row>
    <row r="203">
      <c r="K203">
        <f>IF(OR(LEFT(B203,9)="DOANH THU",LEFT(B203,8)="SỐ LƯỢNG"),A203,IF(A203="","",K202))</f>
        <v/>
      </c>
      <c r="L203">
        <f>IF(A203="","",IF(ISNUMBER(--LEFT(A203,FIND(" - ",A203&amp;" - ")-1)),LEFT(A203,FIND(" - ",A203&amp;" - ")-1),TRIM(A203)))</f>
        <v/>
      </c>
      <c r="M203">
        <f>IF(OR(K203="",K203=A203,A203=""),"",K203&amp;"|"&amp;L203)</f>
        <v/>
      </c>
      <c r="N203">
        <f>IF(M203="","",IF(ISNUMBER(B203),B203,IFERROR(_xlfn.NUMBERVALUE(B203,".",","),0)))</f>
        <v/>
      </c>
      <c r="O203">
        <f>IF(M203="","",IF(ISNUMBER(C203),C203,IFERROR(_xlfn.NUMBERVALUE(C203,".",","),0)))</f>
        <v/>
      </c>
    </row>
    <row r="204">
      <c r="K204">
        <f>IF(OR(LEFT(B204,9)="DOANH THU",LEFT(B204,8)="SỐ LƯỢNG"),A204,IF(A204="","",K203))</f>
        <v/>
      </c>
      <c r="L204">
        <f>IF(A204="","",IF(ISNUMBER(--LEFT(A204,FIND(" - ",A204&amp;" - ")-1)),LEFT(A204,FIND(" - ",A204&amp;" - ")-1),TRIM(A204)))</f>
        <v/>
      </c>
      <c r="M204">
        <f>IF(OR(K204="",K204=A204,A204=""),"",K204&amp;"|"&amp;L204)</f>
        <v/>
      </c>
      <c r="N204">
        <f>IF(M204="","",IF(ISNUMBER(B204),B204,IFERROR(_xlfn.NUMBERVALUE(B204,".",","),0)))</f>
        <v/>
      </c>
      <c r="O204">
        <f>IF(M204="","",IF(ISNUMBER(C204),C204,IFERROR(_xlfn.NUMBERVALUE(C204,".",","),0)))</f>
        <v/>
      </c>
    </row>
    <row r="205">
      <c r="K205">
        <f>IF(OR(LEFT(B205,9)="DOANH THU",LEFT(B205,8)="SỐ LƯỢNG"),A205,IF(A205="","",K204))</f>
        <v/>
      </c>
      <c r="L205">
        <f>IF(A205="","",IF(ISNUMBER(--LEFT(A205,FIND(" - ",A205&amp;" - ")-1)),LEFT(A205,FIND(" - ",A205&amp;" - ")-1),TRIM(A205)))</f>
        <v/>
      </c>
      <c r="M205">
        <f>IF(OR(K205="",K205=A205,A205=""),"",K205&amp;"|"&amp;L205)</f>
        <v/>
      </c>
      <c r="N205">
        <f>IF(M205="","",IF(ISNUMBER(B205),B205,IFERROR(_xlfn.NUMBERVALUE(B205,".",","),0)))</f>
        <v/>
      </c>
      <c r="O205">
        <f>IF(M205="","",IF(ISNUMBER(C205),C205,IFERROR(_xlfn.NUMBERVALUE(C205,".",","),0)))</f>
        <v/>
      </c>
    </row>
    <row r="206">
      <c r="K206">
        <f>IF(OR(LEFT(B206,9)="DOANH THU",LEFT(B206,8)="SỐ LƯỢNG"),A206,IF(A206="","",K205))</f>
        <v/>
      </c>
      <c r="L206">
        <f>IF(A206="","",IF(ISNUMBER(--LEFT(A206,FIND(" - ",A206&amp;" - ")-1)),LEFT(A206,FIND(" - ",A206&amp;" - ")-1),TRIM(A206)))</f>
        <v/>
      </c>
      <c r="M206">
        <f>IF(OR(K206="",K206=A206,A206=""),"",K206&amp;"|"&amp;L206)</f>
        <v/>
      </c>
      <c r="N206">
        <f>IF(M206="","",IF(ISNUMBER(B206),B206,IFERROR(_xlfn.NUMBERVALUE(B206,".",","),0)))</f>
        <v/>
      </c>
      <c r="O206">
        <f>IF(M206="","",IF(ISNUMBER(C206),C206,IFERROR(_xlfn.NUMBERVALUE(C206,".",","),0)))</f>
        <v/>
      </c>
    </row>
    <row r="207">
      <c r="K207">
        <f>IF(OR(LEFT(B207,9)="DOANH THU",LEFT(B207,8)="SỐ LƯỢNG"),A207,IF(A207="","",K206))</f>
        <v/>
      </c>
      <c r="L207">
        <f>IF(A207="","",IF(ISNUMBER(--LEFT(A207,FIND(" - ",A207&amp;" - ")-1)),LEFT(A207,FIND(" - ",A207&amp;" - ")-1),TRIM(A207)))</f>
        <v/>
      </c>
      <c r="M207">
        <f>IF(OR(K207="",K207=A207,A207=""),"",K207&amp;"|"&amp;L207)</f>
        <v/>
      </c>
      <c r="N207">
        <f>IF(M207="","",IF(ISNUMBER(B207),B207,IFERROR(_xlfn.NUMBERVALUE(B207,".",","),0)))</f>
        <v/>
      </c>
      <c r="O207">
        <f>IF(M207="","",IF(ISNUMBER(C207),C207,IFERROR(_xlfn.NUMBERVALUE(C207,".",","),0)))</f>
        <v/>
      </c>
    </row>
    <row r="208">
      <c r="K208">
        <f>IF(OR(LEFT(B208,9)="DOANH THU",LEFT(B208,8)="SỐ LƯỢNG"),A208,IF(A208="","",K207))</f>
        <v/>
      </c>
      <c r="L208">
        <f>IF(A208="","",IF(ISNUMBER(--LEFT(A208,FIND(" - ",A208&amp;" - ")-1)),LEFT(A208,FIND(" - ",A208&amp;" - ")-1),TRIM(A208)))</f>
        <v/>
      </c>
      <c r="M208">
        <f>IF(OR(K208="",K208=A208,A208=""),"",K208&amp;"|"&amp;L208)</f>
        <v/>
      </c>
      <c r="N208">
        <f>IF(M208="","",IF(ISNUMBER(B208),B208,IFERROR(_xlfn.NUMBERVALUE(B208,".",","),0)))</f>
        <v/>
      </c>
      <c r="O208">
        <f>IF(M208="","",IF(ISNUMBER(C208),C208,IFERROR(_xlfn.NUMBERVALUE(C208,".",","),0)))</f>
        <v/>
      </c>
    </row>
    <row r="209">
      <c r="K209">
        <f>IF(OR(LEFT(B209,9)="DOANH THU",LEFT(B209,8)="SỐ LƯỢNG"),A209,IF(A209="","",K208))</f>
        <v/>
      </c>
      <c r="L209">
        <f>IF(A209="","",IF(ISNUMBER(--LEFT(A209,FIND(" - ",A209&amp;" - ")-1)),LEFT(A209,FIND(" - ",A209&amp;" - ")-1),TRIM(A209)))</f>
        <v/>
      </c>
      <c r="M209">
        <f>IF(OR(K209="",K209=A209,A209=""),"",K209&amp;"|"&amp;L209)</f>
        <v/>
      </c>
      <c r="N209">
        <f>IF(M209="","",IF(ISNUMBER(B209),B209,IFERROR(_xlfn.NUMBERVALUE(B209,".",","),0)))</f>
        <v/>
      </c>
      <c r="O209">
        <f>IF(M209="","",IF(ISNUMBER(C209),C209,IFERROR(_xlfn.NUMBERVALUE(C209,".",","),0)))</f>
        <v/>
      </c>
    </row>
    <row r="210">
      <c r="K210">
        <f>IF(OR(LEFT(B210,9)="DOANH THU",LEFT(B210,8)="SỐ LƯỢNG"),A210,IF(A210="","",K209))</f>
        <v/>
      </c>
      <c r="L210">
        <f>IF(A210="","",IF(ISNUMBER(--LEFT(A210,FIND(" - ",A210&amp;" - ")-1)),LEFT(A210,FIND(" - ",A210&amp;" - ")-1),TRIM(A210)))</f>
        <v/>
      </c>
      <c r="M210">
        <f>IF(OR(K210="",K210=A210,A210=""),"",K210&amp;"|"&amp;L210)</f>
        <v/>
      </c>
      <c r="N210">
        <f>IF(M210="","",IF(ISNUMBER(B210),B210,IFERROR(_xlfn.NUMBERVALUE(B210,".",","),0)))</f>
        <v/>
      </c>
      <c r="O210">
        <f>IF(M210="","",IF(ISNUMBER(C210),C210,IFERROR(_xlfn.NUMBERVALUE(C210,".",","),0)))</f>
        <v/>
      </c>
    </row>
    <row r="211">
      <c r="K211">
        <f>IF(OR(LEFT(B211,9)="DOANH THU",LEFT(B211,8)="SỐ LƯỢNG"),A211,IF(A211="","",K210))</f>
        <v/>
      </c>
      <c r="L211">
        <f>IF(A211="","",IF(ISNUMBER(--LEFT(A211,FIND(" - ",A211&amp;" - ")-1)),LEFT(A211,FIND(" - ",A211&amp;" - ")-1),TRIM(A211)))</f>
        <v/>
      </c>
      <c r="M211">
        <f>IF(OR(K211="",K211=A211,A211=""),"",K211&amp;"|"&amp;L211)</f>
        <v/>
      </c>
      <c r="N211">
        <f>IF(M211="","",IF(ISNUMBER(B211),B211,IFERROR(_xlfn.NUMBERVALUE(B211,".",","),0)))</f>
        <v/>
      </c>
      <c r="O211">
        <f>IF(M211="","",IF(ISNUMBER(C211),C211,IFERROR(_xlfn.NUMBERVALUE(C211,".",","),0)))</f>
        <v/>
      </c>
    </row>
    <row r="212">
      <c r="K212">
        <f>IF(OR(LEFT(B212,9)="DOANH THU",LEFT(B212,8)="SỐ LƯỢNG"),A212,IF(A212="","",K211))</f>
        <v/>
      </c>
      <c r="L212">
        <f>IF(A212="","",IF(ISNUMBER(--LEFT(A212,FIND(" - ",A212&amp;" - ")-1)),LEFT(A212,FIND(" - ",A212&amp;" - ")-1),TRIM(A212)))</f>
        <v/>
      </c>
      <c r="M212">
        <f>IF(OR(K212="",K212=A212,A212=""),"",K212&amp;"|"&amp;L212)</f>
        <v/>
      </c>
      <c r="N212">
        <f>IF(M212="","",IF(ISNUMBER(B212),B212,IFERROR(_xlfn.NUMBERVALUE(B212,".",","),0)))</f>
        <v/>
      </c>
      <c r="O212">
        <f>IF(M212="","",IF(ISNUMBER(C212),C212,IFERROR(_xlfn.NUMBERVALUE(C212,".",","),0)))</f>
        <v/>
      </c>
    </row>
    <row r="213">
      <c r="K213">
        <f>IF(OR(LEFT(B213,9)="DOANH THU",LEFT(B213,8)="SỐ LƯỢNG"),A213,IF(A213="","",K212))</f>
        <v/>
      </c>
      <c r="L213">
        <f>IF(A213="","",IF(ISNUMBER(--LEFT(A213,FIND(" - ",A213&amp;" - ")-1)),LEFT(A213,FIND(" - ",A213&amp;" - ")-1),TRIM(A213)))</f>
        <v/>
      </c>
      <c r="M213">
        <f>IF(OR(K213="",K213=A213,A213=""),"",K213&amp;"|"&amp;L213)</f>
        <v/>
      </c>
      <c r="N213">
        <f>IF(M213="","",IF(ISNUMBER(B213),B213,IFERROR(_xlfn.NUMBERVALUE(B213,".",","),0)))</f>
        <v/>
      </c>
      <c r="O213">
        <f>IF(M213="","",IF(ISNUMBER(C213),C213,IFERROR(_xlfn.NUMBERVALUE(C213,".",","),0)))</f>
        <v/>
      </c>
    </row>
    <row r="214">
      <c r="K214">
        <f>IF(OR(LEFT(B214,9)="DOANH THU",LEFT(B214,8)="SỐ LƯỢNG"),A214,IF(A214="","",K213))</f>
        <v/>
      </c>
      <c r="L214">
        <f>IF(A214="","",IF(ISNUMBER(--LEFT(A214,FIND(" - ",A214&amp;" - ")-1)),LEFT(A214,FIND(" - ",A214&amp;" - ")-1),TRIM(A214)))</f>
        <v/>
      </c>
      <c r="M214">
        <f>IF(OR(K214="",K214=A214,A214=""),"",K214&amp;"|"&amp;L214)</f>
        <v/>
      </c>
      <c r="N214">
        <f>IF(M214="","",IF(ISNUMBER(B214),B214,IFERROR(_xlfn.NUMBERVALUE(B214,".",","),0)))</f>
        <v/>
      </c>
      <c r="O214">
        <f>IF(M214="","",IF(ISNUMBER(C214),C214,IFERROR(_xlfn.NUMBERVALUE(C214,".",","),0)))</f>
        <v/>
      </c>
    </row>
    <row r="215">
      <c r="K215">
        <f>IF(OR(LEFT(B215,9)="DOANH THU",LEFT(B215,8)="SỐ LƯỢNG"),A215,IF(A215="","",K214))</f>
        <v/>
      </c>
      <c r="L215">
        <f>IF(A215="","",IF(ISNUMBER(--LEFT(A215,FIND(" - ",A215&amp;" - ")-1)),LEFT(A215,FIND(" - ",A215&amp;" - ")-1),TRIM(A215)))</f>
        <v/>
      </c>
      <c r="M215">
        <f>IF(OR(K215="",K215=A215,A215=""),"",K215&amp;"|"&amp;L215)</f>
        <v/>
      </c>
      <c r="N215">
        <f>IF(M215="","",IF(ISNUMBER(B215),B215,IFERROR(_xlfn.NUMBERVALUE(B215,".",","),0)))</f>
        <v/>
      </c>
      <c r="O215">
        <f>IF(M215="","",IF(ISNUMBER(C215),C215,IFERROR(_xlfn.NUMBERVALUE(C215,".",","),0)))</f>
        <v/>
      </c>
    </row>
    <row r="216">
      <c r="K216">
        <f>IF(OR(LEFT(B216,9)="DOANH THU",LEFT(B216,8)="SỐ LƯỢNG"),A216,IF(A216="","",K215))</f>
        <v/>
      </c>
      <c r="L216">
        <f>IF(A216="","",IF(ISNUMBER(--LEFT(A216,FIND(" - ",A216&amp;" - ")-1)),LEFT(A216,FIND(" - ",A216&amp;" - ")-1),TRIM(A216)))</f>
        <v/>
      </c>
      <c r="M216">
        <f>IF(OR(K216="",K216=A216,A216=""),"",K216&amp;"|"&amp;L216)</f>
        <v/>
      </c>
      <c r="N216">
        <f>IF(M216="","",IF(ISNUMBER(B216),B216,IFERROR(_xlfn.NUMBERVALUE(B216,".",","),0)))</f>
        <v/>
      </c>
      <c r="O216">
        <f>IF(M216="","",IF(ISNUMBER(C216),C216,IFERROR(_xlfn.NUMBERVALUE(C216,".",","),0)))</f>
        <v/>
      </c>
    </row>
    <row r="217">
      <c r="K217">
        <f>IF(OR(LEFT(B217,9)="DOANH THU",LEFT(B217,8)="SỐ LƯỢNG"),A217,IF(A217="","",K216))</f>
        <v/>
      </c>
      <c r="L217">
        <f>IF(A217="","",IF(ISNUMBER(--LEFT(A217,FIND(" - ",A217&amp;" - ")-1)),LEFT(A217,FIND(" - ",A217&amp;" - ")-1),TRIM(A217)))</f>
        <v/>
      </c>
      <c r="M217">
        <f>IF(OR(K217="",K217=A217,A217=""),"",K217&amp;"|"&amp;L217)</f>
        <v/>
      </c>
      <c r="N217">
        <f>IF(M217="","",IF(ISNUMBER(B217),B217,IFERROR(_xlfn.NUMBERVALUE(B217,".",","),0)))</f>
        <v/>
      </c>
      <c r="O217">
        <f>IF(M217="","",IF(ISNUMBER(C217),C217,IFERROR(_xlfn.NUMBERVALUE(C217,".",","),0)))</f>
        <v/>
      </c>
    </row>
    <row r="218">
      <c r="K218">
        <f>IF(OR(LEFT(B218,9)="DOANH THU",LEFT(B218,8)="SỐ LƯỢNG"),A218,IF(A218="","",K217))</f>
        <v/>
      </c>
      <c r="L218">
        <f>IF(A218="","",IF(ISNUMBER(--LEFT(A218,FIND(" - ",A218&amp;" - ")-1)),LEFT(A218,FIND(" - ",A218&amp;" - ")-1),TRIM(A218)))</f>
        <v/>
      </c>
      <c r="M218">
        <f>IF(OR(K218="",K218=A218,A218=""),"",K218&amp;"|"&amp;L218)</f>
        <v/>
      </c>
      <c r="N218">
        <f>IF(M218="","",IF(ISNUMBER(B218),B218,IFERROR(_xlfn.NUMBERVALUE(B218,".",","),0)))</f>
        <v/>
      </c>
      <c r="O218">
        <f>IF(M218="","",IF(ISNUMBER(C218),C218,IFERROR(_xlfn.NUMBERVALUE(C218,".",","),0)))</f>
        <v/>
      </c>
    </row>
    <row r="219">
      <c r="K219">
        <f>IF(OR(LEFT(B219,9)="DOANH THU",LEFT(B219,8)="SỐ LƯỢNG"),A219,IF(A219="","",K218))</f>
        <v/>
      </c>
      <c r="L219">
        <f>IF(A219="","",IF(ISNUMBER(--LEFT(A219,FIND(" - ",A219&amp;" - ")-1)),LEFT(A219,FIND(" - ",A219&amp;" - ")-1),TRIM(A219)))</f>
        <v/>
      </c>
      <c r="M219">
        <f>IF(OR(K219="",K219=A219,A219=""),"",K219&amp;"|"&amp;L219)</f>
        <v/>
      </c>
      <c r="N219">
        <f>IF(M219="","",IF(ISNUMBER(B219),B219,IFERROR(_xlfn.NUMBERVALUE(B219,".",","),0)))</f>
        <v/>
      </c>
      <c r="O219">
        <f>IF(M219="","",IF(ISNUMBER(C219),C219,IFERROR(_xlfn.NUMBERVALUE(C219,".",","),0)))</f>
        <v/>
      </c>
    </row>
    <row r="220">
      <c r="K220">
        <f>IF(OR(LEFT(B220,9)="DOANH THU",LEFT(B220,8)="SỐ LƯỢNG"),A220,IF(A220="","",K219))</f>
        <v/>
      </c>
      <c r="L220">
        <f>IF(A220="","",IF(ISNUMBER(--LEFT(A220,FIND(" - ",A220&amp;" - ")-1)),LEFT(A220,FIND(" - ",A220&amp;" - ")-1),TRIM(A220)))</f>
        <v/>
      </c>
      <c r="M220">
        <f>IF(OR(K220="",K220=A220,A220=""),"",K220&amp;"|"&amp;L220)</f>
        <v/>
      </c>
      <c r="N220">
        <f>IF(M220="","",IF(ISNUMBER(B220),B220,IFERROR(_xlfn.NUMBERVALUE(B220,".",","),0)))</f>
        <v/>
      </c>
      <c r="O220">
        <f>IF(M220="","",IF(ISNUMBER(C220),C220,IFERROR(_xlfn.NUMBERVALUE(C220,".",","),0)))</f>
        <v/>
      </c>
    </row>
    <row r="221">
      <c r="K221">
        <f>IF(OR(LEFT(B221,9)="DOANH THU",LEFT(B221,8)="SỐ LƯỢNG"),A221,IF(A221="","",K220))</f>
        <v/>
      </c>
      <c r="L221">
        <f>IF(A221="","",IF(ISNUMBER(--LEFT(A221,FIND(" - ",A221&amp;" - ")-1)),LEFT(A221,FIND(" - ",A221&amp;" - ")-1),TRIM(A221)))</f>
        <v/>
      </c>
      <c r="M221">
        <f>IF(OR(K221="",K221=A221,A221=""),"",K221&amp;"|"&amp;L221)</f>
        <v/>
      </c>
      <c r="N221">
        <f>IF(M221="","",IF(ISNUMBER(B221),B221,IFERROR(_xlfn.NUMBERVALUE(B221,".",","),0)))</f>
        <v/>
      </c>
      <c r="O221">
        <f>IF(M221="","",IF(ISNUMBER(C221),C221,IFERROR(_xlfn.NUMBERVALUE(C221,".",","),0)))</f>
        <v/>
      </c>
    </row>
    <row r="222">
      <c r="K222">
        <f>IF(OR(LEFT(B222,9)="DOANH THU",LEFT(B222,8)="SỐ LƯỢNG"),A222,IF(A222="","",K221))</f>
        <v/>
      </c>
      <c r="L222">
        <f>IF(A222="","",IF(ISNUMBER(--LEFT(A222,FIND(" - ",A222&amp;" - ")-1)),LEFT(A222,FIND(" - ",A222&amp;" - ")-1),TRIM(A222)))</f>
        <v/>
      </c>
      <c r="M222">
        <f>IF(OR(K222="",K222=A222,A222=""),"",K222&amp;"|"&amp;L222)</f>
        <v/>
      </c>
      <c r="N222">
        <f>IF(M222="","",IF(ISNUMBER(B222),B222,IFERROR(_xlfn.NUMBERVALUE(B222,".",","),0)))</f>
        <v/>
      </c>
      <c r="O222">
        <f>IF(M222="","",IF(ISNUMBER(C222),C222,IFERROR(_xlfn.NUMBERVALUE(C222,".",","),0)))</f>
        <v/>
      </c>
    </row>
    <row r="223">
      <c r="K223">
        <f>IF(OR(LEFT(B223,9)="DOANH THU",LEFT(B223,8)="SỐ LƯỢNG"),A223,IF(A223="","",K222))</f>
        <v/>
      </c>
      <c r="L223">
        <f>IF(A223="","",IF(ISNUMBER(--LEFT(A223,FIND(" - ",A223&amp;" - ")-1)),LEFT(A223,FIND(" - ",A223&amp;" - ")-1),TRIM(A223)))</f>
        <v/>
      </c>
      <c r="M223">
        <f>IF(OR(K223="",K223=A223,A223=""),"",K223&amp;"|"&amp;L223)</f>
        <v/>
      </c>
      <c r="N223">
        <f>IF(M223="","",IF(ISNUMBER(B223),B223,IFERROR(_xlfn.NUMBERVALUE(B223,".",","),0)))</f>
        <v/>
      </c>
      <c r="O223">
        <f>IF(M223="","",IF(ISNUMBER(C223),C223,IFERROR(_xlfn.NUMBERVALUE(C223,".",","),0)))</f>
        <v/>
      </c>
    </row>
    <row r="224">
      <c r="K224">
        <f>IF(OR(LEFT(B224,9)="DOANH THU",LEFT(B224,8)="SỐ LƯỢNG"),A224,IF(A224="","",K223))</f>
        <v/>
      </c>
      <c r="L224">
        <f>IF(A224="","",IF(ISNUMBER(--LEFT(A224,FIND(" - ",A224&amp;" - ")-1)),LEFT(A224,FIND(" - ",A224&amp;" - ")-1),TRIM(A224)))</f>
        <v/>
      </c>
      <c r="M224">
        <f>IF(OR(K224="",K224=A224,A224=""),"",K224&amp;"|"&amp;L224)</f>
        <v/>
      </c>
      <c r="N224">
        <f>IF(M224="","",IF(ISNUMBER(B224),B224,IFERROR(_xlfn.NUMBERVALUE(B224,".",","),0)))</f>
        <v/>
      </c>
      <c r="O224">
        <f>IF(M224="","",IF(ISNUMBER(C224),C224,IFERROR(_xlfn.NUMBERVALUE(C224,".",","),0)))</f>
        <v/>
      </c>
    </row>
    <row r="225">
      <c r="K225">
        <f>IF(OR(LEFT(B225,9)="DOANH THU",LEFT(B225,8)="SỐ LƯỢNG"),A225,IF(A225="","",K224))</f>
        <v/>
      </c>
      <c r="L225">
        <f>IF(A225="","",IF(ISNUMBER(--LEFT(A225,FIND(" - ",A225&amp;" - ")-1)),LEFT(A225,FIND(" - ",A225&amp;" - ")-1),TRIM(A225)))</f>
        <v/>
      </c>
      <c r="M225">
        <f>IF(OR(K225="",K225=A225,A225=""),"",K225&amp;"|"&amp;L225)</f>
        <v/>
      </c>
      <c r="N225">
        <f>IF(M225="","",IF(ISNUMBER(B225),B225,IFERROR(_xlfn.NUMBERVALUE(B225,".",","),0)))</f>
        <v/>
      </c>
      <c r="O225">
        <f>IF(M225="","",IF(ISNUMBER(C225),C225,IFERROR(_xlfn.NUMBERVALUE(C225,".",","),0)))</f>
        <v/>
      </c>
    </row>
    <row r="226">
      <c r="K226">
        <f>IF(OR(LEFT(B226,9)="DOANH THU",LEFT(B226,8)="SỐ LƯỢNG"),A226,IF(A226="","",K225))</f>
        <v/>
      </c>
      <c r="L226">
        <f>IF(A226="","",IF(ISNUMBER(--LEFT(A226,FIND(" - ",A226&amp;" - ")-1)),LEFT(A226,FIND(" - ",A226&amp;" - ")-1),TRIM(A226)))</f>
        <v/>
      </c>
      <c r="M226">
        <f>IF(OR(K226="",K226=A226,A226=""),"",K226&amp;"|"&amp;L226)</f>
        <v/>
      </c>
      <c r="N226">
        <f>IF(M226="","",IF(ISNUMBER(B226),B226,IFERROR(_xlfn.NUMBERVALUE(B226,".",","),0)))</f>
        <v/>
      </c>
      <c r="O226">
        <f>IF(M226="","",IF(ISNUMBER(C226),C226,IFERROR(_xlfn.NUMBERVALUE(C226,".",","),0)))</f>
        <v/>
      </c>
    </row>
    <row r="227">
      <c r="K227">
        <f>IF(OR(LEFT(B227,9)="DOANH THU",LEFT(B227,8)="SỐ LƯỢNG"),A227,IF(A227="","",K226))</f>
        <v/>
      </c>
      <c r="L227">
        <f>IF(A227="","",IF(ISNUMBER(--LEFT(A227,FIND(" - ",A227&amp;" - ")-1)),LEFT(A227,FIND(" - ",A227&amp;" - ")-1),TRIM(A227)))</f>
        <v/>
      </c>
      <c r="M227">
        <f>IF(OR(K227="",K227=A227,A227=""),"",K227&amp;"|"&amp;L227)</f>
        <v/>
      </c>
      <c r="N227">
        <f>IF(M227="","",IF(ISNUMBER(B227),B227,IFERROR(_xlfn.NUMBERVALUE(B227,".",","),0)))</f>
        <v/>
      </c>
      <c r="O227">
        <f>IF(M227="","",IF(ISNUMBER(C227),C227,IFERROR(_xlfn.NUMBERVALUE(C227,".",","),0)))</f>
        <v/>
      </c>
    </row>
    <row r="228">
      <c r="K228">
        <f>IF(OR(LEFT(B228,9)="DOANH THU",LEFT(B228,8)="SỐ LƯỢNG"),A228,IF(A228="","",K227))</f>
        <v/>
      </c>
      <c r="L228">
        <f>IF(A228="","",IF(ISNUMBER(--LEFT(A228,FIND(" - ",A228&amp;" - ")-1)),LEFT(A228,FIND(" - ",A228&amp;" - ")-1),TRIM(A228)))</f>
        <v/>
      </c>
      <c r="M228">
        <f>IF(OR(K228="",K228=A228,A228=""),"",K228&amp;"|"&amp;L228)</f>
        <v/>
      </c>
      <c r="N228">
        <f>IF(M228="","",IF(ISNUMBER(B228),B228,IFERROR(_xlfn.NUMBERVALUE(B228,".",","),0)))</f>
        <v/>
      </c>
      <c r="O228">
        <f>IF(M228="","",IF(ISNUMBER(C228),C228,IFERROR(_xlfn.NUMBERVALUE(C228,".",","),0)))</f>
        <v/>
      </c>
    </row>
    <row r="229">
      <c r="K229">
        <f>IF(OR(LEFT(B229,9)="DOANH THU",LEFT(B229,8)="SỐ LƯỢNG"),A229,IF(A229="","",K228))</f>
        <v/>
      </c>
      <c r="L229">
        <f>IF(A229="","",IF(ISNUMBER(--LEFT(A229,FIND(" - ",A229&amp;" - ")-1)),LEFT(A229,FIND(" - ",A229&amp;" - ")-1),TRIM(A229)))</f>
        <v/>
      </c>
      <c r="M229">
        <f>IF(OR(K229="",K229=A229,A229=""),"",K229&amp;"|"&amp;L229)</f>
        <v/>
      </c>
      <c r="N229">
        <f>IF(M229="","",IF(ISNUMBER(B229),B229,IFERROR(_xlfn.NUMBERVALUE(B229,".",","),0)))</f>
        <v/>
      </c>
      <c r="O229">
        <f>IF(M229="","",IF(ISNUMBER(C229),C229,IFERROR(_xlfn.NUMBERVALUE(C229,".",","),0)))</f>
        <v/>
      </c>
    </row>
    <row r="230">
      <c r="K230">
        <f>IF(OR(LEFT(B230,9)="DOANH THU",LEFT(B230,8)="SỐ LƯỢNG"),A230,IF(A230="","",K229))</f>
        <v/>
      </c>
      <c r="L230">
        <f>IF(A230="","",IF(ISNUMBER(--LEFT(A230,FIND(" - ",A230&amp;" - ")-1)),LEFT(A230,FIND(" - ",A230&amp;" - ")-1),TRIM(A230)))</f>
        <v/>
      </c>
      <c r="M230">
        <f>IF(OR(K230="",K230=A230,A230=""),"",K230&amp;"|"&amp;L230)</f>
        <v/>
      </c>
      <c r="N230">
        <f>IF(M230="","",IF(ISNUMBER(B230),B230,IFERROR(_xlfn.NUMBERVALUE(B230,".",","),0)))</f>
        <v/>
      </c>
      <c r="O230">
        <f>IF(M230="","",IF(ISNUMBER(C230),C230,IFERROR(_xlfn.NUMBERVALUE(C230,".",","),0)))</f>
        <v/>
      </c>
    </row>
    <row r="231">
      <c r="K231">
        <f>IF(OR(LEFT(B231,9)="DOANH THU",LEFT(B231,8)="SỐ LƯỢNG"),A231,IF(A231="","",K230))</f>
        <v/>
      </c>
      <c r="L231">
        <f>IF(A231="","",IF(ISNUMBER(--LEFT(A231,FIND(" - ",A231&amp;" - ")-1)),LEFT(A231,FIND(" - ",A231&amp;" - ")-1),TRIM(A231)))</f>
        <v/>
      </c>
      <c r="M231">
        <f>IF(OR(K231="",K231=A231,A231=""),"",K231&amp;"|"&amp;L231)</f>
        <v/>
      </c>
      <c r="N231">
        <f>IF(M231="","",IF(ISNUMBER(B231),B231,IFERROR(_xlfn.NUMBERVALUE(B231,".",","),0)))</f>
        <v/>
      </c>
      <c r="O231">
        <f>IF(M231="","",IF(ISNUMBER(C231),C231,IFERROR(_xlfn.NUMBERVALUE(C231,".",","),0)))</f>
        <v/>
      </c>
    </row>
    <row r="232">
      <c r="K232">
        <f>IF(OR(LEFT(B232,9)="DOANH THU",LEFT(B232,8)="SỐ LƯỢNG"),A232,IF(A232="","",K231))</f>
        <v/>
      </c>
      <c r="L232">
        <f>IF(A232="","",IF(ISNUMBER(--LEFT(A232,FIND(" - ",A232&amp;" - ")-1)),LEFT(A232,FIND(" - ",A232&amp;" - ")-1),TRIM(A232)))</f>
        <v/>
      </c>
      <c r="M232">
        <f>IF(OR(K232="",K232=A232,A232=""),"",K232&amp;"|"&amp;L232)</f>
        <v/>
      </c>
      <c r="N232">
        <f>IF(M232="","",IF(ISNUMBER(B232),B232,IFERROR(_xlfn.NUMBERVALUE(B232,".",","),0)))</f>
        <v/>
      </c>
      <c r="O232">
        <f>IF(M232="","",IF(ISNUMBER(C232),C232,IFERROR(_xlfn.NUMBERVALUE(C232,".",","),0)))</f>
        <v/>
      </c>
    </row>
    <row r="233">
      <c r="K233">
        <f>IF(OR(LEFT(B233,9)="DOANH THU",LEFT(B233,8)="SỐ LƯỢNG"),A233,IF(A233="","",K232))</f>
        <v/>
      </c>
      <c r="L233">
        <f>IF(A233="","",IF(ISNUMBER(--LEFT(A233,FIND(" - ",A233&amp;" - ")-1)),LEFT(A233,FIND(" - ",A233&amp;" - ")-1),TRIM(A233)))</f>
        <v/>
      </c>
      <c r="M233">
        <f>IF(OR(K233="",K233=A233,A233=""),"",K233&amp;"|"&amp;L233)</f>
        <v/>
      </c>
      <c r="N233">
        <f>IF(M233="","",IF(ISNUMBER(B233),B233,IFERROR(_xlfn.NUMBERVALUE(B233,".",","),0)))</f>
        <v/>
      </c>
      <c r="O233">
        <f>IF(M233="","",IF(ISNUMBER(C233),C233,IFERROR(_xlfn.NUMBERVALUE(C233,".",","),0)))</f>
        <v/>
      </c>
    </row>
    <row r="234">
      <c r="K234">
        <f>IF(OR(LEFT(B234,9)="DOANH THU",LEFT(B234,8)="SỐ LƯỢNG"),A234,IF(A234="","",K233))</f>
        <v/>
      </c>
      <c r="L234">
        <f>IF(A234="","",IF(ISNUMBER(--LEFT(A234,FIND(" - ",A234&amp;" - ")-1)),LEFT(A234,FIND(" - ",A234&amp;" - ")-1),TRIM(A234)))</f>
        <v/>
      </c>
      <c r="M234">
        <f>IF(OR(K234="",K234=A234,A234=""),"",K234&amp;"|"&amp;L234)</f>
        <v/>
      </c>
      <c r="N234">
        <f>IF(M234="","",IF(ISNUMBER(B234),B234,IFERROR(_xlfn.NUMBERVALUE(B234,".",","),0)))</f>
        <v/>
      </c>
      <c r="O234">
        <f>IF(M234="","",IF(ISNUMBER(C234),C234,IFERROR(_xlfn.NUMBERVALUE(C234,".",","),0)))</f>
        <v/>
      </c>
    </row>
    <row r="235">
      <c r="K235">
        <f>IF(OR(LEFT(B235,9)="DOANH THU",LEFT(B235,8)="SỐ LƯỢNG"),A235,IF(A235="","",K234))</f>
        <v/>
      </c>
      <c r="L235">
        <f>IF(A235="","",IF(ISNUMBER(--LEFT(A235,FIND(" - ",A235&amp;" - ")-1)),LEFT(A235,FIND(" - ",A235&amp;" - ")-1),TRIM(A235)))</f>
        <v/>
      </c>
      <c r="M235">
        <f>IF(OR(K235="",K235=A235,A235=""),"",K235&amp;"|"&amp;L235)</f>
        <v/>
      </c>
      <c r="N235">
        <f>IF(M235="","",IF(ISNUMBER(B235),B235,IFERROR(_xlfn.NUMBERVALUE(B235,".",","),0)))</f>
        <v/>
      </c>
      <c r="O235">
        <f>IF(M235="","",IF(ISNUMBER(C235),C235,IFERROR(_xlfn.NUMBERVALUE(C235,".",","),0)))</f>
        <v/>
      </c>
    </row>
    <row r="236">
      <c r="K236">
        <f>IF(OR(LEFT(B236,9)="DOANH THU",LEFT(B236,8)="SỐ LƯỢNG"),A236,IF(A236="","",K235))</f>
        <v/>
      </c>
      <c r="L236">
        <f>IF(A236="","",IF(ISNUMBER(--LEFT(A236,FIND(" - ",A236&amp;" - ")-1)),LEFT(A236,FIND(" - ",A236&amp;" - ")-1),TRIM(A236)))</f>
        <v/>
      </c>
      <c r="M236">
        <f>IF(OR(K236="",K236=A236,A236=""),"",K236&amp;"|"&amp;L236)</f>
        <v/>
      </c>
      <c r="N236">
        <f>IF(M236="","",IF(ISNUMBER(B236),B236,IFERROR(_xlfn.NUMBERVALUE(B236,".",","),0)))</f>
        <v/>
      </c>
      <c r="O236">
        <f>IF(M236="","",IF(ISNUMBER(C236),C236,IFERROR(_xlfn.NUMBERVALUE(C236,".",","),0)))</f>
        <v/>
      </c>
    </row>
    <row r="237">
      <c r="K237">
        <f>IF(OR(LEFT(B237,9)="DOANH THU",LEFT(B237,8)="SỐ LƯỢNG"),A237,IF(A237="","",K236))</f>
        <v/>
      </c>
      <c r="L237">
        <f>IF(A237="","",IF(ISNUMBER(--LEFT(A237,FIND(" - ",A237&amp;" - ")-1)),LEFT(A237,FIND(" - ",A237&amp;" - ")-1),TRIM(A237)))</f>
        <v/>
      </c>
      <c r="M237">
        <f>IF(OR(K237="",K237=A237,A237=""),"",K237&amp;"|"&amp;L237)</f>
        <v/>
      </c>
      <c r="N237">
        <f>IF(M237="","",IF(ISNUMBER(B237),B237,IFERROR(_xlfn.NUMBERVALUE(B237,".",","),0)))</f>
        <v/>
      </c>
      <c r="O237">
        <f>IF(M237="","",IF(ISNUMBER(C237),C237,IFERROR(_xlfn.NUMBERVALUE(C237,".",","),0)))</f>
        <v/>
      </c>
    </row>
    <row r="238">
      <c r="K238">
        <f>IF(OR(LEFT(B238,9)="DOANH THU",LEFT(B238,8)="SỐ LƯỢNG"),A238,IF(A238="","",K237))</f>
        <v/>
      </c>
      <c r="L238">
        <f>IF(A238="","",IF(ISNUMBER(--LEFT(A238,FIND(" - ",A238&amp;" - ")-1)),LEFT(A238,FIND(" - ",A238&amp;" - ")-1),TRIM(A238)))</f>
        <v/>
      </c>
      <c r="M238">
        <f>IF(OR(K238="",K238=A238,A238=""),"",K238&amp;"|"&amp;L238)</f>
        <v/>
      </c>
      <c r="N238">
        <f>IF(M238="","",IF(ISNUMBER(B238),B238,IFERROR(_xlfn.NUMBERVALUE(B238,".",","),0)))</f>
        <v/>
      </c>
      <c r="O238">
        <f>IF(M238="","",IF(ISNUMBER(C238),C238,IFERROR(_xlfn.NUMBERVALUE(C238,".",","),0)))</f>
        <v/>
      </c>
    </row>
    <row r="239">
      <c r="K239">
        <f>IF(OR(LEFT(B239,9)="DOANH THU",LEFT(B239,8)="SỐ LƯỢNG"),A239,IF(A239="","",K238))</f>
        <v/>
      </c>
      <c r="L239">
        <f>IF(A239="","",IF(ISNUMBER(--LEFT(A239,FIND(" - ",A239&amp;" - ")-1)),LEFT(A239,FIND(" - ",A239&amp;" - ")-1),TRIM(A239)))</f>
        <v/>
      </c>
      <c r="M239">
        <f>IF(OR(K239="",K239=A239,A239=""),"",K239&amp;"|"&amp;L239)</f>
        <v/>
      </c>
      <c r="N239">
        <f>IF(M239="","",IF(ISNUMBER(B239),B239,IFERROR(_xlfn.NUMBERVALUE(B239,".",","),0)))</f>
        <v/>
      </c>
      <c r="O239">
        <f>IF(M239="","",IF(ISNUMBER(C239),C239,IFERROR(_xlfn.NUMBERVALUE(C239,".",","),0)))</f>
        <v/>
      </c>
    </row>
    <row r="240">
      <c r="K240">
        <f>IF(OR(LEFT(B240,9)="DOANH THU",LEFT(B240,8)="SỐ LƯỢNG"),A240,IF(A240="","",K239))</f>
        <v/>
      </c>
      <c r="L240">
        <f>IF(A240="","",IF(ISNUMBER(--LEFT(A240,FIND(" - ",A240&amp;" - ")-1)),LEFT(A240,FIND(" - ",A240&amp;" - ")-1),TRIM(A240)))</f>
        <v/>
      </c>
      <c r="M240">
        <f>IF(OR(K240="",K240=A240,A240=""),"",K240&amp;"|"&amp;L240)</f>
        <v/>
      </c>
      <c r="N240">
        <f>IF(M240="","",IF(ISNUMBER(B240),B240,IFERROR(_xlfn.NUMBERVALUE(B240,".",","),0)))</f>
        <v/>
      </c>
      <c r="O240">
        <f>IF(M240="","",IF(ISNUMBER(C240),C240,IFERROR(_xlfn.NUMBERVALUE(C240,".",","),0)))</f>
        <v/>
      </c>
    </row>
    <row r="241">
      <c r="K241">
        <f>IF(OR(LEFT(B241,9)="DOANH THU",LEFT(B241,8)="SỐ LƯỢNG"),A241,IF(A241="","",K240))</f>
        <v/>
      </c>
      <c r="L241">
        <f>IF(A241="","",IF(ISNUMBER(--LEFT(A241,FIND(" - ",A241&amp;" - ")-1)),LEFT(A241,FIND(" - ",A241&amp;" - ")-1),TRIM(A241)))</f>
        <v/>
      </c>
      <c r="M241">
        <f>IF(OR(K241="",K241=A241,A241=""),"",K241&amp;"|"&amp;L241)</f>
        <v/>
      </c>
      <c r="N241">
        <f>IF(M241="","",IF(ISNUMBER(B241),B241,IFERROR(_xlfn.NUMBERVALUE(B241,".",","),0)))</f>
        <v/>
      </c>
      <c r="O241">
        <f>IF(M241="","",IF(ISNUMBER(C241),C241,IFERROR(_xlfn.NUMBERVALUE(C241,".",","),0)))</f>
        <v/>
      </c>
    </row>
    <row r="242">
      <c r="K242">
        <f>IF(OR(LEFT(B242,9)="DOANH THU",LEFT(B242,8)="SỐ LƯỢNG"),A242,IF(A242="","",K241))</f>
        <v/>
      </c>
      <c r="L242">
        <f>IF(A242="","",IF(ISNUMBER(--LEFT(A242,FIND(" - ",A242&amp;" - ")-1)),LEFT(A242,FIND(" - ",A242&amp;" - ")-1),TRIM(A242)))</f>
        <v/>
      </c>
      <c r="M242">
        <f>IF(OR(K242="",K242=A242,A242=""),"",K242&amp;"|"&amp;L242)</f>
        <v/>
      </c>
      <c r="N242">
        <f>IF(M242="","",IF(ISNUMBER(B242),B242,IFERROR(_xlfn.NUMBERVALUE(B242,".",","),0)))</f>
        <v/>
      </c>
      <c r="O242">
        <f>IF(M242="","",IF(ISNUMBER(C242),C242,IFERROR(_xlfn.NUMBERVALUE(C242,".",","),0)))</f>
        <v/>
      </c>
    </row>
    <row r="243">
      <c r="K243">
        <f>IF(OR(LEFT(B243,9)="DOANH THU",LEFT(B243,8)="SỐ LƯỢNG"),A243,IF(A243="","",K242))</f>
        <v/>
      </c>
      <c r="L243">
        <f>IF(A243="","",IF(ISNUMBER(--LEFT(A243,FIND(" - ",A243&amp;" - ")-1)),LEFT(A243,FIND(" - ",A243&amp;" - ")-1),TRIM(A243)))</f>
        <v/>
      </c>
      <c r="M243">
        <f>IF(OR(K243="",K243=A243,A243=""),"",K243&amp;"|"&amp;L243)</f>
        <v/>
      </c>
      <c r="N243">
        <f>IF(M243="","",IF(ISNUMBER(B243),B243,IFERROR(_xlfn.NUMBERVALUE(B243,".",","),0)))</f>
        <v/>
      </c>
      <c r="O243">
        <f>IF(M243="","",IF(ISNUMBER(C243),C243,IFERROR(_xlfn.NUMBERVALUE(C243,".",","),0)))</f>
        <v/>
      </c>
    </row>
    <row r="244">
      <c r="K244">
        <f>IF(OR(LEFT(B244,9)="DOANH THU",LEFT(B244,8)="SỐ LƯỢNG"),A244,IF(A244="","",K243))</f>
        <v/>
      </c>
      <c r="L244">
        <f>IF(A244="","",IF(ISNUMBER(--LEFT(A244,FIND(" - ",A244&amp;" - ")-1)),LEFT(A244,FIND(" - ",A244&amp;" - ")-1),TRIM(A244)))</f>
        <v/>
      </c>
      <c r="M244">
        <f>IF(OR(K244="",K244=A244,A244=""),"",K244&amp;"|"&amp;L244)</f>
        <v/>
      </c>
      <c r="N244">
        <f>IF(M244="","",IF(ISNUMBER(B244),B244,IFERROR(_xlfn.NUMBERVALUE(B244,".",","),0)))</f>
        <v/>
      </c>
      <c r="O244">
        <f>IF(M244="","",IF(ISNUMBER(C244),C244,IFERROR(_xlfn.NUMBERVALUE(C244,".",","),0)))</f>
        <v/>
      </c>
    </row>
    <row r="245">
      <c r="K245">
        <f>IF(OR(LEFT(B245,9)="DOANH THU",LEFT(B245,8)="SỐ LƯỢNG"),A245,IF(A245="","",K244))</f>
        <v/>
      </c>
      <c r="L245">
        <f>IF(A245="","",IF(ISNUMBER(--LEFT(A245,FIND(" - ",A245&amp;" - ")-1)),LEFT(A245,FIND(" - ",A245&amp;" - ")-1),TRIM(A245)))</f>
        <v/>
      </c>
      <c r="M245">
        <f>IF(OR(K245="",K245=A245,A245=""),"",K245&amp;"|"&amp;L245)</f>
        <v/>
      </c>
      <c r="N245">
        <f>IF(M245="","",IF(ISNUMBER(B245),B245,IFERROR(_xlfn.NUMBERVALUE(B245,".",","),0)))</f>
        <v/>
      </c>
      <c r="O245">
        <f>IF(M245="","",IF(ISNUMBER(C245),C245,IFERROR(_xlfn.NUMBERVALUE(C245,".",","),0)))</f>
        <v/>
      </c>
    </row>
    <row r="246">
      <c r="K246">
        <f>IF(OR(LEFT(B246,9)="DOANH THU",LEFT(B246,8)="SỐ LƯỢNG"),A246,IF(A246="","",K245))</f>
        <v/>
      </c>
      <c r="L246">
        <f>IF(A246="","",IF(ISNUMBER(--LEFT(A246,FIND(" - ",A246&amp;" - ")-1)),LEFT(A246,FIND(" - ",A246&amp;" - ")-1),TRIM(A246)))</f>
        <v/>
      </c>
      <c r="M246">
        <f>IF(OR(K246="",K246=A246,A246=""),"",K246&amp;"|"&amp;L246)</f>
        <v/>
      </c>
      <c r="N246">
        <f>IF(M246="","",IF(ISNUMBER(B246),B246,IFERROR(_xlfn.NUMBERVALUE(B246,".",","),0)))</f>
        <v/>
      </c>
      <c r="O246">
        <f>IF(M246="","",IF(ISNUMBER(C246),C246,IFERROR(_xlfn.NUMBERVALUE(C246,".",","),0)))</f>
        <v/>
      </c>
    </row>
    <row r="247">
      <c r="K247">
        <f>IF(OR(LEFT(B247,9)="DOANH THU",LEFT(B247,8)="SỐ LƯỢNG"),A247,IF(A247="","",K246))</f>
        <v/>
      </c>
      <c r="L247">
        <f>IF(A247="","",IF(ISNUMBER(--LEFT(A247,FIND(" - ",A247&amp;" - ")-1)),LEFT(A247,FIND(" - ",A247&amp;" - ")-1),TRIM(A247)))</f>
        <v/>
      </c>
      <c r="M247">
        <f>IF(OR(K247="",K247=A247,A247=""),"",K247&amp;"|"&amp;L247)</f>
        <v/>
      </c>
      <c r="N247">
        <f>IF(M247="","",IF(ISNUMBER(B247),B247,IFERROR(_xlfn.NUMBERVALUE(B247,".",","),0)))</f>
        <v/>
      </c>
      <c r="O247">
        <f>IF(M247="","",IF(ISNUMBER(C247),C247,IFERROR(_xlfn.NUMBERVALUE(C247,".",","),0)))</f>
        <v/>
      </c>
    </row>
    <row r="248">
      <c r="K248">
        <f>IF(OR(LEFT(B248,9)="DOANH THU",LEFT(B248,8)="SỐ LƯỢNG"),A248,IF(A248="","",K247))</f>
        <v/>
      </c>
      <c r="L248">
        <f>IF(A248="","",IF(ISNUMBER(--LEFT(A248,FIND(" - ",A248&amp;" - ")-1)),LEFT(A248,FIND(" - ",A248&amp;" - ")-1),TRIM(A248)))</f>
        <v/>
      </c>
      <c r="M248">
        <f>IF(OR(K248="",K248=A248,A248=""),"",K248&amp;"|"&amp;L248)</f>
        <v/>
      </c>
      <c r="N248">
        <f>IF(M248="","",IF(ISNUMBER(B248),B248,IFERROR(_xlfn.NUMBERVALUE(B248,".",","),0)))</f>
        <v/>
      </c>
      <c r="O248">
        <f>IF(M248="","",IF(ISNUMBER(C248),C248,IFERROR(_xlfn.NUMBERVALUE(C248,".",","),0)))</f>
        <v/>
      </c>
    </row>
    <row r="249">
      <c r="K249">
        <f>IF(OR(LEFT(B249,9)="DOANH THU",LEFT(B249,8)="SỐ LƯỢNG"),A249,IF(A249="","",K248))</f>
        <v/>
      </c>
      <c r="L249">
        <f>IF(A249="","",IF(ISNUMBER(--LEFT(A249,FIND(" - ",A249&amp;" - ")-1)),LEFT(A249,FIND(" - ",A249&amp;" - ")-1),TRIM(A249)))</f>
        <v/>
      </c>
      <c r="M249">
        <f>IF(OR(K249="",K249=A249,A249=""),"",K249&amp;"|"&amp;L249)</f>
        <v/>
      </c>
      <c r="N249">
        <f>IF(M249="","",IF(ISNUMBER(B249),B249,IFERROR(_xlfn.NUMBERVALUE(B249,".",","),0)))</f>
        <v/>
      </c>
      <c r="O249">
        <f>IF(M249="","",IF(ISNUMBER(C249),C249,IFERROR(_xlfn.NUMBERVALUE(C249,".",","),0)))</f>
        <v/>
      </c>
    </row>
    <row r="250">
      <c r="K250">
        <f>IF(OR(LEFT(B250,9)="DOANH THU",LEFT(B250,8)="SỐ LƯỢNG"),A250,IF(A250="","",K249))</f>
        <v/>
      </c>
      <c r="L250">
        <f>IF(A250="","",IF(ISNUMBER(--LEFT(A250,FIND(" - ",A250&amp;" - ")-1)),LEFT(A250,FIND(" - ",A250&amp;" - ")-1),TRIM(A250)))</f>
        <v/>
      </c>
      <c r="M250">
        <f>IF(OR(K250="",K250=A250,A250=""),"",K250&amp;"|"&amp;L250)</f>
        <v/>
      </c>
      <c r="N250">
        <f>IF(M250="","",IF(ISNUMBER(B250),B250,IFERROR(_xlfn.NUMBERVALUE(B250,".",","),0)))</f>
        <v/>
      </c>
      <c r="O250">
        <f>IF(M250="","",IF(ISNUMBER(C250),C250,IFERROR(_xlfn.NUMBERVALUE(C250,".",","),0)))</f>
        <v/>
      </c>
    </row>
    <row r="251">
      <c r="K251">
        <f>IF(OR(LEFT(B251,9)="DOANH THU",LEFT(B251,8)="SỐ LƯỢNG"),A251,IF(A251="","",K250))</f>
        <v/>
      </c>
      <c r="L251">
        <f>IF(A251="","",IF(ISNUMBER(--LEFT(A251,FIND(" - ",A251&amp;" - ")-1)),LEFT(A251,FIND(" - ",A251&amp;" - ")-1),TRIM(A251)))</f>
        <v/>
      </c>
      <c r="M251">
        <f>IF(OR(K251="",K251=A251,A251=""),"",K251&amp;"|"&amp;L251)</f>
        <v/>
      </c>
      <c r="N251">
        <f>IF(M251="","",IF(ISNUMBER(B251),B251,IFERROR(_xlfn.NUMBERVALUE(B251,".",","),0)))</f>
        <v/>
      </c>
      <c r="O251">
        <f>IF(M251="","",IF(ISNUMBER(C251),C251,IFERROR(_xlfn.NUMBERVALUE(C251,".",","),0)))</f>
        <v/>
      </c>
    </row>
    <row r="252">
      <c r="K252">
        <f>IF(OR(LEFT(B252,9)="DOANH THU",LEFT(B252,8)="SỐ LƯỢNG"),A252,IF(A252="","",K251))</f>
        <v/>
      </c>
      <c r="L252">
        <f>IF(A252="","",IF(ISNUMBER(--LEFT(A252,FIND(" - ",A252&amp;" - ")-1)),LEFT(A252,FIND(" - ",A252&amp;" - ")-1),TRIM(A252)))</f>
        <v/>
      </c>
      <c r="M252">
        <f>IF(OR(K252="",K252=A252,A252=""),"",K252&amp;"|"&amp;L252)</f>
        <v/>
      </c>
      <c r="N252">
        <f>IF(M252="","",IF(ISNUMBER(B252),B252,IFERROR(_xlfn.NUMBERVALUE(B252,".",","),0)))</f>
        <v/>
      </c>
      <c r="O252">
        <f>IF(M252="","",IF(ISNUMBER(C252),C252,IFERROR(_xlfn.NUMBERVALUE(C252,".",","),0)))</f>
        <v/>
      </c>
    </row>
    <row r="253">
      <c r="K253">
        <f>IF(OR(LEFT(B253,9)="DOANH THU",LEFT(B253,8)="SỐ LƯỢNG"),A253,IF(A253="","",K252))</f>
        <v/>
      </c>
      <c r="L253">
        <f>IF(A253="","",IF(ISNUMBER(--LEFT(A253,FIND(" - ",A253&amp;" - ")-1)),LEFT(A253,FIND(" - ",A253&amp;" - ")-1),TRIM(A253)))</f>
        <v/>
      </c>
      <c r="M253">
        <f>IF(OR(K253="",K253=A253,A253=""),"",K253&amp;"|"&amp;L253)</f>
        <v/>
      </c>
      <c r="N253">
        <f>IF(M253="","",IF(ISNUMBER(B253),B253,IFERROR(_xlfn.NUMBERVALUE(B253,".",","),0)))</f>
        <v/>
      </c>
      <c r="O253">
        <f>IF(M253="","",IF(ISNUMBER(C253),C253,IFERROR(_xlfn.NUMBERVALUE(C253,".",","),0)))</f>
        <v/>
      </c>
    </row>
    <row r="254">
      <c r="K254">
        <f>IF(OR(LEFT(B254,9)="DOANH THU",LEFT(B254,8)="SỐ LƯỢNG"),A254,IF(A254="","",K253))</f>
        <v/>
      </c>
      <c r="L254">
        <f>IF(A254="","",IF(ISNUMBER(--LEFT(A254,FIND(" - ",A254&amp;" - ")-1)),LEFT(A254,FIND(" - ",A254&amp;" - ")-1),TRIM(A254)))</f>
        <v/>
      </c>
      <c r="M254">
        <f>IF(OR(K254="",K254=A254,A254=""),"",K254&amp;"|"&amp;L254)</f>
        <v/>
      </c>
      <c r="N254">
        <f>IF(M254="","",IF(ISNUMBER(B254),B254,IFERROR(_xlfn.NUMBERVALUE(B254,".",","),0)))</f>
        <v/>
      </c>
      <c r="O254">
        <f>IF(M254="","",IF(ISNUMBER(C254),C254,IFERROR(_xlfn.NUMBERVALUE(C254,".",","),0)))</f>
        <v/>
      </c>
    </row>
    <row r="255">
      <c r="K255">
        <f>IF(OR(LEFT(B255,9)="DOANH THU",LEFT(B255,8)="SỐ LƯỢNG"),A255,IF(A255="","",K254))</f>
        <v/>
      </c>
      <c r="L255">
        <f>IF(A255="","",IF(ISNUMBER(--LEFT(A255,FIND(" - ",A255&amp;" - ")-1)),LEFT(A255,FIND(" - ",A255&amp;" - ")-1),TRIM(A255)))</f>
        <v/>
      </c>
      <c r="M255">
        <f>IF(OR(K255="",K255=A255,A255=""),"",K255&amp;"|"&amp;L255)</f>
        <v/>
      </c>
      <c r="N255">
        <f>IF(M255="","",IF(ISNUMBER(B255),B255,IFERROR(_xlfn.NUMBERVALUE(B255,".",","),0)))</f>
        <v/>
      </c>
      <c r="O255">
        <f>IF(M255="","",IF(ISNUMBER(C255),C255,IFERROR(_xlfn.NUMBERVALUE(C255,".",","),0)))</f>
        <v/>
      </c>
    </row>
    <row r="256">
      <c r="K256">
        <f>IF(OR(LEFT(B256,9)="DOANH THU",LEFT(B256,8)="SỐ LƯỢNG"),A256,IF(A256="","",K255))</f>
        <v/>
      </c>
      <c r="L256">
        <f>IF(A256="","",IF(ISNUMBER(--LEFT(A256,FIND(" - ",A256&amp;" - ")-1)),LEFT(A256,FIND(" - ",A256&amp;" - ")-1),TRIM(A256)))</f>
        <v/>
      </c>
      <c r="M256">
        <f>IF(OR(K256="",K256=A256,A256=""),"",K256&amp;"|"&amp;L256)</f>
        <v/>
      </c>
      <c r="N256">
        <f>IF(M256="","",IF(ISNUMBER(B256),B256,IFERROR(_xlfn.NUMBERVALUE(B256,".",","),0)))</f>
        <v/>
      </c>
      <c r="O256">
        <f>IF(M256="","",IF(ISNUMBER(C256),C256,IFERROR(_xlfn.NUMBERVALUE(C256,".",","),0)))</f>
        <v/>
      </c>
    </row>
    <row r="257">
      <c r="K257">
        <f>IF(OR(LEFT(B257,9)="DOANH THU",LEFT(B257,8)="SỐ LƯỢNG"),A257,IF(A257="","",K256))</f>
        <v/>
      </c>
      <c r="L257">
        <f>IF(A257="","",IF(ISNUMBER(--LEFT(A257,FIND(" - ",A257&amp;" - ")-1)),LEFT(A257,FIND(" - ",A257&amp;" - ")-1),TRIM(A257)))</f>
        <v/>
      </c>
      <c r="M257">
        <f>IF(OR(K257="",K257=A257,A257=""),"",K257&amp;"|"&amp;L257)</f>
        <v/>
      </c>
      <c r="N257">
        <f>IF(M257="","",IF(ISNUMBER(B257),B257,IFERROR(_xlfn.NUMBERVALUE(B257,".",","),0)))</f>
        <v/>
      </c>
      <c r="O257">
        <f>IF(M257="","",IF(ISNUMBER(C257),C257,IFERROR(_xlfn.NUMBERVALUE(C257,".",","),0)))</f>
        <v/>
      </c>
    </row>
    <row r="258">
      <c r="K258">
        <f>IF(OR(LEFT(B258,9)="DOANH THU",LEFT(B258,8)="SỐ LƯỢNG"),A258,IF(A258="","",K257))</f>
        <v/>
      </c>
      <c r="L258">
        <f>IF(A258="","",IF(ISNUMBER(--LEFT(A258,FIND(" - ",A258&amp;" - ")-1)),LEFT(A258,FIND(" - ",A258&amp;" - ")-1),TRIM(A258)))</f>
        <v/>
      </c>
      <c r="M258">
        <f>IF(OR(K258="",K258=A258,A258=""),"",K258&amp;"|"&amp;L258)</f>
        <v/>
      </c>
      <c r="N258">
        <f>IF(M258="","",IF(ISNUMBER(B258),B258,IFERROR(_xlfn.NUMBERVALUE(B258,".",","),0)))</f>
        <v/>
      </c>
      <c r="O258">
        <f>IF(M258="","",IF(ISNUMBER(C258),C258,IFERROR(_xlfn.NUMBERVALUE(C258,".",","),0)))</f>
        <v/>
      </c>
    </row>
    <row r="259">
      <c r="K259">
        <f>IF(OR(LEFT(B259,9)="DOANH THU",LEFT(B259,8)="SỐ LƯỢNG"),A259,IF(A259="","",K258))</f>
        <v/>
      </c>
      <c r="L259">
        <f>IF(A259="","",IF(ISNUMBER(--LEFT(A259,FIND(" - ",A259&amp;" - ")-1)),LEFT(A259,FIND(" - ",A259&amp;" - ")-1),TRIM(A259)))</f>
        <v/>
      </c>
      <c r="M259">
        <f>IF(OR(K259="",K259=A259,A259=""),"",K259&amp;"|"&amp;L259)</f>
        <v/>
      </c>
      <c r="N259">
        <f>IF(M259="","",IF(ISNUMBER(B259),B259,IFERROR(_xlfn.NUMBERVALUE(B259,".",","),0)))</f>
        <v/>
      </c>
      <c r="O259">
        <f>IF(M259="","",IF(ISNUMBER(C259),C259,IFERROR(_xlfn.NUMBERVALUE(C259,".",","),0)))</f>
        <v/>
      </c>
    </row>
    <row r="260">
      <c r="K260">
        <f>IF(OR(LEFT(B260,9)="DOANH THU",LEFT(B260,8)="SỐ LƯỢNG"),A260,IF(A260="","",K259))</f>
        <v/>
      </c>
      <c r="L260">
        <f>IF(A260="","",IF(ISNUMBER(--LEFT(A260,FIND(" - ",A260&amp;" - ")-1)),LEFT(A260,FIND(" - ",A260&amp;" - ")-1),TRIM(A260)))</f>
        <v/>
      </c>
      <c r="M260">
        <f>IF(OR(K260="",K260=A260,A260=""),"",K260&amp;"|"&amp;L260)</f>
        <v/>
      </c>
      <c r="N260">
        <f>IF(M260="","",IF(ISNUMBER(B260),B260,IFERROR(_xlfn.NUMBERVALUE(B260,".",","),0)))</f>
        <v/>
      </c>
      <c r="O260">
        <f>IF(M260="","",IF(ISNUMBER(C260),C260,IFERROR(_xlfn.NUMBERVALUE(C260,".",","),0)))</f>
        <v/>
      </c>
    </row>
    <row r="261">
      <c r="K261">
        <f>IF(OR(LEFT(B261,9)="DOANH THU",LEFT(B261,8)="SỐ LƯỢNG"),A261,IF(A261="","",K260))</f>
        <v/>
      </c>
      <c r="L261">
        <f>IF(A261="","",IF(ISNUMBER(--LEFT(A261,FIND(" - ",A261&amp;" - ")-1)),LEFT(A261,FIND(" - ",A261&amp;" - ")-1),TRIM(A261)))</f>
        <v/>
      </c>
      <c r="M261">
        <f>IF(OR(K261="",K261=A261,A261=""),"",K261&amp;"|"&amp;L261)</f>
        <v/>
      </c>
      <c r="N261">
        <f>IF(M261="","",IF(ISNUMBER(B261),B261,IFERROR(_xlfn.NUMBERVALUE(B261,".",","),0)))</f>
        <v/>
      </c>
      <c r="O261">
        <f>IF(M261="","",IF(ISNUMBER(C261),C261,IFERROR(_xlfn.NUMBERVALUE(C261,".",","),0)))</f>
        <v/>
      </c>
    </row>
    <row r="262">
      <c r="K262">
        <f>IF(OR(LEFT(B262,9)="DOANH THU",LEFT(B262,8)="SỐ LƯỢNG"),A262,IF(A262="","",K261))</f>
        <v/>
      </c>
      <c r="L262">
        <f>IF(A262="","",IF(ISNUMBER(--LEFT(A262,FIND(" - ",A262&amp;" - ")-1)),LEFT(A262,FIND(" - ",A262&amp;" - ")-1),TRIM(A262)))</f>
        <v/>
      </c>
      <c r="M262">
        <f>IF(OR(K262="",K262=A262,A262=""),"",K262&amp;"|"&amp;L262)</f>
        <v/>
      </c>
      <c r="N262">
        <f>IF(M262="","",IF(ISNUMBER(B262),B262,IFERROR(_xlfn.NUMBERVALUE(B262,".",","),0)))</f>
        <v/>
      </c>
      <c r="O262">
        <f>IF(M262="","",IF(ISNUMBER(C262),C262,IFERROR(_xlfn.NUMBERVALUE(C262,".",","),0)))</f>
        <v/>
      </c>
    </row>
    <row r="263">
      <c r="K263">
        <f>IF(OR(LEFT(B263,9)="DOANH THU",LEFT(B263,8)="SỐ LƯỢNG"),A263,IF(A263="","",K262))</f>
        <v/>
      </c>
      <c r="L263">
        <f>IF(A263="","",IF(ISNUMBER(--LEFT(A263,FIND(" - ",A263&amp;" - ")-1)),LEFT(A263,FIND(" - ",A263&amp;" - ")-1),TRIM(A263)))</f>
        <v/>
      </c>
      <c r="M263">
        <f>IF(OR(K263="",K263=A263,A263=""),"",K263&amp;"|"&amp;L263)</f>
        <v/>
      </c>
      <c r="N263">
        <f>IF(M263="","",IF(ISNUMBER(B263),B263,IFERROR(_xlfn.NUMBERVALUE(B263,".",","),0)))</f>
        <v/>
      </c>
      <c r="O263">
        <f>IF(M263="","",IF(ISNUMBER(C263),C263,IFERROR(_xlfn.NUMBERVALUE(C263,".",","),0)))</f>
        <v/>
      </c>
    </row>
    <row r="264">
      <c r="K264">
        <f>IF(OR(LEFT(B264,9)="DOANH THU",LEFT(B264,8)="SỐ LƯỢNG"),A264,IF(A264="","",K263))</f>
        <v/>
      </c>
      <c r="L264">
        <f>IF(A264="","",IF(ISNUMBER(--LEFT(A264,FIND(" - ",A264&amp;" - ")-1)),LEFT(A264,FIND(" - ",A264&amp;" - ")-1),TRIM(A264)))</f>
        <v/>
      </c>
      <c r="M264">
        <f>IF(OR(K264="",K264=A264,A264=""),"",K264&amp;"|"&amp;L264)</f>
        <v/>
      </c>
      <c r="N264">
        <f>IF(M264="","",IF(ISNUMBER(B264),B264,IFERROR(_xlfn.NUMBERVALUE(B264,".",","),0)))</f>
        <v/>
      </c>
      <c r="O264">
        <f>IF(M264="","",IF(ISNUMBER(C264),C264,IFERROR(_xlfn.NUMBERVALUE(C264,".",","),0)))</f>
        <v/>
      </c>
    </row>
    <row r="265">
      <c r="K265">
        <f>IF(OR(LEFT(B265,9)="DOANH THU",LEFT(B265,8)="SỐ LƯỢNG"),A265,IF(A265="","",K264))</f>
        <v/>
      </c>
      <c r="L265">
        <f>IF(A265="","",IF(ISNUMBER(--LEFT(A265,FIND(" - ",A265&amp;" - ")-1)),LEFT(A265,FIND(" - ",A265&amp;" - ")-1),TRIM(A265)))</f>
        <v/>
      </c>
      <c r="M265">
        <f>IF(OR(K265="",K265=A265,A265=""),"",K265&amp;"|"&amp;L265)</f>
        <v/>
      </c>
      <c r="N265">
        <f>IF(M265="","",IF(ISNUMBER(B265),B265,IFERROR(_xlfn.NUMBERVALUE(B265,".",","),0)))</f>
        <v/>
      </c>
      <c r="O265">
        <f>IF(M265="","",IF(ISNUMBER(C265),C265,IFERROR(_xlfn.NUMBERVALUE(C265,".",","),0)))</f>
        <v/>
      </c>
    </row>
    <row r="266">
      <c r="K266">
        <f>IF(OR(LEFT(B266,9)="DOANH THU",LEFT(B266,8)="SỐ LƯỢNG"),A266,IF(A266="","",K265))</f>
        <v/>
      </c>
      <c r="L266">
        <f>IF(A266="","",IF(ISNUMBER(--LEFT(A266,FIND(" - ",A266&amp;" - ")-1)),LEFT(A266,FIND(" - ",A266&amp;" - ")-1),TRIM(A266)))</f>
        <v/>
      </c>
      <c r="M266">
        <f>IF(OR(K266="",K266=A266,A266=""),"",K266&amp;"|"&amp;L266)</f>
        <v/>
      </c>
      <c r="N266">
        <f>IF(M266="","",IF(ISNUMBER(B266),B266,IFERROR(_xlfn.NUMBERVALUE(B266,".",","),0)))</f>
        <v/>
      </c>
      <c r="O266">
        <f>IF(M266="","",IF(ISNUMBER(C266),C266,IFERROR(_xlfn.NUMBERVALUE(C266,".",","),0)))</f>
        <v/>
      </c>
    </row>
    <row r="267">
      <c r="K267">
        <f>IF(OR(LEFT(B267,9)="DOANH THU",LEFT(B267,8)="SỐ LƯỢNG"),A267,IF(A267="","",K266))</f>
        <v/>
      </c>
      <c r="L267">
        <f>IF(A267="","",IF(ISNUMBER(--LEFT(A267,FIND(" - ",A267&amp;" - ")-1)),LEFT(A267,FIND(" - ",A267&amp;" - ")-1),TRIM(A267)))</f>
        <v/>
      </c>
      <c r="M267">
        <f>IF(OR(K267="",K267=A267,A267=""),"",K267&amp;"|"&amp;L267)</f>
        <v/>
      </c>
      <c r="N267">
        <f>IF(M267="","",IF(ISNUMBER(B267),B267,IFERROR(_xlfn.NUMBERVALUE(B267,".",","),0)))</f>
        <v/>
      </c>
      <c r="O267">
        <f>IF(M267="","",IF(ISNUMBER(C267),C267,IFERROR(_xlfn.NUMBERVALUE(C267,".",","),0)))</f>
        <v/>
      </c>
    </row>
    <row r="268">
      <c r="K268">
        <f>IF(OR(LEFT(B268,9)="DOANH THU",LEFT(B268,8)="SỐ LƯỢNG"),A268,IF(A268="","",K267))</f>
        <v/>
      </c>
      <c r="L268">
        <f>IF(A268="","",IF(ISNUMBER(--LEFT(A268,FIND(" - ",A268&amp;" - ")-1)),LEFT(A268,FIND(" - ",A268&amp;" - ")-1),TRIM(A268)))</f>
        <v/>
      </c>
      <c r="M268">
        <f>IF(OR(K268="",K268=A268,A268=""),"",K268&amp;"|"&amp;L268)</f>
        <v/>
      </c>
      <c r="N268">
        <f>IF(M268="","",IF(ISNUMBER(B268),B268,IFERROR(_xlfn.NUMBERVALUE(B268,".",","),0)))</f>
        <v/>
      </c>
      <c r="O268">
        <f>IF(M268="","",IF(ISNUMBER(C268),C268,IFERROR(_xlfn.NUMBERVALUE(C268,".",","),0)))</f>
        <v/>
      </c>
    </row>
    <row r="269">
      <c r="K269">
        <f>IF(OR(LEFT(B269,9)="DOANH THU",LEFT(B269,8)="SỐ LƯỢNG"),A269,IF(A269="","",K268))</f>
        <v/>
      </c>
      <c r="L269">
        <f>IF(A269="","",IF(ISNUMBER(--LEFT(A269,FIND(" - ",A269&amp;" - ")-1)),LEFT(A269,FIND(" - ",A269&amp;" - ")-1),TRIM(A269)))</f>
        <v/>
      </c>
      <c r="M269">
        <f>IF(OR(K269="",K269=A269,A269=""),"",K269&amp;"|"&amp;L269)</f>
        <v/>
      </c>
      <c r="N269">
        <f>IF(M269="","",IF(ISNUMBER(B269),B269,IFERROR(_xlfn.NUMBERVALUE(B269,".",","),0)))</f>
        <v/>
      </c>
      <c r="O269">
        <f>IF(M269="","",IF(ISNUMBER(C269),C269,IFERROR(_xlfn.NUMBERVALUE(C269,".",","),0)))</f>
        <v/>
      </c>
    </row>
    <row r="270">
      <c r="K270">
        <f>IF(OR(LEFT(B270,9)="DOANH THU",LEFT(B270,8)="SỐ LƯỢNG"),A270,IF(A270="","",K269))</f>
        <v/>
      </c>
      <c r="L270">
        <f>IF(A270="","",IF(ISNUMBER(--LEFT(A270,FIND(" - ",A270&amp;" - ")-1)),LEFT(A270,FIND(" - ",A270&amp;" - ")-1),TRIM(A270)))</f>
        <v/>
      </c>
      <c r="M270">
        <f>IF(OR(K270="",K270=A270,A270=""),"",K270&amp;"|"&amp;L270)</f>
        <v/>
      </c>
      <c r="N270">
        <f>IF(M270="","",IF(ISNUMBER(B270),B270,IFERROR(_xlfn.NUMBERVALUE(B270,".",","),0)))</f>
        <v/>
      </c>
      <c r="O270">
        <f>IF(M270="","",IF(ISNUMBER(C270),C270,IFERROR(_xlfn.NUMBERVALUE(C270,".",","),0)))</f>
        <v/>
      </c>
    </row>
    <row r="271">
      <c r="K271">
        <f>IF(OR(LEFT(B271,9)="DOANH THU",LEFT(B271,8)="SỐ LƯỢNG"),A271,IF(A271="","",K270))</f>
        <v/>
      </c>
      <c r="L271">
        <f>IF(A271="","",IF(ISNUMBER(--LEFT(A271,FIND(" - ",A271&amp;" - ")-1)),LEFT(A271,FIND(" - ",A271&amp;" - ")-1),TRIM(A271)))</f>
        <v/>
      </c>
      <c r="M271">
        <f>IF(OR(K271="",K271=A271,A271=""),"",K271&amp;"|"&amp;L271)</f>
        <v/>
      </c>
      <c r="N271">
        <f>IF(M271="","",IF(ISNUMBER(B271),B271,IFERROR(_xlfn.NUMBERVALUE(B271,".",","),0)))</f>
        <v/>
      </c>
      <c r="O271">
        <f>IF(M271="","",IF(ISNUMBER(C271),C271,IFERROR(_xlfn.NUMBERVALUE(C271,".",","),0)))</f>
        <v/>
      </c>
    </row>
    <row r="272">
      <c r="K272">
        <f>IF(OR(LEFT(B272,9)="DOANH THU",LEFT(B272,8)="SỐ LƯỢNG"),A272,IF(A272="","",K271))</f>
        <v/>
      </c>
      <c r="L272">
        <f>IF(A272="","",IF(ISNUMBER(--LEFT(A272,FIND(" - ",A272&amp;" - ")-1)),LEFT(A272,FIND(" - ",A272&amp;" - ")-1),TRIM(A272)))</f>
        <v/>
      </c>
      <c r="M272">
        <f>IF(OR(K272="",K272=A272,A272=""),"",K272&amp;"|"&amp;L272)</f>
        <v/>
      </c>
      <c r="N272">
        <f>IF(M272="","",IF(ISNUMBER(B272),B272,IFERROR(_xlfn.NUMBERVALUE(B272,".",","),0)))</f>
        <v/>
      </c>
      <c r="O272">
        <f>IF(M272="","",IF(ISNUMBER(C272),C272,IFERROR(_xlfn.NUMBERVALUE(C272,".",","),0)))</f>
        <v/>
      </c>
    </row>
    <row r="273">
      <c r="K273">
        <f>IF(OR(LEFT(B273,9)="DOANH THU",LEFT(B273,8)="SỐ LƯỢNG"),A273,IF(A273="","",K272))</f>
        <v/>
      </c>
      <c r="L273">
        <f>IF(A273="","",IF(ISNUMBER(--LEFT(A273,FIND(" - ",A273&amp;" - ")-1)),LEFT(A273,FIND(" - ",A273&amp;" - ")-1),TRIM(A273)))</f>
        <v/>
      </c>
      <c r="M273">
        <f>IF(OR(K273="",K273=A273,A273=""),"",K273&amp;"|"&amp;L273)</f>
        <v/>
      </c>
      <c r="N273">
        <f>IF(M273="","",IF(ISNUMBER(B273),B273,IFERROR(_xlfn.NUMBERVALUE(B273,".",","),0)))</f>
        <v/>
      </c>
      <c r="O273">
        <f>IF(M273="","",IF(ISNUMBER(C273),C273,IFERROR(_xlfn.NUMBERVALUE(C273,".",","),0)))</f>
        <v/>
      </c>
    </row>
    <row r="274">
      <c r="K274">
        <f>IF(OR(LEFT(B274,9)="DOANH THU",LEFT(B274,8)="SỐ LƯỢNG"),A274,IF(A274="","",K273))</f>
        <v/>
      </c>
      <c r="L274">
        <f>IF(A274="","",IF(ISNUMBER(--LEFT(A274,FIND(" - ",A274&amp;" - ")-1)),LEFT(A274,FIND(" - ",A274&amp;" - ")-1),TRIM(A274)))</f>
        <v/>
      </c>
      <c r="M274">
        <f>IF(OR(K274="",K274=A274,A274=""),"",K274&amp;"|"&amp;L274)</f>
        <v/>
      </c>
      <c r="N274">
        <f>IF(M274="","",IF(ISNUMBER(B274),B274,IFERROR(_xlfn.NUMBERVALUE(B274,".",","),0)))</f>
        <v/>
      </c>
      <c r="O274">
        <f>IF(M274="","",IF(ISNUMBER(C274),C274,IFERROR(_xlfn.NUMBERVALUE(C274,".",","),0)))</f>
        <v/>
      </c>
    </row>
    <row r="275">
      <c r="K275">
        <f>IF(OR(LEFT(B275,9)="DOANH THU",LEFT(B275,8)="SỐ LƯỢNG"),A275,IF(A275="","",K274))</f>
        <v/>
      </c>
      <c r="L275">
        <f>IF(A275="","",IF(ISNUMBER(--LEFT(A275,FIND(" - ",A275&amp;" - ")-1)),LEFT(A275,FIND(" - ",A275&amp;" - ")-1),TRIM(A275)))</f>
        <v/>
      </c>
      <c r="M275">
        <f>IF(OR(K275="",K275=A275,A275=""),"",K275&amp;"|"&amp;L275)</f>
        <v/>
      </c>
      <c r="N275">
        <f>IF(M275="","",IF(ISNUMBER(B275),B275,IFERROR(_xlfn.NUMBERVALUE(B275,".",","),0)))</f>
        <v/>
      </c>
      <c r="O275">
        <f>IF(M275="","",IF(ISNUMBER(C275),C275,IFERROR(_xlfn.NUMBERVALUE(C275,".",","),0)))</f>
        <v/>
      </c>
    </row>
    <row r="276">
      <c r="K276">
        <f>IF(OR(LEFT(B276,9)="DOANH THU",LEFT(B276,8)="SỐ LƯỢNG"),A276,IF(A276="","",K275))</f>
        <v/>
      </c>
      <c r="L276">
        <f>IF(A276="","",IF(ISNUMBER(--LEFT(A276,FIND(" - ",A276&amp;" - ")-1)),LEFT(A276,FIND(" - ",A276&amp;" - ")-1),TRIM(A276)))</f>
        <v/>
      </c>
      <c r="M276">
        <f>IF(OR(K276="",K276=A276,A276=""),"",K276&amp;"|"&amp;L276)</f>
        <v/>
      </c>
      <c r="N276">
        <f>IF(M276="","",IF(ISNUMBER(B276),B276,IFERROR(_xlfn.NUMBERVALUE(B276,".",","),0)))</f>
        <v/>
      </c>
      <c r="O276">
        <f>IF(M276="","",IF(ISNUMBER(C276),C276,IFERROR(_xlfn.NUMBERVALUE(C276,".",","),0)))</f>
        <v/>
      </c>
    </row>
    <row r="277">
      <c r="K277">
        <f>IF(OR(LEFT(B277,9)="DOANH THU",LEFT(B277,8)="SỐ LƯỢNG"),A277,IF(A277="","",K276))</f>
        <v/>
      </c>
      <c r="L277">
        <f>IF(A277="","",IF(ISNUMBER(--LEFT(A277,FIND(" - ",A277&amp;" - ")-1)),LEFT(A277,FIND(" - ",A277&amp;" - ")-1),TRIM(A277)))</f>
        <v/>
      </c>
      <c r="M277">
        <f>IF(OR(K277="",K277=A277,A277=""),"",K277&amp;"|"&amp;L277)</f>
        <v/>
      </c>
      <c r="N277">
        <f>IF(M277="","",IF(ISNUMBER(B277),B277,IFERROR(_xlfn.NUMBERVALUE(B277,".",","),0)))</f>
        <v/>
      </c>
      <c r="O277">
        <f>IF(M277="","",IF(ISNUMBER(C277),C277,IFERROR(_xlfn.NUMBERVALUE(C277,".",","),0)))</f>
        <v/>
      </c>
    </row>
    <row r="278">
      <c r="K278">
        <f>IF(OR(LEFT(B278,9)="DOANH THU",LEFT(B278,8)="SỐ LƯỢNG"),A278,IF(A278="","",K277))</f>
        <v/>
      </c>
      <c r="L278">
        <f>IF(A278="","",IF(ISNUMBER(--LEFT(A278,FIND(" - ",A278&amp;" - ")-1)),LEFT(A278,FIND(" - ",A278&amp;" - ")-1),TRIM(A278)))</f>
        <v/>
      </c>
      <c r="M278">
        <f>IF(OR(K278="",K278=A278,A278=""),"",K278&amp;"|"&amp;L278)</f>
        <v/>
      </c>
      <c r="N278">
        <f>IF(M278="","",IF(ISNUMBER(B278),B278,IFERROR(_xlfn.NUMBERVALUE(B278,".",","),0)))</f>
        <v/>
      </c>
      <c r="O278">
        <f>IF(M278="","",IF(ISNUMBER(C278),C278,IFERROR(_xlfn.NUMBERVALUE(C278,".",","),0)))</f>
        <v/>
      </c>
    </row>
    <row r="279">
      <c r="K279">
        <f>IF(OR(LEFT(B279,9)="DOANH THU",LEFT(B279,8)="SỐ LƯỢNG"),A279,IF(A279="","",K278))</f>
        <v/>
      </c>
      <c r="L279">
        <f>IF(A279="","",IF(ISNUMBER(--LEFT(A279,FIND(" - ",A279&amp;" - ")-1)),LEFT(A279,FIND(" - ",A279&amp;" - ")-1),TRIM(A279)))</f>
        <v/>
      </c>
      <c r="M279">
        <f>IF(OR(K279="",K279=A279,A279=""),"",K279&amp;"|"&amp;L279)</f>
        <v/>
      </c>
      <c r="N279">
        <f>IF(M279="","",IF(ISNUMBER(B279),B279,IFERROR(_xlfn.NUMBERVALUE(B279,".",","),0)))</f>
        <v/>
      </c>
      <c r="O279">
        <f>IF(M279="","",IF(ISNUMBER(C279),C279,IFERROR(_xlfn.NUMBERVALUE(C279,".",","),0)))</f>
        <v/>
      </c>
    </row>
    <row r="280">
      <c r="K280">
        <f>IF(OR(LEFT(B280,9)="DOANH THU",LEFT(B280,8)="SỐ LƯỢNG"),A280,IF(A280="","",K279))</f>
        <v/>
      </c>
      <c r="L280">
        <f>IF(A280="","",IF(ISNUMBER(--LEFT(A280,FIND(" - ",A280&amp;" - ")-1)),LEFT(A280,FIND(" - ",A280&amp;" - ")-1),TRIM(A280)))</f>
        <v/>
      </c>
      <c r="M280">
        <f>IF(OR(K280="",K280=A280,A280=""),"",K280&amp;"|"&amp;L280)</f>
        <v/>
      </c>
      <c r="N280">
        <f>IF(M280="","",IF(ISNUMBER(B280),B280,IFERROR(_xlfn.NUMBERVALUE(B280,".",","),0)))</f>
        <v/>
      </c>
      <c r="O280">
        <f>IF(M280="","",IF(ISNUMBER(C280),C280,IFERROR(_xlfn.NUMBERVALUE(C280,".",","),0)))</f>
        <v/>
      </c>
    </row>
    <row r="281">
      <c r="K281">
        <f>IF(OR(LEFT(B281,9)="DOANH THU",LEFT(B281,8)="SỐ LƯỢNG"),A281,IF(A281="","",K280))</f>
        <v/>
      </c>
      <c r="L281">
        <f>IF(A281="","",IF(ISNUMBER(--LEFT(A281,FIND(" - ",A281&amp;" - ")-1)),LEFT(A281,FIND(" - ",A281&amp;" - ")-1),TRIM(A281)))</f>
        <v/>
      </c>
      <c r="M281">
        <f>IF(OR(K281="",K281=A281,A281=""),"",K281&amp;"|"&amp;L281)</f>
        <v/>
      </c>
      <c r="N281">
        <f>IF(M281="","",IF(ISNUMBER(B281),B281,IFERROR(_xlfn.NUMBERVALUE(B281,".",","),0)))</f>
        <v/>
      </c>
      <c r="O281">
        <f>IF(M281="","",IF(ISNUMBER(C281),C281,IFERROR(_xlfn.NUMBERVALUE(C281,".",","),0)))</f>
        <v/>
      </c>
    </row>
    <row r="282">
      <c r="K282">
        <f>IF(OR(LEFT(B282,9)="DOANH THU",LEFT(B282,8)="SỐ LƯỢNG"),A282,IF(A282="","",K281))</f>
        <v/>
      </c>
      <c r="L282">
        <f>IF(A282="","",IF(ISNUMBER(--LEFT(A282,FIND(" - ",A282&amp;" - ")-1)),LEFT(A282,FIND(" - ",A282&amp;" - ")-1),TRIM(A282)))</f>
        <v/>
      </c>
      <c r="M282">
        <f>IF(OR(K282="",K282=A282,A282=""),"",K282&amp;"|"&amp;L282)</f>
        <v/>
      </c>
      <c r="N282">
        <f>IF(M282="","",IF(ISNUMBER(B282),B282,IFERROR(_xlfn.NUMBERVALUE(B282,".",","),0)))</f>
        <v/>
      </c>
      <c r="O282">
        <f>IF(M282="","",IF(ISNUMBER(C282),C282,IFERROR(_xlfn.NUMBERVALUE(C282,".",","),0)))</f>
        <v/>
      </c>
    </row>
    <row r="283">
      <c r="K283">
        <f>IF(OR(LEFT(B283,9)="DOANH THU",LEFT(B283,8)="SỐ LƯỢNG"),A283,IF(A283="","",K282))</f>
        <v/>
      </c>
      <c r="L283">
        <f>IF(A283="","",IF(ISNUMBER(--LEFT(A283,FIND(" - ",A283&amp;" - ")-1)),LEFT(A283,FIND(" - ",A283&amp;" - ")-1),TRIM(A283)))</f>
        <v/>
      </c>
      <c r="M283">
        <f>IF(OR(K283="",K283=A283,A283=""),"",K283&amp;"|"&amp;L283)</f>
        <v/>
      </c>
      <c r="N283">
        <f>IF(M283="","",IF(ISNUMBER(B283),B283,IFERROR(_xlfn.NUMBERVALUE(B283,".",","),0)))</f>
        <v/>
      </c>
      <c r="O283">
        <f>IF(M283="","",IF(ISNUMBER(C283),C283,IFERROR(_xlfn.NUMBERVALUE(C283,".",","),0)))</f>
        <v/>
      </c>
    </row>
    <row r="284">
      <c r="K284">
        <f>IF(OR(LEFT(B284,9)="DOANH THU",LEFT(B284,8)="SỐ LƯỢNG"),A284,IF(A284="","",K283))</f>
        <v/>
      </c>
      <c r="L284">
        <f>IF(A284="","",IF(ISNUMBER(--LEFT(A284,FIND(" - ",A284&amp;" - ")-1)),LEFT(A284,FIND(" - ",A284&amp;" - ")-1),TRIM(A284)))</f>
        <v/>
      </c>
      <c r="M284">
        <f>IF(OR(K284="",K284=A284,A284=""),"",K284&amp;"|"&amp;L284)</f>
        <v/>
      </c>
      <c r="N284">
        <f>IF(M284="","",IF(ISNUMBER(B284),B284,IFERROR(_xlfn.NUMBERVALUE(B284,".",","),0)))</f>
        <v/>
      </c>
      <c r="O284">
        <f>IF(M284="","",IF(ISNUMBER(C284),C284,IFERROR(_xlfn.NUMBERVALUE(C284,".",","),0)))</f>
        <v/>
      </c>
    </row>
    <row r="285">
      <c r="K285">
        <f>IF(OR(LEFT(B285,9)="DOANH THU",LEFT(B285,8)="SỐ LƯỢNG"),A285,IF(A285="","",K284))</f>
        <v/>
      </c>
      <c r="L285">
        <f>IF(A285="","",IF(ISNUMBER(--LEFT(A285,FIND(" - ",A285&amp;" - ")-1)),LEFT(A285,FIND(" - ",A285&amp;" - ")-1),TRIM(A285)))</f>
        <v/>
      </c>
      <c r="M285">
        <f>IF(OR(K285="",K285=A285,A285=""),"",K285&amp;"|"&amp;L285)</f>
        <v/>
      </c>
      <c r="N285">
        <f>IF(M285="","",IF(ISNUMBER(B285),B285,IFERROR(_xlfn.NUMBERVALUE(B285,".",","),0)))</f>
        <v/>
      </c>
      <c r="O285">
        <f>IF(M285="","",IF(ISNUMBER(C285),C285,IFERROR(_xlfn.NUMBERVALUE(C285,".",","),0)))</f>
        <v/>
      </c>
    </row>
    <row r="286">
      <c r="K286">
        <f>IF(OR(LEFT(B286,9)="DOANH THU",LEFT(B286,8)="SỐ LƯỢNG"),A286,IF(A286="","",K285))</f>
        <v/>
      </c>
      <c r="L286">
        <f>IF(A286="","",IF(ISNUMBER(--LEFT(A286,FIND(" - ",A286&amp;" - ")-1)),LEFT(A286,FIND(" - ",A286&amp;" - ")-1),TRIM(A286)))</f>
        <v/>
      </c>
      <c r="M286">
        <f>IF(OR(K286="",K286=A286,A286=""),"",K286&amp;"|"&amp;L286)</f>
        <v/>
      </c>
      <c r="N286">
        <f>IF(M286="","",IF(ISNUMBER(B286),B286,IFERROR(_xlfn.NUMBERVALUE(B286,".",","),0)))</f>
        <v/>
      </c>
      <c r="O286">
        <f>IF(M286="","",IF(ISNUMBER(C286),C286,IFERROR(_xlfn.NUMBERVALUE(C286,".",","),0)))</f>
        <v/>
      </c>
    </row>
    <row r="287">
      <c r="K287">
        <f>IF(OR(LEFT(B287,9)="DOANH THU",LEFT(B287,8)="SỐ LƯỢNG"),A287,IF(A287="","",K286))</f>
        <v/>
      </c>
      <c r="L287">
        <f>IF(A287="","",IF(ISNUMBER(--LEFT(A287,FIND(" - ",A287&amp;" - ")-1)),LEFT(A287,FIND(" - ",A287&amp;" - ")-1),TRIM(A287)))</f>
        <v/>
      </c>
      <c r="M287">
        <f>IF(OR(K287="",K287=A287,A287=""),"",K287&amp;"|"&amp;L287)</f>
        <v/>
      </c>
      <c r="N287">
        <f>IF(M287="","",IF(ISNUMBER(B287),B287,IFERROR(_xlfn.NUMBERVALUE(B287,".",","),0)))</f>
        <v/>
      </c>
      <c r="O287">
        <f>IF(M287="","",IF(ISNUMBER(C287),C287,IFERROR(_xlfn.NUMBERVALUE(C287,".",","),0)))</f>
        <v/>
      </c>
    </row>
    <row r="288">
      <c r="K288">
        <f>IF(OR(LEFT(B288,9)="DOANH THU",LEFT(B288,8)="SỐ LƯỢNG"),A288,IF(A288="","",K287))</f>
        <v/>
      </c>
      <c r="L288">
        <f>IF(A288="","",IF(ISNUMBER(--LEFT(A288,FIND(" - ",A288&amp;" - ")-1)),LEFT(A288,FIND(" - ",A288&amp;" - ")-1),TRIM(A288)))</f>
        <v/>
      </c>
      <c r="M288">
        <f>IF(OR(K288="",K288=A288,A288=""),"",K288&amp;"|"&amp;L288)</f>
        <v/>
      </c>
      <c r="N288">
        <f>IF(M288="","",IF(ISNUMBER(B288),B288,IFERROR(_xlfn.NUMBERVALUE(B288,".",","),0)))</f>
        <v/>
      </c>
      <c r="O288">
        <f>IF(M288="","",IF(ISNUMBER(C288),C288,IFERROR(_xlfn.NUMBERVALUE(C288,".",","),0)))</f>
        <v/>
      </c>
    </row>
    <row r="289">
      <c r="K289">
        <f>IF(OR(LEFT(B289,9)="DOANH THU",LEFT(B289,8)="SỐ LƯỢNG"),A289,IF(A289="","",K288))</f>
        <v/>
      </c>
      <c r="L289">
        <f>IF(A289="","",IF(ISNUMBER(--LEFT(A289,FIND(" - ",A289&amp;" - ")-1)),LEFT(A289,FIND(" - ",A289&amp;" - ")-1),TRIM(A289)))</f>
        <v/>
      </c>
      <c r="M289">
        <f>IF(OR(K289="",K289=A289,A289=""),"",K289&amp;"|"&amp;L289)</f>
        <v/>
      </c>
      <c r="N289">
        <f>IF(M289="","",IF(ISNUMBER(B289),B289,IFERROR(_xlfn.NUMBERVALUE(B289,".",","),0)))</f>
        <v/>
      </c>
      <c r="O289">
        <f>IF(M289="","",IF(ISNUMBER(C289),C289,IFERROR(_xlfn.NUMBERVALUE(C289,".",","),0)))</f>
        <v/>
      </c>
    </row>
    <row r="290">
      <c r="K290">
        <f>IF(OR(LEFT(B290,9)="DOANH THU",LEFT(B290,8)="SỐ LƯỢNG"),A290,IF(A290="","",K289))</f>
        <v/>
      </c>
      <c r="L290">
        <f>IF(A290="","",IF(ISNUMBER(--LEFT(A290,FIND(" - ",A290&amp;" - ")-1)),LEFT(A290,FIND(" - ",A290&amp;" - ")-1),TRIM(A290)))</f>
        <v/>
      </c>
      <c r="M290">
        <f>IF(OR(K290="",K290=A290,A290=""),"",K290&amp;"|"&amp;L290)</f>
        <v/>
      </c>
      <c r="N290">
        <f>IF(M290="","",IF(ISNUMBER(B290),B290,IFERROR(_xlfn.NUMBERVALUE(B290,".",","),0)))</f>
        <v/>
      </c>
      <c r="O290">
        <f>IF(M290="","",IF(ISNUMBER(C290),C290,IFERROR(_xlfn.NUMBERVALUE(C290,".",","),0)))</f>
        <v/>
      </c>
    </row>
    <row r="291">
      <c r="K291">
        <f>IF(OR(LEFT(B291,9)="DOANH THU",LEFT(B291,8)="SỐ LƯỢNG"),A291,IF(A291="","",K290))</f>
        <v/>
      </c>
      <c r="L291">
        <f>IF(A291="","",IF(ISNUMBER(--LEFT(A291,FIND(" - ",A291&amp;" - ")-1)),LEFT(A291,FIND(" - ",A291&amp;" - ")-1),TRIM(A291)))</f>
        <v/>
      </c>
      <c r="M291">
        <f>IF(OR(K291="",K291=A291,A291=""),"",K291&amp;"|"&amp;L291)</f>
        <v/>
      </c>
      <c r="N291">
        <f>IF(M291="","",IF(ISNUMBER(B291),B291,IFERROR(_xlfn.NUMBERVALUE(B291,".",","),0)))</f>
        <v/>
      </c>
      <c r="O291">
        <f>IF(M291="","",IF(ISNUMBER(C291),C291,IFERROR(_xlfn.NUMBERVALUE(C291,".",","),0)))</f>
        <v/>
      </c>
    </row>
    <row r="292">
      <c r="K292">
        <f>IF(OR(LEFT(B292,9)="DOANH THU",LEFT(B292,8)="SỐ LƯỢNG"),A292,IF(A292="","",K291))</f>
        <v/>
      </c>
      <c r="L292">
        <f>IF(A292="","",IF(ISNUMBER(--LEFT(A292,FIND(" - ",A292&amp;" - ")-1)),LEFT(A292,FIND(" - ",A292&amp;" - ")-1),TRIM(A292)))</f>
        <v/>
      </c>
      <c r="M292">
        <f>IF(OR(K292="",K292=A292,A292=""),"",K292&amp;"|"&amp;L292)</f>
        <v/>
      </c>
      <c r="N292">
        <f>IF(M292="","",IF(ISNUMBER(B292),B292,IFERROR(_xlfn.NUMBERVALUE(B292,".",","),0)))</f>
        <v/>
      </c>
      <c r="O292">
        <f>IF(M292="","",IF(ISNUMBER(C292),C292,IFERROR(_xlfn.NUMBERVALUE(C292,".",","),0)))</f>
        <v/>
      </c>
    </row>
    <row r="293">
      <c r="K293">
        <f>IF(OR(LEFT(B293,9)="DOANH THU",LEFT(B293,8)="SỐ LƯỢNG"),A293,IF(A293="","",K292))</f>
        <v/>
      </c>
      <c r="L293">
        <f>IF(A293="","",IF(ISNUMBER(--LEFT(A293,FIND(" - ",A293&amp;" - ")-1)),LEFT(A293,FIND(" - ",A293&amp;" - ")-1),TRIM(A293)))</f>
        <v/>
      </c>
      <c r="M293">
        <f>IF(OR(K293="",K293=A293,A293=""),"",K293&amp;"|"&amp;L293)</f>
        <v/>
      </c>
      <c r="N293">
        <f>IF(M293="","",IF(ISNUMBER(B293),B293,IFERROR(_xlfn.NUMBERVALUE(B293,".",","),0)))</f>
        <v/>
      </c>
      <c r="O293">
        <f>IF(M293="","",IF(ISNUMBER(C293),C293,IFERROR(_xlfn.NUMBERVALUE(C293,".",","),0)))</f>
        <v/>
      </c>
    </row>
    <row r="294">
      <c r="K294">
        <f>IF(OR(LEFT(B294,9)="DOANH THU",LEFT(B294,8)="SỐ LƯỢNG"),A294,IF(A294="","",K293))</f>
        <v/>
      </c>
      <c r="L294">
        <f>IF(A294="","",IF(ISNUMBER(--LEFT(A294,FIND(" - ",A294&amp;" - ")-1)),LEFT(A294,FIND(" - ",A294&amp;" - ")-1),TRIM(A294)))</f>
        <v/>
      </c>
      <c r="M294">
        <f>IF(OR(K294="",K294=A294,A294=""),"",K294&amp;"|"&amp;L294)</f>
        <v/>
      </c>
      <c r="N294">
        <f>IF(M294="","",IF(ISNUMBER(B294),B294,IFERROR(_xlfn.NUMBERVALUE(B294,".",","),0)))</f>
        <v/>
      </c>
      <c r="O294">
        <f>IF(M294="","",IF(ISNUMBER(C294),C294,IFERROR(_xlfn.NUMBERVALUE(C294,".",","),0)))</f>
        <v/>
      </c>
    </row>
    <row r="295">
      <c r="K295">
        <f>IF(OR(LEFT(B295,9)="DOANH THU",LEFT(B295,8)="SỐ LƯỢNG"),A295,IF(A295="","",K294))</f>
        <v/>
      </c>
      <c r="L295">
        <f>IF(A295="","",IF(ISNUMBER(--LEFT(A295,FIND(" - ",A295&amp;" - ")-1)),LEFT(A295,FIND(" - ",A295&amp;" - ")-1),TRIM(A295)))</f>
        <v/>
      </c>
      <c r="M295">
        <f>IF(OR(K295="",K295=A295,A295=""),"",K295&amp;"|"&amp;L295)</f>
        <v/>
      </c>
      <c r="N295">
        <f>IF(M295="","",IF(ISNUMBER(B295),B295,IFERROR(_xlfn.NUMBERVALUE(B295,".",","),0)))</f>
        <v/>
      </c>
      <c r="O295">
        <f>IF(M295="","",IF(ISNUMBER(C295),C295,IFERROR(_xlfn.NUMBERVALUE(C295,".",","),0)))</f>
        <v/>
      </c>
    </row>
    <row r="296">
      <c r="K296">
        <f>IF(OR(LEFT(B296,9)="DOANH THU",LEFT(B296,8)="SỐ LƯỢNG"),A296,IF(A296="","",K295))</f>
        <v/>
      </c>
      <c r="L296">
        <f>IF(A296="","",IF(ISNUMBER(--LEFT(A296,FIND(" - ",A296&amp;" - ")-1)),LEFT(A296,FIND(" - ",A296&amp;" - ")-1),TRIM(A296)))</f>
        <v/>
      </c>
      <c r="M296">
        <f>IF(OR(K296="",K296=A296,A296=""),"",K296&amp;"|"&amp;L296)</f>
        <v/>
      </c>
      <c r="N296">
        <f>IF(M296="","",IF(ISNUMBER(B296),B296,IFERROR(_xlfn.NUMBERVALUE(B296,".",","),0)))</f>
        <v/>
      </c>
      <c r="O296">
        <f>IF(M296="","",IF(ISNUMBER(C296),C296,IFERROR(_xlfn.NUMBERVALUE(C296,".",","),0)))</f>
        <v/>
      </c>
    </row>
    <row r="297">
      <c r="K297">
        <f>IF(OR(LEFT(B297,9)="DOANH THU",LEFT(B297,8)="SỐ LƯỢNG"),A297,IF(A297="","",K296))</f>
        <v/>
      </c>
      <c r="L297">
        <f>IF(A297="","",IF(ISNUMBER(--LEFT(A297,FIND(" - ",A297&amp;" - ")-1)),LEFT(A297,FIND(" - ",A297&amp;" - ")-1),TRIM(A297)))</f>
        <v/>
      </c>
      <c r="M297">
        <f>IF(OR(K297="",K297=A297,A297=""),"",K297&amp;"|"&amp;L297)</f>
        <v/>
      </c>
      <c r="N297">
        <f>IF(M297="","",IF(ISNUMBER(B297),B297,IFERROR(_xlfn.NUMBERVALUE(B297,".",","),0)))</f>
        <v/>
      </c>
      <c r="O297">
        <f>IF(M297="","",IF(ISNUMBER(C297),C297,IFERROR(_xlfn.NUMBERVALUE(C297,".",","),0)))</f>
        <v/>
      </c>
    </row>
    <row r="298">
      <c r="K298">
        <f>IF(OR(LEFT(B298,9)="DOANH THU",LEFT(B298,8)="SỐ LƯỢNG"),A298,IF(A298="","",K297))</f>
        <v/>
      </c>
      <c r="L298">
        <f>IF(A298="","",IF(ISNUMBER(--LEFT(A298,FIND(" - ",A298&amp;" - ")-1)),LEFT(A298,FIND(" - ",A298&amp;" - ")-1),TRIM(A298)))</f>
        <v/>
      </c>
      <c r="M298">
        <f>IF(OR(K298="",K298=A298,A298=""),"",K298&amp;"|"&amp;L298)</f>
        <v/>
      </c>
      <c r="N298">
        <f>IF(M298="","",IF(ISNUMBER(B298),B298,IFERROR(_xlfn.NUMBERVALUE(B298,".",","),0)))</f>
        <v/>
      </c>
      <c r="O298">
        <f>IF(M298="","",IF(ISNUMBER(C298),C298,IFERROR(_xlfn.NUMBERVALUE(C298,".",","),0)))</f>
        <v/>
      </c>
    </row>
    <row r="299">
      <c r="K299">
        <f>IF(OR(LEFT(B299,9)="DOANH THU",LEFT(B299,8)="SỐ LƯỢNG"),A299,IF(A299="","",K298))</f>
        <v/>
      </c>
      <c r="L299">
        <f>IF(A299="","",IF(ISNUMBER(--LEFT(A299,FIND(" - ",A299&amp;" - ")-1)),LEFT(A299,FIND(" - ",A299&amp;" - ")-1),TRIM(A299)))</f>
        <v/>
      </c>
      <c r="M299">
        <f>IF(OR(K299="",K299=A299,A299=""),"",K299&amp;"|"&amp;L299)</f>
        <v/>
      </c>
      <c r="N299">
        <f>IF(M299="","",IF(ISNUMBER(B299),B299,IFERROR(_xlfn.NUMBERVALUE(B299,".",","),0)))</f>
        <v/>
      </c>
      <c r="O299">
        <f>IF(M299="","",IF(ISNUMBER(C299),C299,IFERROR(_xlfn.NUMBERVALUE(C299,".",","),0)))</f>
        <v/>
      </c>
    </row>
    <row r="300">
      <c r="K300">
        <f>IF(OR(LEFT(B300,9)="DOANH THU",LEFT(B300,8)="SỐ LƯỢNG"),A300,IF(A300="","",K299))</f>
        <v/>
      </c>
      <c r="L300">
        <f>IF(A300="","",IF(ISNUMBER(--LEFT(A300,FIND(" - ",A300&amp;" - ")-1)),LEFT(A300,FIND(" - ",A300&amp;" - ")-1),TRIM(A300)))</f>
        <v/>
      </c>
      <c r="M300">
        <f>IF(OR(K300="",K300=A300,A300=""),"",K300&amp;"|"&amp;L300)</f>
        <v/>
      </c>
      <c r="N300">
        <f>IF(M300="","",IF(ISNUMBER(B300),B300,IFERROR(_xlfn.NUMBERVALUE(B300,".",","),0)))</f>
        <v/>
      </c>
      <c r="O300">
        <f>IF(M300="","",IF(ISNUMBER(C300),C300,IFERROR(_xlfn.NUMBERVALUE(C300,".",","),0)))</f>
        <v/>
      </c>
    </row>
    <row r="301">
      <c r="K301">
        <f>IF(OR(LEFT(B301,9)="DOANH THU",LEFT(B301,8)="SỐ LƯỢNG"),A301,IF(A301="","",K300))</f>
        <v/>
      </c>
      <c r="L301">
        <f>IF(A301="","",IF(ISNUMBER(--LEFT(A301,FIND(" - ",A301&amp;" - ")-1)),LEFT(A301,FIND(" - ",A301&amp;" - ")-1),TRIM(A301)))</f>
        <v/>
      </c>
      <c r="M301">
        <f>IF(OR(K301="",K301=A301,A301=""),"",K301&amp;"|"&amp;L301)</f>
        <v/>
      </c>
      <c r="N301">
        <f>IF(M301="","",IF(ISNUMBER(B301),B301,IFERROR(_xlfn.NUMBERVALUE(B301,".",","),0)))</f>
        <v/>
      </c>
      <c r="O301">
        <f>IF(M301="","",IF(ISNUMBER(C301),C301,IFERROR(_xlfn.NUMBERVALUE(C301,".",","),0)))</f>
        <v/>
      </c>
    </row>
    <row r="302">
      <c r="K302">
        <f>IF(OR(LEFT(B302,9)="DOANH THU",LEFT(B302,8)="SỐ LƯỢNG"),A302,IF(A302="","",K301))</f>
        <v/>
      </c>
      <c r="L302">
        <f>IF(A302="","",IF(ISNUMBER(--LEFT(A302,FIND(" - ",A302&amp;" - ")-1)),LEFT(A302,FIND(" - ",A302&amp;" - ")-1),TRIM(A302)))</f>
        <v/>
      </c>
      <c r="M302">
        <f>IF(OR(K302="",K302=A302,A302=""),"",K302&amp;"|"&amp;L302)</f>
        <v/>
      </c>
      <c r="N302">
        <f>IF(M302="","",IF(ISNUMBER(B302),B302,IFERROR(_xlfn.NUMBERVALUE(B302,".",","),0)))</f>
        <v/>
      </c>
      <c r="O302">
        <f>IF(M302="","",IF(ISNUMBER(C302),C302,IFERROR(_xlfn.NUMBERVALUE(C302,".",","),0)))</f>
        <v/>
      </c>
    </row>
    <row r="303">
      <c r="K303">
        <f>IF(OR(LEFT(B303,9)="DOANH THU",LEFT(B303,8)="SỐ LƯỢNG"),A303,IF(A303="","",K302))</f>
        <v/>
      </c>
      <c r="L303">
        <f>IF(A303="","",IF(ISNUMBER(--LEFT(A303,FIND(" - ",A303&amp;" - ")-1)),LEFT(A303,FIND(" - ",A303&amp;" - ")-1),TRIM(A303)))</f>
        <v/>
      </c>
      <c r="M303">
        <f>IF(OR(K303="",K303=A303,A303=""),"",K303&amp;"|"&amp;L303)</f>
        <v/>
      </c>
      <c r="N303">
        <f>IF(M303="","",IF(ISNUMBER(B303),B303,IFERROR(_xlfn.NUMBERVALUE(B303,".",","),0)))</f>
        <v/>
      </c>
      <c r="O303">
        <f>IF(M303="","",IF(ISNUMBER(C303),C303,IFERROR(_xlfn.NUMBERVALUE(C303,".",","),0)))</f>
        <v/>
      </c>
    </row>
    <row r="304">
      <c r="K304">
        <f>IF(OR(LEFT(B304,9)="DOANH THU",LEFT(B304,8)="SỐ LƯỢNG"),A304,IF(A304="","",K303))</f>
        <v/>
      </c>
      <c r="L304">
        <f>IF(A304="","",IF(ISNUMBER(--LEFT(A304,FIND(" - ",A304&amp;" - ")-1)),LEFT(A304,FIND(" - ",A304&amp;" - ")-1),TRIM(A304)))</f>
        <v/>
      </c>
      <c r="M304">
        <f>IF(OR(K304="",K304=A304,A304=""),"",K304&amp;"|"&amp;L304)</f>
        <v/>
      </c>
      <c r="N304">
        <f>IF(M304="","",IF(ISNUMBER(B304),B304,IFERROR(_xlfn.NUMBERVALUE(B304,".",","),0)))</f>
        <v/>
      </c>
      <c r="O304">
        <f>IF(M304="","",IF(ISNUMBER(C304),C304,IFERROR(_xlfn.NUMBERVALUE(C304,".",","),0)))</f>
        <v/>
      </c>
    </row>
    <row r="305">
      <c r="K305">
        <f>IF(OR(LEFT(B305,9)="DOANH THU",LEFT(B305,8)="SỐ LƯỢNG"),A305,IF(A305="","",K304))</f>
        <v/>
      </c>
      <c r="L305">
        <f>IF(A305="","",IF(ISNUMBER(--LEFT(A305,FIND(" - ",A305&amp;" - ")-1)),LEFT(A305,FIND(" - ",A305&amp;" - ")-1),TRIM(A305)))</f>
        <v/>
      </c>
      <c r="M305">
        <f>IF(OR(K305="",K305=A305,A305=""),"",K305&amp;"|"&amp;L305)</f>
        <v/>
      </c>
      <c r="N305">
        <f>IF(M305="","",IF(ISNUMBER(B305),B305,IFERROR(_xlfn.NUMBERVALUE(B305,".",","),0)))</f>
        <v/>
      </c>
      <c r="O305">
        <f>IF(M305="","",IF(ISNUMBER(C305),C305,IFERROR(_xlfn.NUMBERVALUE(C305,".",","),0)))</f>
        <v/>
      </c>
    </row>
    <row r="306">
      <c r="K306">
        <f>IF(OR(LEFT(B306,9)="DOANH THU",LEFT(B306,8)="SỐ LƯỢNG"),A306,IF(A306="","",K305))</f>
        <v/>
      </c>
      <c r="L306">
        <f>IF(A306="","",IF(ISNUMBER(--LEFT(A306,FIND(" - ",A306&amp;" - ")-1)),LEFT(A306,FIND(" - ",A306&amp;" - ")-1),TRIM(A306)))</f>
        <v/>
      </c>
      <c r="M306">
        <f>IF(OR(K306="",K306=A306,A306=""),"",K306&amp;"|"&amp;L306)</f>
        <v/>
      </c>
      <c r="N306">
        <f>IF(M306="","",IF(ISNUMBER(B306),B306,IFERROR(_xlfn.NUMBERVALUE(B306,".",","),0)))</f>
        <v/>
      </c>
      <c r="O306">
        <f>IF(M306="","",IF(ISNUMBER(C306),C306,IFERROR(_xlfn.NUMBERVALUE(C306,".",","),0)))</f>
        <v/>
      </c>
    </row>
    <row r="307">
      <c r="K307">
        <f>IF(OR(LEFT(B307,9)="DOANH THU",LEFT(B307,8)="SỐ LƯỢNG"),A307,IF(A307="","",K306))</f>
        <v/>
      </c>
      <c r="L307">
        <f>IF(A307="","",IF(ISNUMBER(--LEFT(A307,FIND(" - ",A307&amp;" - ")-1)),LEFT(A307,FIND(" - ",A307&amp;" - ")-1),TRIM(A307)))</f>
        <v/>
      </c>
      <c r="M307">
        <f>IF(OR(K307="",K307=A307,A307=""),"",K307&amp;"|"&amp;L307)</f>
        <v/>
      </c>
      <c r="N307">
        <f>IF(M307="","",IF(ISNUMBER(B307),B307,IFERROR(_xlfn.NUMBERVALUE(B307,".",","),0)))</f>
        <v/>
      </c>
      <c r="O307">
        <f>IF(M307="","",IF(ISNUMBER(C307),C307,IFERROR(_xlfn.NUMBERVALUE(C307,".",","),0)))</f>
        <v/>
      </c>
    </row>
    <row r="308">
      <c r="K308">
        <f>IF(OR(LEFT(B308,9)="DOANH THU",LEFT(B308,8)="SỐ LƯỢNG"),A308,IF(A308="","",K307))</f>
        <v/>
      </c>
      <c r="L308">
        <f>IF(A308="","",IF(ISNUMBER(--LEFT(A308,FIND(" - ",A308&amp;" - ")-1)),LEFT(A308,FIND(" - ",A308&amp;" - ")-1),TRIM(A308)))</f>
        <v/>
      </c>
      <c r="M308">
        <f>IF(OR(K308="",K308=A308,A308=""),"",K308&amp;"|"&amp;L308)</f>
        <v/>
      </c>
      <c r="N308">
        <f>IF(M308="","",IF(ISNUMBER(B308),B308,IFERROR(_xlfn.NUMBERVALUE(B308,".",","),0)))</f>
        <v/>
      </c>
      <c r="O308">
        <f>IF(M308="","",IF(ISNUMBER(C308),C308,IFERROR(_xlfn.NUMBERVALUE(C308,".",","),0)))</f>
        <v/>
      </c>
    </row>
    <row r="309">
      <c r="K309">
        <f>IF(OR(LEFT(B309,9)="DOANH THU",LEFT(B309,8)="SỐ LƯỢNG"),A309,IF(A309="","",K308))</f>
        <v/>
      </c>
      <c r="L309">
        <f>IF(A309="","",IF(ISNUMBER(--LEFT(A309,FIND(" - ",A309&amp;" - ")-1)),LEFT(A309,FIND(" - ",A309&amp;" - ")-1),TRIM(A309)))</f>
        <v/>
      </c>
      <c r="M309">
        <f>IF(OR(K309="",K309=A309,A309=""),"",K309&amp;"|"&amp;L309)</f>
        <v/>
      </c>
      <c r="N309">
        <f>IF(M309="","",IF(ISNUMBER(B309),B309,IFERROR(_xlfn.NUMBERVALUE(B309,".",","),0)))</f>
        <v/>
      </c>
      <c r="O309">
        <f>IF(M309="","",IF(ISNUMBER(C309),C309,IFERROR(_xlfn.NUMBERVALUE(C309,".",","),0)))</f>
        <v/>
      </c>
    </row>
    <row r="310">
      <c r="K310">
        <f>IF(OR(LEFT(B310,9)="DOANH THU",LEFT(B310,8)="SỐ LƯỢNG"),A310,IF(A310="","",K309))</f>
        <v/>
      </c>
      <c r="L310">
        <f>IF(A310="","",IF(ISNUMBER(--LEFT(A310,FIND(" - ",A310&amp;" - ")-1)),LEFT(A310,FIND(" - ",A310&amp;" - ")-1),TRIM(A310)))</f>
        <v/>
      </c>
      <c r="M310">
        <f>IF(OR(K310="",K310=A310,A310=""),"",K310&amp;"|"&amp;L310)</f>
        <v/>
      </c>
      <c r="N310">
        <f>IF(M310="","",IF(ISNUMBER(B310),B310,IFERROR(_xlfn.NUMBERVALUE(B310,".",","),0)))</f>
        <v/>
      </c>
      <c r="O310">
        <f>IF(M310="","",IF(ISNUMBER(C310),C310,IFERROR(_xlfn.NUMBERVALUE(C310,".",","),0)))</f>
        <v/>
      </c>
    </row>
    <row r="311">
      <c r="K311">
        <f>IF(OR(LEFT(B311,9)="DOANH THU",LEFT(B311,8)="SỐ LƯỢNG"),A311,IF(A311="","",K310))</f>
        <v/>
      </c>
      <c r="L311">
        <f>IF(A311="","",IF(ISNUMBER(--LEFT(A311,FIND(" - ",A311&amp;" - ")-1)),LEFT(A311,FIND(" - ",A311&amp;" - ")-1),TRIM(A311)))</f>
        <v/>
      </c>
      <c r="M311">
        <f>IF(OR(K311="",K311=A311,A311=""),"",K311&amp;"|"&amp;L311)</f>
        <v/>
      </c>
      <c r="N311">
        <f>IF(M311="","",IF(ISNUMBER(B311),B311,IFERROR(_xlfn.NUMBERVALUE(B311,".",","),0)))</f>
        <v/>
      </c>
      <c r="O311">
        <f>IF(M311="","",IF(ISNUMBER(C311),C311,IFERROR(_xlfn.NUMBERVALUE(C311,".",","),0)))</f>
        <v/>
      </c>
    </row>
    <row r="312">
      <c r="K312">
        <f>IF(OR(LEFT(B312,9)="DOANH THU",LEFT(B312,8)="SỐ LƯỢNG"),A312,IF(A312="","",K311))</f>
        <v/>
      </c>
      <c r="L312">
        <f>IF(A312="","",IF(ISNUMBER(--LEFT(A312,FIND(" - ",A312&amp;" - ")-1)),LEFT(A312,FIND(" - ",A312&amp;" - ")-1),TRIM(A312)))</f>
        <v/>
      </c>
      <c r="M312">
        <f>IF(OR(K312="",K312=A312,A312=""),"",K312&amp;"|"&amp;L312)</f>
        <v/>
      </c>
      <c r="N312">
        <f>IF(M312="","",IF(ISNUMBER(B312),B312,IFERROR(_xlfn.NUMBERVALUE(B312,".",","),0)))</f>
        <v/>
      </c>
      <c r="O312">
        <f>IF(M312="","",IF(ISNUMBER(C312),C312,IFERROR(_xlfn.NUMBERVALUE(C312,".",","),0)))</f>
        <v/>
      </c>
    </row>
    <row r="313">
      <c r="K313">
        <f>IF(OR(LEFT(B313,9)="DOANH THU",LEFT(B313,8)="SỐ LƯỢNG"),A313,IF(A313="","",K312))</f>
        <v/>
      </c>
      <c r="L313">
        <f>IF(A313="","",IF(ISNUMBER(--LEFT(A313,FIND(" - ",A313&amp;" - ")-1)),LEFT(A313,FIND(" - ",A313&amp;" - ")-1),TRIM(A313)))</f>
        <v/>
      </c>
      <c r="M313">
        <f>IF(OR(K313="",K313=A313,A313=""),"",K313&amp;"|"&amp;L313)</f>
        <v/>
      </c>
      <c r="N313">
        <f>IF(M313="","",IF(ISNUMBER(B313),B313,IFERROR(_xlfn.NUMBERVALUE(B313,".",","),0)))</f>
        <v/>
      </c>
      <c r="O313">
        <f>IF(M313="","",IF(ISNUMBER(C313),C313,IFERROR(_xlfn.NUMBERVALUE(C313,".",","),0)))</f>
        <v/>
      </c>
    </row>
    <row r="314">
      <c r="K314">
        <f>IF(OR(LEFT(B314,9)="DOANH THU",LEFT(B314,8)="SỐ LƯỢNG"),A314,IF(A314="","",K313))</f>
        <v/>
      </c>
      <c r="L314">
        <f>IF(A314="","",IF(ISNUMBER(--LEFT(A314,FIND(" - ",A314&amp;" - ")-1)),LEFT(A314,FIND(" - ",A314&amp;" - ")-1),TRIM(A314)))</f>
        <v/>
      </c>
      <c r="M314">
        <f>IF(OR(K314="",K314=A314,A314=""),"",K314&amp;"|"&amp;L314)</f>
        <v/>
      </c>
      <c r="N314">
        <f>IF(M314="","",IF(ISNUMBER(B314),B314,IFERROR(_xlfn.NUMBERVALUE(B314,".",","),0)))</f>
        <v/>
      </c>
      <c r="O314">
        <f>IF(M314="","",IF(ISNUMBER(C314),C314,IFERROR(_xlfn.NUMBERVALUE(C314,".",","),0)))</f>
        <v/>
      </c>
    </row>
    <row r="315">
      <c r="K315">
        <f>IF(OR(LEFT(B315,9)="DOANH THU",LEFT(B315,8)="SỐ LƯỢNG"),A315,IF(A315="","",K314))</f>
        <v/>
      </c>
      <c r="L315">
        <f>IF(A315="","",IF(ISNUMBER(--LEFT(A315,FIND(" - ",A315&amp;" - ")-1)),LEFT(A315,FIND(" - ",A315&amp;" - ")-1),TRIM(A315)))</f>
        <v/>
      </c>
      <c r="M315">
        <f>IF(OR(K315="",K315=A315,A315=""),"",K315&amp;"|"&amp;L315)</f>
        <v/>
      </c>
      <c r="N315">
        <f>IF(M315="","",IF(ISNUMBER(B315),B315,IFERROR(_xlfn.NUMBERVALUE(B315,".",","),0)))</f>
        <v/>
      </c>
      <c r="O315">
        <f>IF(M315="","",IF(ISNUMBER(C315),C315,IFERROR(_xlfn.NUMBERVALUE(C315,".",","),0)))</f>
        <v/>
      </c>
    </row>
    <row r="316">
      <c r="K316">
        <f>IF(OR(LEFT(B316,9)="DOANH THU",LEFT(B316,8)="SỐ LƯỢNG"),A316,IF(A316="","",K315))</f>
        <v/>
      </c>
      <c r="L316">
        <f>IF(A316="","",IF(ISNUMBER(--LEFT(A316,FIND(" - ",A316&amp;" - ")-1)),LEFT(A316,FIND(" - ",A316&amp;" - ")-1),TRIM(A316)))</f>
        <v/>
      </c>
      <c r="M316">
        <f>IF(OR(K316="",K316=A316,A316=""),"",K316&amp;"|"&amp;L316)</f>
        <v/>
      </c>
      <c r="N316">
        <f>IF(M316="","",IF(ISNUMBER(B316),B316,IFERROR(_xlfn.NUMBERVALUE(B316,".",","),0)))</f>
        <v/>
      </c>
      <c r="O316">
        <f>IF(M316="","",IF(ISNUMBER(C316),C316,IFERROR(_xlfn.NUMBERVALUE(C316,".",","),0)))</f>
        <v/>
      </c>
    </row>
    <row r="317">
      <c r="K317">
        <f>IF(OR(LEFT(B317,9)="DOANH THU",LEFT(B317,8)="SỐ LƯỢNG"),A317,IF(A317="","",K316))</f>
        <v/>
      </c>
      <c r="L317">
        <f>IF(A317="","",IF(ISNUMBER(--LEFT(A317,FIND(" - ",A317&amp;" - ")-1)),LEFT(A317,FIND(" - ",A317&amp;" - ")-1),TRIM(A317)))</f>
        <v/>
      </c>
      <c r="M317">
        <f>IF(OR(K317="",K317=A317,A317=""),"",K317&amp;"|"&amp;L317)</f>
        <v/>
      </c>
      <c r="N317">
        <f>IF(M317="","",IF(ISNUMBER(B317),B317,IFERROR(_xlfn.NUMBERVALUE(B317,".",","),0)))</f>
        <v/>
      </c>
      <c r="O317">
        <f>IF(M317="","",IF(ISNUMBER(C317),C317,IFERROR(_xlfn.NUMBERVALUE(C317,".",","),0)))</f>
        <v/>
      </c>
    </row>
    <row r="318">
      <c r="K318">
        <f>IF(OR(LEFT(B318,9)="DOANH THU",LEFT(B318,8)="SỐ LƯỢNG"),A318,IF(A318="","",K317))</f>
        <v/>
      </c>
      <c r="L318">
        <f>IF(A318="","",IF(ISNUMBER(--LEFT(A318,FIND(" - ",A318&amp;" - ")-1)),LEFT(A318,FIND(" - ",A318&amp;" - ")-1),TRIM(A318)))</f>
        <v/>
      </c>
      <c r="M318">
        <f>IF(OR(K318="",K318=A318,A318=""),"",K318&amp;"|"&amp;L318)</f>
        <v/>
      </c>
      <c r="N318">
        <f>IF(M318="","",IF(ISNUMBER(B318),B318,IFERROR(_xlfn.NUMBERVALUE(B318,".",","),0)))</f>
        <v/>
      </c>
      <c r="O318">
        <f>IF(M318="","",IF(ISNUMBER(C318),C318,IFERROR(_xlfn.NUMBERVALUE(C318,".",","),0)))</f>
        <v/>
      </c>
    </row>
    <row r="319">
      <c r="K319">
        <f>IF(OR(LEFT(B319,9)="DOANH THU",LEFT(B319,8)="SỐ LƯỢNG"),A319,IF(A319="","",K318))</f>
        <v/>
      </c>
      <c r="L319">
        <f>IF(A319="","",IF(ISNUMBER(--LEFT(A319,FIND(" - ",A319&amp;" - ")-1)),LEFT(A319,FIND(" - ",A319&amp;" - ")-1),TRIM(A319)))</f>
        <v/>
      </c>
      <c r="M319">
        <f>IF(OR(K319="",K319=A319,A319=""),"",K319&amp;"|"&amp;L319)</f>
        <v/>
      </c>
      <c r="N319">
        <f>IF(M319="","",IF(ISNUMBER(B319),B319,IFERROR(_xlfn.NUMBERVALUE(B319,".",","),0)))</f>
        <v/>
      </c>
      <c r="O319">
        <f>IF(M319="","",IF(ISNUMBER(C319),C319,IFERROR(_xlfn.NUMBERVALUE(C319,".",","),0)))</f>
        <v/>
      </c>
    </row>
    <row r="320">
      <c r="K320">
        <f>IF(OR(LEFT(B320,9)="DOANH THU",LEFT(B320,8)="SỐ LƯỢNG"),A320,IF(A320="","",K319))</f>
        <v/>
      </c>
      <c r="L320">
        <f>IF(A320="","",IF(ISNUMBER(--LEFT(A320,FIND(" - ",A320&amp;" - ")-1)),LEFT(A320,FIND(" - ",A320&amp;" - ")-1),TRIM(A320)))</f>
        <v/>
      </c>
      <c r="M320">
        <f>IF(OR(K320="",K320=A320,A320=""),"",K320&amp;"|"&amp;L320)</f>
        <v/>
      </c>
      <c r="N320">
        <f>IF(M320="","",IF(ISNUMBER(B320),B320,IFERROR(_xlfn.NUMBERVALUE(B320,".",","),0)))</f>
        <v/>
      </c>
      <c r="O320">
        <f>IF(M320="","",IF(ISNUMBER(C320),C320,IFERROR(_xlfn.NUMBERVALUE(C320,".",","),0)))</f>
        <v/>
      </c>
    </row>
    <row r="321">
      <c r="K321">
        <f>IF(OR(LEFT(B321,9)="DOANH THU",LEFT(B321,8)="SỐ LƯỢNG"),A321,IF(A321="","",K320))</f>
        <v/>
      </c>
      <c r="L321">
        <f>IF(A321="","",IF(ISNUMBER(--LEFT(A321,FIND(" - ",A321&amp;" - ")-1)),LEFT(A321,FIND(" - ",A321&amp;" - ")-1),TRIM(A321)))</f>
        <v/>
      </c>
      <c r="M321">
        <f>IF(OR(K321="",K321=A321,A321=""),"",K321&amp;"|"&amp;L321)</f>
        <v/>
      </c>
      <c r="N321">
        <f>IF(M321="","",IF(ISNUMBER(B321),B321,IFERROR(_xlfn.NUMBERVALUE(B321,".",","),0)))</f>
        <v/>
      </c>
      <c r="O321">
        <f>IF(M321="","",IF(ISNUMBER(C321),C321,IFERROR(_xlfn.NUMBERVALUE(C321,".",","),0)))</f>
        <v/>
      </c>
    </row>
    <row r="322">
      <c r="K322">
        <f>IF(OR(LEFT(B322,9)="DOANH THU",LEFT(B322,8)="SỐ LƯỢNG"),A322,IF(A322="","",K321))</f>
        <v/>
      </c>
      <c r="L322">
        <f>IF(A322="","",IF(ISNUMBER(--LEFT(A322,FIND(" - ",A322&amp;" - ")-1)),LEFT(A322,FIND(" - ",A322&amp;" - ")-1),TRIM(A322)))</f>
        <v/>
      </c>
      <c r="M322">
        <f>IF(OR(K322="",K322=A322,A322=""),"",K322&amp;"|"&amp;L322)</f>
        <v/>
      </c>
      <c r="N322">
        <f>IF(M322="","",IF(ISNUMBER(B322),B322,IFERROR(_xlfn.NUMBERVALUE(B322,".",","),0)))</f>
        <v/>
      </c>
      <c r="O322">
        <f>IF(M322="","",IF(ISNUMBER(C322),C322,IFERROR(_xlfn.NUMBERVALUE(C322,".",","),0)))</f>
        <v/>
      </c>
    </row>
    <row r="323">
      <c r="K323">
        <f>IF(OR(LEFT(B323,9)="DOANH THU",LEFT(B323,8)="SỐ LƯỢNG"),A323,IF(A323="","",K322))</f>
        <v/>
      </c>
      <c r="L323">
        <f>IF(A323="","",IF(ISNUMBER(--LEFT(A323,FIND(" - ",A323&amp;" - ")-1)),LEFT(A323,FIND(" - ",A323&amp;" - ")-1),TRIM(A323)))</f>
        <v/>
      </c>
      <c r="M323">
        <f>IF(OR(K323="",K323=A323,A323=""),"",K323&amp;"|"&amp;L323)</f>
        <v/>
      </c>
      <c r="N323">
        <f>IF(M323="","",IF(ISNUMBER(B323),B323,IFERROR(_xlfn.NUMBERVALUE(B323,".",","),0)))</f>
        <v/>
      </c>
      <c r="O323">
        <f>IF(M323="","",IF(ISNUMBER(C323),C323,IFERROR(_xlfn.NUMBERVALUE(C323,".",","),0)))</f>
        <v/>
      </c>
    </row>
    <row r="324">
      <c r="K324">
        <f>IF(OR(LEFT(B324,9)="DOANH THU",LEFT(B324,8)="SỐ LƯỢNG"),A324,IF(A324="","",K323))</f>
        <v/>
      </c>
      <c r="L324">
        <f>IF(A324="","",IF(ISNUMBER(--LEFT(A324,FIND(" - ",A324&amp;" - ")-1)),LEFT(A324,FIND(" - ",A324&amp;" - ")-1),TRIM(A324)))</f>
        <v/>
      </c>
      <c r="M324">
        <f>IF(OR(K324="",K324=A324,A324=""),"",K324&amp;"|"&amp;L324)</f>
        <v/>
      </c>
      <c r="N324">
        <f>IF(M324="","",IF(ISNUMBER(B324),B324,IFERROR(_xlfn.NUMBERVALUE(B324,".",","),0)))</f>
        <v/>
      </c>
      <c r="O324">
        <f>IF(M324="","",IF(ISNUMBER(C324),C324,IFERROR(_xlfn.NUMBERVALUE(C324,".",","),0)))</f>
        <v/>
      </c>
    </row>
    <row r="325">
      <c r="K325">
        <f>IF(OR(LEFT(B325,9)="DOANH THU",LEFT(B325,8)="SỐ LƯỢNG"),A325,IF(A325="","",K324))</f>
        <v/>
      </c>
      <c r="L325">
        <f>IF(A325="","",IF(ISNUMBER(--LEFT(A325,FIND(" - ",A325&amp;" - ")-1)),LEFT(A325,FIND(" - ",A325&amp;" - ")-1),TRIM(A325)))</f>
        <v/>
      </c>
      <c r="M325">
        <f>IF(OR(K325="",K325=A325,A325=""),"",K325&amp;"|"&amp;L325)</f>
        <v/>
      </c>
      <c r="N325">
        <f>IF(M325="","",IF(ISNUMBER(B325),B325,IFERROR(_xlfn.NUMBERVALUE(B325,".",","),0)))</f>
        <v/>
      </c>
      <c r="O325">
        <f>IF(M325="","",IF(ISNUMBER(C325),C325,IFERROR(_xlfn.NUMBERVALUE(C325,".",","),0)))</f>
        <v/>
      </c>
    </row>
    <row r="326">
      <c r="K326">
        <f>IF(OR(LEFT(B326,9)="DOANH THU",LEFT(B326,8)="SỐ LƯỢNG"),A326,IF(A326="","",K325))</f>
        <v/>
      </c>
      <c r="L326">
        <f>IF(A326="","",IF(ISNUMBER(--LEFT(A326,FIND(" - ",A326&amp;" - ")-1)),LEFT(A326,FIND(" - ",A326&amp;" - ")-1),TRIM(A326)))</f>
        <v/>
      </c>
      <c r="M326">
        <f>IF(OR(K326="",K326=A326,A326=""),"",K326&amp;"|"&amp;L326)</f>
        <v/>
      </c>
      <c r="N326">
        <f>IF(M326="","",IF(ISNUMBER(B326),B326,IFERROR(_xlfn.NUMBERVALUE(B326,".",","),0)))</f>
        <v/>
      </c>
      <c r="O326">
        <f>IF(M326="","",IF(ISNUMBER(C326),C326,IFERROR(_xlfn.NUMBERVALUE(C326,".",","),0)))</f>
        <v/>
      </c>
    </row>
    <row r="327">
      <c r="K327">
        <f>IF(OR(LEFT(B327,9)="DOANH THU",LEFT(B327,8)="SỐ LƯỢNG"),A327,IF(A327="","",K326))</f>
        <v/>
      </c>
      <c r="L327">
        <f>IF(A327="","",IF(ISNUMBER(--LEFT(A327,FIND(" - ",A327&amp;" - ")-1)),LEFT(A327,FIND(" - ",A327&amp;" - ")-1),TRIM(A327)))</f>
        <v/>
      </c>
      <c r="M327">
        <f>IF(OR(K327="",K327=A327,A327=""),"",K327&amp;"|"&amp;L327)</f>
        <v/>
      </c>
      <c r="N327">
        <f>IF(M327="","",IF(ISNUMBER(B327),B327,IFERROR(_xlfn.NUMBERVALUE(B327,".",","),0)))</f>
        <v/>
      </c>
      <c r="O327">
        <f>IF(M327="","",IF(ISNUMBER(C327),C327,IFERROR(_xlfn.NUMBERVALUE(C327,".",","),0)))</f>
        <v/>
      </c>
    </row>
    <row r="328">
      <c r="K328">
        <f>IF(OR(LEFT(B328,9)="DOANH THU",LEFT(B328,8)="SỐ LƯỢNG"),A328,IF(A328="","",K327))</f>
        <v/>
      </c>
      <c r="L328">
        <f>IF(A328="","",IF(ISNUMBER(--LEFT(A328,FIND(" - ",A328&amp;" - ")-1)),LEFT(A328,FIND(" - ",A328&amp;" - ")-1),TRIM(A328)))</f>
        <v/>
      </c>
      <c r="M328">
        <f>IF(OR(K328="",K328=A328,A328=""),"",K328&amp;"|"&amp;L328)</f>
        <v/>
      </c>
      <c r="N328">
        <f>IF(M328="","",IF(ISNUMBER(B328),B328,IFERROR(_xlfn.NUMBERVALUE(B328,".",","),0)))</f>
        <v/>
      </c>
      <c r="O328">
        <f>IF(M328="","",IF(ISNUMBER(C328),C328,IFERROR(_xlfn.NUMBERVALUE(C328,".",","),0)))</f>
        <v/>
      </c>
    </row>
    <row r="329">
      <c r="K329">
        <f>IF(OR(LEFT(B329,9)="DOANH THU",LEFT(B329,8)="SỐ LƯỢNG"),A329,IF(A329="","",K328))</f>
        <v/>
      </c>
      <c r="L329">
        <f>IF(A329="","",IF(ISNUMBER(--LEFT(A329,FIND(" - ",A329&amp;" - ")-1)),LEFT(A329,FIND(" - ",A329&amp;" - ")-1),TRIM(A329)))</f>
        <v/>
      </c>
      <c r="M329">
        <f>IF(OR(K329="",K329=A329,A329=""),"",K329&amp;"|"&amp;L329)</f>
        <v/>
      </c>
      <c r="N329">
        <f>IF(M329="","",IF(ISNUMBER(B329),B329,IFERROR(_xlfn.NUMBERVALUE(B329,".",","),0)))</f>
        <v/>
      </c>
      <c r="O329">
        <f>IF(M329="","",IF(ISNUMBER(C329),C329,IFERROR(_xlfn.NUMBERVALUE(C329,".",","),0)))</f>
        <v/>
      </c>
    </row>
    <row r="330">
      <c r="K330">
        <f>IF(OR(LEFT(B330,9)="DOANH THU",LEFT(B330,8)="SỐ LƯỢNG"),A330,IF(A330="","",K329))</f>
        <v/>
      </c>
      <c r="L330">
        <f>IF(A330="","",IF(ISNUMBER(--LEFT(A330,FIND(" - ",A330&amp;" - ")-1)),LEFT(A330,FIND(" - ",A330&amp;" - ")-1),TRIM(A330)))</f>
        <v/>
      </c>
      <c r="M330">
        <f>IF(OR(K330="",K330=A330,A330=""),"",K330&amp;"|"&amp;L330)</f>
        <v/>
      </c>
      <c r="N330">
        <f>IF(M330="","",IF(ISNUMBER(B330),B330,IFERROR(_xlfn.NUMBERVALUE(B330,".",","),0)))</f>
        <v/>
      </c>
      <c r="O330">
        <f>IF(M330="","",IF(ISNUMBER(C330),C330,IFERROR(_xlfn.NUMBERVALUE(C330,".",","),0)))</f>
        <v/>
      </c>
    </row>
    <row r="331">
      <c r="K331">
        <f>IF(OR(LEFT(B331,9)="DOANH THU",LEFT(B331,8)="SỐ LƯỢNG"),A331,IF(A331="","",K330))</f>
        <v/>
      </c>
      <c r="L331">
        <f>IF(A331="","",IF(ISNUMBER(--LEFT(A331,FIND(" - ",A331&amp;" - ")-1)),LEFT(A331,FIND(" - ",A331&amp;" - ")-1),TRIM(A331)))</f>
        <v/>
      </c>
      <c r="M331">
        <f>IF(OR(K331="",K331=A331,A331=""),"",K331&amp;"|"&amp;L331)</f>
        <v/>
      </c>
      <c r="N331">
        <f>IF(M331="","",IF(ISNUMBER(B331),B331,IFERROR(_xlfn.NUMBERVALUE(B331,".",","),0)))</f>
        <v/>
      </c>
      <c r="O331">
        <f>IF(M331="","",IF(ISNUMBER(C331),C331,IFERROR(_xlfn.NUMBERVALUE(C331,".",","),0)))</f>
        <v/>
      </c>
    </row>
    <row r="332">
      <c r="K332">
        <f>IF(OR(LEFT(B332,9)="DOANH THU",LEFT(B332,8)="SỐ LƯỢNG"),A332,IF(A332="","",K331))</f>
        <v/>
      </c>
      <c r="L332">
        <f>IF(A332="","",IF(ISNUMBER(--LEFT(A332,FIND(" - ",A332&amp;" - ")-1)),LEFT(A332,FIND(" - ",A332&amp;" - ")-1),TRIM(A332)))</f>
        <v/>
      </c>
      <c r="M332">
        <f>IF(OR(K332="",K332=A332,A332=""),"",K332&amp;"|"&amp;L332)</f>
        <v/>
      </c>
      <c r="N332">
        <f>IF(M332="","",IF(ISNUMBER(B332),B332,IFERROR(_xlfn.NUMBERVALUE(B332,".",","),0)))</f>
        <v/>
      </c>
      <c r="O332">
        <f>IF(M332="","",IF(ISNUMBER(C332),C332,IFERROR(_xlfn.NUMBERVALUE(C332,".",","),0)))</f>
        <v/>
      </c>
    </row>
    <row r="333">
      <c r="K333">
        <f>IF(OR(LEFT(B333,9)="DOANH THU",LEFT(B333,8)="SỐ LƯỢNG"),A333,IF(A333="","",K332))</f>
        <v/>
      </c>
      <c r="L333">
        <f>IF(A333="","",IF(ISNUMBER(--LEFT(A333,FIND(" - ",A333&amp;" - ")-1)),LEFT(A333,FIND(" - ",A333&amp;" - ")-1),TRIM(A333)))</f>
        <v/>
      </c>
      <c r="M333">
        <f>IF(OR(K333="",K333=A333,A333=""),"",K333&amp;"|"&amp;L333)</f>
        <v/>
      </c>
      <c r="N333">
        <f>IF(M333="","",IF(ISNUMBER(B333),B333,IFERROR(_xlfn.NUMBERVALUE(B333,".",","),0)))</f>
        <v/>
      </c>
      <c r="O333">
        <f>IF(M333="","",IF(ISNUMBER(C333),C333,IFERROR(_xlfn.NUMBERVALUE(C333,".",","),0)))</f>
        <v/>
      </c>
    </row>
    <row r="334">
      <c r="K334">
        <f>IF(OR(LEFT(B334,9)="DOANH THU",LEFT(B334,8)="SỐ LƯỢNG"),A334,IF(A334="","",K333))</f>
        <v/>
      </c>
      <c r="L334">
        <f>IF(A334="","",IF(ISNUMBER(--LEFT(A334,FIND(" - ",A334&amp;" - ")-1)),LEFT(A334,FIND(" - ",A334&amp;" - ")-1),TRIM(A334)))</f>
        <v/>
      </c>
      <c r="M334">
        <f>IF(OR(K334="",K334=A334,A334=""),"",K334&amp;"|"&amp;L334)</f>
        <v/>
      </c>
      <c r="N334">
        <f>IF(M334="","",IF(ISNUMBER(B334),B334,IFERROR(_xlfn.NUMBERVALUE(B334,".",","),0)))</f>
        <v/>
      </c>
      <c r="O334">
        <f>IF(M334="","",IF(ISNUMBER(C334),C334,IFERROR(_xlfn.NUMBERVALUE(C334,".",","),0)))</f>
        <v/>
      </c>
    </row>
    <row r="335">
      <c r="K335">
        <f>IF(OR(LEFT(B335,9)="DOANH THU",LEFT(B335,8)="SỐ LƯỢNG"),A335,IF(A335="","",K334))</f>
        <v/>
      </c>
      <c r="L335">
        <f>IF(A335="","",IF(ISNUMBER(--LEFT(A335,FIND(" - ",A335&amp;" - ")-1)),LEFT(A335,FIND(" - ",A335&amp;" - ")-1),TRIM(A335)))</f>
        <v/>
      </c>
      <c r="M335">
        <f>IF(OR(K335="",K335=A335,A335=""),"",K335&amp;"|"&amp;L335)</f>
        <v/>
      </c>
      <c r="N335">
        <f>IF(M335="","",IF(ISNUMBER(B335),B335,IFERROR(_xlfn.NUMBERVALUE(B335,".",","),0)))</f>
        <v/>
      </c>
      <c r="O335">
        <f>IF(M335="","",IF(ISNUMBER(C335),C335,IFERROR(_xlfn.NUMBERVALUE(C335,".",","),0)))</f>
        <v/>
      </c>
    </row>
    <row r="336">
      <c r="K336">
        <f>IF(OR(LEFT(B336,9)="DOANH THU",LEFT(B336,8)="SỐ LƯỢNG"),A336,IF(A336="","",K335))</f>
        <v/>
      </c>
      <c r="L336">
        <f>IF(A336="","",IF(ISNUMBER(--LEFT(A336,FIND(" - ",A336&amp;" - ")-1)),LEFT(A336,FIND(" - ",A336&amp;" - ")-1),TRIM(A336)))</f>
        <v/>
      </c>
      <c r="M336">
        <f>IF(OR(K336="",K336=A336,A336=""),"",K336&amp;"|"&amp;L336)</f>
        <v/>
      </c>
      <c r="N336">
        <f>IF(M336="","",IF(ISNUMBER(B336),B336,IFERROR(_xlfn.NUMBERVALUE(B336,".",","),0)))</f>
        <v/>
      </c>
      <c r="O336">
        <f>IF(M336="","",IF(ISNUMBER(C336),C336,IFERROR(_xlfn.NUMBERVALUE(C336,".",","),0)))</f>
        <v/>
      </c>
    </row>
    <row r="337">
      <c r="K337">
        <f>IF(OR(LEFT(B337,9)="DOANH THU",LEFT(B337,8)="SỐ LƯỢNG"),A337,IF(A337="","",K336))</f>
        <v/>
      </c>
      <c r="L337">
        <f>IF(A337="","",IF(ISNUMBER(--LEFT(A337,FIND(" - ",A337&amp;" - ")-1)),LEFT(A337,FIND(" - ",A337&amp;" - ")-1),TRIM(A337)))</f>
        <v/>
      </c>
      <c r="M337">
        <f>IF(OR(K337="",K337=A337,A337=""),"",K337&amp;"|"&amp;L337)</f>
        <v/>
      </c>
      <c r="N337">
        <f>IF(M337="","",IF(ISNUMBER(B337),B337,IFERROR(_xlfn.NUMBERVALUE(B337,".",","),0)))</f>
        <v/>
      </c>
      <c r="O337">
        <f>IF(M337="","",IF(ISNUMBER(C337),C337,IFERROR(_xlfn.NUMBERVALUE(C337,".",","),0)))</f>
        <v/>
      </c>
    </row>
    <row r="338">
      <c r="K338">
        <f>IF(OR(LEFT(B338,9)="DOANH THU",LEFT(B338,8)="SỐ LƯỢNG"),A338,IF(A338="","",K337))</f>
        <v/>
      </c>
      <c r="L338">
        <f>IF(A338="","",IF(ISNUMBER(--LEFT(A338,FIND(" - ",A338&amp;" - ")-1)),LEFT(A338,FIND(" - ",A338&amp;" - ")-1),TRIM(A338)))</f>
        <v/>
      </c>
      <c r="M338">
        <f>IF(OR(K338="",K338=A338,A338=""),"",K338&amp;"|"&amp;L338)</f>
        <v/>
      </c>
      <c r="N338">
        <f>IF(M338="","",IF(ISNUMBER(B338),B338,IFERROR(_xlfn.NUMBERVALUE(B338,".",","),0)))</f>
        <v/>
      </c>
      <c r="O338">
        <f>IF(M338="","",IF(ISNUMBER(C338),C338,IFERROR(_xlfn.NUMBERVALUE(C338,".",","),0)))</f>
        <v/>
      </c>
    </row>
    <row r="339">
      <c r="K339">
        <f>IF(OR(LEFT(B339,9)="DOANH THU",LEFT(B339,8)="SỐ LƯỢNG"),A339,IF(A339="","",K338))</f>
        <v/>
      </c>
      <c r="L339">
        <f>IF(A339="","",IF(ISNUMBER(--LEFT(A339,FIND(" - ",A339&amp;" - ")-1)),LEFT(A339,FIND(" - ",A339&amp;" - ")-1),TRIM(A339)))</f>
        <v/>
      </c>
      <c r="M339">
        <f>IF(OR(K339="",K339=A339,A339=""),"",K339&amp;"|"&amp;L339)</f>
        <v/>
      </c>
      <c r="N339">
        <f>IF(M339="","",IF(ISNUMBER(B339),B339,IFERROR(_xlfn.NUMBERVALUE(B339,".",","),0)))</f>
        <v/>
      </c>
      <c r="O339">
        <f>IF(M339="","",IF(ISNUMBER(C339),C339,IFERROR(_xlfn.NUMBERVALUE(C339,".",","),0)))</f>
        <v/>
      </c>
    </row>
    <row r="340">
      <c r="K340">
        <f>IF(OR(LEFT(B340,9)="DOANH THU",LEFT(B340,8)="SỐ LƯỢNG"),A340,IF(A340="","",K339))</f>
        <v/>
      </c>
      <c r="L340">
        <f>IF(A340="","",IF(ISNUMBER(--LEFT(A340,FIND(" - ",A340&amp;" - ")-1)),LEFT(A340,FIND(" - ",A340&amp;" - ")-1),TRIM(A340)))</f>
        <v/>
      </c>
      <c r="M340">
        <f>IF(OR(K340="",K340=A340,A340=""),"",K340&amp;"|"&amp;L340)</f>
        <v/>
      </c>
      <c r="N340">
        <f>IF(M340="","",IF(ISNUMBER(B340),B340,IFERROR(_xlfn.NUMBERVALUE(B340,".",","),0)))</f>
        <v/>
      </c>
      <c r="O340">
        <f>IF(M340="","",IF(ISNUMBER(C340),C340,IFERROR(_xlfn.NUMBERVALUE(C340,".",","),0)))</f>
        <v/>
      </c>
    </row>
    <row r="341">
      <c r="K341">
        <f>IF(OR(LEFT(B341,9)="DOANH THU",LEFT(B341,8)="SỐ LƯỢNG"),A341,IF(A341="","",K340))</f>
        <v/>
      </c>
      <c r="L341">
        <f>IF(A341="","",IF(ISNUMBER(--LEFT(A341,FIND(" - ",A341&amp;" - ")-1)),LEFT(A341,FIND(" - ",A341&amp;" - ")-1),TRIM(A341)))</f>
        <v/>
      </c>
      <c r="M341">
        <f>IF(OR(K341="",K341=A341,A341=""),"",K341&amp;"|"&amp;L341)</f>
        <v/>
      </c>
      <c r="N341">
        <f>IF(M341="","",IF(ISNUMBER(B341),B341,IFERROR(_xlfn.NUMBERVALUE(B341,".",","),0)))</f>
        <v/>
      </c>
      <c r="O341">
        <f>IF(M341="","",IF(ISNUMBER(C341),C341,IFERROR(_xlfn.NUMBERVALUE(C341,".",","),0)))</f>
        <v/>
      </c>
    </row>
    <row r="342">
      <c r="K342">
        <f>IF(OR(LEFT(B342,9)="DOANH THU",LEFT(B342,8)="SỐ LƯỢNG"),A342,IF(A342="","",K341))</f>
        <v/>
      </c>
      <c r="L342">
        <f>IF(A342="","",IF(ISNUMBER(--LEFT(A342,FIND(" - ",A342&amp;" - ")-1)),LEFT(A342,FIND(" - ",A342&amp;" - ")-1),TRIM(A342)))</f>
        <v/>
      </c>
      <c r="M342">
        <f>IF(OR(K342="",K342=A342,A342=""),"",K342&amp;"|"&amp;L342)</f>
        <v/>
      </c>
      <c r="N342">
        <f>IF(M342="","",IF(ISNUMBER(B342),B342,IFERROR(_xlfn.NUMBERVALUE(B342,".",","),0)))</f>
        <v/>
      </c>
      <c r="O342">
        <f>IF(M342="","",IF(ISNUMBER(C342),C342,IFERROR(_xlfn.NUMBERVALUE(C342,".",","),0)))</f>
        <v/>
      </c>
    </row>
    <row r="343">
      <c r="K343">
        <f>IF(OR(LEFT(B343,9)="DOANH THU",LEFT(B343,8)="SỐ LƯỢNG"),A343,IF(A343="","",K342))</f>
        <v/>
      </c>
      <c r="L343">
        <f>IF(A343="","",IF(ISNUMBER(--LEFT(A343,FIND(" - ",A343&amp;" - ")-1)),LEFT(A343,FIND(" - ",A343&amp;" - ")-1),TRIM(A343)))</f>
        <v/>
      </c>
      <c r="M343">
        <f>IF(OR(K343="",K343=A343,A343=""),"",K343&amp;"|"&amp;L343)</f>
        <v/>
      </c>
      <c r="N343">
        <f>IF(M343="","",IF(ISNUMBER(B343),B343,IFERROR(_xlfn.NUMBERVALUE(B343,".",","),0)))</f>
        <v/>
      </c>
      <c r="O343">
        <f>IF(M343="","",IF(ISNUMBER(C343),C343,IFERROR(_xlfn.NUMBERVALUE(C343,".",","),0)))</f>
        <v/>
      </c>
    </row>
    <row r="344">
      <c r="K344">
        <f>IF(OR(LEFT(B344,9)="DOANH THU",LEFT(B344,8)="SỐ LƯỢNG"),A344,IF(A344="","",K343))</f>
        <v/>
      </c>
      <c r="L344">
        <f>IF(A344="","",IF(ISNUMBER(--LEFT(A344,FIND(" - ",A344&amp;" - ")-1)),LEFT(A344,FIND(" - ",A344&amp;" - ")-1),TRIM(A344)))</f>
        <v/>
      </c>
      <c r="M344">
        <f>IF(OR(K344="",K344=A344,A344=""),"",K344&amp;"|"&amp;L344)</f>
        <v/>
      </c>
      <c r="N344">
        <f>IF(M344="","",IF(ISNUMBER(B344),B344,IFERROR(_xlfn.NUMBERVALUE(B344,".",","),0)))</f>
        <v/>
      </c>
      <c r="O344">
        <f>IF(M344="","",IF(ISNUMBER(C344),C344,IFERROR(_xlfn.NUMBERVALUE(C344,".",","),0)))</f>
        <v/>
      </c>
    </row>
    <row r="345">
      <c r="K345">
        <f>IF(OR(LEFT(B345,9)="DOANH THU",LEFT(B345,8)="SỐ LƯỢNG"),A345,IF(A345="","",K344))</f>
        <v/>
      </c>
      <c r="L345">
        <f>IF(A345="","",IF(ISNUMBER(--LEFT(A345,FIND(" - ",A345&amp;" - ")-1)),LEFT(A345,FIND(" - ",A345&amp;" - ")-1),TRIM(A345)))</f>
        <v/>
      </c>
      <c r="M345">
        <f>IF(OR(K345="",K345=A345,A345=""),"",K345&amp;"|"&amp;L345)</f>
        <v/>
      </c>
      <c r="N345">
        <f>IF(M345="","",IF(ISNUMBER(B345),B345,IFERROR(_xlfn.NUMBERVALUE(B345,".",","),0)))</f>
        <v/>
      </c>
      <c r="O345">
        <f>IF(M345="","",IF(ISNUMBER(C345),C345,IFERROR(_xlfn.NUMBERVALUE(C345,".",","),0)))</f>
        <v/>
      </c>
    </row>
    <row r="346">
      <c r="K346">
        <f>IF(OR(LEFT(B346,9)="DOANH THU",LEFT(B346,8)="SỐ LƯỢNG"),A346,IF(A346="","",K345))</f>
        <v/>
      </c>
      <c r="L346">
        <f>IF(A346="","",IF(ISNUMBER(--LEFT(A346,FIND(" - ",A346&amp;" - ")-1)),LEFT(A346,FIND(" - ",A346&amp;" - ")-1),TRIM(A346)))</f>
        <v/>
      </c>
      <c r="M346">
        <f>IF(OR(K346="",K346=A346,A346=""),"",K346&amp;"|"&amp;L346)</f>
        <v/>
      </c>
      <c r="N346">
        <f>IF(M346="","",IF(ISNUMBER(B346),B346,IFERROR(_xlfn.NUMBERVALUE(B346,".",","),0)))</f>
        <v/>
      </c>
      <c r="O346">
        <f>IF(M346="","",IF(ISNUMBER(C346),C346,IFERROR(_xlfn.NUMBERVALUE(C346,".",","),0)))</f>
        <v/>
      </c>
    </row>
    <row r="347">
      <c r="K347">
        <f>IF(OR(LEFT(B347,9)="DOANH THU",LEFT(B347,8)="SỐ LƯỢNG"),A347,IF(A347="","",K346))</f>
        <v/>
      </c>
      <c r="L347">
        <f>IF(A347="","",IF(ISNUMBER(--LEFT(A347,FIND(" - ",A347&amp;" - ")-1)),LEFT(A347,FIND(" - ",A347&amp;" - ")-1),TRIM(A347)))</f>
        <v/>
      </c>
      <c r="M347">
        <f>IF(OR(K347="",K347=A347,A347=""),"",K347&amp;"|"&amp;L347)</f>
        <v/>
      </c>
      <c r="N347">
        <f>IF(M347="","",IF(ISNUMBER(B347),B347,IFERROR(_xlfn.NUMBERVALUE(B347,".",","),0)))</f>
        <v/>
      </c>
      <c r="O347">
        <f>IF(M347="","",IF(ISNUMBER(C347),C347,IFERROR(_xlfn.NUMBERVALUE(C347,".",","),0)))</f>
        <v/>
      </c>
    </row>
    <row r="348">
      <c r="K348">
        <f>IF(OR(LEFT(B348,9)="DOANH THU",LEFT(B348,8)="SỐ LƯỢNG"),A348,IF(A348="","",K347))</f>
        <v/>
      </c>
      <c r="L348">
        <f>IF(A348="","",IF(ISNUMBER(--LEFT(A348,FIND(" - ",A348&amp;" - ")-1)),LEFT(A348,FIND(" - ",A348&amp;" - ")-1),TRIM(A348)))</f>
        <v/>
      </c>
      <c r="M348">
        <f>IF(OR(K348="",K348=A348,A348=""),"",K348&amp;"|"&amp;L348)</f>
        <v/>
      </c>
      <c r="N348">
        <f>IF(M348="","",IF(ISNUMBER(B348),B348,IFERROR(_xlfn.NUMBERVALUE(B348,".",","),0)))</f>
        <v/>
      </c>
      <c r="O348">
        <f>IF(M348="","",IF(ISNUMBER(C348),C348,IFERROR(_xlfn.NUMBERVALUE(C348,".",","),0)))</f>
        <v/>
      </c>
    </row>
    <row r="349">
      <c r="K349">
        <f>IF(OR(LEFT(B349,9)="DOANH THU",LEFT(B349,8)="SỐ LƯỢNG"),A349,IF(A349="","",K348))</f>
        <v/>
      </c>
      <c r="L349">
        <f>IF(A349="","",IF(ISNUMBER(--LEFT(A349,FIND(" - ",A349&amp;" - ")-1)),LEFT(A349,FIND(" - ",A349&amp;" - ")-1),TRIM(A349)))</f>
        <v/>
      </c>
      <c r="M349">
        <f>IF(OR(K349="",K349=A349,A349=""),"",K349&amp;"|"&amp;L349)</f>
        <v/>
      </c>
      <c r="N349">
        <f>IF(M349="","",IF(ISNUMBER(B349),B349,IFERROR(_xlfn.NUMBERVALUE(B349,".",","),0)))</f>
        <v/>
      </c>
      <c r="O349">
        <f>IF(M349="","",IF(ISNUMBER(C349),C349,IFERROR(_xlfn.NUMBERVALUE(C349,".",","),0)))</f>
        <v/>
      </c>
    </row>
    <row r="350">
      <c r="K350">
        <f>IF(OR(LEFT(B350,9)="DOANH THU",LEFT(B350,8)="SỐ LƯỢNG"),A350,IF(A350="","",K349))</f>
        <v/>
      </c>
      <c r="L350">
        <f>IF(A350="","",IF(ISNUMBER(--LEFT(A350,FIND(" - ",A350&amp;" - ")-1)),LEFT(A350,FIND(" - ",A350&amp;" - ")-1),TRIM(A350)))</f>
        <v/>
      </c>
      <c r="M350">
        <f>IF(OR(K350="",K350=A350,A350=""),"",K350&amp;"|"&amp;L350)</f>
        <v/>
      </c>
      <c r="N350">
        <f>IF(M350="","",IF(ISNUMBER(B350),B350,IFERROR(_xlfn.NUMBERVALUE(B350,".",","),0)))</f>
        <v/>
      </c>
      <c r="O350">
        <f>IF(M350="","",IF(ISNUMBER(C350),C350,IFERROR(_xlfn.NUMBERVALUE(C350,".",","),0)))</f>
        <v/>
      </c>
    </row>
    <row r="351">
      <c r="K351">
        <f>IF(OR(LEFT(B351,9)="DOANH THU",LEFT(B351,8)="SỐ LƯỢNG"),A351,IF(A351="","",K350))</f>
        <v/>
      </c>
      <c r="L351">
        <f>IF(A351="","",IF(ISNUMBER(--LEFT(A351,FIND(" - ",A351&amp;" - ")-1)),LEFT(A351,FIND(" - ",A351&amp;" - ")-1),TRIM(A351)))</f>
        <v/>
      </c>
      <c r="M351">
        <f>IF(OR(K351="",K351=A351,A351=""),"",K351&amp;"|"&amp;L351)</f>
        <v/>
      </c>
      <c r="N351">
        <f>IF(M351="","",IF(ISNUMBER(B351),B351,IFERROR(_xlfn.NUMBERVALUE(B351,".",","),0)))</f>
        <v/>
      </c>
      <c r="O351">
        <f>IF(M351="","",IF(ISNUMBER(C351),C351,IFERROR(_xlfn.NUMBERVALUE(C351,".",","),0)))</f>
        <v/>
      </c>
    </row>
    <row r="352">
      <c r="K352">
        <f>IF(OR(LEFT(B352,9)="DOANH THU",LEFT(B352,8)="SỐ LƯỢNG"),A352,IF(A352="","",K351))</f>
        <v/>
      </c>
      <c r="L352">
        <f>IF(A352="","",IF(ISNUMBER(--LEFT(A352,FIND(" - ",A352&amp;" - ")-1)),LEFT(A352,FIND(" - ",A352&amp;" - ")-1),TRIM(A352)))</f>
        <v/>
      </c>
      <c r="M352">
        <f>IF(OR(K352="",K352=A352,A352=""),"",K352&amp;"|"&amp;L352)</f>
        <v/>
      </c>
      <c r="N352">
        <f>IF(M352="","",IF(ISNUMBER(B352),B352,IFERROR(_xlfn.NUMBERVALUE(B352,".",","),0)))</f>
        <v/>
      </c>
      <c r="O352">
        <f>IF(M352="","",IF(ISNUMBER(C352),C352,IFERROR(_xlfn.NUMBERVALUE(C352,".",","),0)))</f>
        <v/>
      </c>
    </row>
    <row r="353">
      <c r="K353">
        <f>IF(OR(LEFT(B353,9)="DOANH THU",LEFT(B353,8)="SỐ LƯỢNG"),A353,IF(A353="","",K352))</f>
        <v/>
      </c>
      <c r="L353">
        <f>IF(A353="","",IF(ISNUMBER(--LEFT(A353,FIND(" - ",A353&amp;" - ")-1)),LEFT(A353,FIND(" - ",A353&amp;" - ")-1),TRIM(A353)))</f>
        <v/>
      </c>
      <c r="M353">
        <f>IF(OR(K353="",K353=A353,A353=""),"",K353&amp;"|"&amp;L353)</f>
        <v/>
      </c>
      <c r="N353">
        <f>IF(M353="","",IF(ISNUMBER(B353),B353,IFERROR(_xlfn.NUMBERVALUE(B353,".",","),0)))</f>
        <v/>
      </c>
      <c r="O353">
        <f>IF(M353="","",IF(ISNUMBER(C353),C353,IFERROR(_xlfn.NUMBERVALUE(C353,".",","),0)))</f>
        <v/>
      </c>
    </row>
    <row r="354">
      <c r="K354">
        <f>IF(OR(LEFT(B354,9)="DOANH THU",LEFT(B354,8)="SỐ LƯỢNG"),A354,IF(A354="","",K353))</f>
        <v/>
      </c>
      <c r="L354">
        <f>IF(A354="","",IF(ISNUMBER(--LEFT(A354,FIND(" - ",A354&amp;" - ")-1)),LEFT(A354,FIND(" - ",A354&amp;" - ")-1),TRIM(A354)))</f>
        <v/>
      </c>
      <c r="M354">
        <f>IF(OR(K354="",K354=A354,A354=""),"",K354&amp;"|"&amp;L354)</f>
        <v/>
      </c>
      <c r="N354">
        <f>IF(M354="","",IF(ISNUMBER(B354),B354,IFERROR(_xlfn.NUMBERVALUE(B354,".",","),0)))</f>
        <v/>
      </c>
      <c r="O354">
        <f>IF(M354="","",IF(ISNUMBER(C354),C354,IFERROR(_xlfn.NUMBERVALUE(C354,".",","),0)))</f>
        <v/>
      </c>
    </row>
    <row r="355">
      <c r="K355">
        <f>IF(OR(LEFT(B355,9)="DOANH THU",LEFT(B355,8)="SỐ LƯỢNG"),A355,IF(A355="","",K354))</f>
        <v/>
      </c>
      <c r="L355">
        <f>IF(A355="","",IF(ISNUMBER(--LEFT(A355,FIND(" - ",A355&amp;" - ")-1)),LEFT(A355,FIND(" - ",A355&amp;" - ")-1),TRIM(A355)))</f>
        <v/>
      </c>
      <c r="M355">
        <f>IF(OR(K355="",K355=A355,A355=""),"",K355&amp;"|"&amp;L355)</f>
        <v/>
      </c>
      <c r="N355">
        <f>IF(M355="","",IF(ISNUMBER(B355),B355,IFERROR(_xlfn.NUMBERVALUE(B355,".",","),0)))</f>
        <v/>
      </c>
      <c r="O355">
        <f>IF(M355="","",IF(ISNUMBER(C355),C355,IFERROR(_xlfn.NUMBERVALUE(C355,".",","),0)))</f>
        <v/>
      </c>
    </row>
    <row r="356">
      <c r="K356">
        <f>IF(OR(LEFT(B356,9)="DOANH THU",LEFT(B356,8)="SỐ LƯỢNG"),A356,IF(A356="","",K355))</f>
        <v/>
      </c>
      <c r="L356">
        <f>IF(A356="","",IF(ISNUMBER(--LEFT(A356,FIND(" - ",A356&amp;" - ")-1)),LEFT(A356,FIND(" - ",A356&amp;" - ")-1),TRIM(A356)))</f>
        <v/>
      </c>
      <c r="M356">
        <f>IF(OR(K356="",K356=A356,A356=""),"",K356&amp;"|"&amp;L356)</f>
        <v/>
      </c>
      <c r="N356">
        <f>IF(M356="","",IF(ISNUMBER(B356),B356,IFERROR(_xlfn.NUMBERVALUE(B356,".",","),0)))</f>
        <v/>
      </c>
      <c r="O356">
        <f>IF(M356="","",IF(ISNUMBER(C356),C356,IFERROR(_xlfn.NUMBERVALUE(C356,".",","),0)))</f>
        <v/>
      </c>
    </row>
    <row r="357">
      <c r="K357">
        <f>IF(OR(LEFT(B357,9)="DOANH THU",LEFT(B357,8)="SỐ LƯỢNG"),A357,IF(A357="","",K356))</f>
        <v/>
      </c>
      <c r="L357">
        <f>IF(A357="","",IF(ISNUMBER(--LEFT(A357,FIND(" - ",A357&amp;" - ")-1)),LEFT(A357,FIND(" - ",A357&amp;" - ")-1),TRIM(A357)))</f>
        <v/>
      </c>
      <c r="M357">
        <f>IF(OR(K357="",K357=A357,A357=""),"",K357&amp;"|"&amp;L357)</f>
        <v/>
      </c>
      <c r="N357">
        <f>IF(M357="","",IF(ISNUMBER(B357),B357,IFERROR(_xlfn.NUMBERVALUE(B357,".",","),0)))</f>
        <v/>
      </c>
      <c r="O357">
        <f>IF(M357="","",IF(ISNUMBER(C357),C357,IFERROR(_xlfn.NUMBERVALUE(C357,".",","),0)))</f>
        <v/>
      </c>
    </row>
    <row r="358">
      <c r="K358">
        <f>IF(OR(LEFT(B358,9)="DOANH THU",LEFT(B358,8)="SỐ LƯỢNG"),A358,IF(A358="","",K357))</f>
        <v/>
      </c>
      <c r="L358">
        <f>IF(A358="","",IF(ISNUMBER(--LEFT(A358,FIND(" - ",A358&amp;" - ")-1)),LEFT(A358,FIND(" - ",A358&amp;" - ")-1),TRIM(A358)))</f>
        <v/>
      </c>
      <c r="M358">
        <f>IF(OR(K358="",K358=A358,A358=""),"",K358&amp;"|"&amp;L358)</f>
        <v/>
      </c>
      <c r="N358">
        <f>IF(M358="","",IF(ISNUMBER(B358),B358,IFERROR(_xlfn.NUMBERVALUE(B358,".",","),0)))</f>
        <v/>
      </c>
      <c r="O358">
        <f>IF(M358="","",IF(ISNUMBER(C358),C358,IFERROR(_xlfn.NUMBERVALUE(C358,".",","),0)))</f>
        <v/>
      </c>
    </row>
    <row r="359">
      <c r="K359">
        <f>IF(OR(LEFT(B359,9)="DOANH THU",LEFT(B359,8)="SỐ LƯỢNG"),A359,IF(A359="","",K358))</f>
        <v/>
      </c>
      <c r="L359">
        <f>IF(A359="","",IF(ISNUMBER(--LEFT(A359,FIND(" - ",A359&amp;" - ")-1)),LEFT(A359,FIND(" - ",A359&amp;" - ")-1),TRIM(A359)))</f>
        <v/>
      </c>
      <c r="M359">
        <f>IF(OR(K359="",K359=A359,A359=""),"",K359&amp;"|"&amp;L359)</f>
        <v/>
      </c>
      <c r="N359">
        <f>IF(M359="","",IF(ISNUMBER(B359),B359,IFERROR(_xlfn.NUMBERVALUE(B359,".",","),0)))</f>
        <v/>
      </c>
      <c r="O359">
        <f>IF(M359="","",IF(ISNUMBER(C359),C359,IFERROR(_xlfn.NUMBERVALUE(C359,".",","),0)))</f>
        <v/>
      </c>
    </row>
    <row r="360">
      <c r="K360">
        <f>IF(OR(LEFT(B360,9)="DOANH THU",LEFT(B360,8)="SỐ LƯỢNG"),A360,IF(A360="","",K359))</f>
        <v/>
      </c>
      <c r="L360">
        <f>IF(A360="","",IF(ISNUMBER(--LEFT(A360,FIND(" - ",A360&amp;" - ")-1)),LEFT(A360,FIND(" - ",A360&amp;" - ")-1),TRIM(A360)))</f>
        <v/>
      </c>
      <c r="M360">
        <f>IF(OR(K360="",K360=A360,A360=""),"",K360&amp;"|"&amp;L360)</f>
        <v/>
      </c>
      <c r="N360">
        <f>IF(M360="","",IF(ISNUMBER(B360),B360,IFERROR(_xlfn.NUMBERVALUE(B360,".",","),0)))</f>
        <v/>
      </c>
      <c r="O360">
        <f>IF(M360="","",IF(ISNUMBER(C360),C360,IFERROR(_xlfn.NUMBERVALUE(C360,".",","),0)))</f>
        <v/>
      </c>
    </row>
    <row r="361">
      <c r="K361">
        <f>IF(OR(LEFT(B361,9)="DOANH THU",LEFT(B361,8)="SỐ LƯỢNG"),A361,IF(A361="","",K360))</f>
        <v/>
      </c>
      <c r="L361">
        <f>IF(A361="","",IF(ISNUMBER(--LEFT(A361,FIND(" - ",A361&amp;" - ")-1)),LEFT(A361,FIND(" - ",A361&amp;" - ")-1),TRIM(A361)))</f>
        <v/>
      </c>
      <c r="M361">
        <f>IF(OR(K361="",K361=A361,A361=""),"",K361&amp;"|"&amp;L361)</f>
        <v/>
      </c>
      <c r="N361">
        <f>IF(M361="","",IF(ISNUMBER(B361),B361,IFERROR(_xlfn.NUMBERVALUE(B361,".",","),0)))</f>
        <v/>
      </c>
      <c r="O361">
        <f>IF(M361="","",IF(ISNUMBER(C361),C361,IFERROR(_xlfn.NUMBERVALUE(C361,".",","),0)))</f>
        <v/>
      </c>
    </row>
    <row r="362">
      <c r="K362">
        <f>IF(OR(LEFT(B362,9)="DOANH THU",LEFT(B362,8)="SỐ LƯỢNG"),A362,IF(A362="","",K361))</f>
        <v/>
      </c>
      <c r="L362">
        <f>IF(A362="","",IF(ISNUMBER(--LEFT(A362,FIND(" - ",A362&amp;" - ")-1)),LEFT(A362,FIND(" - ",A362&amp;" - ")-1),TRIM(A362)))</f>
        <v/>
      </c>
      <c r="M362">
        <f>IF(OR(K362="",K362=A362,A362=""),"",K362&amp;"|"&amp;L362)</f>
        <v/>
      </c>
      <c r="N362">
        <f>IF(M362="","",IF(ISNUMBER(B362),B362,IFERROR(_xlfn.NUMBERVALUE(B362,".",","),0)))</f>
        <v/>
      </c>
      <c r="O362">
        <f>IF(M362="","",IF(ISNUMBER(C362),C362,IFERROR(_xlfn.NUMBERVALUE(C362,".",","),0)))</f>
        <v/>
      </c>
    </row>
    <row r="363">
      <c r="K363">
        <f>IF(OR(LEFT(B363,9)="DOANH THU",LEFT(B363,8)="SỐ LƯỢNG"),A363,IF(A363="","",K362))</f>
        <v/>
      </c>
      <c r="L363">
        <f>IF(A363="","",IF(ISNUMBER(--LEFT(A363,FIND(" - ",A363&amp;" - ")-1)),LEFT(A363,FIND(" - ",A363&amp;" - ")-1),TRIM(A363)))</f>
        <v/>
      </c>
      <c r="M363">
        <f>IF(OR(K363="",K363=A363,A363=""),"",K363&amp;"|"&amp;L363)</f>
        <v/>
      </c>
      <c r="N363">
        <f>IF(M363="","",IF(ISNUMBER(B363),B363,IFERROR(_xlfn.NUMBERVALUE(B363,".",","),0)))</f>
        <v/>
      </c>
      <c r="O363">
        <f>IF(M363="","",IF(ISNUMBER(C363),C363,IFERROR(_xlfn.NUMBERVALUE(C363,".",","),0)))</f>
        <v/>
      </c>
    </row>
    <row r="364">
      <c r="K364">
        <f>IF(OR(LEFT(B364,9)="DOANH THU",LEFT(B364,8)="SỐ LƯỢNG"),A364,IF(A364="","",K363))</f>
        <v/>
      </c>
      <c r="L364">
        <f>IF(A364="","",IF(ISNUMBER(--LEFT(A364,FIND(" - ",A364&amp;" - ")-1)),LEFT(A364,FIND(" - ",A364&amp;" - ")-1),TRIM(A364)))</f>
        <v/>
      </c>
      <c r="M364">
        <f>IF(OR(K364="",K364=A364,A364=""),"",K364&amp;"|"&amp;L364)</f>
        <v/>
      </c>
      <c r="N364">
        <f>IF(M364="","",IF(ISNUMBER(B364),B364,IFERROR(_xlfn.NUMBERVALUE(B364,".",","),0)))</f>
        <v/>
      </c>
      <c r="O364">
        <f>IF(M364="","",IF(ISNUMBER(C364),C364,IFERROR(_xlfn.NUMBERVALUE(C364,".",","),0)))</f>
        <v/>
      </c>
    </row>
    <row r="365">
      <c r="K365">
        <f>IF(OR(LEFT(B365,9)="DOANH THU",LEFT(B365,8)="SỐ LƯỢNG"),A365,IF(A365="","",K364))</f>
        <v/>
      </c>
      <c r="L365">
        <f>IF(A365="","",IF(ISNUMBER(--LEFT(A365,FIND(" - ",A365&amp;" - ")-1)),LEFT(A365,FIND(" - ",A365&amp;" - ")-1),TRIM(A365)))</f>
        <v/>
      </c>
      <c r="M365">
        <f>IF(OR(K365="",K365=A365,A365=""),"",K365&amp;"|"&amp;L365)</f>
        <v/>
      </c>
      <c r="N365">
        <f>IF(M365="","",IF(ISNUMBER(B365),B365,IFERROR(_xlfn.NUMBERVALUE(B365,".",","),0)))</f>
        <v/>
      </c>
      <c r="O365">
        <f>IF(M365="","",IF(ISNUMBER(C365),C365,IFERROR(_xlfn.NUMBERVALUE(C365,".",","),0)))</f>
        <v/>
      </c>
    </row>
    <row r="366">
      <c r="K366">
        <f>IF(OR(LEFT(B366,9)="DOANH THU",LEFT(B366,8)="SỐ LƯỢNG"),A366,IF(A366="","",K365))</f>
        <v/>
      </c>
      <c r="L366">
        <f>IF(A366="","",IF(ISNUMBER(--LEFT(A366,FIND(" - ",A366&amp;" - ")-1)),LEFT(A366,FIND(" - ",A366&amp;" - ")-1),TRIM(A366)))</f>
        <v/>
      </c>
      <c r="M366">
        <f>IF(OR(K366="",K366=A366,A366=""),"",K366&amp;"|"&amp;L366)</f>
        <v/>
      </c>
      <c r="N366">
        <f>IF(M366="","",IF(ISNUMBER(B366),B366,IFERROR(_xlfn.NUMBERVALUE(B366,".",","),0)))</f>
        <v/>
      </c>
      <c r="O366">
        <f>IF(M366="","",IF(ISNUMBER(C366),C366,IFERROR(_xlfn.NUMBERVALUE(C366,".",","),0)))</f>
        <v/>
      </c>
    </row>
    <row r="367">
      <c r="K367">
        <f>IF(OR(LEFT(B367,9)="DOANH THU",LEFT(B367,8)="SỐ LƯỢNG"),A367,IF(A367="","",K366))</f>
        <v/>
      </c>
      <c r="L367">
        <f>IF(A367="","",IF(ISNUMBER(--LEFT(A367,FIND(" - ",A367&amp;" - ")-1)),LEFT(A367,FIND(" - ",A367&amp;" - ")-1),TRIM(A367)))</f>
        <v/>
      </c>
      <c r="M367">
        <f>IF(OR(K367="",K367=A367,A367=""),"",K367&amp;"|"&amp;L367)</f>
        <v/>
      </c>
      <c r="N367">
        <f>IF(M367="","",IF(ISNUMBER(B367),B367,IFERROR(_xlfn.NUMBERVALUE(B367,".",","),0)))</f>
        <v/>
      </c>
      <c r="O367">
        <f>IF(M367="","",IF(ISNUMBER(C367),C367,IFERROR(_xlfn.NUMBERVALUE(C367,".",","),0)))</f>
        <v/>
      </c>
    </row>
    <row r="368">
      <c r="K368">
        <f>IF(OR(LEFT(B368,9)="DOANH THU",LEFT(B368,8)="SỐ LƯỢNG"),A368,IF(A368="","",K367))</f>
        <v/>
      </c>
      <c r="L368">
        <f>IF(A368="","",IF(ISNUMBER(--LEFT(A368,FIND(" - ",A368&amp;" - ")-1)),LEFT(A368,FIND(" - ",A368&amp;" - ")-1),TRIM(A368)))</f>
        <v/>
      </c>
      <c r="M368">
        <f>IF(OR(K368="",K368=A368,A368=""),"",K368&amp;"|"&amp;L368)</f>
        <v/>
      </c>
      <c r="N368">
        <f>IF(M368="","",IF(ISNUMBER(B368),B368,IFERROR(_xlfn.NUMBERVALUE(B368,".",","),0)))</f>
        <v/>
      </c>
      <c r="O368">
        <f>IF(M368="","",IF(ISNUMBER(C368),C368,IFERROR(_xlfn.NUMBERVALUE(C368,".",","),0)))</f>
        <v/>
      </c>
    </row>
    <row r="369">
      <c r="K369">
        <f>IF(OR(LEFT(B369,9)="DOANH THU",LEFT(B369,8)="SỐ LƯỢNG"),A369,IF(A369="","",K368))</f>
        <v/>
      </c>
      <c r="L369">
        <f>IF(A369="","",IF(ISNUMBER(--LEFT(A369,FIND(" - ",A369&amp;" - ")-1)),LEFT(A369,FIND(" - ",A369&amp;" - ")-1),TRIM(A369)))</f>
        <v/>
      </c>
      <c r="M369">
        <f>IF(OR(K369="",K369=A369,A369=""),"",K369&amp;"|"&amp;L369)</f>
        <v/>
      </c>
      <c r="N369">
        <f>IF(M369="","",IF(ISNUMBER(B369),B369,IFERROR(_xlfn.NUMBERVALUE(B369,".",","),0)))</f>
        <v/>
      </c>
      <c r="O369">
        <f>IF(M369="","",IF(ISNUMBER(C369),C369,IFERROR(_xlfn.NUMBERVALUE(C369,".",","),0)))</f>
        <v/>
      </c>
    </row>
    <row r="370">
      <c r="K370">
        <f>IF(OR(LEFT(B370,9)="DOANH THU",LEFT(B370,8)="SỐ LƯỢNG"),A370,IF(A370="","",K369))</f>
        <v/>
      </c>
      <c r="L370">
        <f>IF(A370="","",IF(ISNUMBER(--LEFT(A370,FIND(" - ",A370&amp;" - ")-1)),LEFT(A370,FIND(" - ",A370&amp;" - ")-1),TRIM(A370)))</f>
        <v/>
      </c>
      <c r="M370">
        <f>IF(OR(K370="",K370=A370,A370=""),"",K370&amp;"|"&amp;L370)</f>
        <v/>
      </c>
      <c r="N370">
        <f>IF(M370="","",IF(ISNUMBER(B370),B370,IFERROR(_xlfn.NUMBERVALUE(B370,".",","),0)))</f>
        <v/>
      </c>
      <c r="O370">
        <f>IF(M370="","",IF(ISNUMBER(C370),C370,IFERROR(_xlfn.NUMBERVALUE(C370,".",","),0)))</f>
        <v/>
      </c>
    </row>
    <row r="371">
      <c r="K371">
        <f>IF(OR(LEFT(B371,9)="DOANH THU",LEFT(B371,8)="SỐ LƯỢNG"),A371,IF(A371="","",K370))</f>
        <v/>
      </c>
      <c r="L371">
        <f>IF(A371="","",IF(ISNUMBER(--LEFT(A371,FIND(" - ",A371&amp;" - ")-1)),LEFT(A371,FIND(" - ",A371&amp;" - ")-1),TRIM(A371)))</f>
        <v/>
      </c>
      <c r="M371">
        <f>IF(OR(K371="",K371=A371,A371=""),"",K371&amp;"|"&amp;L371)</f>
        <v/>
      </c>
      <c r="N371">
        <f>IF(M371="","",IF(ISNUMBER(B371),B371,IFERROR(_xlfn.NUMBERVALUE(B371,".",","),0)))</f>
        <v/>
      </c>
      <c r="O371">
        <f>IF(M371="","",IF(ISNUMBER(C371),C371,IFERROR(_xlfn.NUMBERVALUE(C371,".",","),0)))</f>
        <v/>
      </c>
    </row>
    <row r="372">
      <c r="K372">
        <f>IF(OR(LEFT(B372,9)="DOANH THU",LEFT(B372,8)="SỐ LƯỢNG"),A372,IF(A372="","",K371))</f>
        <v/>
      </c>
      <c r="L372">
        <f>IF(A372="","",IF(ISNUMBER(--LEFT(A372,FIND(" - ",A372&amp;" - ")-1)),LEFT(A372,FIND(" - ",A372&amp;" - ")-1),TRIM(A372)))</f>
        <v/>
      </c>
      <c r="M372">
        <f>IF(OR(K372="",K372=A372,A372=""),"",K372&amp;"|"&amp;L372)</f>
        <v/>
      </c>
      <c r="N372">
        <f>IF(M372="","",IF(ISNUMBER(B372),B372,IFERROR(_xlfn.NUMBERVALUE(B372,".",","),0)))</f>
        <v/>
      </c>
      <c r="O372">
        <f>IF(M372="","",IF(ISNUMBER(C372),C372,IFERROR(_xlfn.NUMBERVALUE(C372,".",","),0)))</f>
        <v/>
      </c>
    </row>
    <row r="373">
      <c r="K373">
        <f>IF(OR(LEFT(B373,9)="DOANH THU",LEFT(B373,8)="SỐ LƯỢNG"),A373,IF(A373="","",K372))</f>
        <v/>
      </c>
      <c r="L373">
        <f>IF(A373="","",IF(ISNUMBER(--LEFT(A373,FIND(" - ",A373&amp;" - ")-1)),LEFT(A373,FIND(" - ",A373&amp;" - ")-1),TRIM(A373)))</f>
        <v/>
      </c>
      <c r="M373">
        <f>IF(OR(K373="",K373=A373,A373=""),"",K373&amp;"|"&amp;L373)</f>
        <v/>
      </c>
      <c r="N373">
        <f>IF(M373="","",IF(ISNUMBER(B373),B373,IFERROR(_xlfn.NUMBERVALUE(B373,".",","),0)))</f>
        <v/>
      </c>
      <c r="O373">
        <f>IF(M373="","",IF(ISNUMBER(C373),C373,IFERROR(_xlfn.NUMBERVALUE(C373,".",","),0)))</f>
        <v/>
      </c>
    </row>
    <row r="374">
      <c r="K374">
        <f>IF(OR(LEFT(B374,9)="DOANH THU",LEFT(B374,8)="SỐ LƯỢNG"),A374,IF(A374="","",K373))</f>
        <v/>
      </c>
      <c r="L374">
        <f>IF(A374="","",IF(ISNUMBER(--LEFT(A374,FIND(" - ",A374&amp;" - ")-1)),LEFT(A374,FIND(" - ",A374&amp;" - ")-1),TRIM(A374)))</f>
        <v/>
      </c>
      <c r="M374">
        <f>IF(OR(K374="",K374=A374,A374=""),"",K374&amp;"|"&amp;L374)</f>
        <v/>
      </c>
      <c r="N374">
        <f>IF(M374="","",IF(ISNUMBER(B374),B374,IFERROR(_xlfn.NUMBERVALUE(B374,".",","),0)))</f>
        <v/>
      </c>
      <c r="O374">
        <f>IF(M374="","",IF(ISNUMBER(C374),C374,IFERROR(_xlfn.NUMBERVALUE(C374,".",","),0)))</f>
        <v/>
      </c>
    </row>
    <row r="375">
      <c r="K375">
        <f>IF(OR(LEFT(B375,9)="DOANH THU",LEFT(B375,8)="SỐ LƯỢNG"),A375,IF(A375="","",K374))</f>
        <v/>
      </c>
      <c r="L375">
        <f>IF(A375="","",IF(ISNUMBER(--LEFT(A375,FIND(" - ",A375&amp;" - ")-1)),LEFT(A375,FIND(" - ",A375&amp;" - ")-1),TRIM(A375)))</f>
        <v/>
      </c>
      <c r="M375">
        <f>IF(OR(K375="",K375=A375,A375=""),"",K375&amp;"|"&amp;L375)</f>
        <v/>
      </c>
      <c r="N375">
        <f>IF(M375="","",IF(ISNUMBER(B375),B375,IFERROR(_xlfn.NUMBERVALUE(B375,".",","),0)))</f>
        <v/>
      </c>
      <c r="O375">
        <f>IF(M375="","",IF(ISNUMBER(C375),C375,IFERROR(_xlfn.NUMBERVALUE(C375,".",","),0)))</f>
        <v/>
      </c>
    </row>
    <row r="376">
      <c r="K376">
        <f>IF(OR(LEFT(B376,9)="DOANH THU",LEFT(B376,8)="SỐ LƯỢNG"),A376,IF(A376="","",K375))</f>
        <v/>
      </c>
      <c r="L376">
        <f>IF(A376="","",IF(ISNUMBER(--LEFT(A376,FIND(" - ",A376&amp;" - ")-1)),LEFT(A376,FIND(" - ",A376&amp;" - ")-1),TRIM(A376)))</f>
        <v/>
      </c>
      <c r="M376">
        <f>IF(OR(K376="",K376=A376,A376=""),"",K376&amp;"|"&amp;L376)</f>
        <v/>
      </c>
      <c r="N376">
        <f>IF(M376="","",IF(ISNUMBER(B376),B376,IFERROR(_xlfn.NUMBERVALUE(B376,".",","),0)))</f>
        <v/>
      </c>
      <c r="O376">
        <f>IF(M376="","",IF(ISNUMBER(C376),C376,IFERROR(_xlfn.NUMBERVALUE(C376,".",","),0)))</f>
        <v/>
      </c>
    </row>
    <row r="377">
      <c r="K377">
        <f>IF(OR(LEFT(B377,9)="DOANH THU",LEFT(B377,8)="SỐ LƯỢNG"),A377,IF(A377="","",K376))</f>
        <v/>
      </c>
      <c r="L377">
        <f>IF(A377="","",IF(ISNUMBER(--LEFT(A377,FIND(" - ",A377&amp;" - ")-1)),LEFT(A377,FIND(" - ",A377&amp;" - ")-1),TRIM(A377)))</f>
        <v/>
      </c>
      <c r="M377">
        <f>IF(OR(K377="",K377=A377,A377=""),"",K377&amp;"|"&amp;L377)</f>
        <v/>
      </c>
      <c r="N377">
        <f>IF(M377="","",IF(ISNUMBER(B377),B377,IFERROR(_xlfn.NUMBERVALUE(B377,".",","),0)))</f>
        <v/>
      </c>
      <c r="O377">
        <f>IF(M377="","",IF(ISNUMBER(C377),C377,IFERROR(_xlfn.NUMBERVALUE(C377,".",","),0)))</f>
        <v/>
      </c>
    </row>
    <row r="378">
      <c r="K378">
        <f>IF(OR(LEFT(B378,9)="DOANH THU",LEFT(B378,8)="SỐ LƯỢNG"),A378,IF(A378="","",K377))</f>
        <v/>
      </c>
      <c r="L378">
        <f>IF(A378="","",IF(ISNUMBER(--LEFT(A378,FIND(" - ",A378&amp;" - ")-1)),LEFT(A378,FIND(" - ",A378&amp;" - ")-1),TRIM(A378)))</f>
        <v/>
      </c>
      <c r="M378">
        <f>IF(OR(K378="",K378=A378,A378=""),"",K378&amp;"|"&amp;L378)</f>
        <v/>
      </c>
      <c r="N378">
        <f>IF(M378="","",IF(ISNUMBER(B378),B378,IFERROR(_xlfn.NUMBERVALUE(B378,".",","),0)))</f>
        <v/>
      </c>
      <c r="O378">
        <f>IF(M378="","",IF(ISNUMBER(C378),C378,IFERROR(_xlfn.NUMBERVALUE(C378,".",","),0)))</f>
        <v/>
      </c>
    </row>
    <row r="379">
      <c r="K379">
        <f>IF(OR(LEFT(B379,9)="DOANH THU",LEFT(B379,8)="SỐ LƯỢNG"),A379,IF(A379="","",K378))</f>
        <v/>
      </c>
      <c r="L379">
        <f>IF(A379="","",IF(ISNUMBER(--LEFT(A379,FIND(" - ",A379&amp;" - ")-1)),LEFT(A379,FIND(" - ",A379&amp;" - ")-1),TRIM(A379)))</f>
        <v/>
      </c>
      <c r="M379">
        <f>IF(OR(K379="",K379=A379,A379=""),"",K379&amp;"|"&amp;L379)</f>
        <v/>
      </c>
      <c r="N379">
        <f>IF(M379="","",IF(ISNUMBER(B379),B379,IFERROR(_xlfn.NUMBERVALUE(B379,".",","),0)))</f>
        <v/>
      </c>
      <c r="O379">
        <f>IF(M379="","",IF(ISNUMBER(C379),C379,IFERROR(_xlfn.NUMBERVALUE(C379,".",","),0)))</f>
        <v/>
      </c>
    </row>
    <row r="380">
      <c r="K380">
        <f>IF(OR(LEFT(B380,9)="DOANH THU",LEFT(B380,8)="SỐ LƯỢNG"),A380,IF(A380="","",K379))</f>
        <v/>
      </c>
      <c r="L380">
        <f>IF(A380="","",IF(ISNUMBER(--LEFT(A380,FIND(" - ",A380&amp;" - ")-1)),LEFT(A380,FIND(" - ",A380&amp;" - ")-1),TRIM(A380)))</f>
        <v/>
      </c>
      <c r="M380">
        <f>IF(OR(K380="",K380=A380,A380=""),"",K380&amp;"|"&amp;L380)</f>
        <v/>
      </c>
      <c r="N380">
        <f>IF(M380="","",IF(ISNUMBER(B380),B380,IFERROR(_xlfn.NUMBERVALUE(B380,".",","),0)))</f>
        <v/>
      </c>
      <c r="O380">
        <f>IF(M380="","",IF(ISNUMBER(C380),C380,IFERROR(_xlfn.NUMBERVALUE(C380,".",","),0)))</f>
        <v/>
      </c>
    </row>
    <row r="381">
      <c r="K381">
        <f>IF(OR(LEFT(B381,9)="DOANH THU",LEFT(B381,8)="SỐ LƯỢNG"),A381,IF(A381="","",K380))</f>
        <v/>
      </c>
      <c r="L381">
        <f>IF(A381="","",IF(ISNUMBER(--LEFT(A381,FIND(" - ",A381&amp;" - ")-1)),LEFT(A381,FIND(" - ",A381&amp;" - ")-1),TRIM(A381)))</f>
        <v/>
      </c>
      <c r="M381">
        <f>IF(OR(K381="",K381=A381,A381=""),"",K381&amp;"|"&amp;L381)</f>
        <v/>
      </c>
      <c r="N381">
        <f>IF(M381="","",IF(ISNUMBER(B381),B381,IFERROR(_xlfn.NUMBERVALUE(B381,".",","),0)))</f>
        <v/>
      </c>
      <c r="O381">
        <f>IF(M381="","",IF(ISNUMBER(C381),C381,IFERROR(_xlfn.NUMBERVALUE(C381,".",","),0)))</f>
        <v/>
      </c>
    </row>
    <row r="382">
      <c r="K382">
        <f>IF(OR(LEFT(B382,9)="DOANH THU",LEFT(B382,8)="SỐ LƯỢNG"),A382,IF(A382="","",K381))</f>
        <v/>
      </c>
      <c r="L382">
        <f>IF(A382="","",IF(ISNUMBER(--LEFT(A382,FIND(" - ",A382&amp;" - ")-1)),LEFT(A382,FIND(" - ",A382&amp;" - ")-1),TRIM(A382)))</f>
        <v/>
      </c>
      <c r="M382">
        <f>IF(OR(K382="",K382=A382,A382=""),"",K382&amp;"|"&amp;L382)</f>
        <v/>
      </c>
      <c r="N382">
        <f>IF(M382="","",IF(ISNUMBER(B382),B382,IFERROR(_xlfn.NUMBERVALUE(B382,".",","),0)))</f>
        <v/>
      </c>
      <c r="O382">
        <f>IF(M382="","",IF(ISNUMBER(C382),C382,IFERROR(_xlfn.NUMBERVALUE(C382,".",","),0)))</f>
        <v/>
      </c>
    </row>
    <row r="383">
      <c r="K383">
        <f>IF(OR(LEFT(B383,9)="DOANH THU",LEFT(B383,8)="SỐ LƯỢNG"),A383,IF(A383="","",K382))</f>
        <v/>
      </c>
      <c r="L383">
        <f>IF(A383="","",IF(ISNUMBER(--LEFT(A383,FIND(" - ",A383&amp;" - ")-1)),LEFT(A383,FIND(" - ",A383&amp;" - ")-1),TRIM(A383)))</f>
        <v/>
      </c>
      <c r="M383">
        <f>IF(OR(K383="",K383=A383,A383=""),"",K383&amp;"|"&amp;L383)</f>
        <v/>
      </c>
      <c r="N383">
        <f>IF(M383="","",IF(ISNUMBER(B383),B383,IFERROR(_xlfn.NUMBERVALUE(B383,".",","),0)))</f>
        <v/>
      </c>
      <c r="O383">
        <f>IF(M383="","",IF(ISNUMBER(C383),C383,IFERROR(_xlfn.NUMBERVALUE(C383,".",","),0)))</f>
        <v/>
      </c>
    </row>
    <row r="384">
      <c r="K384">
        <f>IF(OR(LEFT(B384,9)="DOANH THU",LEFT(B384,8)="SỐ LƯỢNG"),A384,IF(A384="","",K383))</f>
        <v/>
      </c>
      <c r="L384">
        <f>IF(A384="","",IF(ISNUMBER(--LEFT(A384,FIND(" - ",A384&amp;" - ")-1)),LEFT(A384,FIND(" - ",A384&amp;" - ")-1),TRIM(A384)))</f>
        <v/>
      </c>
      <c r="M384">
        <f>IF(OR(K384="",K384=A384,A384=""),"",K384&amp;"|"&amp;L384)</f>
        <v/>
      </c>
      <c r="N384">
        <f>IF(M384="","",IF(ISNUMBER(B384),B384,IFERROR(_xlfn.NUMBERVALUE(B384,".",","),0)))</f>
        <v/>
      </c>
      <c r="O384">
        <f>IF(M384="","",IF(ISNUMBER(C384),C384,IFERROR(_xlfn.NUMBERVALUE(C384,".",","),0)))</f>
        <v/>
      </c>
    </row>
    <row r="385">
      <c r="K385">
        <f>IF(OR(LEFT(B385,9)="DOANH THU",LEFT(B385,8)="SỐ LƯỢNG"),A385,IF(A385="","",K384))</f>
        <v/>
      </c>
      <c r="L385">
        <f>IF(A385="","",IF(ISNUMBER(--LEFT(A385,FIND(" - ",A385&amp;" - ")-1)),LEFT(A385,FIND(" - ",A385&amp;" - ")-1),TRIM(A385)))</f>
        <v/>
      </c>
      <c r="M385">
        <f>IF(OR(K385="",K385=A385,A385=""),"",K385&amp;"|"&amp;L385)</f>
        <v/>
      </c>
      <c r="N385">
        <f>IF(M385="","",IF(ISNUMBER(B385),B385,IFERROR(_xlfn.NUMBERVALUE(B385,".",","),0)))</f>
        <v/>
      </c>
      <c r="O385">
        <f>IF(M385="","",IF(ISNUMBER(C385),C385,IFERROR(_xlfn.NUMBERVALUE(C385,".",","),0)))</f>
        <v/>
      </c>
    </row>
    <row r="386">
      <c r="K386">
        <f>IF(OR(LEFT(B386,9)="DOANH THU",LEFT(B386,8)="SỐ LƯỢNG"),A386,IF(A386="","",K385))</f>
        <v/>
      </c>
      <c r="L386">
        <f>IF(A386="","",IF(ISNUMBER(--LEFT(A386,FIND(" - ",A386&amp;" - ")-1)),LEFT(A386,FIND(" - ",A386&amp;" - ")-1),TRIM(A386)))</f>
        <v/>
      </c>
      <c r="M386">
        <f>IF(OR(K386="",K386=A386,A386=""),"",K386&amp;"|"&amp;L386)</f>
        <v/>
      </c>
      <c r="N386">
        <f>IF(M386="","",IF(ISNUMBER(B386),B386,IFERROR(_xlfn.NUMBERVALUE(B386,".",","),0)))</f>
        <v/>
      </c>
      <c r="O386">
        <f>IF(M386="","",IF(ISNUMBER(C386),C386,IFERROR(_xlfn.NUMBERVALUE(C386,".",","),0)))</f>
        <v/>
      </c>
    </row>
    <row r="387">
      <c r="K387">
        <f>IF(OR(LEFT(B387,9)="DOANH THU",LEFT(B387,8)="SỐ LƯỢNG"),A387,IF(A387="","",K386))</f>
        <v/>
      </c>
      <c r="L387">
        <f>IF(A387="","",IF(ISNUMBER(--LEFT(A387,FIND(" - ",A387&amp;" - ")-1)),LEFT(A387,FIND(" - ",A387&amp;" - ")-1),TRIM(A387)))</f>
        <v/>
      </c>
      <c r="M387">
        <f>IF(OR(K387="",K387=A387,A387=""),"",K387&amp;"|"&amp;L387)</f>
        <v/>
      </c>
      <c r="N387">
        <f>IF(M387="","",IF(ISNUMBER(B387),B387,IFERROR(_xlfn.NUMBERVALUE(B387,".",","),0)))</f>
        <v/>
      </c>
      <c r="O387">
        <f>IF(M387="","",IF(ISNUMBER(C387),C387,IFERROR(_xlfn.NUMBERVALUE(C387,".",","),0)))</f>
        <v/>
      </c>
    </row>
    <row r="388">
      <c r="K388">
        <f>IF(OR(LEFT(B388,9)="DOANH THU",LEFT(B388,8)="SỐ LƯỢNG"),A388,IF(A388="","",K387))</f>
        <v/>
      </c>
      <c r="L388">
        <f>IF(A388="","",IF(ISNUMBER(--LEFT(A388,FIND(" - ",A388&amp;" - ")-1)),LEFT(A388,FIND(" - ",A388&amp;" - ")-1),TRIM(A388)))</f>
        <v/>
      </c>
      <c r="M388">
        <f>IF(OR(K388="",K388=A388,A388=""),"",K388&amp;"|"&amp;L388)</f>
        <v/>
      </c>
      <c r="N388">
        <f>IF(M388="","",IF(ISNUMBER(B388),B388,IFERROR(_xlfn.NUMBERVALUE(B388,".",","),0)))</f>
        <v/>
      </c>
      <c r="O388">
        <f>IF(M388="","",IF(ISNUMBER(C388),C388,IFERROR(_xlfn.NUMBERVALUE(C388,".",","),0)))</f>
        <v/>
      </c>
    </row>
    <row r="389">
      <c r="K389">
        <f>IF(OR(LEFT(B389,9)="DOANH THU",LEFT(B389,8)="SỐ LƯỢNG"),A389,IF(A389="","",K388))</f>
        <v/>
      </c>
      <c r="L389">
        <f>IF(A389="","",IF(ISNUMBER(--LEFT(A389,FIND(" - ",A389&amp;" - ")-1)),LEFT(A389,FIND(" - ",A389&amp;" - ")-1),TRIM(A389)))</f>
        <v/>
      </c>
      <c r="M389">
        <f>IF(OR(K389="",K389=A389,A389=""),"",K389&amp;"|"&amp;L389)</f>
        <v/>
      </c>
      <c r="N389">
        <f>IF(M389="","",IF(ISNUMBER(B389),B389,IFERROR(_xlfn.NUMBERVALUE(B389,".",","),0)))</f>
        <v/>
      </c>
      <c r="O389">
        <f>IF(M389="","",IF(ISNUMBER(C389),C389,IFERROR(_xlfn.NUMBERVALUE(C389,".",","),0)))</f>
        <v/>
      </c>
    </row>
    <row r="390">
      <c r="K390">
        <f>IF(OR(LEFT(B390,9)="DOANH THU",LEFT(B390,8)="SỐ LƯỢNG"),A390,IF(A390="","",K389))</f>
        <v/>
      </c>
      <c r="L390">
        <f>IF(A390="","",IF(ISNUMBER(--LEFT(A390,FIND(" - ",A390&amp;" - ")-1)),LEFT(A390,FIND(" - ",A390&amp;" - ")-1),TRIM(A390)))</f>
        <v/>
      </c>
      <c r="M390">
        <f>IF(OR(K390="",K390=A390,A390=""),"",K390&amp;"|"&amp;L390)</f>
        <v/>
      </c>
      <c r="N390">
        <f>IF(M390="","",IF(ISNUMBER(B390),B390,IFERROR(_xlfn.NUMBERVALUE(B390,".",","),0)))</f>
        <v/>
      </c>
      <c r="O390">
        <f>IF(M390="","",IF(ISNUMBER(C390),C390,IFERROR(_xlfn.NUMBERVALUE(C390,".",","),0)))</f>
        <v/>
      </c>
    </row>
    <row r="391">
      <c r="K391">
        <f>IF(OR(LEFT(B391,9)="DOANH THU",LEFT(B391,8)="SỐ LƯỢNG"),A391,IF(A391="","",K390))</f>
        <v/>
      </c>
      <c r="L391">
        <f>IF(A391="","",IF(ISNUMBER(--LEFT(A391,FIND(" - ",A391&amp;" - ")-1)),LEFT(A391,FIND(" - ",A391&amp;" - ")-1),TRIM(A391)))</f>
        <v/>
      </c>
      <c r="M391">
        <f>IF(OR(K391="",K391=A391,A391=""),"",K391&amp;"|"&amp;L391)</f>
        <v/>
      </c>
      <c r="N391">
        <f>IF(M391="","",IF(ISNUMBER(B391),B391,IFERROR(_xlfn.NUMBERVALUE(B391,".",","),0)))</f>
        <v/>
      </c>
      <c r="O391">
        <f>IF(M391="","",IF(ISNUMBER(C391),C391,IFERROR(_xlfn.NUMBERVALUE(C391,".",","),0)))</f>
        <v/>
      </c>
    </row>
    <row r="392">
      <c r="K392">
        <f>IF(OR(LEFT(B392,9)="DOANH THU",LEFT(B392,8)="SỐ LƯỢNG"),A392,IF(A392="","",K391))</f>
        <v/>
      </c>
      <c r="L392">
        <f>IF(A392="","",IF(ISNUMBER(--LEFT(A392,FIND(" - ",A392&amp;" - ")-1)),LEFT(A392,FIND(" - ",A392&amp;" - ")-1),TRIM(A392)))</f>
        <v/>
      </c>
      <c r="M392">
        <f>IF(OR(K392="",K392=A392,A392=""),"",K392&amp;"|"&amp;L392)</f>
        <v/>
      </c>
      <c r="N392">
        <f>IF(M392="","",IF(ISNUMBER(B392),B392,IFERROR(_xlfn.NUMBERVALUE(B392,".",","),0)))</f>
        <v/>
      </c>
      <c r="O392">
        <f>IF(M392="","",IF(ISNUMBER(C392),C392,IFERROR(_xlfn.NUMBERVALUE(C392,".",","),0)))</f>
        <v/>
      </c>
    </row>
    <row r="393">
      <c r="K393">
        <f>IF(OR(LEFT(B393,9)="DOANH THU",LEFT(B393,8)="SỐ LƯỢNG"),A393,IF(A393="","",K392))</f>
        <v/>
      </c>
      <c r="L393">
        <f>IF(A393="","",IF(ISNUMBER(--LEFT(A393,FIND(" - ",A393&amp;" - ")-1)),LEFT(A393,FIND(" - ",A393&amp;" - ")-1),TRIM(A393)))</f>
        <v/>
      </c>
      <c r="M393">
        <f>IF(OR(K393="",K393=A393,A393=""),"",K393&amp;"|"&amp;L393)</f>
        <v/>
      </c>
      <c r="N393">
        <f>IF(M393="","",IF(ISNUMBER(B393),B393,IFERROR(_xlfn.NUMBERVALUE(B393,".",","),0)))</f>
        <v/>
      </c>
      <c r="O393">
        <f>IF(M393="","",IF(ISNUMBER(C393),C393,IFERROR(_xlfn.NUMBERVALUE(C393,".",","),0)))</f>
        <v/>
      </c>
    </row>
    <row r="394">
      <c r="K394">
        <f>IF(OR(LEFT(B394,9)="DOANH THU",LEFT(B394,8)="SỐ LƯỢNG"),A394,IF(A394="","",K393))</f>
        <v/>
      </c>
      <c r="L394">
        <f>IF(A394="","",IF(ISNUMBER(--LEFT(A394,FIND(" - ",A394&amp;" - ")-1)),LEFT(A394,FIND(" - ",A394&amp;" - ")-1),TRIM(A394)))</f>
        <v/>
      </c>
      <c r="M394">
        <f>IF(OR(K394="",K394=A394,A394=""),"",K394&amp;"|"&amp;L394)</f>
        <v/>
      </c>
      <c r="N394">
        <f>IF(M394="","",IF(ISNUMBER(B394),B394,IFERROR(_xlfn.NUMBERVALUE(B394,".",","),0)))</f>
        <v/>
      </c>
      <c r="O394">
        <f>IF(M394="","",IF(ISNUMBER(C394),C394,IFERROR(_xlfn.NUMBERVALUE(C394,".",","),0)))</f>
        <v/>
      </c>
    </row>
    <row r="395">
      <c r="K395">
        <f>IF(OR(LEFT(B395,9)="DOANH THU",LEFT(B395,8)="SỐ LƯỢNG"),A395,IF(A395="","",K394))</f>
        <v/>
      </c>
      <c r="L395">
        <f>IF(A395="","",IF(ISNUMBER(--LEFT(A395,FIND(" - ",A395&amp;" - ")-1)),LEFT(A395,FIND(" - ",A395&amp;" - ")-1),TRIM(A395)))</f>
        <v/>
      </c>
      <c r="M395">
        <f>IF(OR(K395="",K395=A395,A395=""),"",K395&amp;"|"&amp;L395)</f>
        <v/>
      </c>
      <c r="N395">
        <f>IF(M395="","",IF(ISNUMBER(B395),B395,IFERROR(_xlfn.NUMBERVALUE(B395,".",","),0)))</f>
        <v/>
      </c>
      <c r="O395">
        <f>IF(M395="","",IF(ISNUMBER(C395),C395,IFERROR(_xlfn.NUMBERVALUE(C395,".",","),0)))</f>
        <v/>
      </c>
    </row>
    <row r="396">
      <c r="K396">
        <f>IF(OR(LEFT(B396,9)="DOANH THU",LEFT(B396,8)="SỐ LƯỢNG"),A396,IF(A396="","",K395))</f>
        <v/>
      </c>
      <c r="L396">
        <f>IF(A396="","",IF(ISNUMBER(--LEFT(A396,FIND(" - ",A396&amp;" - ")-1)),LEFT(A396,FIND(" - ",A396&amp;" - ")-1),TRIM(A396)))</f>
        <v/>
      </c>
      <c r="M396">
        <f>IF(OR(K396="",K396=A396,A396=""),"",K396&amp;"|"&amp;L396)</f>
        <v/>
      </c>
      <c r="N396">
        <f>IF(M396="","",IF(ISNUMBER(B396),B396,IFERROR(_xlfn.NUMBERVALUE(B396,".",","),0)))</f>
        <v/>
      </c>
      <c r="O396">
        <f>IF(M396="","",IF(ISNUMBER(C396),C396,IFERROR(_xlfn.NUMBERVALUE(C396,".",","),0)))</f>
        <v/>
      </c>
    </row>
    <row r="397">
      <c r="K397">
        <f>IF(OR(LEFT(B397,9)="DOANH THU",LEFT(B397,8)="SỐ LƯỢNG"),A397,IF(A397="","",K396))</f>
        <v/>
      </c>
      <c r="L397">
        <f>IF(A397="","",IF(ISNUMBER(--LEFT(A397,FIND(" - ",A397&amp;" - ")-1)),LEFT(A397,FIND(" - ",A397&amp;" - ")-1),TRIM(A397)))</f>
        <v/>
      </c>
      <c r="M397">
        <f>IF(OR(K397="",K397=A397,A397=""),"",K397&amp;"|"&amp;L397)</f>
        <v/>
      </c>
      <c r="N397">
        <f>IF(M397="","",IF(ISNUMBER(B397),B397,IFERROR(_xlfn.NUMBERVALUE(B397,".",","),0)))</f>
        <v/>
      </c>
      <c r="O397">
        <f>IF(M397="","",IF(ISNUMBER(C397),C397,IFERROR(_xlfn.NUMBERVALUE(C397,".",","),0)))</f>
        <v/>
      </c>
    </row>
    <row r="398">
      <c r="K398">
        <f>IF(OR(LEFT(B398,9)="DOANH THU",LEFT(B398,8)="SỐ LƯỢNG"),A398,IF(A398="","",K397))</f>
        <v/>
      </c>
      <c r="L398">
        <f>IF(A398="","",IF(ISNUMBER(--LEFT(A398,FIND(" - ",A398&amp;" - ")-1)),LEFT(A398,FIND(" - ",A398&amp;" - ")-1),TRIM(A398)))</f>
        <v/>
      </c>
      <c r="M398">
        <f>IF(OR(K398="",K398=A398,A398=""),"",K398&amp;"|"&amp;L398)</f>
        <v/>
      </c>
      <c r="N398">
        <f>IF(M398="","",IF(ISNUMBER(B398),B398,IFERROR(_xlfn.NUMBERVALUE(B398,".",","),0)))</f>
        <v/>
      </c>
      <c r="O398">
        <f>IF(M398="","",IF(ISNUMBER(C398),C398,IFERROR(_xlfn.NUMBERVALUE(C398,".",","),0)))</f>
        <v/>
      </c>
    </row>
    <row r="399">
      <c r="K399">
        <f>IF(OR(LEFT(B399,9)="DOANH THU",LEFT(B399,8)="SỐ LƯỢNG"),A399,IF(A399="","",K398))</f>
        <v/>
      </c>
      <c r="L399">
        <f>IF(A399="","",IF(ISNUMBER(--LEFT(A399,FIND(" - ",A399&amp;" - ")-1)),LEFT(A399,FIND(" - ",A399&amp;" - ")-1),TRIM(A399)))</f>
        <v/>
      </c>
      <c r="M399">
        <f>IF(OR(K399="",K399=A399,A399=""),"",K399&amp;"|"&amp;L399)</f>
        <v/>
      </c>
      <c r="N399">
        <f>IF(M399="","",IF(ISNUMBER(B399),B399,IFERROR(_xlfn.NUMBERVALUE(B399,".",","),0)))</f>
        <v/>
      </c>
      <c r="O399">
        <f>IF(M399="","",IF(ISNUMBER(C399),C399,IFERROR(_xlfn.NUMBERVALUE(C399,".",","),0)))</f>
        <v/>
      </c>
    </row>
    <row r="400">
      <c r="K400">
        <f>IF(OR(LEFT(B400,9)="DOANH THU",LEFT(B400,8)="SỐ LƯỢNG"),A400,IF(A400="","",K399))</f>
        <v/>
      </c>
      <c r="L400">
        <f>IF(A400="","",IF(ISNUMBER(--LEFT(A400,FIND(" - ",A400&amp;" - ")-1)),LEFT(A400,FIND(" - ",A400&amp;" - ")-1),TRIM(A400)))</f>
        <v/>
      </c>
      <c r="M400">
        <f>IF(OR(K400="",K400=A400,A400=""),"",K400&amp;"|"&amp;L400)</f>
        <v/>
      </c>
      <c r="N400">
        <f>IF(M400="","",IF(ISNUMBER(B400),B400,IFERROR(_xlfn.NUMBERVALUE(B400,".",","),0)))</f>
        <v/>
      </c>
      <c r="O400">
        <f>IF(M400="","",IF(ISNUMBER(C400),C400,IFERROR(_xlfn.NUMBERVALUE(C400,".",","),0)))</f>
        <v/>
      </c>
    </row>
    <row r="401">
      <c r="K401">
        <f>IF(OR(LEFT(B401,9)="DOANH THU",LEFT(B401,8)="SỐ LƯỢNG"),A401,IF(A401="","",K400))</f>
        <v/>
      </c>
      <c r="L401">
        <f>IF(A401="","",IF(ISNUMBER(--LEFT(A401,FIND(" - ",A401&amp;" - ")-1)),LEFT(A401,FIND(" - ",A401&amp;" - ")-1),TRIM(A401)))</f>
        <v/>
      </c>
      <c r="M401">
        <f>IF(OR(K401="",K401=A401,A401=""),"",K401&amp;"|"&amp;L401)</f>
        <v/>
      </c>
      <c r="N401">
        <f>IF(M401="","",IF(ISNUMBER(B401),B401,IFERROR(_xlfn.NUMBERVALUE(B401,".",","),0)))</f>
        <v/>
      </c>
      <c r="O401">
        <f>IF(M401="","",IF(ISNUMBER(C401),C401,IFERROR(_xlfn.NUMBERVALUE(C401,".",","),0)))</f>
        <v/>
      </c>
    </row>
    <row r="402">
      <c r="K402">
        <f>IF(OR(LEFT(B402,9)="DOANH THU",LEFT(B402,8)="SỐ LƯỢNG"),A402,IF(A402="","",K401))</f>
        <v/>
      </c>
      <c r="L402">
        <f>IF(A402="","",IF(ISNUMBER(--LEFT(A402,FIND(" - ",A402&amp;" - ")-1)),LEFT(A402,FIND(" - ",A402&amp;" - ")-1),TRIM(A402)))</f>
        <v/>
      </c>
      <c r="M402">
        <f>IF(OR(K402="",K402=A402,A402=""),"",K402&amp;"|"&amp;L402)</f>
        <v/>
      </c>
      <c r="N402">
        <f>IF(M402="","",IF(ISNUMBER(B402),B402,IFERROR(_xlfn.NUMBERVALUE(B402,".",","),0)))</f>
        <v/>
      </c>
      <c r="O402">
        <f>IF(M402="","",IF(ISNUMBER(C402),C402,IFERROR(_xlfn.NUMBERVALUE(C402,".",","),0)))</f>
        <v/>
      </c>
    </row>
    <row r="403">
      <c r="K403">
        <f>IF(OR(LEFT(B403,9)="DOANH THU",LEFT(B403,8)="SỐ LƯỢNG"),A403,IF(A403="","",K402))</f>
        <v/>
      </c>
      <c r="L403">
        <f>IF(A403="","",IF(ISNUMBER(--LEFT(A403,FIND(" - ",A403&amp;" - ")-1)),LEFT(A403,FIND(" - ",A403&amp;" - ")-1),TRIM(A403)))</f>
        <v/>
      </c>
      <c r="M403">
        <f>IF(OR(K403="",K403=A403,A403=""),"",K403&amp;"|"&amp;L403)</f>
        <v/>
      </c>
      <c r="N403">
        <f>IF(M403="","",IF(ISNUMBER(B403),B403,IFERROR(_xlfn.NUMBERVALUE(B403,".",","),0)))</f>
        <v/>
      </c>
      <c r="O403">
        <f>IF(M403="","",IF(ISNUMBER(C403),C403,IFERROR(_xlfn.NUMBERVALUE(C403,".",","),0)))</f>
        <v/>
      </c>
    </row>
    <row r="404">
      <c r="K404">
        <f>IF(OR(LEFT(B404,9)="DOANH THU",LEFT(B404,8)="SỐ LƯỢNG"),A404,IF(A404="","",K403))</f>
        <v/>
      </c>
      <c r="L404">
        <f>IF(A404="","",IF(ISNUMBER(--LEFT(A404,FIND(" - ",A404&amp;" - ")-1)),LEFT(A404,FIND(" - ",A404&amp;" - ")-1),TRIM(A404)))</f>
        <v/>
      </c>
      <c r="M404">
        <f>IF(OR(K404="",K404=A404,A404=""),"",K404&amp;"|"&amp;L404)</f>
        <v/>
      </c>
      <c r="N404">
        <f>IF(M404="","",IF(ISNUMBER(B404),B404,IFERROR(_xlfn.NUMBERVALUE(B404,".",","),0)))</f>
        <v/>
      </c>
      <c r="O404">
        <f>IF(M404="","",IF(ISNUMBER(C404),C404,IFERROR(_xlfn.NUMBERVALUE(C404,".",","),0)))</f>
        <v/>
      </c>
    </row>
    <row r="405">
      <c r="K405">
        <f>IF(OR(LEFT(B405,9)="DOANH THU",LEFT(B405,8)="SỐ LƯỢNG"),A405,IF(A405="","",K404))</f>
        <v/>
      </c>
      <c r="L405">
        <f>IF(A405="","",IF(ISNUMBER(--LEFT(A405,FIND(" - ",A405&amp;" - ")-1)),LEFT(A405,FIND(" - ",A405&amp;" - ")-1),TRIM(A405)))</f>
        <v/>
      </c>
      <c r="M405">
        <f>IF(OR(K405="",K405=A405,A405=""),"",K405&amp;"|"&amp;L405)</f>
        <v/>
      </c>
      <c r="N405">
        <f>IF(M405="","",IF(ISNUMBER(B405),B405,IFERROR(_xlfn.NUMBERVALUE(B405,".",","),0)))</f>
        <v/>
      </c>
      <c r="O405">
        <f>IF(M405="","",IF(ISNUMBER(C405),C405,IFERROR(_xlfn.NUMBERVALUE(C405,".",","),0)))</f>
        <v/>
      </c>
    </row>
    <row r="406">
      <c r="K406">
        <f>IF(OR(LEFT(B406,9)="DOANH THU",LEFT(B406,8)="SỐ LƯỢNG"),A406,IF(A406="","",K405))</f>
        <v/>
      </c>
      <c r="L406">
        <f>IF(A406="","",IF(ISNUMBER(--LEFT(A406,FIND(" - ",A406&amp;" - ")-1)),LEFT(A406,FIND(" - ",A406&amp;" - ")-1),TRIM(A406)))</f>
        <v/>
      </c>
      <c r="M406">
        <f>IF(OR(K406="",K406=A406,A406=""),"",K406&amp;"|"&amp;L406)</f>
        <v/>
      </c>
      <c r="N406">
        <f>IF(M406="","",IF(ISNUMBER(B406),B406,IFERROR(_xlfn.NUMBERVALUE(B406,".",","),0)))</f>
        <v/>
      </c>
      <c r="O406">
        <f>IF(M406="","",IF(ISNUMBER(C406),C406,IFERROR(_xlfn.NUMBERVALUE(C406,".",","),0)))</f>
        <v/>
      </c>
    </row>
    <row r="407">
      <c r="K407">
        <f>IF(OR(LEFT(B407,9)="DOANH THU",LEFT(B407,8)="SỐ LƯỢNG"),A407,IF(A407="","",K406))</f>
        <v/>
      </c>
      <c r="L407">
        <f>IF(A407="","",IF(ISNUMBER(--LEFT(A407,FIND(" - ",A407&amp;" - ")-1)),LEFT(A407,FIND(" - ",A407&amp;" - ")-1),TRIM(A407)))</f>
        <v/>
      </c>
      <c r="M407">
        <f>IF(OR(K407="",K407=A407,A407=""),"",K407&amp;"|"&amp;L407)</f>
        <v/>
      </c>
      <c r="N407">
        <f>IF(M407="","",IF(ISNUMBER(B407),B407,IFERROR(_xlfn.NUMBERVALUE(B407,".",","),0)))</f>
        <v/>
      </c>
      <c r="O407">
        <f>IF(M407="","",IF(ISNUMBER(C407),C407,IFERROR(_xlfn.NUMBERVALUE(C407,".",","),0)))</f>
        <v/>
      </c>
    </row>
    <row r="408">
      <c r="K408">
        <f>IF(OR(LEFT(B408,9)="DOANH THU",LEFT(B408,8)="SỐ LƯỢNG"),A408,IF(A408="","",K407))</f>
        <v/>
      </c>
      <c r="L408">
        <f>IF(A408="","",IF(ISNUMBER(--LEFT(A408,FIND(" - ",A408&amp;" - ")-1)),LEFT(A408,FIND(" - ",A408&amp;" - ")-1),TRIM(A408)))</f>
        <v/>
      </c>
      <c r="M408">
        <f>IF(OR(K408="",K408=A408,A408=""),"",K408&amp;"|"&amp;L408)</f>
        <v/>
      </c>
      <c r="N408">
        <f>IF(M408="","",IF(ISNUMBER(B408),B408,IFERROR(_xlfn.NUMBERVALUE(B408,".",","),0)))</f>
        <v/>
      </c>
      <c r="O408">
        <f>IF(M408="","",IF(ISNUMBER(C408),C408,IFERROR(_xlfn.NUMBERVALUE(C408,".",","),0)))</f>
        <v/>
      </c>
    </row>
    <row r="409">
      <c r="K409">
        <f>IF(OR(LEFT(B409,9)="DOANH THU",LEFT(B409,8)="SỐ LƯỢNG"),A409,IF(A409="","",K408))</f>
        <v/>
      </c>
      <c r="L409">
        <f>IF(A409="","",IF(ISNUMBER(--LEFT(A409,FIND(" - ",A409&amp;" - ")-1)),LEFT(A409,FIND(" - ",A409&amp;" - ")-1),TRIM(A409)))</f>
        <v/>
      </c>
      <c r="M409">
        <f>IF(OR(K409="",K409=A409,A409=""),"",K409&amp;"|"&amp;L409)</f>
        <v/>
      </c>
      <c r="N409">
        <f>IF(M409="","",IF(ISNUMBER(B409),B409,IFERROR(_xlfn.NUMBERVALUE(B409,".",","),0)))</f>
        <v/>
      </c>
      <c r="O409">
        <f>IF(M409="","",IF(ISNUMBER(C409),C409,IFERROR(_xlfn.NUMBERVALUE(C409,".",","),0)))</f>
        <v/>
      </c>
    </row>
    <row r="410">
      <c r="K410">
        <f>IF(OR(LEFT(B410,9)="DOANH THU",LEFT(B410,8)="SỐ LƯỢNG"),A410,IF(A410="","",K409))</f>
        <v/>
      </c>
      <c r="L410">
        <f>IF(A410="","",IF(ISNUMBER(--LEFT(A410,FIND(" - ",A410&amp;" - ")-1)),LEFT(A410,FIND(" - ",A410&amp;" - ")-1),TRIM(A410)))</f>
        <v/>
      </c>
      <c r="M410">
        <f>IF(OR(K410="",K410=A410,A410=""),"",K410&amp;"|"&amp;L410)</f>
        <v/>
      </c>
      <c r="N410">
        <f>IF(M410="","",IF(ISNUMBER(B410),B410,IFERROR(_xlfn.NUMBERVALUE(B410,".",","),0)))</f>
        <v/>
      </c>
      <c r="O410">
        <f>IF(M410="","",IF(ISNUMBER(C410),C410,IFERROR(_xlfn.NUMBERVALUE(C410,".",","),0)))</f>
        <v/>
      </c>
    </row>
    <row r="411">
      <c r="K411">
        <f>IF(OR(LEFT(B411,9)="DOANH THU",LEFT(B411,8)="SỐ LƯỢNG"),A411,IF(A411="","",K410))</f>
        <v/>
      </c>
      <c r="L411">
        <f>IF(A411="","",IF(ISNUMBER(--LEFT(A411,FIND(" - ",A411&amp;" - ")-1)),LEFT(A411,FIND(" - ",A411&amp;" - ")-1),TRIM(A411)))</f>
        <v/>
      </c>
      <c r="M411">
        <f>IF(OR(K411="",K411=A411,A411=""),"",K411&amp;"|"&amp;L411)</f>
        <v/>
      </c>
      <c r="N411">
        <f>IF(M411="","",IF(ISNUMBER(B411),B411,IFERROR(_xlfn.NUMBERVALUE(B411,".",","),0)))</f>
        <v/>
      </c>
      <c r="O411">
        <f>IF(M411="","",IF(ISNUMBER(C411),C411,IFERROR(_xlfn.NUMBERVALUE(C411,".",","),0)))</f>
        <v/>
      </c>
    </row>
    <row r="412">
      <c r="K412">
        <f>IF(OR(LEFT(B412,9)="DOANH THU",LEFT(B412,8)="SỐ LƯỢNG"),A412,IF(A412="","",K411))</f>
        <v/>
      </c>
      <c r="L412">
        <f>IF(A412="","",IF(ISNUMBER(--LEFT(A412,FIND(" - ",A412&amp;" - ")-1)),LEFT(A412,FIND(" - ",A412&amp;" - ")-1),TRIM(A412)))</f>
        <v/>
      </c>
      <c r="M412">
        <f>IF(OR(K412="",K412=A412,A412=""),"",K412&amp;"|"&amp;L412)</f>
        <v/>
      </c>
      <c r="N412">
        <f>IF(M412="","",IF(ISNUMBER(B412),B412,IFERROR(_xlfn.NUMBERVALUE(B412,".",","),0)))</f>
        <v/>
      </c>
      <c r="O412">
        <f>IF(M412="","",IF(ISNUMBER(C412),C412,IFERROR(_xlfn.NUMBERVALUE(C412,".",","),0)))</f>
        <v/>
      </c>
    </row>
    <row r="413">
      <c r="K413">
        <f>IF(OR(LEFT(B413,9)="DOANH THU",LEFT(B413,8)="SỐ LƯỢNG"),A413,IF(A413="","",K412))</f>
        <v/>
      </c>
      <c r="L413">
        <f>IF(A413="","",IF(ISNUMBER(--LEFT(A413,FIND(" - ",A413&amp;" - ")-1)),LEFT(A413,FIND(" - ",A413&amp;" - ")-1),TRIM(A413)))</f>
        <v/>
      </c>
      <c r="M413">
        <f>IF(OR(K413="",K413=A413,A413=""),"",K413&amp;"|"&amp;L413)</f>
        <v/>
      </c>
      <c r="N413">
        <f>IF(M413="","",IF(ISNUMBER(B413),B413,IFERROR(_xlfn.NUMBERVALUE(B413,".",","),0)))</f>
        <v/>
      </c>
      <c r="O413">
        <f>IF(M413="","",IF(ISNUMBER(C413),C413,IFERROR(_xlfn.NUMBERVALUE(C413,".",","),0)))</f>
        <v/>
      </c>
    </row>
    <row r="414">
      <c r="K414">
        <f>IF(OR(LEFT(B414,9)="DOANH THU",LEFT(B414,8)="SỐ LƯỢNG"),A414,IF(A414="","",K413))</f>
        <v/>
      </c>
      <c r="L414">
        <f>IF(A414="","",IF(ISNUMBER(--LEFT(A414,FIND(" - ",A414&amp;" - ")-1)),LEFT(A414,FIND(" - ",A414&amp;" - ")-1),TRIM(A414)))</f>
        <v/>
      </c>
      <c r="M414">
        <f>IF(OR(K414="",K414=A414,A414=""),"",K414&amp;"|"&amp;L414)</f>
        <v/>
      </c>
      <c r="N414">
        <f>IF(M414="","",IF(ISNUMBER(B414),B414,IFERROR(_xlfn.NUMBERVALUE(B414,".",","),0)))</f>
        <v/>
      </c>
      <c r="O414">
        <f>IF(M414="","",IF(ISNUMBER(C414),C414,IFERROR(_xlfn.NUMBERVALUE(C414,".",","),0)))</f>
        <v/>
      </c>
    </row>
    <row r="415">
      <c r="K415">
        <f>IF(OR(LEFT(B415,9)="DOANH THU",LEFT(B415,8)="SỐ LƯỢNG"),A415,IF(A415="","",K414))</f>
        <v/>
      </c>
      <c r="L415">
        <f>IF(A415="","",IF(ISNUMBER(--LEFT(A415,FIND(" - ",A415&amp;" - ")-1)),LEFT(A415,FIND(" - ",A415&amp;" - ")-1),TRIM(A415)))</f>
        <v/>
      </c>
      <c r="M415">
        <f>IF(OR(K415="",K415=A415,A415=""),"",K415&amp;"|"&amp;L415)</f>
        <v/>
      </c>
      <c r="N415">
        <f>IF(M415="","",IF(ISNUMBER(B415),B415,IFERROR(_xlfn.NUMBERVALUE(B415,".",","),0)))</f>
        <v/>
      </c>
      <c r="O415">
        <f>IF(M415="","",IF(ISNUMBER(C415),C415,IFERROR(_xlfn.NUMBERVALUE(C415,".",","),0)))</f>
        <v/>
      </c>
    </row>
    <row r="416">
      <c r="K416">
        <f>IF(OR(LEFT(B416,9)="DOANH THU",LEFT(B416,8)="SỐ LƯỢNG"),A416,IF(A416="","",K415))</f>
        <v/>
      </c>
      <c r="L416">
        <f>IF(A416="","",IF(ISNUMBER(--LEFT(A416,FIND(" - ",A416&amp;" - ")-1)),LEFT(A416,FIND(" - ",A416&amp;" - ")-1),TRIM(A416)))</f>
        <v/>
      </c>
      <c r="M416">
        <f>IF(OR(K416="",K416=A416,A416=""),"",K416&amp;"|"&amp;L416)</f>
        <v/>
      </c>
      <c r="N416">
        <f>IF(M416="","",IF(ISNUMBER(B416),B416,IFERROR(_xlfn.NUMBERVALUE(B416,".",","),0)))</f>
        <v/>
      </c>
      <c r="O416">
        <f>IF(M416="","",IF(ISNUMBER(C416),C416,IFERROR(_xlfn.NUMBERVALUE(C416,".",","),0)))</f>
        <v/>
      </c>
    </row>
    <row r="417">
      <c r="K417">
        <f>IF(OR(LEFT(B417,9)="DOANH THU",LEFT(B417,8)="SỐ LƯỢNG"),A417,IF(A417="","",K416))</f>
        <v/>
      </c>
      <c r="L417">
        <f>IF(A417="","",IF(ISNUMBER(--LEFT(A417,FIND(" - ",A417&amp;" - ")-1)),LEFT(A417,FIND(" - ",A417&amp;" - ")-1),TRIM(A417)))</f>
        <v/>
      </c>
      <c r="M417">
        <f>IF(OR(K417="",K417=A417,A417=""),"",K417&amp;"|"&amp;L417)</f>
        <v/>
      </c>
      <c r="N417">
        <f>IF(M417="","",IF(ISNUMBER(B417),B417,IFERROR(_xlfn.NUMBERVALUE(B417,".",","),0)))</f>
        <v/>
      </c>
      <c r="O417">
        <f>IF(M417="","",IF(ISNUMBER(C417),C417,IFERROR(_xlfn.NUMBERVALUE(C417,".",","),0)))</f>
        <v/>
      </c>
    </row>
    <row r="418">
      <c r="K418">
        <f>IF(OR(LEFT(B418,9)="DOANH THU",LEFT(B418,8)="SỐ LƯỢNG"),A418,IF(A418="","",K417))</f>
        <v/>
      </c>
      <c r="L418">
        <f>IF(A418="","",IF(ISNUMBER(--LEFT(A418,FIND(" - ",A418&amp;" - ")-1)),LEFT(A418,FIND(" - ",A418&amp;" - ")-1),TRIM(A418)))</f>
        <v/>
      </c>
      <c r="M418">
        <f>IF(OR(K418="",K418=A418,A418=""),"",K418&amp;"|"&amp;L418)</f>
        <v/>
      </c>
      <c r="N418">
        <f>IF(M418="","",IF(ISNUMBER(B418),B418,IFERROR(_xlfn.NUMBERVALUE(B418,".",","),0)))</f>
        <v/>
      </c>
      <c r="O418">
        <f>IF(M418="","",IF(ISNUMBER(C418),C418,IFERROR(_xlfn.NUMBERVALUE(C418,".",","),0)))</f>
        <v/>
      </c>
    </row>
    <row r="419">
      <c r="K419">
        <f>IF(OR(LEFT(B419,9)="DOANH THU",LEFT(B419,8)="SỐ LƯỢNG"),A419,IF(A419="","",K418))</f>
        <v/>
      </c>
      <c r="L419">
        <f>IF(A419="","",IF(ISNUMBER(--LEFT(A419,FIND(" - ",A419&amp;" - ")-1)),LEFT(A419,FIND(" - ",A419&amp;" - ")-1),TRIM(A419)))</f>
        <v/>
      </c>
      <c r="M419">
        <f>IF(OR(K419="",K419=A419,A419=""),"",K419&amp;"|"&amp;L419)</f>
        <v/>
      </c>
      <c r="N419">
        <f>IF(M419="","",IF(ISNUMBER(B419),B419,IFERROR(_xlfn.NUMBERVALUE(B419,".",","),0)))</f>
        <v/>
      </c>
      <c r="O419">
        <f>IF(M419="","",IF(ISNUMBER(C419),C419,IFERROR(_xlfn.NUMBERVALUE(C419,".",","),0)))</f>
        <v/>
      </c>
    </row>
    <row r="420">
      <c r="K420">
        <f>IF(OR(LEFT(B420,9)="DOANH THU",LEFT(B420,8)="SỐ LƯỢNG"),A420,IF(A420="","",K419))</f>
        <v/>
      </c>
      <c r="L420">
        <f>IF(A420="","",IF(ISNUMBER(--LEFT(A420,FIND(" - ",A420&amp;" - ")-1)),LEFT(A420,FIND(" - ",A420&amp;" - ")-1),TRIM(A420)))</f>
        <v/>
      </c>
      <c r="M420">
        <f>IF(OR(K420="",K420=A420,A420=""),"",K420&amp;"|"&amp;L420)</f>
        <v/>
      </c>
      <c r="N420">
        <f>IF(M420="","",IF(ISNUMBER(B420),B420,IFERROR(_xlfn.NUMBERVALUE(B420,".",","),0)))</f>
        <v/>
      </c>
      <c r="O420">
        <f>IF(M420="","",IF(ISNUMBER(C420),C420,IFERROR(_xlfn.NUMBERVALUE(C420,".",","),0)))</f>
        <v/>
      </c>
    </row>
    <row r="421">
      <c r="K421">
        <f>IF(OR(LEFT(B421,9)="DOANH THU",LEFT(B421,8)="SỐ LƯỢNG"),A421,IF(A421="","",K420))</f>
        <v/>
      </c>
      <c r="L421">
        <f>IF(A421="","",IF(ISNUMBER(--LEFT(A421,FIND(" - ",A421&amp;" - ")-1)),LEFT(A421,FIND(" - ",A421&amp;" - ")-1),TRIM(A421)))</f>
        <v/>
      </c>
      <c r="M421">
        <f>IF(OR(K421="",K421=A421,A421=""),"",K421&amp;"|"&amp;L421)</f>
        <v/>
      </c>
      <c r="N421">
        <f>IF(M421="","",IF(ISNUMBER(B421),B421,IFERROR(_xlfn.NUMBERVALUE(B421,".",","),0)))</f>
        <v/>
      </c>
      <c r="O421">
        <f>IF(M421="","",IF(ISNUMBER(C421),C421,IFERROR(_xlfn.NUMBERVALUE(C421,".",","),0)))</f>
        <v/>
      </c>
    </row>
    <row r="422">
      <c r="K422">
        <f>IF(OR(LEFT(B422,9)="DOANH THU",LEFT(B422,8)="SỐ LƯỢNG"),A422,IF(A422="","",K421))</f>
        <v/>
      </c>
      <c r="L422">
        <f>IF(A422="","",IF(ISNUMBER(--LEFT(A422,FIND(" - ",A422&amp;" - ")-1)),LEFT(A422,FIND(" - ",A422&amp;" - ")-1),TRIM(A422)))</f>
        <v/>
      </c>
      <c r="M422">
        <f>IF(OR(K422="",K422=A422,A422=""),"",K422&amp;"|"&amp;L422)</f>
        <v/>
      </c>
      <c r="N422">
        <f>IF(M422="","",IF(ISNUMBER(B422),B422,IFERROR(_xlfn.NUMBERVALUE(B422,".",","),0)))</f>
        <v/>
      </c>
      <c r="O422">
        <f>IF(M422="","",IF(ISNUMBER(C422),C422,IFERROR(_xlfn.NUMBERVALUE(C422,".",","),0)))</f>
        <v/>
      </c>
    </row>
    <row r="423">
      <c r="K423">
        <f>IF(OR(LEFT(B423,9)="DOANH THU",LEFT(B423,8)="SỐ LƯỢNG"),A423,IF(A423="","",K422))</f>
        <v/>
      </c>
      <c r="L423">
        <f>IF(A423="","",IF(ISNUMBER(--LEFT(A423,FIND(" - ",A423&amp;" - ")-1)),LEFT(A423,FIND(" - ",A423&amp;" - ")-1),TRIM(A423)))</f>
        <v/>
      </c>
      <c r="M423">
        <f>IF(OR(K423="",K423=A423,A423=""),"",K423&amp;"|"&amp;L423)</f>
        <v/>
      </c>
      <c r="N423">
        <f>IF(M423="","",IF(ISNUMBER(B423),B423,IFERROR(_xlfn.NUMBERVALUE(B423,".",","),0)))</f>
        <v/>
      </c>
      <c r="O423">
        <f>IF(M423="","",IF(ISNUMBER(C423),C423,IFERROR(_xlfn.NUMBERVALUE(C423,".",","),0)))</f>
        <v/>
      </c>
    </row>
    <row r="424">
      <c r="K424">
        <f>IF(OR(LEFT(B424,9)="DOANH THU",LEFT(B424,8)="SỐ LƯỢNG"),A424,IF(A424="","",K423))</f>
        <v/>
      </c>
      <c r="L424">
        <f>IF(A424="","",IF(ISNUMBER(--LEFT(A424,FIND(" - ",A424&amp;" - ")-1)),LEFT(A424,FIND(" - ",A424&amp;" - ")-1),TRIM(A424)))</f>
        <v/>
      </c>
      <c r="M424">
        <f>IF(OR(K424="",K424=A424,A424=""),"",K424&amp;"|"&amp;L424)</f>
        <v/>
      </c>
      <c r="N424">
        <f>IF(M424="","",IF(ISNUMBER(B424),B424,IFERROR(_xlfn.NUMBERVALUE(B424,".",","),0)))</f>
        <v/>
      </c>
      <c r="O424">
        <f>IF(M424="","",IF(ISNUMBER(C424),C424,IFERROR(_xlfn.NUMBERVALUE(C424,".",","),0)))</f>
        <v/>
      </c>
    </row>
    <row r="425">
      <c r="K425">
        <f>IF(OR(LEFT(B425,9)="DOANH THU",LEFT(B425,8)="SỐ LƯỢNG"),A425,IF(A425="","",K424))</f>
        <v/>
      </c>
      <c r="L425">
        <f>IF(A425="","",IF(ISNUMBER(--LEFT(A425,FIND(" - ",A425&amp;" - ")-1)),LEFT(A425,FIND(" - ",A425&amp;" - ")-1),TRIM(A425)))</f>
        <v/>
      </c>
      <c r="M425">
        <f>IF(OR(K425="",K425=A425,A425=""),"",K425&amp;"|"&amp;L425)</f>
        <v/>
      </c>
      <c r="N425">
        <f>IF(M425="","",IF(ISNUMBER(B425),B425,IFERROR(_xlfn.NUMBERVALUE(B425,".",","),0)))</f>
        <v/>
      </c>
      <c r="O425">
        <f>IF(M425="","",IF(ISNUMBER(C425),C425,IFERROR(_xlfn.NUMBERVALUE(C425,".",","),0)))</f>
        <v/>
      </c>
    </row>
    <row r="426">
      <c r="K426">
        <f>IF(OR(LEFT(B426,9)="DOANH THU",LEFT(B426,8)="SỐ LƯỢNG"),A426,IF(A426="","",K425))</f>
        <v/>
      </c>
      <c r="L426">
        <f>IF(A426="","",IF(ISNUMBER(--LEFT(A426,FIND(" - ",A426&amp;" - ")-1)),LEFT(A426,FIND(" - ",A426&amp;" - ")-1),TRIM(A426)))</f>
        <v/>
      </c>
      <c r="M426">
        <f>IF(OR(K426="",K426=A426,A426=""),"",K426&amp;"|"&amp;L426)</f>
        <v/>
      </c>
      <c r="N426">
        <f>IF(M426="","",IF(ISNUMBER(B426),B426,IFERROR(_xlfn.NUMBERVALUE(B426,".",","),0)))</f>
        <v/>
      </c>
      <c r="O426">
        <f>IF(M426="","",IF(ISNUMBER(C426),C426,IFERROR(_xlfn.NUMBERVALUE(C426,".",","),0)))</f>
        <v/>
      </c>
    </row>
    <row r="427">
      <c r="K427">
        <f>IF(OR(LEFT(B427,9)="DOANH THU",LEFT(B427,8)="SỐ LƯỢNG"),A427,IF(A427="","",K426))</f>
        <v/>
      </c>
      <c r="L427">
        <f>IF(A427="","",IF(ISNUMBER(--LEFT(A427,FIND(" - ",A427&amp;" - ")-1)),LEFT(A427,FIND(" - ",A427&amp;" - ")-1),TRIM(A427)))</f>
        <v/>
      </c>
      <c r="M427">
        <f>IF(OR(K427="",K427=A427,A427=""),"",K427&amp;"|"&amp;L427)</f>
        <v/>
      </c>
      <c r="N427">
        <f>IF(M427="","",IF(ISNUMBER(B427),B427,IFERROR(_xlfn.NUMBERVALUE(B427,".",","),0)))</f>
        <v/>
      </c>
      <c r="O427">
        <f>IF(M427="","",IF(ISNUMBER(C427),C427,IFERROR(_xlfn.NUMBERVALUE(C427,".",","),0)))</f>
        <v/>
      </c>
    </row>
    <row r="428">
      <c r="K428">
        <f>IF(OR(LEFT(B428,9)="DOANH THU",LEFT(B428,8)="SỐ LƯỢNG"),A428,IF(A428="","",K427))</f>
        <v/>
      </c>
      <c r="L428">
        <f>IF(A428="","",IF(ISNUMBER(--LEFT(A428,FIND(" - ",A428&amp;" - ")-1)),LEFT(A428,FIND(" - ",A428&amp;" - ")-1),TRIM(A428)))</f>
        <v/>
      </c>
      <c r="M428">
        <f>IF(OR(K428="",K428=A428,A428=""),"",K428&amp;"|"&amp;L428)</f>
        <v/>
      </c>
      <c r="N428">
        <f>IF(M428="","",IF(ISNUMBER(B428),B428,IFERROR(_xlfn.NUMBERVALUE(B428,".",","),0)))</f>
        <v/>
      </c>
      <c r="O428">
        <f>IF(M428="","",IF(ISNUMBER(C428),C428,IFERROR(_xlfn.NUMBERVALUE(C428,".",","),0)))</f>
        <v/>
      </c>
    </row>
    <row r="429">
      <c r="K429">
        <f>IF(OR(LEFT(B429,9)="DOANH THU",LEFT(B429,8)="SỐ LƯỢNG"),A429,IF(A429="","",K428))</f>
        <v/>
      </c>
      <c r="L429">
        <f>IF(A429="","",IF(ISNUMBER(--LEFT(A429,FIND(" - ",A429&amp;" - ")-1)),LEFT(A429,FIND(" - ",A429&amp;" - ")-1),TRIM(A429)))</f>
        <v/>
      </c>
      <c r="M429">
        <f>IF(OR(K429="",K429=A429,A429=""),"",K429&amp;"|"&amp;L429)</f>
        <v/>
      </c>
      <c r="N429">
        <f>IF(M429="","",IF(ISNUMBER(B429),B429,IFERROR(_xlfn.NUMBERVALUE(B429,".",","),0)))</f>
        <v/>
      </c>
      <c r="O429">
        <f>IF(M429="","",IF(ISNUMBER(C429),C429,IFERROR(_xlfn.NUMBERVALUE(C429,".",","),0)))</f>
        <v/>
      </c>
    </row>
    <row r="430">
      <c r="K430">
        <f>IF(OR(LEFT(B430,9)="DOANH THU",LEFT(B430,8)="SỐ LƯỢNG"),A430,IF(A430="","",K429))</f>
        <v/>
      </c>
      <c r="L430">
        <f>IF(A430="","",IF(ISNUMBER(--LEFT(A430,FIND(" - ",A430&amp;" - ")-1)),LEFT(A430,FIND(" - ",A430&amp;" - ")-1),TRIM(A430)))</f>
        <v/>
      </c>
      <c r="M430">
        <f>IF(OR(K430="",K430=A430,A430=""),"",K430&amp;"|"&amp;L430)</f>
        <v/>
      </c>
      <c r="N430">
        <f>IF(M430="","",IF(ISNUMBER(B430),B430,IFERROR(_xlfn.NUMBERVALUE(B430,".",","),0)))</f>
        <v/>
      </c>
      <c r="O430">
        <f>IF(M430="","",IF(ISNUMBER(C430),C430,IFERROR(_xlfn.NUMBERVALUE(C430,".",","),0)))</f>
        <v/>
      </c>
    </row>
    <row r="431">
      <c r="K431">
        <f>IF(OR(LEFT(B431,9)="DOANH THU",LEFT(B431,8)="SỐ LƯỢNG"),A431,IF(A431="","",K430))</f>
        <v/>
      </c>
      <c r="L431">
        <f>IF(A431="","",IF(ISNUMBER(--LEFT(A431,FIND(" - ",A431&amp;" - ")-1)),LEFT(A431,FIND(" - ",A431&amp;" - ")-1),TRIM(A431)))</f>
        <v/>
      </c>
      <c r="M431">
        <f>IF(OR(K431="",K431=A431,A431=""),"",K431&amp;"|"&amp;L431)</f>
        <v/>
      </c>
      <c r="N431">
        <f>IF(M431="","",IF(ISNUMBER(B431),B431,IFERROR(_xlfn.NUMBERVALUE(B431,".",","),0)))</f>
        <v/>
      </c>
      <c r="O431">
        <f>IF(M431="","",IF(ISNUMBER(C431),C431,IFERROR(_xlfn.NUMBERVALUE(C431,".",","),0)))</f>
        <v/>
      </c>
    </row>
    <row r="432">
      <c r="K432">
        <f>IF(OR(LEFT(B432,9)="DOANH THU",LEFT(B432,8)="SỐ LƯỢNG"),A432,IF(A432="","",K431))</f>
        <v/>
      </c>
      <c r="L432">
        <f>IF(A432="","",IF(ISNUMBER(--LEFT(A432,FIND(" - ",A432&amp;" - ")-1)),LEFT(A432,FIND(" - ",A432&amp;" - ")-1),TRIM(A432)))</f>
        <v/>
      </c>
      <c r="M432">
        <f>IF(OR(K432="",K432=A432,A432=""),"",K432&amp;"|"&amp;L432)</f>
        <v/>
      </c>
      <c r="N432">
        <f>IF(M432="","",IF(ISNUMBER(B432),B432,IFERROR(_xlfn.NUMBERVALUE(B432,".",","),0)))</f>
        <v/>
      </c>
      <c r="O432">
        <f>IF(M432="","",IF(ISNUMBER(C432),C432,IFERROR(_xlfn.NUMBERVALUE(C432,".",","),0)))</f>
        <v/>
      </c>
    </row>
    <row r="433">
      <c r="K433">
        <f>IF(OR(LEFT(B433,9)="DOANH THU",LEFT(B433,8)="SỐ LƯỢNG"),A433,IF(A433="","",K432))</f>
        <v/>
      </c>
      <c r="L433">
        <f>IF(A433="","",IF(ISNUMBER(--LEFT(A433,FIND(" - ",A433&amp;" - ")-1)),LEFT(A433,FIND(" - ",A433&amp;" - ")-1),TRIM(A433)))</f>
        <v/>
      </c>
      <c r="M433">
        <f>IF(OR(K433="",K433=A433,A433=""),"",K433&amp;"|"&amp;L433)</f>
        <v/>
      </c>
      <c r="N433">
        <f>IF(M433="","",IF(ISNUMBER(B433),B433,IFERROR(_xlfn.NUMBERVALUE(B433,".",","),0)))</f>
        <v/>
      </c>
      <c r="O433">
        <f>IF(M433="","",IF(ISNUMBER(C433),C433,IFERROR(_xlfn.NUMBERVALUE(C433,".",","),0)))</f>
        <v/>
      </c>
    </row>
    <row r="434">
      <c r="K434">
        <f>IF(OR(LEFT(B434,9)="DOANH THU",LEFT(B434,8)="SỐ LƯỢNG"),A434,IF(A434="","",K433))</f>
        <v/>
      </c>
      <c r="L434">
        <f>IF(A434="","",IF(ISNUMBER(--LEFT(A434,FIND(" - ",A434&amp;" - ")-1)),LEFT(A434,FIND(" - ",A434&amp;" - ")-1),TRIM(A434)))</f>
        <v/>
      </c>
      <c r="M434">
        <f>IF(OR(K434="",K434=A434,A434=""),"",K434&amp;"|"&amp;L434)</f>
        <v/>
      </c>
      <c r="N434">
        <f>IF(M434="","",IF(ISNUMBER(B434),B434,IFERROR(_xlfn.NUMBERVALUE(B434,".",","),0)))</f>
        <v/>
      </c>
      <c r="O434">
        <f>IF(M434="","",IF(ISNUMBER(C434),C434,IFERROR(_xlfn.NUMBERVALUE(C434,".",","),0)))</f>
        <v/>
      </c>
    </row>
    <row r="435">
      <c r="K435">
        <f>IF(OR(LEFT(B435,9)="DOANH THU",LEFT(B435,8)="SỐ LƯỢNG"),A435,IF(A435="","",K434))</f>
        <v/>
      </c>
      <c r="L435">
        <f>IF(A435="","",IF(ISNUMBER(--LEFT(A435,FIND(" - ",A435&amp;" - ")-1)),LEFT(A435,FIND(" - ",A435&amp;" - ")-1),TRIM(A435)))</f>
        <v/>
      </c>
      <c r="M435">
        <f>IF(OR(K435="",K435=A435,A435=""),"",K435&amp;"|"&amp;L435)</f>
        <v/>
      </c>
      <c r="N435">
        <f>IF(M435="","",IF(ISNUMBER(B435),B435,IFERROR(_xlfn.NUMBERVALUE(B435,".",","),0)))</f>
        <v/>
      </c>
      <c r="O435">
        <f>IF(M435="","",IF(ISNUMBER(C435),C435,IFERROR(_xlfn.NUMBERVALUE(C435,".",","),0)))</f>
        <v/>
      </c>
    </row>
    <row r="436">
      <c r="K436">
        <f>IF(OR(LEFT(B436,9)="DOANH THU",LEFT(B436,8)="SỐ LƯỢNG"),A436,IF(A436="","",K435))</f>
        <v/>
      </c>
      <c r="L436">
        <f>IF(A436="","",IF(ISNUMBER(--LEFT(A436,FIND(" - ",A436&amp;" - ")-1)),LEFT(A436,FIND(" - ",A436&amp;" - ")-1),TRIM(A436)))</f>
        <v/>
      </c>
      <c r="M436">
        <f>IF(OR(K436="",K436=A436,A436=""),"",K436&amp;"|"&amp;L436)</f>
        <v/>
      </c>
      <c r="N436">
        <f>IF(M436="","",IF(ISNUMBER(B436),B436,IFERROR(_xlfn.NUMBERVALUE(B436,".",","),0)))</f>
        <v/>
      </c>
      <c r="O436">
        <f>IF(M436="","",IF(ISNUMBER(C436),C436,IFERROR(_xlfn.NUMBERVALUE(C436,".",","),0)))</f>
        <v/>
      </c>
    </row>
    <row r="437">
      <c r="K437">
        <f>IF(OR(LEFT(B437,9)="DOANH THU",LEFT(B437,8)="SỐ LƯỢNG"),A437,IF(A437="","",K436))</f>
        <v/>
      </c>
      <c r="L437">
        <f>IF(A437="","",IF(ISNUMBER(--LEFT(A437,FIND(" - ",A437&amp;" - ")-1)),LEFT(A437,FIND(" - ",A437&amp;" - ")-1),TRIM(A437)))</f>
        <v/>
      </c>
      <c r="M437">
        <f>IF(OR(K437="",K437=A437,A437=""),"",K437&amp;"|"&amp;L437)</f>
        <v/>
      </c>
      <c r="N437">
        <f>IF(M437="","",IF(ISNUMBER(B437),B437,IFERROR(_xlfn.NUMBERVALUE(B437,".",","),0)))</f>
        <v/>
      </c>
      <c r="O437">
        <f>IF(M437="","",IF(ISNUMBER(C437),C437,IFERROR(_xlfn.NUMBERVALUE(C437,".",","),0)))</f>
        <v/>
      </c>
    </row>
    <row r="438">
      <c r="K438">
        <f>IF(OR(LEFT(B438,9)="DOANH THU",LEFT(B438,8)="SỐ LƯỢNG"),A438,IF(A438="","",K437))</f>
        <v/>
      </c>
      <c r="L438">
        <f>IF(A438="","",IF(ISNUMBER(--LEFT(A438,FIND(" - ",A438&amp;" - ")-1)),LEFT(A438,FIND(" - ",A438&amp;" - ")-1),TRIM(A438)))</f>
        <v/>
      </c>
      <c r="M438">
        <f>IF(OR(K438="",K438=A438,A438=""),"",K438&amp;"|"&amp;L438)</f>
        <v/>
      </c>
      <c r="N438">
        <f>IF(M438="","",IF(ISNUMBER(B438),B438,IFERROR(_xlfn.NUMBERVALUE(B438,".",","),0)))</f>
        <v/>
      </c>
      <c r="O438">
        <f>IF(M438="","",IF(ISNUMBER(C438),C438,IFERROR(_xlfn.NUMBERVALUE(C438,".",","),0)))</f>
        <v/>
      </c>
    </row>
    <row r="439">
      <c r="K439">
        <f>IF(OR(LEFT(B439,9)="DOANH THU",LEFT(B439,8)="SỐ LƯỢNG"),A439,IF(A439="","",K438))</f>
        <v/>
      </c>
      <c r="L439">
        <f>IF(A439="","",IF(ISNUMBER(--LEFT(A439,FIND(" - ",A439&amp;" - ")-1)),LEFT(A439,FIND(" - ",A439&amp;" - ")-1),TRIM(A439)))</f>
        <v/>
      </c>
      <c r="M439">
        <f>IF(OR(K439="",K439=A439,A439=""),"",K439&amp;"|"&amp;L439)</f>
        <v/>
      </c>
      <c r="N439">
        <f>IF(M439="","",IF(ISNUMBER(B439),B439,IFERROR(_xlfn.NUMBERVALUE(B439,".",","),0)))</f>
        <v/>
      </c>
      <c r="O439">
        <f>IF(M439="","",IF(ISNUMBER(C439),C439,IFERROR(_xlfn.NUMBERVALUE(C439,".",","),0)))</f>
        <v/>
      </c>
    </row>
    <row r="440">
      <c r="K440">
        <f>IF(OR(LEFT(B440,9)="DOANH THU",LEFT(B440,8)="SỐ LƯỢNG"),A440,IF(A440="","",K439))</f>
        <v/>
      </c>
      <c r="L440">
        <f>IF(A440="","",IF(ISNUMBER(--LEFT(A440,FIND(" - ",A440&amp;" - ")-1)),LEFT(A440,FIND(" - ",A440&amp;" - ")-1),TRIM(A440)))</f>
        <v/>
      </c>
      <c r="M440">
        <f>IF(OR(K440="",K440=A440,A440=""),"",K440&amp;"|"&amp;L440)</f>
        <v/>
      </c>
      <c r="N440">
        <f>IF(M440="","",IF(ISNUMBER(B440),B440,IFERROR(_xlfn.NUMBERVALUE(B440,".",","),0)))</f>
        <v/>
      </c>
      <c r="O440">
        <f>IF(M440="","",IF(ISNUMBER(C440),C440,IFERROR(_xlfn.NUMBERVALUE(C440,".",","),0)))</f>
        <v/>
      </c>
    </row>
    <row r="441">
      <c r="K441">
        <f>IF(OR(LEFT(B441,9)="DOANH THU",LEFT(B441,8)="SỐ LƯỢNG"),A441,IF(A441="","",K440))</f>
        <v/>
      </c>
      <c r="L441">
        <f>IF(A441="","",IF(ISNUMBER(--LEFT(A441,FIND(" - ",A441&amp;" - ")-1)),LEFT(A441,FIND(" - ",A441&amp;" - ")-1),TRIM(A441)))</f>
        <v/>
      </c>
      <c r="M441">
        <f>IF(OR(K441="",K441=A441,A441=""),"",K441&amp;"|"&amp;L441)</f>
        <v/>
      </c>
      <c r="N441">
        <f>IF(M441="","",IF(ISNUMBER(B441),B441,IFERROR(_xlfn.NUMBERVALUE(B441,".",","),0)))</f>
        <v/>
      </c>
      <c r="O441">
        <f>IF(M441="","",IF(ISNUMBER(C441),C441,IFERROR(_xlfn.NUMBERVALUE(C441,".",","),0)))</f>
        <v/>
      </c>
    </row>
    <row r="442">
      <c r="K442">
        <f>IF(OR(LEFT(B442,9)="DOANH THU",LEFT(B442,8)="SỐ LƯỢNG"),A442,IF(A442="","",K441))</f>
        <v/>
      </c>
      <c r="L442">
        <f>IF(A442="","",IF(ISNUMBER(--LEFT(A442,FIND(" - ",A442&amp;" - ")-1)),LEFT(A442,FIND(" - ",A442&amp;" - ")-1),TRIM(A442)))</f>
        <v/>
      </c>
      <c r="M442">
        <f>IF(OR(K442="",K442=A442,A442=""),"",K442&amp;"|"&amp;L442)</f>
        <v/>
      </c>
      <c r="N442">
        <f>IF(M442="","",IF(ISNUMBER(B442),B442,IFERROR(_xlfn.NUMBERVALUE(B442,".",","),0)))</f>
        <v/>
      </c>
      <c r="O442">
        <f>IF(M442="","",IF(ISNUMBER(C442),C442,IFERROR(_xlfn.NUMBERVALUE(C442,".",","),0)))</f>
        <v/>
      </c>
    </row>
    <row r="443">
      <c r="K443">
        <f>IF(OR(LEFT(B443,9)="DOANH THU",LEFT(B443,8)="SỐ LƯỢNG"),A443,IF(A443="","",K442))</f>
        <v/>
      </c>
      <c r="L443">
        <f>IF(A443="","",IF(ISNUMBER(--LEFT(A443,FIND(" - ",A443&amp;" - ")-1)),LEFT(A443,FIND(" - ",A443&amp;" - ")-1),TRIM(A443)))</f>
        <v/>
      </c>
      <c r="M443">
        <f>IF(OR(K443="",K443=A443,A443=""),"",K443&amp;"|"&amp;L443)</f>
        <v/>
      </c>
      <c r="N443">
        <f>IF(M443="","",IF(ISNUMBER(B443),B443,IFERROR(_xlfn.NUMBERVALUE(B443,".",","),0)))</f>
        <v/>
      </c>
      <c r="O443">
        <f>IF(M443="","",IF(ISNUMBER(C443),C443,IFERROR(_xlfn.NUMBERVALUE(C443,".",","),0)))</f>
        <v/>
      </c>
    </row>
    <row r="444">
      <c r="K444">
        <f>IF(OR(LEFT(B444,9)="DOANH THU",LEFT(B444,8)="SỐ LƯỢNG"),A444,IF(A444="","",K443))</f>
        <v/>
      </c>
      <c r="L444">
        <f>IF(A444="","",IF(ISNUMBER(--LEFT(A444,FIND(" - ",A444&amp;" - ")-1)),LEFT(A444,FIND(" - ",A444&amp;" - ")-1),TRIM(A444)))</f>
        <v/>
      </c>
      <c r="M444">
        <f>IF(OR(K444="",K444=A444,A444=""),"",K444&amp;"|"&amp;L444)</f>
        <v/>
      </c>
      <c r="N444">
        <f>IF(M444="","",IF(ISNUMBER(B444),B444,IFERROR(_xlfn.NUMBERVALUE(B444,".",","),0)))</f>
        <v/>
      </c>
      <c r="O444">
        <f>IF(M444="","",IF(ISNUMBER(C444),C444,IFERROR(_xlfn.NUMBERVALUE(C444,".",","),0)))</f>
        <v/>
      </c>
    </row>
    <row r="445">
      <c r="K445">
        <f>IF(OR(LEFT(B445,9)="DOANH THU",LEFT(B445,8)="SỐ LƯỢNG"),A445,IF(A445="","",K444))</f>
        <v/>
      </c>
      <c r="L445">
        <f>IF(A445="","",IF(ISNUMBER(--LEFT(A445,FIND(" - ",A445&amp;" - ")-1)),LEFT(A445,FIND(" - ",A445&amp;" - ")-1),TRIM(A445)))</f>
        <v/>
      </c>
      <c r="M445">
        <f>IF(OR(K445="",K445=A445,A445=""),"",K445&amp;"|"&amp;L445)</f>
        <v/>
      </c>
      <c r="N445">
        <f>IF(M445="","",IF(ISNUMBER(B445),B445,IFERROR(_xlfn.NUMBERVALUE(B445,".",","),0)))</f>
        <v/>
      </c>
      <c r="O445">
        <f>IF(M445="","",IF(ISNUMBER(C445),C445,IFERROR(_xlfn.NUMBERVALUE(C445,".",","),0)))</f>
        <v/>
      </c>
    </row>
    <row r="446">
      <c r="K446">
        <f>IF(OR(LEFT(B446,9)="DOANH THU",LEFT(B446,8)="SỐ LƯỢNG"),A446,IF(A446="","",K445))</f>
        <v/>
      </c>
      <c r="L446">
        <f>IF(A446="","",IF(ISNUMBER(--LEFT(A446,FIND(" - ",A446&amp;" - ")-1)),LEFT(A446,FIND(" - ",A446&amp;" - ")-1),TRIM(A446)))</f>
        <v/>
      </c>
      <c r="M446">
        <f>IF(OR(K446="",K446=A446,A446=""),"",K446&amp;"|"&amp;L446)</f>
        <v/>
      </c>
      <c r="N446">
        <f>IF(M446="","",IF(ISNUMBER(B446),B446,IFERROR(_xlfn.NUMBERVALUE(B446,".",","),0)))</f>
        <v/>
      </c>
      <c r="O446">
        <f>IF(M446="","",IF(ISNUMBER(C446),C446,IFERROR(_xlfn.NUMBERVALUE(C446,".",","),0)))</f>
        <v/>
      </c>
    </row>
    <row r="447">
      <c r="K447">
        <f>IF(OR(LEFT(B447,9)="DOANH THU",LEFT(B447,8)="SỐ LƯỢNG"),A447,IF(A447="","",K446))</f>
        <v/>
      </c>
      <c r="L447">
        <f>IF(A447="","",IF(ISNUMBER(--LEFT(A447,FIND(" - ",A447&amp;" - ")-1)),LEFT(A447,FIND(" - ",A447&amp;" - ")-1),TRIM(A447)))</f>
        <v/>
      </c>
      <c r="M447">
        <f>IF(OR(K447="",K447=A447,A447=""),"",K447&amp;"|"&amp;L447)</f>
        <v/>
      </c>
      <c r="N447">
        <f>IF(M447="","",IF(ISNUMBER(B447),B447,IFERROR(_xlfn.NUMBERVALUE(B447,".",","),0)))</f>
        <v/>
      </c>
      <c r="O447">
        <f>IF(M447="","",IF(ISNUMBER(C447),C447,IFERROR(_xlfn.NUMBERVALUE(C447,".",","),0)))</f>
        <v/>
      </c>
    </row>
    <row r="448">
      <c r="K448">
        <f>IF(OR(LEFT(B448,9)="DOANH THU",LEFT(B448,8)="SỐ LƯỢNG"),A448,IF(A448="","",K447))</f>
        <v/>
      </c>
      <c r="L448">
        <f>IF(A448="","",IF(ISNUMBER(--LEFT(A448,FIND(" - ",A448&amp;" - ")-1)),LEFT(A448,FIND(" - ",A448&amp;" - ")-1),TRIM(A448)))</f>
        <v/>
      </c>
      <c r="M448">
        <f>IF(OR(K448="",K448=A448,A448=""),"",K448&amp;"|"&amp;L448)</f>
        <v/>
      </c>
      <c r="N448">
        <f>IF(M448="","",IF(ISNUMBER(B448),B448,IFERROR(_xlfn.NUMBERVALUE(B448,".",","),0)))</f>
        <v/>
      </c>
      <c r="O448">
        <f>IF(M448="","",IF(ISNUMBER(C448),C448,IFERROR(_xlfn.NUMBERVALUE(C448,".",","),0)))</f>
        <v/>
      </c>
    </row>
    <row r="449">
      <c r="K449">
        <f>IF(OR(LEFT(B449,9)="DOANH THU",LEFT(B449,8)="SỐ LƯỢNG"),A449,IF(A449="","",K448))</f>
        <v/>
      </c>
      <c r="L449">
        <f>IF(A449="","",IF(ISNUMBER(--LEFT(A449,FIND(" - ",A449&amp;" - ")-1)),LEFT(A449,FIND(" - ",A449&amp;" - ")-1),TRIM(A449)))</f>
        <v/>
      </c>
      <c r="M449">
        <f>IF(OR(K449="",K449=A449,A449=""),"",K449&amp;"|"&amp;L449)</f>
        <v/>
      </c>
      <c r="N449">
        <f>IF(M449="","",IF(ISNUMBER(B449),B449,IFERROR(_xlfn.NUMBERVALUE(B449,".",","),0)))</f>
        <v/>
      </c>
      <c r="O449">
        <f>IF(M449="","",IF(ISNUMBER(C449),C449,IFERROR(_xlfn.NUMBERVALUE(C449,".",","),0)))</f>
        <v/>
      </c>
    </row>
    <row r="450">
      <c r="K450">
        <f>IF(OR(LEFT(B450,9)="DOANH THU",LEFT(B450,8)="SỐ LƯỢNG"),A450,IF(A450="","",K449))</f>
        <v/>
      </c>
      <c r="L450">
        <f>IF(A450="","",IF(ISNUMBER(--LEFT(A450,FIND(" - ",A450&amp;" - ")-1)),LEFT(A450,FIND(" - ",A450&amp;" - ")-1),TRIM(A450)))</f>
        <v/>
      </c>
      <c r="M450">
        <f>IF(OR(K450="",K450=A450,A450=""),"",K450&amp;"|"&amp;L450)</f>
        <v/>
      </c>
      <c r="N450">
        <f>IF(M450="","",IF(ISNUMBER(B450),B450,IFERROR(_xlfn.NUMBERVALUE(B450,".",","),0)))</f>
        <v/>
      </c>
      <c r="O450">
        <f>IF(M450="","",IF(ISNUMBER(C450),C450,IFERROR(_xlfn.NUMBERVALUE(C450,".",","),0)))</f>
        <v/>
      </c>
    </row>
    <row r="451">
      <c r="K451">
        <f>IF(OR(LEFT(B451,9)="DOANH THU",LEFT(B451,8)="SỐ LƯỢNG"),A451,IF(A451="","",K450))</f>
        <v/>
      </c>
      <c r="L451">
        <f>IF(A451="","",IF(ISNUMBER(--LEFT(A451,FIND(" - ",A451&amp;" - ")-1)),LEFT(A451,FIND(" - ",A451&amp;" - ")-1),TRIM(A451)))</f>
        <v/>
      </c>
      <c r="M451">
        <f>IF(OR(K451="",K451=A451,A451=""),"",K451&amp;"|"&amp;L451)</f>
        <v/>
      </c>
      <c r="N451">
        <f>IF(M451="","",IF(ISNUMBER(B451),B451,IFERROR(_xlfn.NUMBERVALUE(B451,".",","),0)))</f>
        <v/>
      </c>
      <c r="O451">
        <f>IF(M451="","",IF(ISNUMBER(C451),C451,IFERROR(_xlfn.NUMBERVALUE(C451,".",","),0)))</f>
        <v/>
      </c>
    </row>
    <row r="452">
      <c r="K452">
        <f>IF(OR(LEFT(B452,9)="DOANH THU",LEFT(B452,8)="SỐ LƯỢNG"),A452,IF(A452="","",K451))</f>
        <v/>
      </c>
      <c r="L452">
        <f>IF(A452="","",IF(ISNUMBER(--LEFT(A452,FIND(" - ",A452&amp;" - ")-1)),LEFT(A452,FIND(" - ",A452&amp;" - ")-1),TRIM(A452)))</f>
        <v/>
      </c>
      <c r="M452">
        <f>IF(OR(K452="",K452=A452,A452=""),"",K452&amp;"|"&amp;L452)</f>
        <v/>
      </c>
      <c r="N452">
        <f>IF(M452="","",IF(ISNUMBER(B452),B452,IFERROR(_xlfn.NUMBERVALUE(B452,".",","),0)))</f>
        <v/>
      </c>
      <c r="O452">
        <f>IF(M452="","",IF(ISNUMBER(C452),C452,IFERROR(_xlfn.NUMBERVALUE(C452,".",","),0)))</f>
        <v/>
      </c>
    </row>
    <row r="453">
      <c r="K453">
        <f>IF(OR(LEFT(B453,9)="DOANH THU",LEFT(B453,8)="SỐ LƯỢNG"),A453,IF(A453="","",K452))</f>
        <v/>
      </c>
      <c r="L453">
        <f>IF(A453="","",IF(ISNUMBER(--LEFT(A453,FIND(" - ",A453&amp;" - ")-1)),LEFT(A453,FIND(" - ",A453&amp;" - ")-1),TRIM(A453)))</f>
        <v/>
      </c>
      <c r="M453">
        <f>IF(OR(K453="",K453=A453,A453=""),"",K453&amp;"|"&amp;L453)</f>
        <v/>
      </c>
      <c r="N453">
        <f>IF(M453="","",IF(ISNUMBER(B453),B453,IFERROR(_xlfn.NUMBERVALUE(B453,".",","),0)))</f>
        <v/>
      </c>
      <c r="O453">
        <f>IF(M453="","",IF(ISNUMBER(C453),C453,IFERROR(_xlfn.NUMBERVALUE(C453,".",","),0)))</f>
        <v/>
      </c>
    </row>
    <row r="454">
      <c r="K454">
        <f>IF(OR(LEFT(B454,9)="DOANH THU",LEFT(B454,8)="SỐ LƯỢNG"),A454,IF(A454="","",K453))</f>
        <v/>
      </c>
      <c r="L454">
        <f>IF(A454="","",IF(ISNUMBER(--LEFT(A454,FIND(" - ",A454&amp;" - ")-1)),LEFT(A454,FIND(" - ",A454&amp;" - ")-1),TRIM(A454)))</f>
        <v/>
      </c>
      <c r="M454">
        <f>IF(OR(K454="",K454=A454,A454=""),"",K454&amp;"|"&amp;L454)</f>
        <v/>
      </c>
      <c r="N454">
        <f>IF(M454="","",IF(ISNUMBER(B454),B454,IFERROR(_xlfn.NUMBERVALUE(B454,".",","),0)))</f>
        <v/>
      </c>
      <c r="O454">
        <f>IF(M454="","",IF(ISNUMBER(C454),C454,IFERROR(_xlfn.NUMBERVALUE(C454,".",","),0)))</f>
        <v/>
      </c>
    </row>
    <row r="455">
      <c r="K455">
        <f>IF(OR(LEFT(B455,9)="DOANH THU",LEFT(B455,8)="SỐ LƯỢNG"),A455,IF(A455="","",K454))</f>
        <v/>
      </c>
      <c r="L455">
        <f>IF(A455="","",IF(ISNUMBER(--LEFT(A455,FIND(" - ",A455&amp;" - ")-1)),LEFT(A455,FIND(" - ",A455&amp;" - ")-1),TRIM(A455)))</f>
        <v/>
      </c>
      <c r="M455">
        <f>IF(OR(K455="",K455=A455,A455=""),"",K455&amp;"|"&amp;L455)</f>
        <v/>
      </c>
      <c r="N455">
        <f>IF(M455="","",IF(ISNUMBER(B455),B455,IFERROR(_xlfn.NUMBERVALUE(B455,".",","),0)))</f>
        <v/>
      </c>
      <c r="O455">
        <f>IF(M455="","",IF(ISNUMBER(C455),C455,IFERROR(_xlfn.NUMBERVALUE(C455,".",","),0)))</f>
        <v/>
      </c>
    </row>
    <row r="456">
      <c r="K456">
        <f>IF(OR(LEFT(B456,9)="DOANH THU",LEFT(B456,8)="SỐ LƯỢNG"),A456,IF(A456="","",K455))</f>
        <v/>
      </c>
      <c r="L456">
        <f>IF(A456="","",IF(ISNUMBER(--LEFT(A456,FIND(" - ",A456&amp;" - ")-1)),LEFT(A456,FIND(" - ",A456&amp;" - ")-1),TRIM(A456)))</f>
        <v/>
      </c>
      <c r="M456">
        <f>IF(OR(K456="",K456=A456,A456=""),"",K456&amp;"|"&amp;L456)</f>
        <v/>
      </c>
      <c r="N456">
        <f>IF(M456="","",IF(ISNUMBER(B456),B456,IFERROR(_xlfn.NUMBERVALUE(B456,".",","),0)))</f>
        <v/>
      </c>
      <c r="O456">
        <f>IF(M456="","",IF(ISNUMBER(C456),C456,IFERROR(_xlfn.NUMBERVALUE(C456,".",","),0)))</f>
        <v/>
      </c>
    </row>
    <row r="457">
      <c r="K457">
        <f>IF(OR(LEFT(B457,9)="DOANH THU",LEFT(B457,8)="SỐ LƯỢNG"),A457,IF(A457="","",K456))</f>
        <v/>
      </c>
      <c r="L457">
        <f>IF(A457="","",IF(ISNUMBER(--LEFT(A457,FIND(" - ",A457&amp;" - ")-1)),LEFT(A457,FIND(" - ",A457&amp;" - ")-1),TRIM(A457)))</f>
        <v/>
      </c>
      <c r="M457">
        <f>IF(OR(K457="",K457=A457,A457=""),"",K457&amp;"|"&amp;L457)</f>
        <v/>
      </c>
      <c r="N457">
        <f>IF(M457="","",IF(ISNUMBER(B457),B457,IFERROR(_xlfn.NUMBERVALUE(B457,".",","),0)))</f>
        <v/>
      </c>
      <c r="O457">
        <f>IF(M457="","",IF(ISNUMBER(C457),C457,IFERROR(_xlfn.NUMBERVALUE(C457,".",","),0)))</f>
        <v/>
      </c>
    </row>
    <row r="458">
      <c r="K458">
        <f>IF(OR(LEFT(B458,9)="DOANH THU",LEFT(B458,8)="SỐ LƯỢNG"),A458,IF(A458="","",K457))</f>
        <v/>
      </c>
      <c r="L458">
        <f>IF(A458="","",IF(ISNUMBER(--LEFT(A458,FIND(" - ",A458&amp;" - ")-1)),LEFT(A458,FIND(" - ",A458&amp;" - ")-1),TRIM(A458)))</f>
        <v/>
      </c>
      <c r="M458">
        <f>IF(OR(K458="",K458=A458,A458=""),"",K458&amp;"|"&amp;L458)</f>
        <v/>
      </c>
      <c r="N458">
        <f>IF(M458="","",IF(ISNUMBER(B458),B458,IFERROR(_xlfn.NUMBERVALUE(B458,".",","),0)))</f>
        <v/>
      </c>
      <c r="O458">
        <f>IF(M458="","",IF(ISNUMBER(C458),C458,IFERROR(_xlfn.NUMBERVALUE(C458,".",","),0)))</f>
        <v/>
      </c>
    </row>
    <row r="459">
      <c r="K459">
        <f>IF(OR(LEFT(B459,9)="DOANH THU",LEFT(B459,8)="SỐ LƯỢNG"),A459,IF(A459="","",K458))</f>
        <v/>
      </c>
      <c r="L459">
        <f>IF(A459="","",IF(ISNUMBER(--LEFT(A459,FIND(" - ",A459&amp;" - ")-1)),LEFT(A459,FIND(" - ",A459&amp;" - ")-1),TRIM(A459)))</f>
        <v/>
      </c>
      <c r="M459">
        <f>IF(OR(K459="",K459=A459,A459=""),"",K459&amp;"|"&amp;L459)</f>
        <v/>
      </c>
      <c r="N459">
        <f>IF(M459="","",IF(ISNUMBER(B459),B459,IFERROR(_xlfn.NUMBERVALUE(B459,".",","),0)))</f>
        <v/>
      </c>
      <c r="O459">
        <f>IF(M459="","",IF(ISNUMBER(C459),C459,IFERROR(_xlfn.NUMBERVALUE(C459,".",","),0)))</f>
        <v/>
      </c>
    </row>
    <row r="460">
      <c r="K460">
        <f>IF(OR(LEFT(B460,9)="DOANH THU",LEFT(B460,8)="SỐ LƯỢNG"),A460,IF(A460="","",K459))</f>
        <v/>
      </c>
      <c r="L460">
        <f>IF(A460="","",IF(ISNUMBER(--LEFT(A460,FIND(" - ",A460&amp;" - ")-1)),LEFT(A460,FIND(" - ",A460&amp;" - ")-1),TRIM(A460)))</f>
        <v/>
      </c>
      <c r="M460">
        <f>IF(OR(K460="",K460=A460,A460=""),"",K460&amp;"|"&amp;L460)</f>
        <v/>
      </c>
      <c r="N460">
        <f>IF(M460="","",IF(ISNUMBER(B460),B460,IFERROR(_xlfn.NUMBERVALUE(B460,".",","),0)))</f>
        <v/>
      </c>
      <c r="O460">
        <f>IF(M460="","",IF(ISNUMBER(C460),C460,IFERROR(_xlfn.NUMBERVALUE(C460,".",","),0)))</f>
        <v/>
      </c>
    </row>
    <row r="461">
      <c r="K461">
        <f>IF(OR(LEFT(B461,9)="DOANH THU",LEFT(B461,8)="SỐ LƯỢNG"),A461,IF(A461="","",K460))</f>
        <v/>
      </c>
      <c r="L461">
        <f>IF(A461="","",IF(ISNUMBER(--LEFT(A461,FIND(" - ",A461&amp;" - ")-1)),LEFT(A461,FIND(" - ",A461&amp;" - ")-1),TRIM(A461)))</f>
        <v/>
      </c>
      <c r="M461">
        <f>IF(OR(K461="",K461=A461,A461=""),"",K461&amp;"|"&amp;L461)</f>
        <v/>
      </c>
      <c r="N461">
        <f>IF(M461="","",IF(ISNUMBER(B461),B461,IFERROR(_xlfn.NUMBERVALUE(B461,".",","),0)))</f>
        <v/>
      </c>
      <c r="O461">
        <f>IF(M461="","",IF(ISNUMBER(C461),C461,IFERROR(_xlfn.NUMBERVALUE(C461,".",","),0)))</f>
        <v/>
      </c>
    </row>
    <row r="462">
      <c r="K462">
        <f>IF(OR(LEFT(B462,9)="DOANH THU",LEFT(B462,8)="SỐ LƯỢNG"),A462,IF(A462="","",K461))</f>
        <v/>
      </c>
      <c r="L462">
        <f>IF(A462="","",IF(ISNUMBER(--LEFT(A462,FIND(" - ",A462&amp;" - ")-1)),LEFT(A462,FIND(" - ",A462&amp;" - ")-1),TRIM(A462)))</f>
        <v/>
      </c>
      <c r="M462">
        <f>IF(OR(K462="",K462=A462,A462=""),"",K462&amp;"|"&amp;L462)</f>
        <v/>
      </c>
      <c r="N462">
        <f>IF(M462="","",IF(ISNUMBER(B462),B462,IFERROR(_xlfn.NUMBERVALUE(B462,".",","),0)))</f>
        <v/>
      </c>
      <c r="O462">
        <f>IF(M462="","",IF(ISNUMBER(C462),C462,IFERROR(_xlfn.NUMBERVALUE(C462,".",","),0)))</f>
        <v/>
      </c>
    </row>
    <row r="463">
      <c r="K463">
        <f>IF(OR(LEFT(B463,9)="DOANH THU",LEFT(B463,8)="SỐ LƯỢNG"),A463,IF(A463="","",K462))</f>
        <v/>
      </c>
      <c r="L463">
        <f>IF(A463="","",IF(ISNUMBER(--LEFT(A463,FIND(" - ",A463&amp;" - ")-1)),LEFT(A463,FIND(" - ",A463&amp;" - ")-1),TRIM(A463)))</f>
        <v/>
      </c>
      <c r="M463">
        <f>IF(OR(K463="",K463=A463,A463=""),"",K463&amp;"|"&amp;L463)</f>
        <v/>
      </c>
      <c r="N463">
        <f>IF(M463="","",IF(ISNUMBER(B463),B463,IFERROR(_xlfn.NUMBERVALUE(B463,".",","),0)))</f>
        <v/>
      </c>
      <c r="O463">
        <f>IF(M463="","",IF(ISNUMBER(C463),C463,IFERROR(_xlfn.NUMBERVALUE(C463,".",","),0)))</f>
        <v/>
      </c>
    </row>
    <row r="464">
      <c r="K464">
        <f>IF(OR(LEFT(B464,9)="DOANH THU",LEFT(B464,8)="SỐ LƯỢNG"),A464,IF(A464="","",K463))</f>
        <v/>
      </c>
      <c r="L464">
        <f>IF(A464="","",IF(ISNUMBER(--LEFT(A464,FIND(" - ",A464&amp;" - ")-1)),LEFT(A464,FIND(" - ",A464&amp;" - ")-1),TRIM(A464)))</f>
        <v/>
      </c>
      <c r="M464">
        <f>IF(OR(K464="",K464=A464,A464=""),"",K464&amp;"|"&amp;L464)</f>
        <v/>
      </c>
      <c r="N464">
        <f>IF(M464="","",IF(ISNUMBER(B464),B464,IFERROR(_xlfn.NUMBERVALUE(B464,".",","),0)))</f>
        <v/>
      </c>
      <c r="O464">
        <f>IF(M464="","",IF(ISNUMBER(C464),C464,IFERROR(_xlfn.NUMBERVALUE(C464,".",","),0)))</f>
        <v/>
      </c>
    </row>
    <row r="465">
      <c r="K465">
        <f>IF(OR(LEFT(B465,9)="DOANH THU",LEFT(B465,8)="SỐ LƯỢNG"),A465,IF(A465="","",K464))</f>
        <v/>
      </c>
      <c r="L465">
        <f>IF(A465="","",IF(ISNUMBER(--LEFT(A465,FIND(" - ",A465&amp;" - ")-1)),LEFT(A465,FIND(" - ",A465&amp;" - ")-1),TRIM(A465)))</f>
        <v/>
      </c>
      <c r="M465">
        <f>IF(OR(K465="",K465=A465,A465=""),"",K465&amp;"|"&amp;L465)</f>
        <v/>
      </c>
      <c r="N465">
        <f>IF(M465="","",IF(ISNUMBER(B465),B465,IFERROR(_xlfn.NUMBERVALUE(B465,".",","),0)))</f>
        <v/>
      </c>
      <c r="O465">
        <f>IF(M465="","",IF(ISNUMBER(C465),C465,IFERROR(_xlfn.NUMBERVALUE(C465,".",","),0)))</f>
        <v/>
      </c>
    </row>
    <row r="466">
      <c r="K466">
        <f>IF(OR(LEFT(B466,9)="DOANH THU",LEFT(B466,8)="SỐ LƯỢNG"),A466,IF(A466="","",K465))</f>
        <v/>
      </c>
      <c r="L466">
        <f>IF(A466="","",IF(ISNUMBER(--LEFT(A466,FIND(" - ",A466&amp;" - ")-1)),LEFT(A466,FIND(" - ",A466&amp;" - ")-1),TRIM(A466)))</f>
        <v/>
      </c>
      <c r="M466">
        <f>IF(OR(K466="",K466=A466,A466=""),"",K466&amp;"|"&amp;L466)</f>
        <v/>
      </c>
      <c r="N466">
        <f>IF(M466="","",IF(ISNUMBER(B466),B466,IFERROR(_xlfn.NUMBERVALUE(B466,".",","),0)))</f>
        <v/>
      </c>
      <c r="O466">
        <f>IF(M466="","",IF(ISNUMBER(C466),C466,IFERROR(_xlfn.NUMBERVALUE(C466,".",","),0)))</f>
        <v/>
      </c>
    </row>
    <row r="467">
      <c r="K467">
        <f>IF(OR(LEFT(B467,9)="DOANH THU",LEFT(B467,8)="SỐ LƯỢNG"),A467,IF(A467="","",K466))</f>
        <v/>
      </c>
      <c r="L467">
        <f>IF(A467="","",IF(ISNUMBER(--LEFT(A467,FIND(" - ",A467&amp;" - ")-1)),LEFT(A467,FIND(" - ",A467&amp;" - ")-1),TRIM(A467)))</f>
        <v/>
      </c>
      <c r="M467">
        <f>IF(OR(K467="",K467=A467,A467=""),"",K467&amp;"|"&amp;L467)</f>
        <v/>
      </c>
      <c r="N467">
        <f>IF(M467="","",IF(ISNUMBER(B467),B467,IFERROR(_xlfn.NUMBERVALUE(B467,".",","),0)))</f>
        <v/>
      </c>
      <c r="O467">
        <f>IF(M467="","",IF(ISNUMBER(C467),C467,IFERROR(_xlfn.NUMBERVALUE(C467,".",","),0)))</f>
        <v/>
      </c>
    </row>
    <row r="468">
      <c r="K468">
        <f>IF(OR(LEFT(B468,9)="DOANH THU",LEFT(B468,8)="SỐ LƯỢNG"),A468,IF(A468="","",K467))</f>
        <v/>
      </c>
      <c r="L468">
        <f>IF(A468="","",IF(ISNUMBER(--LEFT(A468,FIND(" - ",A468&amp;" - ")-1)),LEFT(A468,FIND(" - ",A468&amp;" - ")-1),TRIM(A468)))</f>
        <v/>
      </c>
      <c r="M468">
        <f>IF(OR(K468="",K468=A468,A468=""),"",K468&amp;"|"&amp;L468)</f>
        <v/>
      </c>
      <c r="N468">
        <f>IF(M468="","",IF(ISNUMBER(B468),B468,IFERROR(_xlfn.NUMBERVALUE(B468,".",","),0)))</f>
        <v/>
      </c>
      <c r="O468">
        <f>IF(M468="","",IF(ISNUMBER(C468),C468,IFERROR(_xlfn.NUMBERVALUE(C468,".",","),0)))</f>
        <v/>
      </c>
    </row>
    <row r="469">
      <c r="K469">
        <f>IF(OR(LEFT(B469,9)="DOANH THU",LEFT(B469,8)="SỐ LƯỢNG"),A469,IF(A469="","",K468))</f>
        <v/>
      </c>
      <c r="L469">
        <f>IF(A469="","",IF(ISNUMBER(--LEFT(A469,FIND(" - ",A469&amp;" - ")-1)),LEFT(A469,FIND(" - ",A469&amp;" - ")-1),TRIM(A469)))</f>
        <v/>
      </c>
      <c r="M469">
        <f>IF(OR(K469="",K469=A469,A469=""),"",K469&amp;"|"&amp;L469)</f>
        <v/>
      </c>
      <c r="N469">
        <f>IF(M469="","",IF(ISNUMBER(B469),B469,IFERROR(_xlfn.NUMBERVALUE(B469,".",","),0)))</f>
        <v/>
      </c>
      <c r="O469">
        <f>IF(M469="","",IF(ISNUMBER(C469),C469,IFERROR(_xlfn.NUMBERVALUE(C469,".",","),0)))</f>
        <v/>
      </c>
    </row>
    <row r="470">
      <c r="K470">
        <f>IF(OR(LEFT(B470,9)="DOANH THU",LEFT(B470,8)="SỐ LƯỢNG"),A470,IF(A470="","",K469))</f>
        <v/>
      </c>
      <c r="L470">
        <f>IF(A470="","",IF(ISNUMBER(--LEFT(A470,FIND(" - ",A470&amp;" - ")-1)),LEFT(A470,FIND(" - ",A470&amp;" - ")-1),TRIM(A470)))</f>
        <v/>
      </c>
      <c r="M470">
        <f>IF(OR(K470="",K470=A470,A470=""),"",K470&amp;"|"&amp;L470)</f>
        <v/>
      </c>
      <c r="N470">
        <f>IF(M470="","",IF(ISNUMBER(B470),B470,IFERROR(_xlfn.NUMBERVALUE(B470,".",","),0)))</f>
        <v/>
      </c>
      <c r="O470">
        <f>IF(M470="","",IF(ISNUMBER(C470),C470,IFERROR(_xlfn.NUMBERVALUE(C470,".",","),0)))</f>
        <v/>
      </c>
    </row>
    <row r="471">
      <c r="K471">
        <f>IF(OR(LEFT(B471,9)="DOANH THU",LEFT(B471,8)="SỐ LƯỢNG"),A471,IF(A471="","",K470))</f>
        <v/>
      </c>
      <c r="L471">
        <f>IF(A471="","",IF(ISNUMBER(--LEFT(A471,FIND(" - ",A471&amp;" - ")-1)),LEFT(A471,FIND(" - ",A471&amp;" - ")-1),TRIM(A471)))</f>
        <v/>
      </c>
      <c r="M471">
        <f>IF(OR(K471="",K471=A471,A471=""),"",K471&amp;"|"&amp;L471)</f>
        <v/>
      </c>
      <c r="N471">
        <f>IF(M471="","",IF(ISNUMBER(B471),B471,IFERROR(_xlfn.NUMBERVALUE(B471,".",","),0)))</f>
        <v/>
      </c>
      <c r="O471">
        <f>IF(M471="","",IF(ISNUMBER(C471),C471,IFERROR(_xlfn.NUMBERVALUE(C471,".",","),0)))</f>
        <v/>
      </c>
    </row>
    <row r="472">
      <c r="K472">
        <f>IF(OR(LEFT(B472,9)="DOANH THU",LEFT(B472,8)="SỐ LƯỢNG"),A472,IF(A472="","",K471))</f>
        <v/>
      </c>
      <c r="L472">
        <f>IF(A472="","",IF(ISNUMBER(--LEFT(A472,FIND(" - ",A472&amp;" - ")-1)),LEFT(A472,FIND(" - ",A472&amp;" - ")-1),TRIM(A472)))</f>
        <v/>
      </c>
      <c r="M472">
        <f>IF(OR(K472="",K472=A472,A472=""),"",K472&amp;"|"&amp;L472)</f>
        <v/>
      </c>
      <c r="N472">
        <f>IF(M472="","",IF(ISNUMBER(B472),B472,IFERROR(_xlfn.NUMBERVALUE(B472,".",","),0)))</f>
        <v/>
      </c>
      <c r="O472">
        <f>IF(M472="","",IF(ISNUMBER(C472),C472,IFERROR(_xlfn.NUMBERVALUE(C472,".",","),0)))</f>
        <v/>
      </c>
    </row>
    <row r="473">
      <c r="K473">
        <f>IF(OR(LEFT(B473,9)="DOANH THU",LEFT(B473,8)="SỐ LƯỢNG"),A473,IF(A473="","",K472))</f>
        <v/>
      </c>
      <c r="L473">
        <f>IF(A473="","",IF(ISNUMBER(--LEFT(A473,FIND(" - ",A473&amp;" - ")-1)),LEFT(A473,FIND(" - ",A473&amp;" - ")-1),TRIM(A473)))</f>
        <v/>
      </c>
      <c r="M473">
        <f>IF(OR(K473="",K473=A473,A473=""),"",K473&amp;"|"&amp;L473)</f>
        <v/>
      </c>
      <c r="N473">
        <f>IF(M473="","",IF(ISNUMBER(B473),B473,IFERROR(_xlfn.NUMBERVALUE(B473,".",","),0)))</f>
        <v/>
      </c>
      <c r="O473">
        <f>IF(M473="","",IF(ISNUMBER(C473),C473,IFERROR(_xlfn.NUMBERVALUE(C473,".",","),0)))</f>
        <v/>
      </c>
    </row>
    <row r="474">
      <c r="K474">
        <f>IF(OR(LEFT(B474,9)="DOANH THU",LEFT(B474,8)="SỐ LƯỢNG"),A474,IF(A474="","",K473))</f>
        <v/>
      </c>
      <c r="L474">
        <f>IF(A474="","",IF(ISNUMBER(--LEFT(A474,FIND(" - ",A474&amp;" - ")-1)),LEFT(A474,FIND(" - ",A474&amp;" - ")-1),TRIM(A474)))</f>
        <v/>
      </c>
      <c r="M474">
        <f>IF(OR(K474="",K474=A474,A474=""),"",K474&amp;"|"&amp;L474)</f>
        <v/>
      </c>
      <c r="N474">
        <f>IF(M474="","",IF(ISNUMBER(B474),B474,IFERROR(_xlfn.NUMBERVALUE(B474,".",","),0)))</f>
        <v/>
      </c>
      <c r="O474">
        <f>IF(M474="","",IF(ISNUMBER(C474),C474,IFERROR(_xlfn.NUMBERVALUE(C474,".",","),0)))</f>
        <v/>
      </c>
    </row>
    <row r="475">
      <c r="K475">
        <f>IF(OR(LEFT(B475,9)="DOANH THU",LEFT(B475,8)="SỐ LƯỢNG"),A475,IF(A475="","",K474))</f>
        <v/>
      </c>
      <c r="L475">
        <f>IF(A475="","",IF(ISNUMBER(--LEFT(A475,FIND(" - ",A475&amp;" - ")-1)),LEFT(A475,FIND(" - ",A475&amp;" - ")-1),TRIM(A475)))</f>
        <v/>
      </c>
      <c r="M475">
        <f>IF(OR(K475="",K475=A475,A475=""),"",K475&amp;"|"&amp;L475)</f>
        <v/>
      </c>
      <c r="N475">
        <f>IF(M475="","",IF(ISNUMBER(B475),B475,IFERROR(_xlfn.NUMBERVALUE(B475,".",","),0)))</f>
        <v/>
      </c>
      <c r="O475">
        <f>IF(M475="","",IF(ISNUMBER(C475),C475,IFERROR(_xlfn.NUMBERVALUE(C475,".",","),0)))</f>
        <v/>
      </c>
    </row>
    <row r="476">
      <c r="K476">
        <f>IF(OR(LEFT(B476,9)="DOANH THU",LEFT(B476,8)="SỐ LƯỢNG"),A476,IF(A476="","",K475))</f>
        <v/>
      </c>
      <c r="L476">
        <f>IF(A476="","",IF(ISNUMBER(--LEFT(A476,FIND(" - ",A476&amp;" - ")-1)),LEFT(A476,FIND(" - ",A476&amp;" - ")-1),TRIM(A476)))</f>
        <v/>
      </c>
      <c r="M476">
        <f>IF(OR(K476="",K476=A476,A476=""),"",K476&amp;"|"&amp;L476)</f>
        <v/>
      </c>
      <c r="N476">
        <f>IF(M476="","",IF(ISNUMBER(B476),B476,IFERROR(_xlfn.NUMBERVALUE(B476,".",","),0)))</f>
        <v/>
      </c>
      <c r="O476">
        <f>IF(M476="","",IF(ISNUMBER(C476),C476,IFERROR(_xlfn.NUMBERVALUE(C476,".",","),0)))</f>
        <v/>
      </c>
    </row>
    <row r="477">
      <c r="K477">
        <f>IF(OR(LEFT(B477,9)="DOANH THU",LEFT(B477,8)="SỐ LƯỢNG"),A477,IF(A477="","",K476))</f>
        <v/>
      </c>
      <c r="L477">
        <f>IF(A477="","",IF(ISNUMBER(--LEFT(A477,FIND(" - ",A477&amp;" - ")-1)),LEFT(A477,FIND(" - ",A477&amp;" - ")-1),TRIM(A477)))</f>
        <v/>
      </c>
      <c r="M477">
        <f>IF(OR(K477="",K477=A477,A477=""),"",K477&amp;"|"&amp;L477)</f>
        <v/>
      </c>
      <c r="N477">
        <f>IF(M477="","",IF(ISNUMBER(B477),B477,IFERROR(_xlfn.NUMBERVALUE(B477,".",","),0)))</f>
        <v/>
      </c>
      <c r="O477">
        <f>IF(M477="","",IF(ISNUMBER(C477),C477,IFERROR(_xlfn.NUMBERVALUE(C477,".",","),0)))</f>
        <v/>
      </c>
    </row>
    <row r="478">
      <c r="K478">
        <f>IF(OR(LEFT(B478,9)="DOANH THU",LEFT(B478,8)="SỐ LƯỢNG"),A478,IF(A478="","",K477))</f>
        <v/>
      </c>
      <c r="L478">
        <f>IF(A478="","",IF(ISNUMBER(--LEFT(A478,FIND(" - ",A478&amp;" - ")-1)),LEFT(A478,FIND(" - ",A478&amp;" - ")-1),TRIM(A478)))</f>
        <v/>
      </c>
      <c r="M478">
        <f>IF(OR(K478="",K478=A478,A478=""),"",K478&amp;"|"&amp;L478)</f>
        <v/>
      </c>
      <c r="N478">
        <f>IF(M478="","",IF(ISNUMBER(B478),B478,IFERROR(_xlfn.NUMBERVALUE(B478,".",","),0)))</f>
        <v/>
      </c>
      <c r="O478">
        <f>IF(M478="","",IF(ISNUMBER(C478),C478,IFERROR(_xlfn.NUMBERVALUE(C478,".",","),0)))</f>
        <v/>
      </c>
    </row>
    <row r="479">
      <c r="K479">
        <f>IF(OR(LEFT(B479,9)="DOANH THU",LEFT(B479,8)="SỐ LƯỢNG"),A479,IF(A479="","",K478))</f>
        <v/>
      </c>
      <c r="L479">
        <f>IF(A479="","",IF(ISNUMBER(--LEFT(A479,FIND(" - ",A479&amp;" - ")-1)),LEFT(A479,FIND(" - ",A479&amp;" - ")-1),TRIM(A479)))</f>
        <v/>
      </c>
      <c r="M479">
        <f>IF(OR(K479="",K479=A479,A479=""),"",K479&amp;"|"&amp;L479)</f>
        <v/>
      </c>
      <c r="N479">
        <f>IF(M479="","",IF(ISNUMBER(B479),B479,IFERROR(_xlfn.NUMBERVALUE(B479,".",","),0)))</f>
        <v/>
      </c>
      <c r="O479">
        <f>IF(M479="","",IF(ISNUMBER(C479),C479,IFERROR(_xlfn.NUMBERVALUE(C479,".",","),0)))</f>
        <v/>
      </c>
    </row>
    <row r="480">
      <c r="K480">
        <f>IF(OR(LEFT(B480,9)="DOANH THU",LEFT(B480,8)="SỐ LƯỢNG"),A480,IF(A480="","",K479))</f>
        <v/>
      </c>
      <c r="L480">
        <f>IF(A480="","",IF(ISNUMBER(--LEFT(A480,FIND(" - ",A480&amp;" - ")-1)),LEFT(A480,FIND(" - ",A480&amp;" - ")-1),TRIM(A480)))</f>
        <v/>
      </c>
      <c r="M480">
        <f>IF(OR(K480="",K480=A480,A480=""),"",K480&amp;"|"&amp;L480)</f>
        <v/>
      </c>
      <c r="N480">
        <f>IF(M480="","",IF(ISNUMBER(B480),B480,IFERROR(_xlfn.NUMBERVALUE(B480,".",","),0)))</f>
        <v/>
      </c>
      <c r="O480">
        <f>IF(M480="","",IF(ISNUMBER(C480),C480,IFERROR(_xlfn.NUMBERVALUE(C480,".",","),0)))</f>
        <v/>
      </c>
    </row>
    <row r="481">
      <c r="K481">
        <f>IF(OR(LEFT(B481,9)="DOANH THU",LEFT(B481,8)="SỐ LƯỢNG"),A481,IF(A481="","",K480))</f>
        <v/>
      </c>
      <c r="L481">
        <f>IF(A481="","",IF(ISNUMBER(--LEFT(A481,FIND(" - ",A481&amp;" - ")-1)),LEFT(A481,FIND(" - ",A481&amp;" - ")-1),TRIM(A481)))</f>
        <v/>
      </c>
      <c r="M481">
        <f>IF(OR(K481="",K481=A481,A481=""),"",K481&amp;"|"&amp;L481)</f>
        <v/>
      </c>
      <c r="N481">
        <f>IF(M481="","",IF(ISNUMBER(B481),B481,IFERROR(_xlfn.NUMBERVALUE(B481,".",","),0)))</f>
        <v/>
      </c>
      <c r="O481">
        <f>IF(M481="","",IF(ISNUMBER(C481),C481,IFERROR(_xlfn.NUMBERVALUE(C481,".",","),0)))</f>
        <v/>
      </c>
    </row>
    <row r="482">
      <c r="K482">
        <f>IF(OR(LEFT(B482,9)="DOANH THU",LEFT(B482,8)="SỐ LƯỢNG"),A482,IF(A482="","",K481))</f>
        <v/>
      </c>
      <c r="L482">
        <f>IF(A482="","",IF(ISNUMBER(--LEFT(A482,FIND(" - ",A482&amp;" - ")-1)),LEFT(A482,FIND(" - ",A482&amp;" - ")-1),TRIM(A482)))</f>
        <v/>
      </c>
      <c r="M482">
        <f>IF(OR(K482="",K482=A482,A482=""),"",K482&amp;"|"&amp;L482)</f>
        <v/>
      </c>
      <c r="N482">
        <f>IF(M482="","",IF(ISNUMBER(B482),B482,IFERROR(_xlfn.NUMBERVALUE(B482,".",","),0)))</f>
        <v/>
      </c>
      <c r="O482">
        <f>IF(M482="","",IF(ISNUMBER(C482),C482,IFERROR(_xlfn.NUMBERVALUE(C482,".",","),0)))</f>
        <v/>
      </c>
    </row>
    <row r="483">
      <c r="K483">
        <f>IF(OR(LEFT(B483,9)="DOANH THU",LEFT(B483,8)="SỐ LƯỢNG"),A483,IF(A483="","",K482))</f>
        <v/>
      </c>
      <c r="L483">
        <f>IF(A483="","",IF(ISNUMBER(--LEFT(A483,FIND(" - ",A483&amp;" - ")-1)),LEFT(A483,FIND(" - ",A483&amp;" - ")-1),TRIM(A483)))</f>
        <v/>
      </c>
      <c r="M483">
        <f>IF(OR(K483="",K483=A483,A483=""),"",K483&amp;"|"&amp;L483)</f>
        <v/>
      </c>
      <c r="N483">
        <f>IF(M483="","",IF(ISNUMBER(B483),B483,IFERROR(_xlfn.NUMBERVALUE(B483,".",","),0)))</f>
        <v/>
      </c>
      <c r="O483">
        <f>IF(M483="","",IF(ISNUMBER(C483),C483,IFERROR(_xlfn.NUMBERVALUE(C483,".",","),0)))</f>
        <v/>
      </c>
    </row>
    <row r="484">
      <c r="K484">
        <f>IF(OR(LEFT(B484,9)="DOANH THU",LEFT(B484,8)="SỐ LƯỢNG"),A484,IF(A484="","",K483))</f>
        <v/>
      </c>
      <c r="L484">
        <f>IF(A484="","",IF(ISNUMBER(--LEFT(A484,FIND(" - ",A484&amp;" - ")-1)),LEFT(A484,FIND(" - ",A484&amp;" - ")-1),TRIM(A484)))</f>
        <v/>
      </c>
      <c r="M484">
        <f>IF(OR(K484="",K484=A484,A484=""),"",K484&amp;"|"&amp;L484)</f>
        <v/>
      </c>
      <c r="N484">
        <f>IF(M484="","",IF(ISNUMBER(B484),B484,IFERROR(_xlfn.NUMBERVALUE(B484,".",","),0)))</f>
        <v/>
      </c>
      <c r="O484">
        <f>IF(M484="","",IF(ISNUMBER(C484),C484,IFERROR(_xlfn.NUMBERVALUE(C484,".",","),0)))</f>
        <v/>
      </c>
    </row>
    <row r="485">
      <c r="K485">
        <f>IF(OR(LEFT(B485,9)="DOANH THU",LEFT(B485,8)="SỐ LƯỢNG"),A485,IF(A485="","",K484))</f>
        <v/>
      </c>
      <c r="L485">
        <f>IF(A485="","",IF(ISNUMBER(--LEFT(A485,FIND(" - ",A485&amp;" - ")-1)),LEFT(A485,FIND(" - ",A485&amp;" - ")-1),TRIM(A485)))</f>
        <v/>
      </c>
      <c r="M485">
        <f>IF(OR(K485="",K485=A485,A485=""),"",K485&amp;"|"&amp;L485)</f>
        <v/>
      </c>
      <c r="N485">
        <f>IF(M485="","",IF(ISNUMBER(B485),B485,IFERROR(_xlfn.NUMBERVALUE(B485,".",","),0)))</f>
        <v/>
      </c>
      <c r="O485">
        <f>IF(M485="","",IF(ISNUMBER(C485),C485,IFERROR(_xlfn.NUMBERVALUE(C485,".",","),0)))</f>
        <v/>
      </c>
    </row>
    <row r="486">
      <c r="K486">
        <f>IF(OR(LEFT(B486,9)="DOANH THU",LEFT(B486,8)="SỐ LƯỢNG"),A486,IF(A486="","",K485))</f>
        <v/>
      </c>
      <c r="L486">
        <f>IF(A486="","",IF(ISNUMBER(--LEFT(A486,FIND(" - ",A486&amp;" - ")-1)),LEFT(A486,FIND(" - ",A486&amp;" - ")-1),TRIM(A486)))</f>
        <v/>
      </c>
      <c r="M486">
        <f>IF(OR(K486="",K486=A486,A486=""),"",K486&amp;"|"&amp;L486)</f>
        <v/>
      </c>
      <c r="N486">
        <f>IF(M486="","",IF(ISNUMBER(B486),B486,IFERROR(_xlfn.NUMBERVALUE(B486,".",","),0)))</f>
        <v/>
      </c>
      <c r="O486">
        <f>IF(M486="","",IF(ISNUMBER(C486),C486,IFERROR(_xlfn.NUMBERVALUE(C486,".",","),0)))</f>
        <v/>
      </c>
    </row>
    <row r="487">
      <c r="K487">
        <f>IF(OR(LEFT(B487,9)="DOANH THU",LEFT(B487,8)="SỐ LƯỢNG"),A487,IF(A487="","",K486))</f>
        <v/>
      </c>
      <c r="L487">
        <f>IF(A487="","",IF(ISNUMBER(--LEFT(A487,FIND(" - ",A487&amp;" - ")-1)),LEFT(A487,FIND(" - ",A487&amp;" - ")-1),TRIM(A487)))</f>
        <v/>
      </c>
      <c r="M487">
        <f>IF(OR(K487="",K487=A487,A487=""),"",K487&amp;"|"&amp;L487)</f>
        <v/>
      </c>
      <c r="N487">
        <f>IF(M487="","",IF(ISNUMBER(B487),B487,IFERROR(_xlfn.NUMBERVALUE(B487,".",","),0)))</f>
        <v/>
      </c>
      <c r="O487">
        <f>IF(M487="","",IF(ISNUMBER(C487),C487,IFERROR(_xlfn.NUMBERVALUE(C487,".",","),0)))</f>
        <v/>
      </c>
    </row>
    <row r="488">
      <c r="K488">
        <f>IF(OR(LEFT(B488,9)="DOANH THU",LEFT(B488,8)="SỐ LƯỢNG"),A488,IF(A488="","",K487))</f>
        <v/>
      </c>
      <c r="L488">
        <f>IF(A488="","",IF(ISNUMBER(--LEFT(A488,FIND(" - ",A488&amp;" - ")-1)),LEFT(A488,FIND(" - ",A488&amp;" - ")-1),TRIM(A488)))</f>
        <v/>
      </c>
      <c r="M488">
        <f>IF(OR(K488="",K488=A488,A488=""),"",K488&amp;"|"&amp;L488)</f>
        <v/>
      </c>
      <c r="N488">
        <f>IF(M488="","",IF(ISNUMBER(B488),B488,IFERROR(_xlfn.NUMBERVALUE(B488,".",","),0)))</f>
        <v/>
      </c>
      <c r="O488">
        <f>IF(M488="","",IF(ISNUMBER(C488),C488,IFERROR(_xlfn.NUMBERVALUE(C488,".",","),0)))</f>
        <v/>
      </c>
    </row>
    <row r="489">
      <c r="K489">
        <f>IF(OR(LEFT(B489,9)="DOANH THU",LEFT(B489,8)="SỐ LƯỢNG"),A489,IF(A489="","",K488))</f>
        <v/>
      </c>
      <c r="L489">
        <f>IF(A489="","",IF(ISNUMBER(--LEFT(A489,FIND(" - ",A489&amp;" - ")-1)),LEFT(A489,FIND(" - ",A489&amp;" - ")-1),TRIM(A489)))</f>
        <v/>
      </c>
      <c r="M489">
        <f>IF(OR(K489="",K489=A489,A489=""),"",K489&amp;"|"&amp;L489)</f>
        <v/>
      </c>
      <c r="N489">
        <f>IF(M489="","",IF(ISNUMBER(B489),B489,IFERROR(_xlfn.NUMBERVALUE(B489,".",","),0)))</f>
        <v/>
      </c>
      <c r="O489">
        <f>IF(M489="","",IF(ISNUMBER(C489),C489,IFERROR(_xlfn.NUMBERVALUE(C489,".",","),0)))</f>
        <v/>
      </c>
    </row>
    <row r="490">
      <c r="K490">
        <f>IF(OR(LEFT(B490,9)="DOANH THU",LEFT(B490,8)="SỐ LƯỢNG"),A490,IF(A490="","",K489))</f>
        <v/>
      </c>
      <c r="L490">
        <f>IF(A490="","",IF(ISNUMBER(--LEFT(A490,FIND(" - ",A490&amp;" - ")-1)),LEFT(A490,FIND(" - ",A490&amp;" - ")-1),TRIM(A490)))</f>
        <v/>
      </c>
      <c r="M490">
        <f>IF(OR(K490="",K490=A490,A490=""),"",K490&amp;"|"&amp;L490)</f>
        <v/>
      </c>
      <c r="N490">
        <f>IF(M490="","",IF(ISNUMBER(B490),B490,IFERROR(_xlfn.NUMBERVALUE(B490,".",","),0)))</f>
        <v/>
      </c>
      <c r="O490">
        <f>IF(M490="","",IF(ISNUMBER(C490),C490,IFERROR(_xlfn.NUMBERVALUE(C490,".",","),0)))</f>
        <v/>
      </c>
    </row>
    <row r="491">
      <c r="K491">
        <f>IF(OR(LEFT(B491,9)="DOANH THU",LEFT(B491,8)="SỐ LƯỢNG"),A491,IF(A491="","",K490))</f>
        <v/>
      </c>
      <c r="L491">
        <f>IF(A491="","",IF(ISNUMBER(--LEFT(A491,FIND(" - ",A491&amp;" - ")-1)),LEFT(A491,FIND(" - ",A491&amp;" - ")-1),TRIM(A491)))</f>
        <v/>
      </c>
      <c r="M491">
        <f>IF(OR(K491="",K491=A491,A491=""),"",K491&amp;"|"&amp;L491)</f>
        <v/>
      </c>
      <c r="N491">
        <f>IF(M491="","",IF(ISNUMBER(B491),B491,IFERROR(_xlfn.NUMBERVALUE(B491,".",","),0)))</f>
        <v/>
      </c>
      <c r="O491">
        <f>IF(M491="","",IF(ISNUMBER(C491),C491,IFERROR(_xlfn.NUMBERVALUE(C491,".",","),0)))</f>
        <v/>
      </c>
    </row>
    <row r="492">
      <c r="K492">
        <f>IF(OR(LEFT(B492,9)="DOANH THU",LEFT(B492,8)="SỐ LƯỢNG"),A492,IF(A492="","",K491))</f>
        <v/>
      </c>
      <c r="L492">
        <f>IF(A492="","",IF(ISNUMBER(--LEFT(A492,FIND(" - ",A492&amp;" - ")-1)),LEFT(A492,FIND(" - ",A492&amp;" - ")-1),TRIM(A492)))</f>
        <v/>
      </c>
      <c r="M492">
        <f>IF(OR(K492="",K492=A492,A492=""),"",K492&amp;"|"&amp;L492)</f>
        <v/>
      </c>
      <c r="N492">
        <f>IF(M492="","",IF(ISNUMBER(B492),B492,IFERROR(_xlfn.NUMBERVALUE(B492,".",","),0)))</f>
        <v/>
      </c>
      <c r="O492">
        <f>IF(M492="","",IF(ISNUMBER(C492),C492,IFERROR(_xlfn.NUMBERVALUE(C492,".",","),0)))</f>
        <v/>
      </c>
    </row>
    <row r="493">
      <c r="K493">
        <f>IF(OR(LEFT(B493,9)="DOANH THU",LEFT(B493,8)="SỐ LƯỢNG"),A493,IF(A493="","",K492))</f>
        <v/>
      </c>
      <c r="L493">
        <f>IF(A493="","",IF(ISNUMBER(--LEFT(A493,FIND(" - ",A493&amp;" - ")-1)),LEFT(A493,FIND(" - ",A493&amp;" - ")-1),TRIM(A493)))</f>
        <v/>
      </c>
      <c r="M493">
        <f>IF(OR(K493="",K493=A493,A493=""),"",K493&amp;"|"&amp;L493)</f>
        <v/>
      </c>
      <c r="N493">
        <f>IF(M493="","",IF(ISNUMBER(B493),B493,IFERROR(_xlfn.NUMBERVALUE(B493,".",","),0)))</f>
        <v/>
      </c>
      <c r="O493">
        <f>IF(M493="","",IF(ISNUMBER(C493),C493,IFERROR(_xlfn.NUMBERVALUE(C493,".",","),0)))</f>
        <v/>
      </c>
    </row>
    <row r="494">
      <c r="K494">
        <f>IF(OR(LEFT(B494,9)="DOANH THU",LEFT(B494,8)="SỐ LƯỢNG"),A494,IF(A494="","",K493))</f>
        <v/>
      </c>
      <c r="L494">
        <f>IF(A494="","",IF(ISNUMBER(--LEFT(A494,FIND(" - ",A494&amp;" - ")-1)),LEFT(A494,FIND(" - ",A494&amp;" - ")-1),TRIM(A494)))</f>
        <v/>
      </c>
      <c r="M494">
        <f>IF(OR(K494="",K494=A494,A494=""),"",K494&amp;"|"&amp;L494)</f>
        <v/>
      </c>
      <c r="N494">
        <f>IF(M494="","",IF(ISNUMBER(B494),B494,IFERROR(_xlfn.NUMBERVALUE(B494,".",","),0)))</f>
        <v/>
      </c>
      <c r="O494">
        <f>IF(M494="","",IF(ISNUMBER(C494),C494,IFERROR(_xlfn.NUMBERVALUE(C494,".",","),0)))</f>
        <v/>
      </c>
    </row>
    <row r="495">
      <c r="K495">
        <f>IF(OR(LEFT(B495,9)="DOANH THU",LEFT(B495,8)="SỐ LƯỢNG"),A495,IF(A495="","",K494))</f>
        <v/>
      </c>
      <c r="L495">
        <f>IF(A495="","",IF(ISNUMBER(--LEFT(A495,FIND(" - ",A495&amp;" - ")-1)),LEFT(A495,FIND(" - ",A495&amp;" - ")-1),TRIM(A495)))</f>
        <v/>
      </c>
      <c r="M495">
        <f>IF(OR(K495="",K495=A495,A495=""),"",K495&amp;"|"&amp;L495)</f>
        <v/>
      </c>
      <c r="N495">
        <f>IF(M495="","",IF(ISNUMBER(B495),B495,IFERROR(_xlfn.NUMBERVALUE(B495,".",","),0)))</f>
        <v/>
      </c>
      <c r="O495">
        <f>IF(M495="","",IF(ISNUMBER(C495),C495,IFERROR(_xlfn.NUMBERVALUE(C495,".",","),0)))</f>
        <v/>
      </c>
    </row>
    <row r="496">
      <c r="K496">
        <f>IF(OR(LEFT(B496,9)="DOANH THU",LEFT(B496,8)="SỐ LƯỢNG"),A496,IF(A496="","",K495))</f>
        <v/>
      </c>
      <c r="L496">
        <f>IF(A496="","",IF(ISNUMBER(--LEFT(A496,FIND(" - ",A496&amp;" - ")-1)),LEFT(A496,FIND(" - ",A496&amp;" - ")-1),TRIM(A496)))</f>
        <v/>
      </c>
      <c r="M496">
        <f>IF(OR(K496="",K496=A496,A496=""),"",K496&amp;"|"&amp;L496)</f>
        <v/>
      </c>
      <c r="N496">
        <f>IF(M496="","",IF(ISNUMBER(B496),B496,IFERROR(_xlfn.NUMBERVALUE(B496,".",","),0)))</f>
        <v/>
      </c>
      <c r="O496">
        <f>IF(M496="","",IF(ISNUMBER(C496),C496,IFERROR(_xlfn.NUMBERVALUE(C496,".",","),0)))</f>
        <v/>
      </c>
    </row>
    <row r="497">
      <c r="K497">
        <f>IF(OR(LEFT(B497,9)="DOANH THU",LEFT(B497,8)="SỐ LƯỢNG"),A497,IF(A497="","",K496))</f>
        <v/>
      </c>
      <c r="L497">
        <f>IF(A497="","",IF(ISNUMBER(--LEFT(A497,FIND(" - ",A497&amp;" - ")-1)),LEFT(A497,FIND(" - ",A497&amp;" - ")-1),TRIM(A497)))</f>
        <v/>
      </c>
      <c r="M497">
        <f>IF(OR(K497="",K497=A497,A497=""),"",K497&amp;"|"&amp;L497)</f>
        <v/>
      </c>
      <c r="N497">
        <f>IF(M497="","",IF(ISNUMBER(B497),B497,IFERROR(_xlfn.NUMBERVALUE(B497,".",","),0)))</f>
        <v/>
      </c>
      <c r="O497">
        <f>IF(M497="","",IF(ISNUMBER(C497),C497,IFERROR(_xlfn.NUMBERVALUE(C497,".",","),0)))</f>
        <v/>
      </c>
    </row>
    <row r="498">
      <c r="K498">
        <f>IF(OR(LEFT(B498,9)="DOANH THU",LEFT(B498,8)="SỐ LƯỢNG"),A498,IF(A498="","",K497))</f>
        <v/>
      </c>
      <c r="L498">
        <f>IF(A498="","",IF(ISNUMBER(--LEFT(A498,FIND(" - ",A498&amp;" - ")-1)),LEFT(A498,FIND(" - ",A498&amp;" - ")-1),TRIM(A498)))</f>
        <v/>
      </c>
      <c r="M498">
        <f>IF(OR(K498="",K498=A498,A498=""),"",K498&amp;"|"&amp;L498)</f>
        <v/>
      </c>
      <c r="N498">
        <f>IF(M498="","",IF(ISNUMBER(B498),B498,IFERROR(_xlfn.NUMBERVALUE(B498,".",","),0)))</f>
        <v/>
      </c>
      <c r="O498">
        <f>IF(M498="","",IF(ISNUMBER(C498),C498,IFERROR(_xlfn.NUMBERVALUE(C498,".",","),0)))</f>
        <v/>
      </c>
    </row>
    <row r="499">
      <c r="K499">
        <f>IF(OR(LEFT(B499,9)="DOANH THU",LEFT(B499,8)="SỐ LƯỢNG"),A499,IF(A499="","",K498))</f>
        <v/>
      </c>
      <c r="L499">
        <f>IF(A499="","",IF(ISNUMBER(--LEFT(A499,FIND(" - ",A499&amp;" - ")-1)),LEFT(A499,FIND(" - ",A499&amp;" - ")-1),TRIM(A499)))</f>
        <v/>
      </c>
      <c r="M499">
        <f>IF(OR(K499="",K499=A499,A499=""),"",K499&amp;"|"&amp;L499)</f>
        <v/>
      </c>
      <c r="N499">
        <f>IF(M499="","",IF(ISNUMBER(B499),B499,IFERROR(_xlfn.NUMBERVALUE(B499,".",","),0)))</f>
        <v/>
      </c>
      <c r="O499">
        <f>IF(M499="","",IF(ISNUMBER(C499),C499,IFERROR(_xlfn.NUMBERVALUE(C499,".",","),0)))</f>
        <v/>
      </c>
    </row>
    <row r="500">
      <c r="K500">
        <f>IF(OR(LEFT(B500,9)="DOANH THU",LEFT(B500,8)="SỐ LƯỢNG"),A500,IF(A500="","",K499))</f>
        <v/>
      </c>
      <c r="L500">
        <f>IF(A500="","",IF(ISNUMBER(--LEFT(A500,FIND(" - ",A500&amp;" - ")-1)),LEFT(A500,FIND(" - ",A500&amp;" - ")-1),TRIM(A500)))</f>
        <v/>
      </c>
      <c r="M500">
        <f>IF(OR(K500="",K500=A500,A500=""),"",K500&amp;"|"&amp;L500)</f>
        <v/>
      </c>
      <c r="N500">
        <f>IF(M500="","",IF(ISNUMBER(B500),B500,IFERROR(_xlfn.NUMBERVALUE(B500,".",","),0)))</f>
        <v/>
      </c>
      <c r="O500">
        <f>IF(M500="","",IF(ISNUMBER(C500),C500,IFERROR(_xlfn.NUMBERVALUE(C500,".",","),0)))</f>
        <v/>
      </c>
    </row>
    <row r="501">
      <c r="K501">
        <f>IF(OR(LEFT(B501,9)="DOANH THU",LEFT(B501,8)="SỐ LƯỢNG"),A501,IF(A501="","",K500))</f>
        <v/>
      </c>
      <c r="L501">
        <f>IF(A501="","",IF(ISNUMBER(--LEFT(A501,FIND(" - ",A501&amp;" - ")-1)),LEFT(A501,FIND(" - ",A501&amp;" - ")-1),TRIM(A501)))</f>
        <v/>
      </c>
      <c r="M501">
        <f>IF(OR(K501="",K501=A501,A501=""),"",K501&amp;"|"&amp;L501)</f>
        <v/>
      </c>
      <c r="N501">
        <f>IF(M501="","",IF(ISNUMBER(B501),B501,IFERROR(_xlfn.NUMBERVALUE(B501,".",","),0)))</f>
        <v/>
      </c>
      <c r="O501">
        <f>IF(M501="","",IF(ISNUMBER(C501),C501,IFERROR(_xlfn.NUMBERVALUE(C501,".",","),0)))</f>
        <v/>
      </c>
    </row>
    <row r="502">
      <c r="K502">
        <f>IF(OR(LEFT(B502,9)="DOANH THU",LEFT(B502,8)="SỐ LƯỢNG"),A502,IF(A502="","",K501))</f>
        <v/>
      </c>
      <c r="L502">
        <f>IF(A502="","",IF(ISNUMBER(--LEFT(A502,FIND(" - ",A502&amp;" - ")-1)),LEFT(A502,FIND(" - ",A502&amp;" - ")-1),TRIM(A502)))</f>
        <v/>
      </c>
      <c r="M502">
        <f>IF(OR(K502="",K502=A502,A502=""),"",K502&amp;"|"&amp;L502)</f>
        <v/>
      </c>
      <c r="N502">
        <f>IF(M502="","",IF(ISNUMBER(B502),B502,IFERROR(_xlfn.NUMBERVALUE(B502,".",","),0)))</f>
        <v/>
      </c>
      <c r="O502">
        <f>IF(M502="","",IF(ISNUMBER(C502),C502,IFERROR(_xlfn.NUMBERVALUE(C502,".",","),0)))</f>
        <v/>
      </c>
    </row>
    <row r="503">
      <c r="K503">
        <f>IF(OR(LEFT(B503,9)="DOANH THU",LEFT(B503,8)="SỐ LƯỢNG"),A503,IF(A503="","",K502))</f>
        <v/>
      </c>
      <c r="L503">
        <f>IF(A503="","",IF(ISNUMBER(--LEFT(A503,FIND(" - ",A503&amp;" - ")-1)),LEFT(A503,FIND(" - ",A503&amp;" - ")-1),TRIM(A503)))</f>
        <v/>
      </c>
      <c r="M503">
        <f>IF(OR(K503="",K503=A503,A503=""),"",K503&amp;"|"&amp;L503)</f>
        <v/>
      </c>
      <c r="N503">
        <f>IF(M503="","",IF(ISNUMBER(B503),B503,IFERROR(_xlfn.NUMBERVALUE(B503,".",","),0)))</f>
        <v/>
      </c>
      <c r="O503">
        <f>IF(M503="","",IF(ISNUMBER(C503),C503,IFERROR(_xlfn.NUMBERVALUE(C503,".",","),0)))</f>
        <v/>
      </c>
    </row>
    <row r="504">
      <c r="K504">
        <f>IF(OR(LEFT(B504,9)="DOANH THU",LEFT(B504,8)="SỐ LƯỢNG"),A504,IF(A504="","",K503))</f>
        <v/>
      </c>
      <c r="L504">
        <f>IF(A504="","",IF(ISNUMBER(--LEFT(A504,FIND(" - ",A504&amp;" - ")-1)),LEFT(A504,FIND(" - ",A504&amp;" - ")-1),TRIM(A504)))</f>
        <v/>
      </c>
      <c r="M504">
        <f>IF(OR(K504="",K504=A504,A504=""),"",K504&amp;"|"&amp;L504)</f>
        <v/>
      </c>
      <c r="N504">
        <f>IF(M504="","",IF(ISNUMBER(B504),B504,IFERROR(_xlfn.NUMBERVALUE(B504,".",","),0)))</f>
        <v/>
      </c>
      <c r="O504">
        <f>IF(M504="","",IF(ISNUMBER(C504),C504,IFERROR(_xlfn.NUMBERVALUE(C504,".",","),0)))</f>
        <v/>
      </c>
    </row>
    <row r="505">
      <c r="K505">
        <f>IF(OR(LEFT(B505,9)="DOANH THU",LEFT(B505,8)="SỐ LƯỢNG"),A505,IF(A505="","",K504))</f>
        <v/>
      </c>
      <c r="L505">
        <f>IF(A505="","",IF(ISNUMBER(--LEFT(A505,FIND(" - ",A505&amp;" - ")-1)),LEFT(A505,FIND(" - ",A505&amp;" - ")-1),TRIM(A505)))</f>
        <v/>
      </c>
      <c r="M505">
        <f>IF(OR(K505="",K505=A505,A505=""),"",K505&amp;"|"&amp;L505)</f>
        <v/>
      </c>
      <c r="N505">
        <f>IF(M505="","",IF(ISNUMBER(B505),B505,IFERROR(_xlfn.NUMBERVALUE(B505,".",","),0)))</f>
        <v/>
      </c>
      <c r="O505">
        <f>IF(M505="","",IF(ISNUMBER(C505),C505,IFERROR(_xlfn.NUMBERVALUE(C505,".",","),0)))</f>
        <v/>
      </c>
    </row>
    <row r="506">
      <c r="K506">
        <f>IF(OR(LEFT(B506,9)="DOANH THU",LEFT(B506,8)="SỐ LƯỢNG"),A506,IF(A506="","",K505))</f>
        <v/>
      </c>
      <c r="L506">
        <f>IF(A506="","",IF(ISNUMBER(--LEFT(A506,FIND(" - ",A506&amp;" - ")-1)),LEFT(A506,FIND(" - ",A506&amp;" - ")-1),TRIM(A506)))</f>
        <v/>
      </c>
      <c r="M506">
        <f>IF(OR(K506="",K506=A506,A506=""),"",K506&amp;"|"&amp;L506)</f>
        <v/>
      </c>
      <c r="N506">
        <f>IF(M506="","",IF(ISNUMBER(B506),B506,IFERROR(_xlfn.NUMBERVALUE(B506,".",","),0)))</f>
        <v/>
      </c>
      <c r="O506">
        <f>IF(M506="","",IF(ISNUMBER(C506),C506,IFERROR(_xlfn.NUMBERVALUE(C506,".",","),0)))</f>
        <v/>
      </c>
    </row>
    <row r="507">
      <c r="K507">
        <f>IF(OR(LEFT(B507,9)="DOANH THU",LEFT(B507,8)="SỐ LƯỢNG"),A507,IF(A507="","",K506))</f>
        <v/>
      </c>
      <c r="L507">
        <f>IF(A507="","",IF(ISNUMBER(--LEFT(A507,FIND(" - ",A507&amp;" - ")-1)),LEFT(A507,FIND(" - ",A507&amp;" - ")-1),TRIM(A507)))</f>
        <v/>
      </c>
      <c r="M507">
        <f>IF(OR(K507="",K507=A507,A507=""),"",K507&amp;"|"&amp;L507)</f>
        <v/>
      </c>
      <c r="N507">
        <f>IF(M507="","",IF(ISNUMBER(B507),B507,IFERROR(_xlfn.NUMBERVALUE(B507,".",","),0)))</f>
        <v/>
      </c>
      <c r="O507">
        <f>IF(M507="","",IF(ISNUMBER(C507),C507,IFERROR(_xlfn.NUMBERVALUE(C507,".",","),0)))</f>
        <v/>
      </c>
    </row>
    <row r="508">
      <c r="K508">
        <f>IF(OR(LEFT(B508,9)="DOANH THU",LEFT(B508,8)="SỐ LƯỢNG"),A508,IF(A508="","",K507))</f>
        <v/>
      </c>
      <c r="L508">
        <f>IF(A508="","",IF(ISNUMBER(--LEFT(A508,FIND(" - ",A508&amp;" - ")-1)),LEFT(A508,FIND(" - ",A508&amp;" - ")-1),TRIM(A508)))</f>
        <v/>
      </c>
      <c r="M508">
        <f>IF(OR(K508="",K508=A508,A508=""),"",K508&amp;"|"&amp;L508)</f>
        <v/>
      </c>
      <c r="N508">
        <f>IF(M508="","",IF(ISNUMBER(B508),B508,IFERROR(_xlfn.NUMBERVALUE(B508,".",","),0)))</f>
        <v/>
      </c>
      <c r="O508">
        <f>IF(M508="","",IF(ISNUMBER(C508),C508,IFERROR(_xlfn.NUMBERVALUE(C508,".",","),0)))</f>
        <v/>
      </c>
    </row>
    <row r="509">
      <c r="K509">
        <f>IF(OR(LEFT(B509,9)="DOANH THU",LEFT(B509,8)="SỐ LƯỢNG"),A509,IF(A509="","",K508))</f>
        <v/>
      </c>
      <c r="L509">
        <f>IF(A509="","",IF(ISNUMBER(--LEFT(A509,FIND(" - ",A509&amp;" - ")-1)),LEFT(A509,FIND(" - ",A509&amp;" - ")-1),TRIM(A509)))</f>
        <v/>
      </c>
      <c r="M509">
        <f>IF(OR(K509="",K509=A509,A509=""),"",K509&amp;"|"&amp;L509)</f>
        <v/>
      </c>
      <c r="N509">
        <f>IF(M509="","",IF(ISNUMBER(B509),B509,IFERROR(_xlfn.NUMBERVALUE(B509,".",","),0)))</f>
        <v/>
      </c>
      <c r="O509">
        <f>IF(M509="","",IF(ISNUMBER(C509),C509,IFERROR(_xlfn.NUMBERVALUE(C509,".",","),0)))</f>
        <v/>
      </c>
    </row>
    <row r="510">
      <c r="K510">
        <f>IF(OR(LEFT(B510,9)="DOANH THU",LEFT(B510,8)="SỐ LƯỢNG"),A510,IF(A510="","",K509))</f>
        <v/>
      </c>
      <c r="L510">
        <f>IF(A510="","",IF(ISNUMBER(--LEFT(A510,FIND(" - ",A510&amp;" - ")-1)),LEFT(A510,FIND(" - ",A510&amp;" - ")-1),TRIM(A510)))</f>
        <v/>
      </c>
      <c r="M510">
        <f>IF(OR(K510="",K510=A510,A510=""),"",K510&amp;"|"&amp;L510)</f>
        <v/>
      </c>
      <c r="N510">
        <f>IF(M510="","",IF(ISNUMBER(B510),B510,IFERROR(_xlfn.NUMBERVALUE(B510,".",","),0)))</f>
        <v/>
      </c>
      <c r="O510">
        <f>IF(M510="","",IF(ISNUMBER(C510),C510,IFERROR(_xlfn.NUMBERVALUE(C510,".",","),0)))</f>
        <v/>
      </c>
    </row>
    <row r="511">
      <c r="K511">
        <f>IF(OR(LEFT(B511,9)="DOANH THU",LEFT(B511,8)="SỐ LƯỢNG"),A511,IF(A511="","",K510))</f>
        <v/>
      </c>
      <c r="L511">
        <f>IF(A511="","",IF(ISNUMBER(--LEFT(A511,FIND(" - ",A511&amp;" - ")-1)),LEFT(A511,FIND(" - ",A511&amp;" - ")-1),TRIM(A511)))</f>
        <v/>
      </c>
      <c r="M511">
        <f>IF(OR(K511="",K511=A511,A511=""),"",K511&amp;"|"&amp;L511)</f>
        <v/>
      </c>
      <c r="N511">
        <f>IF(M511="","",IF(ISNUMBER(B511),B511,IFERROR(_xlfn.NUMBERVALUE(B511,".",","),0)))</f>
        <v/>
      </c>
      <c r="O511">
        <f>IF(M511="","",IF(ISNUMBER(C511),C511,IFERROR(_xlfn.NUMBERVALUE(C511,".",","),0)))</f>
        <v/>
      </c>
    </row>
    <row r="512">
      <c r="K512">
        <f>IF(OR(LEFT(B512,9)="DOANH THU",LEFT(B512,8)="SỐ LƯỢNG"),A512,IF(A512="","",K511))</f>
        <v/>
      </c>
      <c r="L512">
        <f>IF(A512="","",IF(ISNUMBER(--LEFT(A512,FIND(" - ",A512&amp;" - ")-1)),LEFT(A512,FIND(" - ",A512&amp;" - ")-1),TRIM(A512)))</f>
        <v/>
      </c>
      <c r="M512">
        <f>IF(OR(K512="",K512=A512,A512=""),"",K512&amp;"|"&amp;L512)</f>
        <v/>
      </c>
      <c r="N512">
        <f>IF(M512="","",IF(ISNUMBER(B512),B512,IFERROR(_xlfn.NUMBERVALUE(B512,".",","),0)))</f>
        <v/>
      </c>
      <c r="O512">
        <f>IF(M512="","",IF(ISNUMBER(C512),C512,IFERROR(_xlfn.NUMBERVALUE(C512,".",","),0)))</f>
        <v/>
      </c>
    </row>
    <row r="513">
      <c r="K513">
        <f>IF(OR(LEFT(B513,9)="DOANH THU",LEFT(B513,8)="SỐ LƯỢNG"),A513,IF(A513="","",K512))</f>
        <v/>
      </c>
      <c r="L513">
        <f>IF(A513="","",IF(ISNUMBER(--LEFT(A513,FIND(" - ",A513&amp;" - ")-1)),LEFT(A513,FIND(" - ",A513&amp;" - ")-1),TRIM(A513)))</f>
        <v/>
      </c>
      <c r="M513">
        <f>IF(OR(K513="",K513=A513,A513=""),"",K513&amp;"|"&amp;L513)</f>
        <v/>
      </c>
      <c r="N513">
        <f>IF(M513="","",IF(ISNUMBER(B513),B513,IFERROR(_xlfn.NUMBERVALUE(B513,".",","),0)))</f>
        <v/>
      </c>
      <c r="O513">
        <f>IF(M513="","",IF(ISNUMBER(C513),C513,IFERROR(_xlfn.NUMBERVALUE(C513,".",","),0)))</f>
        <v/>
      </c>
    </row>
    <row r="514">
      <c r="K514">
        <f>IF(OR(LEFT(B514,9)="DOANH THU",LEFT(B514,8)="SỐ LƯỢNG"),A514,IF(A514="","",K513))</f>
        <v/>
      </c>
      <c r="L514">
        <f>IF(A514="","",IF(ISNUMBER(--LEFT(A514,FIND(" - ",A514&amp;" - ")-1)),LEFT(A514,FIND(" - ",A514&amp;" - ")-1),TRIM(A514)))</f>
        <v/>
      </c>
      <c r="M514">
        <f>IF(OR(K514="",K514=A514,A514=""),"",K514&amp;"|"&amp;L514)</f>
        <v/>
      </c>
      <c r="N514">
        <f>IF(M514="","",IF(ISNUMBER(B514),B514,IFERROR(_xlfn.NUMBERVALUE(B514,".",","),0)))</f>
        <v/>
      </c>
      <c r="O514">
        <f>IF(M514="","",IF(ISNUMBER(C514),C514,IFERROR(_xlfn.NUMBERVALUE(C514,".",","),0)))</f>
        <v/>
      </c>
    </row>
    <row r="515">
      <c r="K515">
        <f>IF(OR(LEFT(B515,9)="DOANH THU",LEFT(B515,8)="SỐ LƯỢNG"),A515,IF(A515="","",K514))</f>
        <v/>
      </c>
      <c r="L515">
        <f>IF(A515="","",IF(ISNUMBER(--LEFT(A515,FIND(" - ",A515&amp;" - ")-1)),LEFT(A515,FIND(" - ",A515&amp;" - ")-1),TRIM(A515)))</f>
        <v/>
      </c>
      <c r="M515">
        <f>IF(OR(K515="",K515=A515,A515=""),"",K515&amp;"|"&amp;L515)</f>
        <v/>
      </c>
      <c r="N515">
        <f>IF(M515="","",IF(ISNUMBER(B515),B515,IFERROR(_xlfn.NUMBERVALUE(B515,".",","),0)))</f>
        <v/>
      </c>
      <c r="O515">
        <f>IF(M515="","",IF(ISNUMBER(C515),C515,IFERROR(_xlfn.NUMBERVALUE(C515,".",","),0)))</f>
        <v/>
      </c>
    </row>
    <row r="516">
      <c r="K516">
        <f>IF(OR(LEFT(B516,9)="DOANH THU",LEFT(B516,8)="SỐ LƯỢNG"),A516,IF(A516="","",K515))</f>
        <v/>
      </c>
      <c r="L516">
        <f>IF(A516="","",IF(ISNUMBER(--LEFT(A516,FIND(" - ",A516&amp;" - ")-1)),LEFT(A516,FIND(" - ",A516&amp;" - ")-1),TRIM(A516)))</f>
        <v/>
      </c>
      <c r="M516">
        <f>IF(OR(K516="",K516=A516,A516=""),"",K516&amp;"|"&amp;L516)</f>
        <v/>
      </c>
      <c r="N516">
        <f>IF(M516="","",IF(ISNUMBER(B516),B516,IFERROR(_xlfn.NUMBERVALUE(B516,".",","),0)))</f>
        <v/>
      </c>
      <c r="O516">
        <f>IF(M516="","",IF(ISNUMBER(C516),C516,IFERROR(_xlfn.NUMBERVALUE(C516,".",","),0)))</f>
        <v/>
      </c>
    </row>
    <row r="517">
      <c r="K517">
        <f>IF(OR(LEFT(B517,9)="DOANH THU",LEFT(B517,8)="SỐ LƯỢNG"),A517,IF(A517="","",K516))</f>
        <v/>
      </c>
      <c r="L517">
        <f>IF(A517="","",IF(ISNUMBER(--LEFT(A517,FIND(" - ",A517&amp;" - ")-1)),LEFT(A517,FIND(" - ",A517&amp;" - ")-1),TRIM(A517)))</f>
        <v/>
      </c>
      <c r="M517">
        <f>IF(OR(K517="",K517=A517,A517=""),"",K517&amp;"|"&amp;L517)</f>
        <v/>
      </c>
      <c r="N517">
        <f>IF(M517="","",IF(ISNUMBER(B517),B517,IFERROR(_xlfn.NUMBERVALUE(B517,".",","),0)))</f>
        <v/>
      </c>
      <c r="O517">
        <f>IF(M517="","",IF(ISNUMBER(C517),C517,IFERROR(_xlfn.NUMBERVALUE(C517,".",","),0)))</f>
        <v/>
      </c>
    </row>
    <row r="518">
      <c r="K518">
        <f>IF(OR(LEFT(B518,9)="DOANH THU",LEFT(B518,8)="SỐ LƯỢNG"),A518,IF(A518="","",K517))</f>
        <v/>
      </c>
      <c r="L518">
        <f>IF(A518="","",IF(ISNUMBER(--LEFT(A518,FIND(" - ",A518&amp;" - ")-1)),LEFT(A518,FIND(" - ",A518&amp;" - ")-1),TRIM(A518)))</f>
        <v/>
      </c>
      <c r="M518">
        <f>IF(OR(K518="",K518=A518,A518=""),"",K518&amp;"|"&amp;L518)</f>
        <v/>
      </c>
      <c r="N518">
        <f>IF(M518="","",IF(ISNUMBER(B518),B518,IFERROR(_xlfn.NUMBERVALUE(B518,".",","),0)))</f>
        <v/>
      </c>
      <c r="O518">
        <f>IF(M518="","",IF(ISNUMBER(C518),C518,IFERROR(_xlfn.NUMBERVALUE(C518,".",","),0)))</f>
        <v/>
      </c>
    </row>
    <row r="519">
      <c r="K519">
        <f>IF(OR(LEFT(B519,9)="DOANH THU",LEFT(B519,8)="SỐ LƯỢNG"),A519,IF(A519="","",K518))</f>
        <v/>
      </c>
      <c r="L519">
        <f>IF(A519="","",IF(ISNUMBER(--LEFT(A519,FIND(" - ",A519&amp;" - ")-1)),LEFT(A519,FIND(" - ",A519&amp;" - ")-1),TRIM(A519)))</f>
        <v/>
      </c>
      <c r="M519">
        <f>IF(OR(K519="",K519=A519,A519=""),"",K519&amp;"|"&amp;L519)</f>
        <v/>
      </c>
      <c r="N519">
        <f>IF(M519="","",IF(ISNUMBER(B519),B519,IFERROR(_xlfn.NUMBERVALUE(B519,".",","),0)))</f>
        <v/>
      </c>
      <c r="O519">
        <f>IF(M519="","",IF(ISNUMBER(C519),C519,IFERROR(_xlfn.NUMBERVALUE(C519,".",","),0)))</f>
        <v/>
      </c>
    </row>
    <row r="520">
      <c r="K520">
        <f>IF(OR(LEFT(B520,9)="DOANH THU",LEFT(B520,8)="SỐ LƯỢNG"),A520,IF(A520="","",K519))</f>
        <v/>
      </c>
      <c r="L520">
        <f>IF(A520="","",IF(ISNUMBER(--LEFT(A520,FIND(" - ",A520&amp;" - ")-1)),LEFT(A520,FIND(" - ",A520&amp;" - ")-1),TRIM(A520)))</f>
        <v/>
      </c>
      <c r="M520">
        <f>IF(OR(K520="",K520=A520,A520=""),"",K520&amp;"|"&amp;L520)</f>
        <v/>
      </c>
      <c r="N520">
        <f>IF(M520="","",IF(ISNUMBER(B520),B520,IFERROR(_xlfn.NUMBERVALUE(B520,".",","),0)))</f>
        <v/>
      </c>
      <c r="O520">
        <f>IF(M520="","",IF(ISNUMBER(C520),C520,IFERROR(_xlfn.NUMBERVALUE(C520,".",","),0)))</f>
        <v/>
      </c>
    </row>
    <row r="521">
      <c r="K521">
        <f>IF(OR(LEFT(B521,9)="DOANH THU",LEFT(B521,8)="SỐ LƯỢNG"),A521,IF(A521="","",K520))</f>
        <v/>
      </c>
      <c r="L521">
        <f>IF(A521="","",IF(ISNUMBER(--LEFT(A521,FIND(" - ",A521&amp;" - ")-1)),LEFT(A521,FIND(" - ",A521&amp;" - ")-1),TRIM(A521)))</f>
        <v/>
      </c>
      <c r="M521">
        <f>IF(OR(K521="",K521=A521,A521=""),"",K521&amp;"|"&amp;L521)</f>
        <v/>
      </c>
      <c r="N521">
        <f>IF(M521="","",IF(ISNUMBER(B521),B521,IFERROR(_xlfn.NUMBERVALUE(B521,".",","),0)))</f>
        <v/>
      </c>
      <c r="O521">
        <f>IF(M521="","",IF(ISNUMBER(C521),C521,IFERROR(_xlfn.NUMBERVALUE(C521,".",","),0)))</f>
        <v/>
      </c>
    </row>
    <row r="522">
      <c r="K522">
        <f>IF(OR(LEFT(B522,9)="DOANH THU",LEFT(B522,8)="SỐ LƯỢNG"),A522,IF(A522="","",K521))</f>
        <v/>
      </c>
      <c r="L522">
        <f>IF(A522="","",IF(ISNUMBER(--LEFT(A522,FIND(" - ",A522&amp;" - ")-1)),LEFT(A522,FIND(" - ",A522&amp;" - ")-1),TRIM(A522)))</f>
        <v/>
      </c>
      <c r="M522">
        <f>IF(OR(K522="",K522=A522,A522=""),"",K522&amp;"|"&amp;L522)</f>
        <v/>
      </c>
      <c r="N522">
        <f>IF(M522="","",IF(ISNUMBER(B522),B522,IFERROR(_xlfn.NUMBERVALUE(B522,".",","),0)))</f>
        <v/>
      </c>
      <c r="O522">
        <f>IF(M522="","",IF(ISNUMBER(C522),C522,IFERROR(_xlfn.NUMBERVALUE(C522,".",","),0)))</f>
        <v/>
      </c>
    </row>
    <row r="523">
      <c r="K523">
        <f>IF(OR(LEFT(B523,9)="DOANH THU",LEFT(B523,8)="SỐ LƯỢNG"),A523,IF(A523="","",K522))</f>
        <v/>
      </c>
      <c r="L523">
        <f>IF(A523="","",IF(ISNUMBER(--LEFT(A523,FIND(" - ",A523&amp;" - ")-1)),LEFT(A523,FIND(" - ",A523&amp;" - ")-1),TRIM(A523)))</f>
        <v/>
      </c>
      <c r="M523">
        <f>IF(OR(K523="",K523=A523,A523=""),"",K523&amp;"|"&amp;L523)</f>
        <v/>
      </c>
      <c r="N523">
        <f>IF(M523="","",IF(ISNUMBER(B523),B523,IFERROR(_xlfn.NUMBERVALUE(B523,".",","),0)))</f>
        <v/>
      </c>
      <c r="O523">
        <f>IF(M523="","",IF(ISNUMBER(C523),C523,IFERROR(_xlfn.NUMBERVALUE(C523,".",","),0)))</f>
        <v/>
      </c>
    </row>
    <row r="524">
      <c r="K524">
        <f>IF(OR(LEFT(B524,9)="DOANH THU",LEFT(B524,8)="SỐ LƯỢNG"),A524,IF(A524="","",K523))</f>
        <v/>
      </c>
      <c r="L524">
        <f>IF(A524="","",IF(ISNUMBER(--LEFT(A524,FIND(" - ",A524&amp;" - ")-1)),LEFT(A524,FIND(" - ",A524&amp;" - ")-1),TRIM(A524)))</f>
        <v/>
      </c>
      <c r="M524">
        <f>IF(OR(K524="",K524=A524,A524=""),"",K524&amp;"|"&amp;L524)</f>
        <v/>
      </c>
      <c r="N524">
        <f>IF(M524="","",IF(ISNUMBER(B524),B524,IFERROR(_xlfn.NUMBERVALUE(B524,".",","),0)))</f>
        <v/>
      </c>
      <c r="O524">
        <f>IF(M524="","",IF(ISNUMBER(C524),C524,IFERROR(_xlfn.NUMBERVALUE(C524,".",","),0)))</f>
        <v/>
      </c>
    </row>
    <row r="525">
      <c r="K525">
        <f>IF(OR(LEFT(B525,9)="DOANH THU",LEFT(B525,8)="SỐ LƯỢNG"),A525,IF(A525="","",K524))</f>
        <v/>
      </c>
      <c r="L525">
        <f>IF(A525="","",IF(ISNUMBER(--LEFT(A525,FIND(" - ",A525&amp;" - ")-1)),LEFT(A525,FIND(" - ",A525&amp;" - ")-1),TRIM(A525)))</f>
        <v/>
      </c>
      <c r="M525">
        <f>IF(OR(K525="",K525=A525,A525=""),"",K525&amp;"|"&amp;L525)</f>
        <v/>
      </c>
      <c r="N525">
        <f>IF(M525="","",IF(ISNUMBER(B525),B525,IFERROR(_xlfn.NUMBERVALUE(B525,".",","),0)))</f>
        <v/>
      </c>
      <c r="O525">
        <f>IF(M525="","",IF(ISNUMBER(C525),C525,IFERROR(_xlfn.NUMBERVALUE(C525,".",","),0)))</f>
        <v/>
      </c>
    </row>
    <row r="526">
      <c r="K526">
        <f>IF(OR(LEFT(B526,9)="DOANH THU",LEFT(B526,8)="SỐ LƯỢNG"),A526,IF(A526="","",K525))</f>
        <v/>
      </c>
      <c r="L526">
        <f>IF(A526="","",IF(ISNUMBER(--LEFT(A526,FIND(" - ",A526&amp;" - ")-1)),LEFT(A526,FIND(" - ",A526&amp;" - ")-1),TRIM(A526)))</f>
        <v/>
      </c>
      <c r="M526">
        <f>IF(OR(K526="",K526=A526,A526=""),"",K526&amp;"|"&amp;L526)</f>
        <v/>
      </c>
      <c r="N526">
        <f>IF(M526="","",IF(ISNUMBER(B526),B526,IFERROR(_xlfn.NUMBERVALUE(B526,".",","),0)))</f>
        <v/>
      </c>
      <c r="O526">
        <f>IF(M526="","",IF(ISNUMBER(C526),C526,IFERROR(_xlfn.NUMBERVALUE(C526,".",","),0)))</f>
        <v/>
      </c>
    </row>
    <row r="527">
      <c r="K527">
        <f>IF(OR(LEFT(B527,9)="DOANH THU",LEFT(B527,8)="SỐ LƯỢNG"),A527,IF(A527="","",K526))</f>
        <v/>
      </c>
      <c r="L527">
        <f>IF(A527="","",IF(ISNUMBER(--LEFT(A527,FIND(" - ",A527&amp;" - ")-1)),LEFT(A527,FIND(" - ",A527&amp;" - ")-1),TRIM(A527)))</f>
        <v/>
      </c>
      <c r="M527">
        <f>IF(OR(K527="",K527=A527,A527=""),"",K527&amp;"|"&amp;L527)</f>
        <v/>
      </c>
      <c r="N527">
        <f>IF(M527="","",IF(ISNUMBER(B527),B527,IFERROR(_xlfn.NUMBERVALUE(B527,".",","),0)))</f>
        <v/>
      </c>
      <c r="O527">
        <f>IF(M527="","",IF(ISNUMBER(C527),C527,IFERROR(_xlfn.NUMBERVALUE(C527,".",","),0)))</f>
        <v/>
      </c>
    </row>
    <row r="528">
      <c r="K528">
        <f>IF(OR(LEFT(B528,9)="DOANH THU",LEFT(B528,8)="SỐ LƯỢNG"),A528,IF(A528="","",K527))</f>
        <v/>
      </c>
      <c r="L528">
        <f>IF(A528="","",IF(ISNUMBER(--LEFT(A528,FIND(" - ",A528&amp;" - ")-1)),LEFT(A528,FIND(" - ",A528&amp;" - ")-1),TRIM(A528)))</f>
        <v/>
      </c>
      <c r="M528">
        <f>IF(OR(K528="",K528=A528,A528=""),"",K528&amp;"|"&amp;L528)</f>
        <v/>
      </c>
      <c r="N528">
        <f>IF(M528="","",IF(ISNUMBER(B528),B528,IFERROR(_xlfn.NUMBERVALUE(B528,".",","),0)))</f>
        <v/>
      </c>
      <c r="O528">
        <f>IF(M528="","",IF(ISNUMBER(C528),C528,IFERROR(_xlfn.NUMBERVALUE(C528,".",","),0)))</f>
        <v/>
      </c>
    </row>
    <row r="529">
      <c r="K529">
        <f>IF(OR(LEFT(B529,9)="DOANH THU",LEFT(B529,8)="SỐ LƯỢNG"),A529,IF(A529="","",K528))</f>
        <v/>
      </c>
      <c r="L529">
        <f>IF(A529="","",IF(ISNUMBER(--LEFT(A529,FIND(" - ",A529&amp;" - ")-1)),LEFT(A529,FIND(" - ",A529&amp;" - ")-1),TRIM(A529)))</f>
        <v/>
      </c>
      <c r="M529">
        <f>IF(OR(K529="",K529=A529,A529=""),"",K529&amp;"|"&amp;L529)</f>
        <v/>
      </c>
      <c r="N529">
        <f>IF(M529="","",IF(ISNUMBER(B529),B529,IFERROR(_xlfn.NUMBERVALUE(B529,".",","),0)))</f>
        <v/>
      </c>
      <c r="O529">
        <f>IF(M529="","",IF(ISNUMBER(C529),C529,IFERROR(_xlfn.NUMBERVALUE(C529,".",","),0)))</f>
        <v/>
      </c>
    </row>
    <row r="530">
      <c r="K530">
        <f>IF(OR(LEFT(B530,9)="DOANH THU",LEFT(B530,8)="SỐ LƯỢNG"),A530,IF(A530="","",K529))</f>
        <v/>
      </c>
      <c r="L530">
        <f>IF(A530="","",IF(ISNUMBER(--LEFT(A530,FIND(" - ",A530&amp;" - ")-1)),LEFT(A530,FIND(" - ",A530&amp;" - ")-1),TRIM(A530)))</f>
        <v/>
      </c>
      <c r="M530">
        <f>IF(OR(K530="",K530=A530,A530=""),"",K530&amp;"|"&amp;L530)</f>
        <v/>
      </c>
      <c r="N530">
        <f>IF(M530="","",IF(ISNUMBER(B530),B530,IFERROR(_xlfn.NUMBERVALUE(B530,".",","),0)))</f>
        <v/>
      </c>
      <c r="O530">
        <f>IF(M530="","",IF(ISNUMBER(C530),C530,IFERROR(_xlfn.NUMBERVALUE(C530,".",","),0)))</f>
        <v/>
      </c>
    </row>
    <row r="531">
      <c r="K531">
        <f>IF(OR(LEFT(B531,9)="DOANH THU",LEFT(B531,8)="SỐ LƯỢNG"),A531,IF(A531="","",K530))</f>
        <v/>
      </c>
      <c r="L531">
        <f>IF(A531="","",IF(ISNUMBER(--LEFT(A531,FIND(" - ",A531&amp;" - ")-1)),LEFT(A531,FIND(" - ",A531&amp;" - ")-1),TRIM(A531)))</f>
        <v/>
      </c>
      <c r="M531">
        <f>IF(OR(K531="",K531=A531,A531=""),"",K531&amp;"|"&amp;L531)</f>
        <v/>
      </c>
      <c r="N531">
        <f>IF(M531="","",IF(ISNUMBER(B531),B531,IFERROR(_xlfn.NUMBERVALUE(B531,".",","),0)))</f>
        <v/>
      </c>
      <c r="O531">
        <f>IF(M531="","",IF(ISNUMBER(C531),C531,IFERROR(_xlfn.NUMBERVALUE(C531,".",","),0)))</f>
        <v/>
      </c>
    </row>
    <row r="532">
      <c r="K532">
        <f>IF(OR(LEFT(B532,9)="DOANH THU",LEFT(B532,8)="SỐ LƯỢNG"),A532,IF(A532="","",K531))</f>
        <v/>
      </c>
      <c r="L532">
        <f>IF(A532="","",IF(ISNUMBER(--LEFT(A532,FIND(" - ",A532&amp;" - ")-1)),LEFT(A532,FIND(" - ",A532&amp;" - ")-1),TRIM(A532)))</f>
        <v/>
      </c>
      <c r="M532">
        <f>IF(OR(K532="",K532=A532,A532=""),"",K532&amp;"|"&amp;L532)</f>
        <v/>
      </c>
      <c r="N532">
        <f>IF(M532="","",IF(ISNUMBER(B532),B532,IFERROR(_xlfn.NUMBERVALUE(B532,".",","),0)))</f>
        <v/>
      </c>
      <c r="O532">
        <f>IF(M532="","",IF(ISNUMBER(C532),C532,IFERROR(_xlfn.NUMBERVALUE(C532,".",","),0)))</f>
        <v/>
      </c>
    </row>
    <row r="533">
      <c r="K533">
        <f>IF(OR(LEFT(B533,9)="DOANH THU",LEFT(B533,8)="SỐ LƯỢNG"),A533,IF(A533="","",K532))</f>
        <v/>
      </c>
      <c r="L533">
        <f>IF(A533="","",IF(ISNUMBER(--LEFT(A533,FIND(" - ",A533&amp;" - ")-1)),LEFT(A533,FIND(" - ",A533&amp;" - ")-1),TRIM(A533)))</f>
        <v/>
      </c>
      <c r="M533">
        <f>IF(OR(K533="",K533=A533,A533=""),"",K533&amp;"|"&amp;L533)</f>
        <v/>
      </c>
      <c r="N533">
        <f>IF(M533="","",IF(ISNUMBER(B533),B533,IFERROR(_xlfn.NUMBERVALUE(B533,".",","),0)))</f>
        <v/>
      </c>
      <c r="O533">
        <f>IF(M533="","",IF(ISNUMBER(C533),C533,IFERROR(_xlfn.NUMBERVALUE(C533,".",","),0)))</f>
        <v/>
      </c>
    </row>
    <row r="534">
      <c r="K534">
        <f>IF(OR(LEFT(B534,9)="DOANH THU",LEFT(B534,8)="SỐ LƯỢNG"),A534,IF(A534="","",K533))</f>
        <v/>
      </c>
      <c r="L534">
        <f>IF(A534="","",IF(ISNUMBER(--LEFT(A534,FIND(" - ",A534&amp;" - ")-1)),LEFT(A534,FIND(" - ",A534&amp;" - ")-1),TRIM(A534)))</f>
        <v/>
      </c>
      <c r="M534">
        <f>IF(OR(K534="",K534=A534,A534=""),"",K534&amp;"|"&amp;L534)</f>
        <v/>
      </c>
      <c r="N534">
        <f>IF(M534="","",IF(ISNUMBER(B534),B534,IFERROR(_xlfn.NUMBERVALUE(B534,".",","),0)))</f>
        <v/>
      </c>
      <c r="O534">
        <f>IF(M534="","",IF(ISNUMBER(C534),C534,IFERROR(_xlfn.NUMBERVALUE(C534,".",","),0)))</f>
        <v/>
      </c>
    </row>
    <row r="535">
      <c r="K535">
        <f>IF(OR(LEFT(B535,9)="DOANH THU",LEFT(B535,8)="SỐ LƯỢNG"),A535,IF(A535="","",K534))</f>
        <v/>
      </c>
      <c r="L535">
        <f>IF(A535="","",IF(ISNUMBER(--LEFT(A535,FIND(" - ",A535&amp;" - ")-1)),LEFT(A535,FIND(" - ",A535&amp;" - ")-1),TRIM(A535)))</f>
        <v/>
      </c>
      <c r="M535">
        <f>IF(OR(K535="",K535=A535,A535=""),"",K535&amp;"|"&amp;L535)</f>
        <v/>
      </c>
      <c r="N535">
        <f>IF(M535="","",IF(ISNUMBER(B535),B535,IFERROR(_xlfn.NUMBERVALUE(B535,".",","),0)))</f>
        <v/>
      </c>
      <c r="O535">
        <f>IF(M535="","",IF(ISNUMBER(C535),C535,IFERROR(_xlfn.NUMBERVALUE(C535,".",","),0)))</f>
        <v/>
      </c>
    </row>
    <row r="536">
      <c r="K536">
        <f>IF(OR(LEFT(B536,9)="DOANH THU",LEFT(B536,8)="SỐ LƯỢNG"),A536,IF(A536="","",K535))</f>
        <v/>
      </c>
      <c r="L536">
        <f>IF(A536="","",IF(ISNUMBER(--LEFT(A536,FIND(" - ",A536&amp;" - ")-1)),LEFT(A536,FIND(" - ",A536&amp;" - ")-1),TRIM(A536)))</f>
        <v/>
      </c>
      <c r="M536">
        <f>IF(OR(K536="",K536=A536,A536=""),"",K536&amp;"|"&amp;L536)</f>
        <v/>
      </c>
      <c r="N536">
        <f>IF(M536="","",IF(ISNUMBER(B536),B536,IFERROR(_xlfn.NUMBERVALUE(B536,".",","),0)))</f>
        <v/>
      </c>
      <c r="O536">
        <f>IF(M536="","",IF(ISNUMBER(C536),C536,IFERROR(_xlfn.NUMBERVALUE(C536,".",","),0)))</f>
        <v/>
      </c>
    </row>
    <row r="537">
      <c r="K537">
        <f>IF(OR(LEFT(B537,9)="DOANH THU",LEFT(B537,8)="SỐ LƯỢNG"),A537,IF(A537="","",K536))</f>
        <v/>
      </c>
      <c r="L537">
        <f>IF(A537="","",IF(ISNUMBER(--LEFT(A537,FIND(" - ",A537&amp;" - ")-1)),LEFT(A537,FIND(" - ",A537&amp;" - ")-1),TRIM(A537)))</f>
        <v/>
      </c>
      <c r="M537">
        <f>IF(OR(K537="",K537=A537,A537=""),"",K537&amp;"|"&amp;L537)</f>
        <v/>
      </c>
      <c r="N537">
        <f>IF(M537="","",IF(ISNUMBER(B537),B537,IFERROR(_xlfn.NUMBERVALUE(B537,".",","),0)))</f>
        <v/>
      </c>
      <c r="O537">
        <f>IF(M537="","",IF(ISNUMBER(C537),C537,IFERROR(_xlfn.NUMBERVALUE(C537,".",","),0)))</f>
        <v/>
      </c>
    </row>
    <row r="538">
      <c r="K538">
        <f>IF(OR(LEFT(B538,9)="DOANH THU",LEFT(B538,8)="SỐ LƯỢNG"),A538,IF(A538="","",K537))</f>
        <v/>
      </c>
      <c r="L538">
        <f>IF(A538="","",IF(ISNUMBER(--LEFT(A538,FIND(" - ",A538&amp;" - ")-1)),LEFT(A538,FIND(" - ",A538&amp;" - ")-1),TRIM(A538)))</f>
        <v/>
      </c>
      <c r="M538">
        <f>IF(OR(K538="",K538=A538,A538=""),"",K538&amp;"|"&amp;L538)</f>
        <v/>
      </c>
      <c r="N538">
        <f>IF(M538="","",IF(ISNUMBER(B538),B538,IFERROR(_xlfn.NUMBERVALUE(B538,".",","),0)))</f>
        <v/>
      </c>
      <c r="O538">
        <f>IF(M538="","",IF(ISNUMBER(C538),C538,IFERROR(_xlfn.NUMBERVALUE(C538,".",","),0)))</f>
        <v/>
      </c>
    </row>
    <row r="539">
      <c r="K539">
        <f>IF(OR(LEFT(B539,9)="DOANH THU",LEFT(B539,8)="SỐ LƯỢNG"),A539,IF(A539="","",K538))</f>
        <v/>
      </c>
      <c r="L539">
        <f>IF(A539="","",IF(ISNUMBER(--LEFT(A539,FIND(" - ",A539&amp;" - ")-1)),LEFT(A539,FIND(" - ",A539&amp;" - ")-1),TRIM(A539)))</f>
        <v/>
      </c>
      <c r="M539">
        <f>IF(OR(K539="",K539=A539,A539=""),"",K539&amp;"|"&amp;L539)</f>
        <v/>
      </c>
      <c r="N539">
        <f>IF(M539="","",IF(ISNUMBER(B539),B539,IFERROR(_xlfn.NUMBERVALUE(B539,".",","),0)))</f>
        <v/>
      </c>
      <c r="O539">
        <f>IF(M539="","",IF(ISNUMBER(C539),C539,IFERROR(_xlfn.NUMBERVALUE(C539,".",","),0)))</f>
        <v/>
      </c>
    </row>
    <row r="540">
      <c r="K540">
        <f>IF(OR(LEFT(B540,9)="DOANH THU",LEFT(B540,8)="SỐ LƯỢNG"),A540,IF(A540="","",K539))</f>
        <v/>
      </c>
      <c r="L540">
        <f>IF(A540="","",IF(ISNUMBER(--LEFT(A540,FIND(" - ",A540&amp;" - ")-1)),LEFT(A540,FIND(" - ",A540&amp;" - ")-1),TRIM(A540)))</f>
        <v/>
      </c>
      <c r="M540">
        <f>IF(OR(K540="",K540=A540,A540=""),"",K540&amp;"|"&amp;L540)</f>
        <v/>
      </c>
      <c r="N540">
        <f>IF(M540="","",IF(ISNUMBER(B540),B540,IFERROR(_xlfn.NUMBERVALUE(B540,".",","),0)))</f>
        <v/>
      </c>
      <c r="O540">
        <f>IF(M540="","",IF(ISNUMBER(C540),C540,IFERROR(_xlfn.NUMBERVALUE(C540,".",","),0)))</f>
        <v/>
      </c>
    </row>
    <row r="541">
      <c r="K541">
        <f>IF(OR(LEFT(B541,9)="DOANH THU",LEFT(B541,8)="SỐ LƯỢNG"),A541,IF(A541="","",K540))</f>
        <v/>
      </c>
      <c r="L541">
        <f>IF(A541="","",IF(ISNUMBER(--LEFT(A541,FIND(" - ",A541&amp;" - ")-1)),LEFT(A541,FIND(" - ",A541&amp;" - ")-1),TRIM(A541)))</f>
        <v/>
      </c>
      <c r="M541">
        <f>IF(OR(K541="",K541=A541,A541=""),"",K541&amp;"|"&amp;L541)</f>
        <v/>
      </c>
      <c r="N541">
        <f>IF(M541="","",IF(ISNUMBER(B541),B541,IFERROR(_xlfn.NUMBERVALUE(B541,".",","),0)))</f>
        <v/>
      </c>
      <c r="O541">
        <f>IF(M541="","",IF(ISNUMBER(C541),C541,IFERROR(_xlfn.NUMBERVALUE(C541,".",","),0)))</f>
        <v/>
      </c>
    </row>
    <row r="542">
      <c r="K542">
        <f>IF(OR(LEFT(B542,9)="DOANH THU",LEFT(B542,8)="SỐ LƯỢNG"),A542,IF(A542="","",K541))</f>
        <v/>
      </c>
      <c r="L542">
        <f>IF(A542="","",IF(ISNUMBER(--LEFT(A542,FIND(" - ",A542&amp;" - ")-1)),LEFT(A542,FIND(" - ",A542&amp;" - ")-1),TRIM(A542)))</f>
        <v/>
      </c>
      <c r="M542">
        <f>IF(OR(K542="",K542=A542,A542=""),"",K542&amp;"|"&amp;L542)</f>
        <v/>
      </c>
      <c r="N542">
        <f>IF(M542="","",IF(ISNUMBER(B542),B542,IFERROR(_xlfn.NUMBERVALUE(B542,".",","),0)))</f>
        <v/>
      </c>
      <c r="O542">
        <f>IF(M542="","",IF(ISNUMBER(C542),C542,IFERROR(_xlfn.NUMBERVALUE(C542,".",","),0)))</f>
        <v/>
      </c>
    </row>
    <row r="543">
      <c r="K543">
        <f>IF(OR(LEFT(B543,9)="DOANH THU",LEFT(B543,8)="SỐ LƯỢNG"),A543,IF(A543="","",K542))</f>
        <v/>
      </c>
      <c r="L543">
        <f>IF(A543="","",IF(ISNUMBER(--LEFT(A543,FIND(" - ",A543&amp;" - ")-1)),LEFT(A543,FIND(" - ",A543&amp;" - ")-1),TRIM(A543)))</f>
        <v/>
      </c>
      <c r="M543">
        <f>IF(OR(K543="",K543=A543,A543=""),"",K543&amp;"|"&amp;L543)</f>
        <v/>
      </c>
      <c r="N543">
        <f>IF(M543="","",IF(ISNUMBER(B543),B543,IFERROR(_xlfn.NUMBERVALUE(B543,".",","),0)))</f>
        <v/>
      </c>
      <c r="O543">
        <f>IF(M543="","",IF(ISNUMBER(C543),C543,IFERROR(_xlfn.NUMBERVALUE(C543,".",","),0)))</f>
        <v/>
      </c>
    </row>
    <row r="544">
      <c r="K544">
        <f>IF(OR(LEFT(B544,9)="DOANH THU",LEFT(B544,8)="SỐ LƯỢNG"),A544,IF(A544="","",K543))</f>
        <v/>
      </c>
      <c r="L544">
        <f>IF(A544="","",IF(ISNUMBER(--LEFT(A544,FIND(" - ",A544&amp;" - ")-1)),LEFT(A544,FIND(" - ",A544&amp;" - ")-1),TRIM(A544)))</f>
        <v/>
      </c>
      <c r="M544">
        <f>IF(OR(K544="",K544=A544,A544=""),"",K544&amp;"|"&amp;L544)</f>
        <v/>
      </c>
      <c r="N544">
        <f>IF(M544="","",IF(ISNUMBER(B544),B544,IFERROR(_xlfn.NUMBERVALUE(B544,".",","),0)))</f>
        <v/>
      </c>
      <c r="O544">
        <f>IF(M544="","",IF(ISNUMBER(C544),C544,IFERROR(_xlfn.NUMBERVALUE(C544,".",","),0)))</f>
        <v/>
      </c>
    </row>
    <row r="545">
      <c r="K545">
        <f>IF(OR(LEFT(B545,9)="DOANH THU",LEFT(B545,8)="SỐ LƯỢNG"),A545,IF(A545="","",K544))</f>
        <v/>
      </c>
      <c r="L545">
        <f>IF(A545="","",IF(ISNUMBER(--LEFT(A545,FIND(" - ",A545&amp;" - ")-1)),LEFT(A545,FIND(" - ",A545&amp;" - ")-1),TRIM(A545)))</f>
        <v/>
      </c>
      <c r="M545">
        <f>IF(OR(K545="",K545=A545,A545=""),"",K545&amp;"|"&amp;L545)</f>
        <v/>
      </c>
      <c r="N545">
        <f>IF(M545="","",IF(ISNUMBER(B545),B545,IFERROR(_xlfn.NUMBERVALUE(B545,".",","),0)))</f>
        <v/>
      </c>
      <c r="O545">
        <f>IF(M545="","",IF(ISNUMBER(C545),C545,IFERROR(_xlfn.NUMBERVALUE(C545,".",","),0)))</f>
        <v/>
      </c>
    </row>
    <row r="546">
      <c r="K546">
        <f>IF(OR(LEFT(B546,9)="DOANH THU",LEFT(B546,8)="SỐ LƯỢNG"),A546,IF(A546="","",K545))</f>
        <v/>
      </c>
      <c r="L546">
        <f>IF(A546="","",IF(ISNUMBER(--LEFT(A546,FIND(" - ",A546&amp;" - ")-1)),LEFT(A546,FIND(" - ",A546&amp;" - ")-1),TRIM(A546)))</f>
        <v/>
      </c>
      <c r="M546">
        <f>IF(OR(K546="",K546=A546,A546=""),"",K546&amp;"|"&amp;L546)</f>
        <v/>
      </c>
      <c r="N546">
        <f>IF(M546="","",IF(ISNUMBER(B546),B546,IFERROR(_xlfn.NUMBERVALUE(B546,".",","),0)))</f>
        <v/>
      </c>
      <c r="O546">
        <f>IF(M546="","",IF(ISNUMBER(C546),C546,IFERROR(_xlfn.NUMBERVALUE(C546,".",","),0)))</f>
        <v/>
      </c>
    </row>
    <row r="547">
      <c r="K547">
        <f>IF(OR(LEFT(B547,9)="DOANH THU",LEFT(B547,8)="SỐ LƯỢNG"),A547,IF(A547="","",K546))</f>
        <v/>
      </c>
      <c r="L547">
        <f>IF(A547="","",IF(ISNUMBER(--LEFT(A547,FIND(" - ",A547&amp;" - ")-1)),LEFT(A547,FIND(" - ",A547&amp;" - ")-1),TRIM(A547)))</f>
        <v/>
      </c>
      <c r="M547">
        <f>IF(OR(K547="",K547=A547,A547=""),"",K547&amp;"|"&amp;L547)</f>
        <v/>
      </c>
      <c r="N547">
        <f>IF(M547="","",IF(ISNUMBER(B547),B547,IFERROR(_xlfn.NUMBERVALUE(B547,".",","),0)))</f>
        <v/>
      </c>
      <c r="O547">
        <f>IF(M547="","",IF(ISNUMBER(C547),C547,IFERROR(_xlfn.NUMBERVALUE(C547,".",","),0)))</f>
        <v/>
      </c>
    </row>
    <row r="548">
      <c r="K548">
        <f>IF(OR(LEFT(B548,9)="DOANH THU",LEFT(B548,8)="SỐ LƯỢNG"),A548,IF(A548="","",K547))</f>
        <v/>
      </c>
      <c r="L548">
        <f>IF(A548="","",IF(ISNUMBER(--LEFT(A548,FIND(" - ",A548&amp;" - ")-1)),LEFT(A548,FIND(" - ",A548&amp;" - ")-1),TRIM(A548)))</f>
        <v/>
      </c>
      <c r="M548">
        <f>IF(OR(K548="",K548=A548,A548=""),"",K548&amp;"|"&amp;L548)</f>
        <v/>
      </c>
      <c r="N548">
        <f>IF(M548="","",IF(ISNUMBER(B548),B548,IFERROR(_xlfn.NUMBERVALUE(B548,".",","),0)))</f>
        <v/>
      </c>
      <c r="O548">
        <f>IF(M548="","",IF(ISNUMBER(C548),C548,IFERROR(_xlfn.NUMBERVALUE(C548,".",","),0)))</f>
        <v/>
      </c>
    </row>
    <row r="549">
      <c r="K549">
        <f>IF(OR(LEFT(B549,9)="DOANH THU",LEFT(B549,8)="SỐ LƯỢNG"),A549,IF(A549="","",K548))</f>
        <v/>
      </c>
      <c r="L549">
        <f>IF(A549="","",IF(ISNUMBER(--LEFT(A549,FIND(" - ",A549&amp;" - ")-1)),LEFT(A549,FIND(" - ",A549&amp;" - ")-1),TRIM(A549)))</f>
        <v/>
      </c>
      <c r="M549">
        <f>IF(OR(K549="",K549=A549,A549=""),"",K549&amp;"|"&amp;L549)</f>
        <v/>
      </c>
      <c r="N549">
        <f>IF(M549="","",IF(ISNUMBER(B549),B549,IFERROR(_xlfn.NUMBERVALUE(B549,".",","),0)))</f>
        <v/>
      </c>
      <c r="O549">
        <f>IF(M549="","",IF(ISNUMBER(C549),C549,IFERROR(_xlfn.NUMBERVALUE(C549,".",","),0)))</f>
        <v/>
      </c>
    </row>
    <row r="550">
      <c r="K550">
        <f>IF(OR(LEFT(B550,9)="DOANH THU",LEFT(B550,8)="SỐ LƯỢNG"),A550,IF(A550="","",K549))</f>
        <v/>
      </c>
      <c r="L550">
        <f>IF(A550="","",IF(ISNUMBER(--LEFT(A550,FIND(" - ",A550&amp;" - ")-1)),LEFT(A550,FIND(" - ",A550&amp;" - ")-1),TRIM(A550)))</f>
        <v/>
      </c>
      <c r="M550">
        <f>IF(OR(K550="",K550=A550,A550=""),"",K550&amp;"|"&amp;L550)</f>
        <v/>
      </c>
      <c r="N550">
        <f>IF(M550="","",IF(ISNUMBER(B550),B550,IFERROR(_xlfn.NUMBERVALUE(B550,".",","),0)))</f>
        <v/>
      </c>
      <c r="O550">
        <f>IF(M550="","",IF(ISNUMBER(C550),C550,IFERROR(_xlfn.NUMBERVALUE(C550,".",","),0)))</f>
        <v/>
      </c>
    </row>
    <row r="551">
      <c r="K551">
        <f>IF(OR(LEFT(B551,9)="DOANH THU",LEFT(B551,8)="SỐ LƯỢNG"),A551,IF(A551="","",K550))</f>
        <v/>
      </c>
      <c r="L551">
        <f>IF(A551="","",IF(ISNUMBER(--LEFT(A551,FIND(" - ",A551&amp;" - ")-1)),LEFT(A551,FIND(" - ",A551&amp;" - ")-1),TRIM(A551)))</f>
        <v/>
      </c>
      <c r="M551">
        <f>IF(OR(K551="",K551=A551,A551=""),"",K551&amp;"|"&amp;L551)</f>
        <v/>
      </c>
      <c r="N551">
        <f>IF(M551="","",IF(ISNUMBER(B551),B551,IFERROR(_xlfn.NUMBERVALUE(B551,".",","),0)))</f>
        <v/>
      </c>
      <c r="O551">
        <f>IF(M551="","",IF(ISNUMBER(C551),C551,IFERROR(_xlfn.NUMBERVALUE(C551,".",","),0)))</f>
        <v/>
      </c>
    </row>
    <row r="552">
      <c r="K552">
        <f>IF(OR(LEFT(B552,9)="DOANH THU",LEFT(B552,8)="SỐ LƯỢNG"),A552,IF(A552="","",K551))</f>
        <v/>
      </c>
      <c r="L552">
        <f>IF(A552="","",IF(ISNUMBER(--LEFT(A552,FIND(" - ",A552&amp;" - ")-1)),LEFT(A552,FIND(" - ",A552&amp;" - ")-1),TRIM(A552)))</f>
        <v/>
      </c>
      <c r="M552">
        <f>IF(OR(K552="",K552=A552,A552=""),"",K552&amp;"|"&amp;L552)</f>
        <v/>
      </c>
      <c r="N552">
        <f>IF(M552="","",IF(ISNUMBER(B552),B552,IFERROR(_xlfn.NUMBERVALUE(B552,".",","),0)))</f>
        <v/>
      </c>
      <c r="O552">
        <f>IF(M552="","",IF(ISNUMBER(C552),C552,IFERROR(_xlfn.NUMBERVALUE(C552,".",","),0)))</f>
        <v/>
      </c>
    </row>
    <row r="553">
      <c r="K553">
        <f>IF(OR(LEFT(B553,9)="DOANH THU",LEFT(B553,8)="SỐ LƯỢNG"),A553,IF(A553="","",K552))</f>
        <v/>
      </c>
      <c r="L553">
        <f>IF(A553="","",IF(ISNUMBER(--LEFT(A553,FIND(" - ",A553&amp;" - ")-1)),LEFT(A553,FIND(" - ",A553&amp;" - ")-1),TRIM(A553)))</f>
        <v/>
      </c>
      <c r="M553">
        <f>IF(OR(K553="",K553=A553,A553=""),"",K553&amp;"|"&amp;L553)</f>
        <v/>
      </c>
      <c r="N553">
        <f>IF(M553="","",IF(ISNUMBER(B553),B553,IFERROR(_xlfn.NUMBERVALUE(B553,".",","),0)))</f>
        <v/>
      </c>
      <c r="O553">
        <f>IF(M553="","",IF(ISNUMBER(C553),C553,IFERROR(_xlfn.NUMBERVALUE(C553,".",","),0)))</f>
        <v/>
      </c>
    </row>
    <row r="554">
      <c r="K554">
        <f>IF(OR(LEFT(B554,9)="DOANH THU",LEFT(B554,8)="SỐ LƯỢNG"),A554,IF(A554="","",K553))</f>
        <v/>
      </c>
      <c r="L554">
        <f>IF(A554="","",IF(ISNUMBER(--LEFT(A554,FIND(" - ",A554&amp;" - ")-1)),LEFT(A554,FIND(" - ",A554&amp;" - ")-1),TRIM(A554)))</f>
        <v/>
      </c>
      <c r="M554">
        <f>IF(OR(K554="",K554=A554,A554=""),"",K554&amp;"|"&amp;L554)</f>
        <v/>
      </c>
      <c r="N554">
        <f>IF(M554="","",IF(ISNUMBER(B554),B554,IFERROR(_xlfn.NUMBERVALUE(B554,".",","),0)))</f>
        <v/>
      </c>
      <c r="O554">
        <f>IF(M554="","",IF(ISNUMBER(C554),C554,IFERROR(_xlfn.NUMBERVALUE(C554,".",","),0)))</f>
        <v/>
      </c>
    </row>
    <row r="555">
      <c r="K555">
        <f>IF(OR(LEFT(B555,9)="DOANH THU",LEFT(B555,8)="SỐ LƯỢNG"),A555,IF(A555="","",K554))</f>
        <v/>
      </c>
      <c r="L555">
        <f>IF(A555="","",IF(ISNUMBER(--LEFT(A555,FIND(" - ",A555&amp;" - ")-1)),LEFT(A555,FIND(" - ",A555&amp;" - ")-1),TRIM(A555)))</f>
        <v/>
      </c>
      <c r="M555">
        <f>IF(OR(K555="",K555=A555,A555=""),"",K555&amp;"|"&amp;L555)</f>
        <v/>
      </c>
      <c r="N555">
        <f>IF(M555="","",IF(ISNUMBER(B555),B555,IFERROR(_xlfn.NUMBERVALUE(B555,".",","),0)))</f>
        <v/>
      </c>
      <c r="O555">
        <f>IF(M555="","",IF(ISNUMBER(C555),C555,IFERROR(_xlfn.NUMBERVALUE(C555,".",","),0)))</f>
        <v/>
      </c>
    </row>
    <row r="556">
      <c r="K556">
        <f>IF(OR(LEFT(B556,9)="DOANH THU",LEFT(B556,8)="SỐ LƯỢNG"),A556,IF(A556="","",K555))</f>
        <v/>
      </c>
      <c r="L556">
        <f>IF(A556="","",IF(ISNUMBER(--LEFT(A556,FIND(" - ",A556&amp;" - ")-1)),LEFT(A556,FIND(" - ",A556&amp;" - ")-1),TRIM(A556)))</f>
        <v/>
      </c>
      <c r="M556">
        <f>IF(OR(K556="",K556=A556,A556=""),"",K556&amp;"|"&amp;L556)</f>
        <v/>
      </c>
      <c r="N556">
        <f>IF(M556="","",IF(ISNUMBER(B556),B556,IFERROR(_xlfn.NUMBERVALUE(B556,".",","),0)))</f>
        <v/>
      </c>
      <c r="O556">
        <f>IF(M556="","",IF(ISNUMBER(C556),C556,IFERROR(_xlfn.NUMBERVALUE(C556,".",","),0)))</f>
        <v/>
      </c>
    </row>
    <row r="557">
      <c r="K557">
        <f>IF(OR(LEFT(B557,9)="DOANH THU",LEFT(B557,8)="SỐ LƯỢNG"),A557,IF(A557="","",K556))</f>
        <v/>
      </c>
      <c r="L557">
        <f>IF(A557="","",IF(ISNUMBER(--LEFT(A557,FIND(" - ",A557&amp;" - ")-1)),LEFT(A557,FIND(" - ",A557&amp;" - ")-1),TRIM(A557)))</f>
        <v/>
      </c>
      <c r="M557">
        <f>IF(OR(K557="",K557=A557,A557=""),"",K557&amp;"|"&amp;L557)</f>
        <v/>
      </c>
      <c r="N557">
        <f>IF(M557="","",IF(ISNUMBER(B557),B557,IFERROR(_xlfn.NUMBERVALUE(B557,".",","),0)))</f>
        <v/>
      </c>
      <c r="O557">
        <f>IF(M557="","",IF(ISNUMBER(C557),C557,IFERROR(_xlfn.NUMBERVALUE(C557,".",","),0)))</f>
        <v/>
      </c>
    </row>
    <row r="558">
      <c r="K558">
        <f>IF(OR(LEFT(B558,9)="DOANH THU",LEFT(B558,8)="SỐ LƯỢNG"),A558,IF(A558="","",K557))</f>
        <v/>
      </c>
      <c r="L558">
        <f>IF(A558="","",IF(ISNUMBER(--LEFT(A558,FIND(" - ",A558&amp;" - ")-1)),LEFT(A558,FIND(" - ",A558&amp;" - ")-1),TRIM(A558)))</f>
        <v/>
      </c>
      <c r="M558">
        <f>IF(OR(K558="",K558=A558,A558=""),"",K558&amp;"|"&amp;L558)</f>
        <v/>
      </c>
      <c r="N558">
        <f>IF(M558="","",IF(ISNUMBER(B558),B558,IFERROR(_xlfn.NUMBERVALUE(B558,".",","),0)))</f>
        <v/>
      </c>
      <c r="O558">
        <f>IF(M558="","",IF(ISNUMBER(C558),C558,IFERROR(_xlfn.NUMBERVALUE(C558,".",","),0)))</f>
        <v/>
      </c>
    </row>
    <row r="559">
      <c r="K559">
        <f>IF(OR(LEFT(B559,9)="DOANH THU",LEFT(B559,8)="SỐ LƯỢNG"),A559,IF(A559="","",K558))</f>
        <v/>
      </c>
      <c r="L559">
        <f>IF(A559="","",IF(ISNUMBER(--LEFT(A559,FIND(" - ",A559&amp;" - ")-1)),LEFT(A559,FIND(" - ",A559&amp;" - ")-1),TRIM(A559)))</f>
        <v/>
      </c>
      <c r="M559">
        <f>IF(OR(K559="",K559=A559,A559=""),"",K559&amp;"|"&amp;L559)</f>
        <v/>
      </c>
      <c r="N559">
        <f>IF(M559="","",IF(ISNUMBER(B559),B559,IFERROR(_xlfn.NUMBERVALUE(B559,".",","),0)))</f>
        <v/>
      </c>
      <c r="O559">
        <f>IF(M559="","",IF(ISNUMBER(C559),C559,IFERROR(_xlfn.NUMBERVALUE(C559,".",","),0)))</f>
        <v/>
      </c>
    </row>
    <row r="560">
      <c r="K560">
        <f>IF(OR(LEFT(B560,9)="DOANH THU",LEFT(B560,8)="SỐ LƯỢNG"),A560,IF(A560="","",K559))</f>
        <v/>
      </c>
      <c r="L560">
        <f>IF(A560="","",IF(ISNUMBER(--LEFT(A560,FIND(" - ",A560&amp;" - ")-1)),LEFT(A560,FIND(" - ",A560&amp;" - ")-1),TRIM(A560)))</f>
        <v/>
      </c>
      <c r="M560">
        <f>IF(OR(K560="",K560=A560,A560=""),"",K560&amp;"|"&amp;L560)</f>
        <v/>
      </c>
      <c r="N560">
        <f>IF(M560="","",IF(ISNUMBER(B560),B560,IFERROR(_xlfn.NUMBERVALUE(B560,".",","),0)))</f>
        <v/>
      </c>
      <c r="O560">
        <f>IF(M560="","",IF(ISNUMBER(C560),C560,IFERROR(_xlfn.NUMBERVALUE(C560,".",","),0)))</f>
        <v/>
      </c>
    </row>
    <row r="561">
      <c r="K561">
        <f>IF(OR(LEFT(B561,9)="DOANH THU",LEFT(B561,8)="SỐ LƯỢNG"),A561,IF(A561="","",K560))</f>
        <v/>
      </c>
      <c r="L561">
        <f>IF(A561="","",IF(ISNUMBER(--LEFT(A561,FIND(" - ",A561&amp;" - ")-1)),LEFT(A561,FIND(" - ",A561&amp;" - ")-1),TRIM(A561)))</f>
        <v/>
      </c>
      <c r="M561">
        <f>IF(OR(K561="",K561=A561,A561=""),"",K561&amp;"|"&amp;L561)</f>
        <v/>
      </c>
      <c r="N561">
        <f>IF(M561="","",IF(ISNUMBER(B561),B561,IFERROR(_xlfn.NUMBERVALUE(B561,".",","),0)))</f>
        <v/>
      </c>
      <c r="O561">
        <f>IF(M561="","",IF(ISNUMBER(C561),C561,IFERROR(_xlfn.NUMBERVALUE(C561,".",","),0)))</f>
        <v/>
      </c>
    </row>
    <row r="562">
      <c r="K562">
        <f>IF(OR(LEFT(B562,9)="DOANH THU",LEFT(B562,8)="SỐ LƯỢNG"),A562,IF(A562="","",K561))</f>
        <v/>
      </c>
      <c r="L562">
        <f>IF(A562="","",IF(ISNUMBER(--LEFT(A562,FIND(" - ",A562&amp;" - ")-1)),LEFT(A562,FIND(" - ",A562&amp;" - ")-1),TRIM(A562)))</f>
        <v/>
      </c>
      <c r="M562">
        <f>IF(OR(K562="",K562=A562,A562=""),"",K562&amp;"|"&amp;L562)</f>
        <v/>
      </c>
      <c r="N562">
        <f>IF(M562="","",IF(ISNUMBER(B562),B562,IFERROR(_xlfn.NUMBERVALUE(B562,".",","),0)))</f>
        <v/>
      </c>
      <c r="O562">
        <f>IF(M562="","",IF(ISNUMBER(C562),C562,IFERROR(_xlfn.NUMBERVALUE(C562,".",","),0)))</f>
        <v/>
      </c>
    </row>
    <row r="563">
      <c r="K563">
        <f>IF(OR(LEFT(B563,9)="DOANH THU",LEFT(B563,8)="SỐ LƯỢNG"),A563,IF(A563="","",K562))</f>
        <v/>
      </c>
      <c r="L563">
        <f>IF(A563="","",IF(ISNUMBER(--LEFT(A563,FIND(" - ",A563&amp;" - ")-1)),LEFT(A563,FIND(" - ",A563&amp;" - ")-1),TRIM(A563)))</f>
        <v/>
      </c>
      <c r="M563">
        <f>IF(OR(K563="",K563=A563,A563=""),"",K563&amp;"|"&amp;L563)</f>
        <v/>
      </c>
      <c r="N563">
        <f>IF(M563="","",IF(ISNUMBER(B563),B563,IFERROR(_xlfn.NUMBERVALUE(B563,".",","),0)))</f>
        <v/>
      </c>
      <c r="O563">
        <f>IF(M563="","",IF(ISNUMBER(C563),C563,IFERROR(_xlfn.NUMBERVALUE(C563,".",","),0)))</f>
        <v/>
      </c>
    </row>
    <row r="564">
      <c r="K564">
        <f>IF(OR(LEFT(B564,9)="DOANH THU",LEFT(B564,8)="SỐ LƯỢNG"),A564,IF(A564="","",K563))</f>
        <v/>
      </c>
      <c r="L564">
        <f>IF(A564="","",IF(ISNUMBER(--LEFT(A564,FIND(" - ",A564&amp;" - ")-1)),LEFT(A564,FIND(" - ",A564&amp;" - ")-1),TRIM(A564)))</f>
        <v/>
      </c>
      <c r="M564">
        <f>IF(OR(K564="",K564=A564,A564=""),"",K564&amp;"|"&amp;L564)</f>
        <v/>
      </c>
      <c r="N564">
        <f>IF(M564="","",IF(ISNUMBER(B564),B564,IFERROR(_xlfn.NUMBERVALUE(B564,".",","),0)))</f>
        <v/>
      </c>
      <c r="O564">
        <f>IF(M564="","",IF(ISNUMBER(C564),C564,IFERROR(_xlfn.NUMBERVALUE(C564,".",","),0)))</f>
        <v/>
      </c>
    </row>
    <row r="565">
      <c r="K565">
        <f>IF(OR(LEFT(B565,9)="DOANH THU",LEFT(B565,8)="SỐ LƯỢNG"),A565,IF(A565="","",K564))</f>
        <v/>
      </c>
      <c r="L565">
        <f>IF(A565="","",IF(ISNUMBER(--LEFT(A565,FIND(" - ",A565&amp;" - ")-1)),LEFT(A565,FIND(" - ",A565&amp;" - ")-1),TRIM(A565)))</f>
        <v/>
      </c>
      <c r="M565">
        <f>IF(OR(K565="",K565=A565,A565=""),"",K565&amp;"|"&amp;L565)</f>
        <v/>
      </c>
      <c r="N565">
        <f>IF(M565="","",IF(ISNUMBER(B565),B565,IFERROR(_xlfn.NUMBERVALUE(B565,".",","),0)))</f>
        <v/>
      </c>
      <c r="O565">
        <f>IF(M565="","",IF(ISNUMBER(C565),C565,IFERROR(_xlfn.NUMBERVALUE(C565,".",","),0)))</f>
        <v/>
      </c>
    </row>
    <row r="566">
      <c r="K566">
        <f>IF(OR(LEFT(B566,9)="DOANH THU",LEFT(B566,8)="SỐ LƯỢNG"),A566,IF(A566="","",K565))</f>
        <v/>
      </c>
      <c r="L566">
        <f>IF(A566="","",IF(ISNUMBER(--LEFT(A566,FIND(" - ",A566&amp;" - ")-1)),LEFT(A566,FIND(" - ",A566&amp;" - ")-1),TRIM(A566)))</f>
        <v/>
      </c>
      <c r="M566">
        <f>IF(OR(K566="",K566=A566,A566=""),"",K566&amp;"|"&amp;L566)</f>
        <v/>
      </c>
      <c r="N566">
        <f>IF(M566="","",IF(ISNUMBER(B566),B566,IFERROR(_xlfn.NUMBERVALUE(B566,".",","),0)))</f>
        <v/>
      </c>
      <c r="O566">
        <f>IF(M566="","",IF(ISNUMBER(C566),C566,IFERROR(_xlfn.NUMBERVALUE(C566,".",","),0)))</f>
        <v/>
      </c>
    </row>
    <row r="567">
      <c r="K567">
        <f>IF(OR(LEFT(B567,9)="DOANH THU",LEFT(B567,8)="SỐ LƯỢNG"),A567,IF(A567="","",K566))</f>
        <v/>
      </c>
      <c r="L567">
        <f>IF(A567="","",IF(ISNUMBER(--LEFT(A567,FIND(" - ",A567&amp;" - ")-1)),LEFT(A567,FIND(" - ",A567&amp;" - ")-1),TRIM(A567)))</f>
        <v/>
      </c>
      <c r="M567">
        <f>IF(OR(K567="",K567=A567,A567=""),"",K567&amp;"|"&amp;L567)</f>
        <v/>
      </c>
      <c r="N567">
        <f>IF(M567="","",IF(ISNUMBER(B567),B567,IFERROR(_xlfn.NUMBERVALUE(B567,".",","),0)))</f>
        <v/>
      </c>
      <c r="O567">
        <f>IF(M567="","",IF(ISNUMBER(C567),C567,IFERROR(_xlfn.NUMBERVALUE(C567,".",","),0)))</f>
        <v/>
      </c>
    </row>
    <row r="568">
      <c r="K568">
        <f>IF(OR(LEFT(B568,9)="DOANH THU",LEFT(B568,8)="SỐ LƯỢNG"),A568,IF(A568="","",K567))</f>
        <v/>
      </c>
      <c r="L568">
        <f>IF(A568="","",IF(ISNUMBER(--LEFT(A568,FIND(" - ",A568&amp;" - ")-1)),LEFT(A568,FIND(" - ",A568&amp;" - ")-1),TRIM(A568)))</f>
        <v/>
      </c>
      <c r="M568">
        <f>IF(OR(K568="",K568=A568,A568=""),"",K568&amp;"|"&amp;L568)</f>
        <v/>
      </c>
      <c r="N568">
        <f>IF(M568="","",IF(ISNUMBER(B568),B568,IFERROR(_xlfn.NUMBERVALUE(B568,".",","),0)))</f>
        <v/>
      </c>
      <c r="O568">
        <f>IF(M568="","",IF(ISNUMBER(C568),C568,IFERROR(_xlfn.NUMBERVALUE(C568,".",","),0)))</f>
        <v/>
      </c>
    </row>
    <row r="569">
      <c r="K569">
        <f>IF(OR(LEFT(B569,9)="DOANH THU",LEFT(B569,8)="SỐ LƯỢNG"),A569,IF(A569="","",K568))</f>
        <v/>
      </c>
      <c r="L569">
        <f>IF(A569="","",IF(ISNUMBER(--LEFT(A569,FIND(" - ",A569&amp;" - ")-1)),LEFT(A569,FIND(" - ",A569&amp;" - ")-1),TRIM(A569)))</f>
        <v/>
      </c>
      <c r="M569">
        <f>IF(OR(K569="",K569=A569,A569=""),"",K569&amp;"|"&amp;L569)</f>
        <v/>
      </c>
      <c r="N569">
        <f>IF(M569="","",IF(ISNUMBER(B569),B569,IFERROR(_xlfn.NUMBERVALUE(B569,".",","),0)))</f>
        <v/>
      </c>
      <c r="O569">
        <f>IF(M569="","",IF(ISNUMBER(C569),C569,IFERROR(_xlfn.NUMBERVALUE(C569,".",","),0)))</f>
        <v/>
      </c>
    </row>
    <row r="570">
      <c r="K570">
        <f>IF(OR(LEFT(B570,9)="DOANH THU",LEFT(B570,8)="SỐ LƯỢNG"),A570,IF(A570="","",K569))</f>
        <v/>
      </c>
      <c r="L570">
        <f>IF(A570="","",IF(ISNUMBER(--LEFT(A570,FIND(" - ",A570&amp;" - ")-1)),LEFT(A570,FIND(" - ",A570&amp;" - ")-1),TRIM(A570)))</f>
        <v/>
      </c>
      <c r="M570">
        <f>IF(OR(K570="",K570=A570,A570=""),"",K570&amp;"|"&amp;L570)</f>
        <v/>
      </c>
      <c r="N570">
        <f>IF(M570="","",IF(ISNUMBER(B570),B570,IFERROR(_xlfn.NUMBERVALUE(B570,".",","),0)))</f>
        <v/>
      </c>
      <c r="O570">
        <f>IF(M570="","",IF(ISNUMBER(C570),C570,IFERROR(_xlfn.NUMBERVALUE(C570,".",","),0)))</f>
        <v/>
      </c>
    </row>
    <row r="571">
      <c r="K571">
        <f>IF(OR(LEFT(B571,9)="DOANH THU",LEFT(B571,8)="SỐ LƯỢNG"),A571,IF(A571="","",K570))</f>
        <v/>
      </c>
      <c r="L571">
        <f>IF(A571="","",IF(ISNUMBER(--LEFT(A571,FIND(" - ",A571&amp;" - ")-1)),LEFT(A571,FIND(" - ",A571&amp;" - ")-1),TRIM(A571)))</f>
        <v/>
      </c>
      <c r="M571">
        <f>IF(OR(K571="",K571=A571,A571=""),"",K571&amp;"|"&amp;L571)</f>
        <v/>
      </c>
      <c r="N571">
        <f>IF(M571="","",IF(ISNUMBER(B571),B571,IFERROR(_xlfn.NUMBERVALUE(B571,".",","),0)))</f>
        <v/>
      </c>
      <c r="O571">
        <f>IF(M571="","",IF(ISNUMBER(C571),C571,IFERROR(_xlfn.NUMBERVALUE(C571,".",","),0)))</f>
        <v/>
      </c>
    </row>
    <row r="572">
      <c r="K572">
        <f>IF(OR(LEFT(B572,9)="DOANH THU",LEFT(B572,8)="SỐ LƯỢNG"),A572,IF(A572="","",K571))</f>
        <v/>
      </c>
      <c r="L572">
        <f>IF(A572="","",IF(ISNUMBER(--LEFT(A572,FIND(" - ",A572&amp;" - ")-1)),LEFT(A572,FIND(" - ",A572&amp;" - ")-1),TRIM(A572)))</f>
        <v/>
      </c>
      <c r="M572">
        <f>IF(OR(K572="",K572=A572,A572=""),"",K572&amp;"|"&amp;L572)</f>
        <v/>
      </c>
      <c r="N572">
        <f>IF(M572="","",IF(ISNUMBER(B572),B572,IFERROR(_xlfn.NUMBERVALUE(B572,".",","),0)))</f>
        <v/>
      </c>
      <c r="O572">
        <f>IF(M572="","",IF(ISNUMBER(C572),C572,IFERROR(_xlfn.NUMBERVALUE(C572,".",","),0)))</f>
        <v/>
      </c>
    </row>
    <row r="573">
      <c r="K573">
        <f>IF(OR(LEFT(B573,9)="DOANH THU",LEFT(B573,8)="SỐ LƯỢNG"),A573,IF(A573="","",K572))</f>
        <v/>
      </c>
      <c r="L573">
        <f>IF(A573="","",IF(ISNUMBER(--LEFT(A573,FIND(" - ",A573&amp;" - ")-1)),LEFT(A573,FIND(" - ",A573&amp;" - ")-1),TRIM(A573)))</f>
        <v/>
      </c>
      <c r="M573">
        <f>IF(OR(K573="",K573=A573,A573=""),"",K573&amp;"|"&amp;L573)</f>
        <v/>
      </c>
      <c r="N573">
        <f>IF(M573="","",IF(ISNUMBER(B573),B573,IFERROR(_xlfn.NUMBERVALUE(B573,".",","),0)))</f>
        <v/>
      </c>
      <c r="O573">
        <f>IF(M573="","",IF(ISNUMBER(C573),C573,IFERROR(_xlfn.NUMBERVALUE(C573,".",","),0)))</f>
        <v/>
      </c>
    </row>
    <row r="574">
      <c r="K574">
        <f>IF(OR(LEFT(B574,9)="DOANH THU",LEFT(B574,8)="SỐ LƯỢNG"),A574,IF(A574="","",K573))</f>
        <v/>
      </c>
      <c r="L574">
        <f>IF(A574="","",IF(ISNUMBER(--LEFT(A574,FIND(" - ",A574&amp;" - ")-1)),LEFT(A574,FIND(" - ",A574&amp;" - ")-1),TRIM(A574)))</f>
        <v/>
      </c>
      <c r="M574">
        <f>IF(OR(K574="",K574=A574,A574=""),"",K574&amp;"|"&amp;L574)</f>
        <v/>
      </c>
      <c r="N574">
        <f>IF(M574="","",IF(ISNUMBER(B574),B574,IFERROR(_xlfn.NUMBERVALUE(B574,".",","),0)))</f>
        <v/>
      </c>
      <c r="O574">
        <f>IF(M574="","",IF(ISNUMBER(C574),C574,IFERROR(_xlfn.NUMBERVALUE(C574,".",","),0)))</f>
        <v/>
      </c>
    </row>
    <row r="575">
      <c r="K575">
        <f>IF(OR(LEFT(B575,9)="DOANH THU",LEFT(B575,8)="SỐ LƯỢNG"),A575,IF(A575="","",K574))</f>
        <v/>
      </c>
      <c r="L575">
        <f>IF(A575="","",IF(ISNUMBER(--LEFT(A575,FIND(" - ",A575&amp;" - ")-1)),LEFT(A575,FIND(" - ",A575&amp;" - ")-1),TRIM(A575)))</f>
        <v/>
      </c>
      <c r="M575">
        <f>IF(OR(K575="",K575=A575,A575=""),"",K575&amp;"|"&amp;L575)</f>
        <v/>
      </c>
      <c r="N575">
        <f>IF(M575="","",IF(ISNUMBER(B575),B575,IFERROR(_xlfn.NUMBERVALUE(B575,".",","),0)))</f>
        <v/>
      </c>
      <c r="O575">
        <f>IF(M575="","",IF(ISNUMBER(C575),C575,IFERROR(_xlfn.NUMBERVALUE(C575,".",","),0)))</f>
        <v/>
      </c>
    </row>
    <row r="576">
      <c r="K576">
        <f>IF(OR(LEFT(B576,9)="DOANH THU",LEFT(B576,8)="SỐ LƯỢNG"),A576,IF(A576="","",K575))</f>
        <v/>
      </c>
      <c r="L576">
        <f>IF(A576="","",IF(ISNUMBER(--LEFT(A576,FIND(" - ",A576&amp;" - ")-1)),LEFT(A576,FIND(" - ",A576&amp;" - ")-1),TRIM(A576)))</f>
        <v/>
      </c>
      <c r="M576">
        <f>IF(OR(K576="",K576=A576,A576=""),"",K576&amp;"|"&amp;L576)</f>
        <v/>
      </c>
      <c r="N576">
        <f>IF(M576="","",IF(ISNUMBER(B576),B576,IFERROR(_xlfn.NUMBERVALUE(B576,".",","),0)))</f>
        <v/>
      </c>
      <c r="O576">
        <f>IF(M576="","",IF(ISNUMBER(C576),C576,IFERROR(_xlfn.NUMBERVALUE(C576,".",","),0)))</f>
        <v/>
      </c>
    </row>
    <row r="577">
      <c r="K577">
        <f>IF(OR(LEFT(B577,9)="DOANH THU",LEFT(B577,8)="SỐ LƯỢNG"),A577,IF(A577="","",K576))</f>
        <v/>
      </c>
      <c r="L577">
        <f>IF(A577="","",IF(ISNUMBER(--LEFT(A577,FIND(" - ",A577&amp;" - ")-1)),LEFT(A577,FIND(" - ",A577&amp;" - ")-1),TRIM(A577)))</f>
        <v/>
      </c>
      <c r="M577">
        <f>IF(OR(K577="",K577=A577,A577=""),"",K577&amp;"|"&amp;L577)</f>
        <v/>
      </c>
      <c r="N577">
        <f>IF(M577="","",IF(ISNUMBER(B577),B577,IFERROR(_xlfn.NUMBERVALUE(B577,".",","),0)))</f>
        <v/>
      </c>
      <c r="O577">
        <f>IF(M577="","",IF(ISNUMBER(C577),C577,IFERROR(_xlfn.NUMBERVALUE(C577,".",","),0)))</f>
        <v/>
      </c>
    </row>
    <row r="578">
      <c r="K578">
        <f>IF(OR(LEFT(B578,9)="DOANH THU",LEFT(B578,8)="SỐ LƯỢNG"),A578,IF(A578="","",K577))</f>
        <v/>
      </c>
      <c r="L578">
        <f>IF(A578="","",IF(ISNUMBER(--LEFT(A578,FIND(" - ",A578&amp;" - ")-1)),LEFT(A578,FIND(" - ",A578&amp;" - ")-1),TRIM(A578)))</f>
        <v/>
      </c>
      <c r="M578">
        <f>IF(OR(K578="",K578=A578,A578=""),"",K578&amp;"|"&amp;L578)</f>
        <v/>
      </c>
      <c r="N578">
        <f>IF(M578="","",IF(ISNUMBER(B578),B578,IFERROR(_xlfn.NUMBERVALUE(B578,".",","),0)))</f>
        <v/>
      </c>
      <c r="O578">
        <f>IF(M578="","",IF(ISNUMBER(C578),C578,IFERROR(_xlfn.NUMBERVALUE(C578,".",","),0)))</f>
        <v/>
      </c>
    </row>
    <row r="579">
      <c r="K579">
        <f>IF(OR(LEFT(B579,9)="DOANH THU",LEFT(B579,8)="SỐ LƯỢNG"),A579,IF(A579="","",K578))</f>
        <v/>
      </c>
      <c r="L579">
        <f>IF(A579="","",IF(ISNUMBER(--LEFT(A579,FIND(" - ",A579&amp;" - ")-1)),LEFT(A579,FIND(" - ",A579&amp;" - ")-1),TRIM(A579)))</f>
        <v/>
      </c>
      <c r="M579">
        <f>IF(OR(K579="",K579=A579,A579=""),"",K579&amp;"|"&amp;L579)</f>
        <v/>
      </c>
      <c r="N579">
        <f>IF(M579="","",IF(ISNUMBER(B579),B579,IFERROR(_xlfn.NUMBERVALUE(B579,".",","),0)))</f>
        <v/>
      </c>
      <c r="O579">
        <f>IF(M579="","",IF(ISNUMBER(C579),C579,IFERROR(_xlfn.NUMBERVALUE(C579,".",","),0)))</f>
        <v/>
      </c>
    </row>
    <row r="580">
      <c r="K580">
        <f>IF(OR(LEFT(B580,9)="DOANH THU",LEFT(B580,8)="SỐ LƯỢNG"),A580,IF(A580="","",K579))</f>
        <v/>
      </c>
      <c r="L580">
        <f>IF(A580="","",IF(ISNUMBER(--LEFT(A580,FIND(" - ",A580&amp;" - ")-1)),LEFT(A580,FIND(" - ",A580&amp;" - ")-1),TRIM(A580)))</f>
        <v/>
      </c>
      <c r="M580">
        <f>IF(OR(K580="",K580=A580,A580=""),"",K580&amp;"|"&amp;L580)</f>
        <v/>
      </c>
      <c r="N580">
        <f>IF(M580="","",IF(ISNUMBER(B580),B580,IFERROR(_xlfn.NUMBERVALUE(B580,".",","),0)))</f>
        <v/>
      </c>
      <c r="O580">
        <f>IF(M580="","",IF(ISNUMBER(C580),C580,IFERROR(_xlfn.NUMBERVALUE(C580,".",","),0)))</f>
        <v/>
      </c>
    </row>
    <row r="581">
      <c r="K581">
        <f>IF(OR(LEFT(B581,9)="DOANH THU",LEFT(B581,8)="SỐ LƯỢNG"),A581,IF(A581="","",K580))</f>
        <v/>
      </c>
      <c r="L581">
        <f>IF(A581="","",IF(ISNUMBER(--LEFT(A581,FIND(" - ",A581&amp;" - ")-1)),LEFT(A581,FIND(" - ",A581&amp;" - ")-1),TRIM(A581)))</f>
        <v/>
      </c>
      <c r="M581">
        <f>IF(OR(K581="",K581=A581,A581=""),"",K581&amp;"|"&amp;L581)</f>
        <v/>
      </c>
      <c r="N581">
        <f>IF(M581="","",IF(ISNUMBER(B581),B581,IFERROR(_xlfn.NUMBERVALUE(B581,".",","),0)))</f>
        <v/>
      </c>
      <c r="O581">
        <f>IF(M581="","",IF(ISNUMBER(C581),C581,IFERROR(_xlfn.NUMBERVALUE(C581,".",","),0)))</f>
        <v/>
      </c>
    </row>
    <row r="582">
      <c r="K582">
        <f>IF(OR(LEFT(B582,9)="DOANH THU",LEFT(B582,8)="SỐ LƯỢNG"),A582,IF(A582="","",K581))</f>
        <v/>
      </c>
      <c r="L582">
        <f>IF(A582="","",IF(ISNUMBER(--LEFT(A582,FIND(" - ",A582&amp;" - ")-1)),LEFT(A582,FIND(" - ",A582&amp;" - ")-1),TRIM(A582)))</f>
        <v/>
      </c>
      <c r="M582">
        <f>IF(OR(K582="",K582=A582,A582=""),"",K582&amp;"|"&amp;L582)</f>
        <v/>
      </c>
      <c r="N582">
        <f>IF(M582="","",IF(ISNUMBER(B582),B582,IFERROR(_xlfn.NUMBERVALUE(B582,".",","),0)))</f>
        <v/>
      </c>
      <c r="O582">
        <f>IF(M582="","",IF(ISNUMBER(C582),C582,IFERROR(_xlfn.NUMBERVALUE(C582,".",","),0)))</f>
        <v/>
      </c>
    </row>
    <row r="583">
      <c r="K583">
        <f>IF(OR(LEFT(B583,9)="DOANH THU",LEFT(B583,8)="SỐ LƯỢNG"),A583,IF(A583="","",K582))</f>
        <v/>
      </c>
      <c r="L583">
        <f>IF(A583="","",IF(ISNUMBER(--LEFT(A583,FIND(" - ",A583&amp;" - ")-1)),LEFT(A583,FIND(" - ",A583&amp;" - ")-1),TRIM(A583)))</f>
        <v/>
      </c>
      <c r="M583">
        <f>IF(OR(K583="",K583=A583,A583=""),"",K583&amp;"|"&amp;L583)</f>
        <v/>
      </c>
      <c r="N583">
        <f>IF(M583="","",IF(ISNUMBER(B583),B583,IFERROR(_xlfn.NUMBERVALUE(B583,".",","),0)))</f>
        <v/>
      </c>
      <c r="O583">
        <f>IF(M583="","",IF(ISNUMBER(C583),C583,IFERROR(_xlfn.NUMBERVALUE(C583,".",","),0)))</f>
        <v/>
      </c>
    </row>
    <row r="584">
      <c r="K584">
        <f>IF(OR(LEFT(B584,9)="DOANH THU",LEFT(B584,8)="SỐ LƯỢNG"),A584,IF(A584="","",K583))</f>
        <v/>
      </c>
      <c r="L584">
        <f>IF(A584="","",IF(ISNUMBER(--LEFT(A584,FIND(" - ",A584&amp;" - ")-1)),LEFT(A584,FIND(" - ",A584&amp;" - ")-1),TRIM(A584)))</f>
        <v/>
      </c>
      <c r="M584">
        <f>IF(OR(K584="",K584=A584,A584=""),"",K584&amp;"|"&amp;L584)</f>
        <v/>
      </c>
      <c r="N584">
        <f>IF(M584="","",IF(ISNUMBER(B584),B584,IFERROR(_xlfn.NUMBERVALUE(B584,".",","),0)))</f>
        <v/>
      </c>
      <c r="O584">
        <f>IF(M584="","",IF(ISNUMBER(C584),C584,IFERROR(_xlfn.NUMBERVALUE(C584,".",","),0)))</f>
        <v/>
      </c>
    </row>
    <row r="585">
      <c r="K585">
        <f>IF(OR(LEFT(B585,9)="DOANH THU",LEFT(B585,8)="SỐ LƯỢNG"),A585,IF(A585="","",K584))</f>
        <v/>
      </c>
      <c r="L585">
        <f>IF(A585="","",IF(ISNUMBER(--LEFT(A585,FIND(" - ",A585&amp;" - ")-1)),LEFT(A585,FIND(" - ",A585&amp;" - ")-1),TRIM(A585)))</f>
        <v/>
      </c>
      <c r="M585">
        <f>IF(OR(K585="",K585=A585,A585=""),"",K585&amp;"|"&amp;L585)</f>
        <v/>
      </c>
      <c r="N585">
        <f>IF(M585="","",IF(ISNUMBER(B585),B585,IFERROR(_xlfn.NUMBERVALUE(B585,".",","),0)))</f>
        <v/>
      </c>
      <c r="O585">
        <f>IF(M585="","",IF(ISNUMBER(C585),C585,IFERROR(_xlfn.NUMBERVALUE(C585,".",","),0)))</f>
        <v/>
      </c>
    </row>
    <row r="586">
      <c r="K586">
        <f>IF(OR(LEFT(B586,9)="DOANH THU",LEFT(B586,8)="SỐ LƯỢNG"),A586,IF(A586="","",K585))</f>
        <v/>
      </c>
      <c r="L586">
        <f>IF(A586="","",IF(ISNUMBER(--LEFT(A586,FIND(" - ",A586&amp;" - ")-1)),LEFT(A586,FIND(" - ",A586&amp;" - ")-1),TRIM(A586)))</f>
        <v/>
      </c>
      <c r="M586">
        <f>IF(OR(K586="",K586=A586,A586=""),"",K586&amp;"|"&amp;L586)</f>
        <v/>
      </c>
      <c r="N586">
        <f>IF(M586="","",IF(ISNUMBER(B586),B586,IFERROR(_xlfn.NUMBERVALUE(B586,".",","),0)))</f>
        <v/>
      </c>
      <c r="O586">
        <f>IF(M586="","",IF(ISNUMBER(C586),C586,IFERROR(_xlfn.NUMBERVALUE(C586,".",","),0)))</f>
        <v/>
      </c>
    </row>
    <row r="587">
      <c r="K587">
        <f>IF(OR(LEFT(B587,9)="DOANH THU",LEFT(B587,8)="SỐ LƯỢNG"),A587,IF(A587="","",K586))</f>
        <v/>
      </c>
      <c r="L587">
        <f>IF(A587="","",IF(ISNUMBER(--LEFT(A587,FIND(" - ",A587&amp;" - ")-1)),LEFT(A587,FIND(" - ",A587&amp;" - ")-1),TRIM(A587)))</f>
        <v/>
      </c>
      <c r="M587">
        <f>IF(OR(K587="",K587=A587,A587=""),"",K587&amp;"|"&amp;L587)</f>
        <v/>
      </c>
      <c r="N587">
        <f>IF(M587="","",IF(ISNUMBER(B587),B587,IFERROR(_xlfn.NUMBERVALUE(B587,".",","),0)))</f>
        <v/>
      </c>
      <c r="O587">
        <f>IF(M587="","",IF(ISNUMBER(C587),C587,IFERROR(_xlfn.NUMBERVALUE(C587,".",","),0)))</f>
        <v/>
      </c>
    </row>
    <row r="588">
      <c r="K588">
        <f>IF(OR(LEFT(B588,9)="DOANH THU",LEFT(B588,8)="SỐ LƯỢNG"),A588,IF(A588="","",K587))</f>
        <v/>
      </c>
      <c r="L588">
        <f>IF(A588="","",IF(ISNUMBER(--LEFT(A588,FIND(" - ",A588&amp;" - ")-1)),LEFT(A588,FIND(" - ",A588&amp;" - ")-1),TRIM(A588)))</f>
        <v/>
      </c>
      <c r="M588">
        <f>IF(OR(K588="",K588=A588,A588=""),"",K588&amp;"|"&amp;L588)</f>
        <v/>
      </c>
      <c r="N588">
        <f>IF(M588="","",IF(ISNUMBER(B588),B588,IFERROR(_xlfn.NUMBERVALUE(B588,".",","),0)))</f>
        <v/>
      </c>
      <c r="O588">
        <f>IF(M588="","",IF(ISNUMBER(C588),C588,IFERROR(_xlfn.NUMBERVALUE(C588,".",","),0)))</f>
        <v/>
      </c>
    </row>
    <row r="589">
      <c r="K589">
        <f>IF(OR(LEFT(B589,9)="DOANH THU",LEFT(B589,8)="SỐ LƯỢNG"),A589,IF(A589="","",K588))</f>
        <v/>
      </c>
      <c r="L589">
        <f>IF(A589="","",IF(ISNUMBER(--LEFT(A589,FIND(" - ",A589&amp;" - ")-1)),LEFT(A589,FIND(" - ",A589&amp;" - ")-1),TRIM(A589)))</f>
        <v/>
      </c>
      <c r="M589">
        <f>IF(OR(K589="",K589=A589,A589=""),"",K589&amp;"|"&amp;L589)</f>
        <v/>
      </c>
      <c r="N589">
        <f>IF(M589="","",IF(ISNUMBER(B589),B589,IFERROR(_xlfn.NUMBERVALUE(B589,".",","),0)))</f>
        <v/>
      </c>
      <c r="O589">
        <f>IF(M589="","",IF(ISNUMBER(C589),C589,IFERROR(_xlfn.NUMBERVALUE(C589,".",","),0)))</f>
        <v/>
      </c>
    </row>
    <row r="590">
      <c r="K590">
        <f>IF(OR(LEFT(B590,9)="DOANH THU",LEFT(B590,8)="SỐ LƯỢNG"),A590,IF(A590="","",K589))</f>
        <v/>
      </c>
      <c r="L590">
        <f>IF(A590="","",IF(ISNUMBER(--LEFT(A590,FIND(" - ",A590&amp;" - ")-1)),LEFT(A590,FIND(" - ",A590&amp;" - ")-1),TRIM(A590)))</f>
        <v/>
      </c>
      <c r="M590">
        <f>IF(OR(K590="",K590=A590,A590=""),"",K590&amp;"|"&amp;L590)</f>
        <v/>
      </c>
      <c r="N590">
        <f>IF(M590="","",IF(ISNUMBER(B590),B590,IFERROR(_xlfn.NUMBERVALUE(B590,".",","),0)))</f>
        <v/>
      </c>
      <c r="O590">
        <f>IF(M590="","",IF(ISNUMBER(C590),C590,IFERROR(_xlfn.NUMBERVALUE(C590,".",","),0)))</f>
        <v/>
      </c>
    </row>
    <row r="591">
      <c r="K591">
        <f>IF(OR(LEFT(B591,9)="DOANH THU",LEFT(B591,8)="SỐ LƯỢNG"),A591,IF(A591="","",K590))</f>
        <v/>
      </c>
      <c r="L591">
        <f>IF(A591="","",IF(ISNUMBER(--LEFT(A591,FIND(" - ",A591&amp;" - ")-1)),LEFT(A591,FIND(" - ",A591&amp;" - ")-1),TRIM(A591)))</f>
        <v/>
      </c>
      <c r="M591">
        <f>IF(OR(K591="",K591=A591,A591=""),"",K591&amp;"|"&amp;L591)</f>
        <v/>
      </c>
      <c r="N591">
        <f>IF(M591="","",IF(ISNUMBER(B591),B591,IFERROR(_xlfn.NUMBERVALUE(B591,".",","),0)))</f>
        <v/>
      </c>
      <c r="O591">
        <f>IF(M591="","",IF(ISNUMBER(C591),C591,IFERROR(_xlfn.NUMBERVALUE(C591,".",","),0)))</f>
        <v/>
      </c>
    </row>
    <row r="592">
      <c r="K592">
        <f>IF(OR(LEFT(B592,9)="DOANH THU",LEFT(B592,8)="SỐ LƯỢNG"),A592,IF(A592="","",K591))</f>
        <v/>
      </c>
      <c r="L592">
        <f>IF(A592="","",IF(ISNUMBER(--LEFT(A592,FIND(" - ",A592&amp;" - ")-1)),LEFT(A592,FIND(" - ",A592&amp;" - ")-1),TRIM(A592)))</f>
        <v/>
      </c>
      <c r="M592">
        <f>IF(OR(K592="",K592=A592,A592=""),"",K592&amp;"|"&amp;L592)</f>
        <v/>
      </c>
      <c r="N592">
        <f>IF(M592="","",IF(ISNUMBER(B592),B592,IFERROR(_xlfn.NUMBERVALUE(B592,".",","),0)))</f>
        <v/>
      </c>
      <c r="O592">
        <f>IF(M592="","",IF(ISNUMBER(C592),C592,IFERROR(_xlfn.NUMBERVALUE(C592,".",","),0)))</f>
        <v/>
      </c>
    </row>
    <row r="593">
      <c r="K593">
        <f>IF(OR(LEFT(B593,9)="DOANH THU",LEFT(B593,8)="SỐ LƯỢNG"),A593,IF(A593="","",K592))</f>
        <v/>
      </c>
      <c r="L593">
        <f>IF(A593="","",IF(ISNUMBER(--LEFT(A593,FIND(" - ",A593&amp;" - ")-1)),LEFT(A593,FIND(" - ",A593&amp;" - ")-1),TRIM(A593)))</f>
        <v/>
      </c>
      <c r="M593">
        <f>IF(OR(K593="",K593=A593,A593=""),"",K593&amp;"|"&amp;L593)</f>
        <v/>
      </c>
      <c r="N593">
        <f>IF(M593="","",IF(ISNUMBER(B593),B593,IFERROR(_xlfn.NUMBERVALUE(B593,".",","),0)))</f>
        <v/>
      </c>
      <c r="O593">
        <f>IF(M593="","",IF(ISNUMBER(C593),C593,IFERROR(_xlfn.NUMBERVALUE(C593,".",","),0)))</f>
        <v/>
      </c>
    </row>
    <row r="594">
      <c r="K594">
        <f>IF(OR(LEFT(B594,9)="DOANH THU",LEFT(B594,8)="SỐ LƯỢNG"),A594,IF(A594="","",K593))</f>
        <v/>
      </c>
      <c r="L594">
        <f>IF(A594="","",IF(ISNUMBER(--LEFT(A594,FIND(" - ",A594&amp;" - ")-1)),LEFT(A594,FIND(" - ",A594&amp;" - ")-1),TRIM(A594)))</f>
        <v/>
      </c>
      <c r="M594">
        <f>IF(OR(K594="",K594=A594,A594=""),"",K594&amp;"|"&amp;L594)</f>
        <v/>
      </c>
      <c r="N594">
        <f>IF(M594="","",IF(ISNUMBER(B594),B594,IFERROR(_xlfn.NUMBERVALUE(B594,".",","),0)))</f>
        <v/>
      </c>
      <c r="O594">
        <f>IF(M594="","",IF(ISNUMBER(C594),C594,IFERROR(_xlfn.NUMBERVALUE(C594,".",","),0)))</f>
        <v/>
      </c>
    </row>
    <row r="595">
      <c r="K595">
        <f>IF(OR(LEFT(B595,9)="DOANH THU",LEFT(B595,8)="SỐ LƯỢNG"),A595,IF(A595="","",K594))</f>
        <v/>
      </c>
      <c r="L595">
        <f>IF(A595="","",IF(ISNUMBER(--LEFT(A595,FIND(" - ",A595&amp;" - ")-1)),LEFT(A595,FIND(" - ",A595&amp;" - ")-1),TRIM(A595)))</f>
        <v/>
      </c>
      <c r="M595">
        <f>IF(OR(K595="",K595=A595,A595=""),"",K595&amp;"|"&amp;L595)</f>
        <v/>
      </c>
      <c r="N595">
        <f>IF(M595="","",IF(ISNUMBER(B595),B595,IFERROR(_xlfn.NUMBERVALUE(B595,".",","),0)))</f>
        <v/>
      </c>
      <c r="O595">
        <f>IF(M595="","",IF(ISNUMBER(C595),C595,IFERROR(_xlfn.NUMBERVALUE(C595,".",","),0)))</f>
        <v/>
      </c>
    </row>
    <row r="596">
      <c r="K596">
        <f>IF(OR(LEFT(B596,9)="DOANH THU",LEFT(B596,8)="SỐ LƯỢNG"),A596,IF(A596="","",K595))</f>
        <v/>
      </c>
      <c r="L596">
        <f>IF(A596="","",IF(ISNUMBER(--LEFT(A596,FIND(" - ",A596&amp;" - ")-1)),LEFT(A596,FIND(" - ",A596&amp;" - ")-1),TRIM(A596)))</f>
        <v/>
      </c>
      <c r="M596">
        <f>IF(OR(K596="",K596=A596,A596=""),"",K596&amp;"|"&amp;L596)</f>
        <v/>
      </c>
      <c r="N596">
        <f>IF(M596="","",IF(ISNUMBER(B596),B596,IFERROR(_xlfn.NUMBERVALUE(B596,".",","),0)))</f>
        <v/>
      </c>
      <c r="O596">
        <f>IF(M596="","",IF(ISNUMBER(C596),C596,IFERROR(_xlfn.NUMBERVALUE(C596,".",","),0)))</f>
        <v/>
      </c>
    </row>
    <row r="597">
      <c r="K597">
        <f>IF(OR(LEFT(B597,9)="DOANH THU",LEFT(B597,8)="SỐ LƯỢNG"),A597,IF(A597="","",K596))</f>
        <v/>
      </c>
      <c r="L597">
        <f>IF(A597="","",IF(ISNUMBER(--LEFT(A597,FIND(" - ",A597&amp;" - ")-1)),LEFT(A597,FIND(" - ",A597&amp;" - ")-1),TRIM(A597)))</f>
        <v/>
      </c>
      <c r="M597">
        <f>IF(OR(K597="",K597=A597,A597=""),"",K597&amp;"|"&amp;L597)</f>
        <v/>
      </c>
      <c r="N597">
        <f>IF(M597="","",IF(ISNUMBER(B597),B597,IFERROR(_xlfn.NUMBERVALUE(B597,".",","),0)))</f>
        <v/>
      </c>
      <c r="O597">
        <f>IF(M597="","",IF(ISNUMBER(C597),C597,IFERROR(_xlfn.NUMBERVALUE(C597,".",","),0)))</f>
        <v/>
      </c>
    </row>
    <row r="598">
      <c r="K598">
        <f>IF(OR(LEFT(B598,9)="DOANH THU",LEFT(B598,8)="SỐ LƯỢNG"),A598,IF(A598="","",K597))</f>
        <v/>
      </c>
      <c r="L598">
        <f>IF(A598="","",IF(ISNUMBER(--LEFT(A598,FIND(" - ",A598&amp;" - ")-1)),LEFT(A598,FIND(" - ",A598&amp;" - ")-1),TRIM(A598)))</f>
        <v/>
      </c>
      <c r="M598">
        <f>IF(OR(K598="",K598=A598,A598=""),"",K598&amp;"|"&amp;L598)</f>
        <v/>
      </c>
      <c r="N598">
        <f>IF(M598="","",IF(ISNUMBER(B598),B598,IFERROR(_xlfn.NUMBERVALUE(B598,".",","),0)))</f>
        <v/>
      </c>
      <c r="O598">
        <f>IF(M598="","",IF(ISNUMBER(C598),C598,IFERROR(_xlfn.NUMBERVALUE(C598,".",","),0)))</f>
        <v/>
      </c>
    </row>
    <row r="599">
      <c r="K599">
        <f>IF(OR(LEFT(B599,9)="DOANH THU",LEFT(B599,8)="SỐ LƯỢNG"),A599,IF(A599="","",K598))</f>
        <v/>
      </c>
      <c r="L599">
        <f>IF(A599="","",IF(ISNUMBER(--LEFT(A599,FIND(" - ",A599&amp;" - ")-1)),LEFT(A599,FIND(" - ",A599&amp;" - ")-1),TRIM(A599)))</f>
        <v/>
      </c>
      <c r="M599">
        <f>IF(OR(K599="",K599=A599,A599=""),"",K599&amp;"|"&amp;L599)</f>
        <v/>
      </c>
      <c r="N599">
        <f>IF(M599="","",IF(ISNUMBER(B599),B599,IFERROR(_xlfn.NUMBERVALUE(B599,".",","),0)))</f>
        <v/>
      </c>
      <c r="O599">
        <f>IF(M599="","",IF(ISNUMBER(C599),C599,IFERROR(_xlfn.NUMBERVALUE(C599,".",","),0)))</f>
        <v/>
      </c>
    </row>
    <row r="600">
      <c r="K600">
        <f>IF(OR(LEFT(B600,9)="DOANH THU",LEFT(B600,8)="SỐ LƯỢNG"),A600,IF(A600="","",K599))</f>
        <v/>
      </c>
      <c r="L600">
        <f>IF(A600="","",IF(ISNUMBER(--LEFT(A600,FIND(" - ",A600&amp;" - ")-1)),LEFT(A600,FIND(" - ",A600&amp;" - ")-1),TRIM(A600)))</f>
        <v/>
      </c>
      <c r="M600">
        <f>IF(OR(K600="",K600=A600,A600=""),"",K600&amp;"|"&amp;L600)</f>
        <v/>
      </c>
      <c r="N600">
        <f>IF(M600="","",IF(ISNUMBER(B600),B600,IFERROR(_xlfn.NUMBERVALUE(B600,".",","),0)))</f>
        <v/>
      </c>
      <c r="O600">
        <f>IF(M600="","",IF(ISNUMBER(C600),C600,IFERROR(_xlfn.NUMBERVALUE(C600,".",","),0)))</f>
        <v/>
      </c>
    </row>
    <row r="601">
      <c r="K601">
        <f>IF(OR(LEFT(B601,9)="DOANH THU",LEFT(B601,8)="SỐ LƯỢNG"),A601,IF(A601="","",K600))</f>
        <v/>
      </c>
      <c r="L601">
        <f>IF(A601="","",IF(ISNUMBER(--LEFT(A601,FIND(" - ",A601&amp;" - ")-1)),LEFT(A601,FIND(" - ",A601&amp;" - ")-1),TRIM(A601)))</f>
        <v/>
      </c>
      <c r="M601">
        <f>IF(OR(K601="",K601=A601,A601=""),"",K601&amp;"|"&amp;L601)</f>
        <v/>
      </c>
      <c r="N601">
        <f>IF(M601="","",IF(ISNUMBER(B601),B601,IFERROR(_xlfn.NUMBERVALUE(B601,".",","),0)))</f>
        <v/>
      </c>
      <c r="O601">
        <f>IF(M601="","",IF(ISNUMBER(C601),C601,IFERROR(_xlfn.NUMBERVALUE(C601,".",","),0)))</f>
        <v/>
      </c>
    </row>
    <row r="602">
      <c r="K602">
        <f>IF(OR(LEFT(B602,9)="DOANH THU",LEFT(B602,8)="SỐ LƯỢNG"),A602,IF(A602="","",K601))</f>
        <v/>
      </c>
      <c r="L602">
        <f>IF(A602="","",IF(ISNUMBER(--LEFT(A602,FIND(" - ",A602&amp;" - ")-1)),LEFT(A602,FIND(" - ",A602&amp;" - ")-1),TRIM(A602)))</f>
        <v/>
      </c>
      <c r="M602">
        <f>IF(OR(K602="",K602=A602,A602=""),"",K602&amp;"|"&amp;L602)</f>
        <v/>
      </c>
      <c r="N602">
        <f>IF(M602="","",IF(ISNUMBER(B602),B602,IFERROR(_xlfn.NUMBERVALUE(B602,".",","),0)))</f>
        <v/>
      </c>
      <c r="O602">
        <f>IF(M602="","",IF(ISNUMBER(C602),C602,IFERROR(_xlfn.NUMBERVALUE(C602,".",","),0)))</f>
        <v/>
      </c>
    </row>
    <row r="603">
      <c r="K603">
        <f>IF(OR(LEFT(B603,9)="DOANH THU",LEFT(B603,8)="SỐ LƯỢNG"),A603,IF(A603="","",K602))</f>
        <v/>
      </c>
      <c r="L603">
        <f>IF(A603="","",IF(ISNUMBER(--LEFT(A603,FIND(" - ",A603&amp;" - ")-1)),LEFT(A603,FIND(" - ",A603&amp;" - ")-1),TRIM(A603)))</f>
        <v/>
      </c>
      <c r="M603">
        <f>IF(OR(K603="",K603=A603,A603=""),"",K603&amp;"|"&amp;L603)</f>
        <v/>
      </c>
      <c r="N603">
        <f>IF(M603="","",IF(ISNUMBER(B603),B603,IFERROR(_xlfn.NUMBERVALUE(B603,".",","),0)))</f>
        <v/>
      </c>
      <c r="O603">
        <f>IF(M603="","",IF(ISNUMBER(C603),C603,IFERROR(_xlfn.NUMBERVALUE(C603,".",","),0)))</f>
        <v/>
      </c>
    </row>
    <row r="604">
      <c r="K604">
        <f>IF(OR(LEFT(B604,9)="DOANH THU",LEFT(B604,8)="SỐ LƯỢNG"),A604,IF(A604="","",K603))</f>
        <v/>
      </c>
      <c r="L604">
        <f>IF(A604="","",IF(ISNUMBER(--LEFT(A604,FIND(" - ",A604&amp;" - ")-1)),LEFT(A604,FIND(" - ",A604&amp;" - ")-1),TRIM(A604)))</f>
        <v/>
      </c>
      <c r="M604">
        <f>IF(OR(K604="",K604=A604,A604=""),"",K604&amp;"|"&amp;L604)</f>
        <v/>
      </c>
      <c r="N604">
        <f>IF(M604="","",IF(ISNUMBER(B604),B604,IFERROR(_xlfn.NUMBERVALUE(B604,".",","),0)))</f>
        <v/>
      </c>
      <c r="O604">
        <f>IF(M604="","",IF(ISNUMBER(C604),C604,IFERROR(_xlfn.NUMBERVALUE(C604,".",","),0)))</f>
        <v/>
      </c>
    </row>
    <row r="605">
      <c r="K605">
        <f>IF(OR(LEFT(B605,9)="DOANH THU",LEFT(B605,8)="SỐ LƯỢNG"),A605,IF(A605="","",K604))</f>
        <v/>
      </c>
      <c r="L605">
        <f>IF(A605="","",IF(ISNUMBER(--LEFT(A605,FIND(" - ",A605&amp;" - ")-1)),LEFT(A605,FIND(" - ",A605&amp;" - ")-1),TRIM(A605)))</f>
        <v/>
      </c>
      <c r="M605">
        <f>IF(OR(K605="",K605=A605,A605=""),"",K605&amp;"|"&amp;L605)</f>
        <v/>
      </c>
      <c r="N605">
        <f>IF(M605="","",IF(ISNUMBER(B605),B605,IFERROR(_xlfn.NUMBERVALUE(B605,".",","),0)))</f>
        <v/>
      </c>
      <c r="O605">
        <f>IF(M605="","",IF(ISNUMBER(C605),C605,IFERROR(_xlfn.NUMBERVALUE(C605,".",","),0)))</f>
        <v/>
      </c>
    </row>
    <row r="606">
      <c r="K606">
        <f>IF(OR(LEFT(B606,9)="DOANH THU",LEFT(B606,8)="SỐ LƯỢNG"),A606,IF(A606="","",K605))</f>
        <v/>
      </c>
      <c r="L606">
        <f>IF(A606="","",IF(ISNUMBER(--LEFT(A606,FIND(" - ",A606&amp;" - ")-1)),LEFT(A606,FIND(" - ",A606&amp;" - ")-1),TRIM(A606)))</f>
        <v/>
      </c>
      <c r="M606">
        <f>IF(OR(K606="",K606=A606,A606=""),"",K606&amp;"|"&amp;L606)</f>
        <v/>
      </c>
      <c r="N606">
        <f>IF(M606="","",IF(ISNUMBER(B606),B606,IFERROR(_xlfn.NUMBERVALUE(B606,".",","),0)))</f>
        <v/>
      </c>
      <c r="O606">
        <f>IF(M606="","",IF(ISNUMBER(C606),C606,IFERROR(_xlfn.NUMBERVALUE(C606,".",","),0)))</f>
        <v/>
      </c>
    </row>
    <row r="607">
      <c r="K607">
        <f>IF(OR(LEFT(B607,9)="DOANH THU",LEFT(B607,8)="SỐ LƯỢNG"),A607,IF(A607="","",K606))</f>
        <v/>
      </c>
      <c r="L607">
        <f>IF(A607="","",IF(ISNUMBER(--LEFT(A607,FIND(" - ",A607&amp;" - ")-1)),LEFT(A607,FIND(" - ",A607&amp;" - ")-1),TRIM(A607)))</f>
        <v/>
      </c>
      <c r="M607">
        <f>IF(OR(K607="",K607=A607,A607=""),"",K607&amp;"|"&amp;L607)</f>
        <v/>
      </c>
      <c r="N607">
        <f>IF(M607="","",IF(ISNUMBER(B607),B607,IFERROR(_xlfn.NUMBERVALUE(B607,".",","),0)))</f>
        <v/>
      </c>
      <c r="O607">
        <f>IF(M607="","",IF(ISNUMBER(C607),C607,IFERROR(_xlfn.NUMBERVALUE(C607,".",","),0)))</f>
        <v/>
      </c>
    </row>
    <row r="608">
      <c r="K608">
        <f>IF(OR(LEFT(B608,9)="DOANH THU",LEFT(B608,8)="SỐ LƯỢNG"),A608,IF(A608="","",K607))</f>
        <v/>
      </c>
      <c r="L608">
        <f>IF(A608="","",IF(ISNUMBER(--LEFT(A608,FIND(" - ",A608&amp;" - ")-1)),LEFT(A608,FIND(" - ",A608&amp;" - ")-1),TRIM(A608)))</f>
        <v/>
      </c>
      <c r="M608">
        <f>IF(OR(K608="",K608=A608,A608=""),"",K608&amp;"|"&amp;L608)</f>
        <v/>
      </c>
      <c r="N608">
        <f>IF(M608="","",IF(ISNUMBER(B608),B608,IFERROR(_xlfn.NUMBERVALUE(B608,".",","),0)))</f>
        <v/>
      </c>
      <c r="O608">
        <f>IF(M608="","",IF(ISNUMBER(C608),C608,IFERROR(_xlfn.NUMBERVALUE(C608,".",","),0)))</f>
        <v/>
      </c>
    </row>
    <row r="609">
      <c r="K609">
        <f>IF(OR(LEFT(B609,9)="DOANH THU",LEFT(B609,8)="SỐ LƯỢNG"),A609,IF(A609="","",K608))</f>
        <v/>
      </c>
      <c r="L609">
        <f>IF(A609="","",IF(ISNUMBER(--LEFT(A609,FIND(" - ",A609&amp;" - ")-1)),LEFT(A609,FIND(" - ",A609&amp;" - ")-1),TRIM(A609)))</f>
        <v/>
      </c>
      <c r="M609">
        <f>IF(OR(K609="",K609=A609,A609=""),"",K609&amp;"|"&amp;L609)</f>
        <v/>
      </c>
      <c r="N609">
        <f>IF(M609="","",IF(ISNUMBER(B609),B609,IFERROR(_xlfn.NUMBERVALUE(B609,".",","),0)))</f>
        <v/>
      </c>
      <c r="O609">
        <f>IF(M609="","",IF(ISNUMBER(C609),C609,IFERROR(_xlfn.NUMBERVALUE(C609,".",","),0)))</f>
        <v/>
      </c>
    </row>
    <row r="610">
      <c r="K610">
        <f>IF(OR(LEFT(B610,9)="DOANH THU",LEFT(B610,8)="SỐ LƯỢNG"),A610,IF(A610="","",K609))</f>
        <v/>
      </c>
      <c r="L610">
        <f>IF(A610="","",IF(ISNUMBER(--LEFT(A610,FIND(" - ",A610&amp;" - ")-1)),LEFT(A610,FIND(" - ",A610&amp;" - ")-1),TRIM(A610)))</f>
        <v/>
      </c>
      <c r="M610">
        <f>IF(OR(K610="",K610=A610,A610=""),"",K610&amp;"|"&amp;L610)</f>
        <v/>
      </c>
      <c r="N610">
        <f>IF(M610="","",IF(ISNUMBER(B610),B610,IFERROR(_xlfn.NUMBERVALUE(B610,".",","),0)))</f>
        <v/>
      </c>
      <c r="O610">
        <f>IF(M610="","",IF(ISNUMBER(C610),C610,IFERROR(_xlfn.NUMBERVALUE(C610,".",","),0)))</f>
        <v/>
      </c>
    </row>
    <row r="611">
      <c r="K611">
        <f>IF(OR(LEFT(B611,9)="DOANH THU",LEFT(B611,8)="SỐ LƯỢNG"),A611,IF(A611="","",K610))</f>
        <v/>
      </c>
      <c r="L611">
        <f>IF(A611="","",IF(ISNUMBER(--LEFT(A611,FIND(" - ",A611&amp;" - ")-1)),LEFT(A611,FIND(" - ",A611&amp;" - ")-1),TRIM(A611)))</f>
        <v/>
      </c>
      <c r="M611">
        <f>IF(OR(K611="",K611=A611,A611=""),"",K611&amp;"|"&amp;L611)</f>
        <v/>
      </c>
      <c r="N611">
        <f>IF(M611="","",IF(ISNUMBER(B611),B611,IFERROR(_xlfn.NUMBERVALUE(B611,".",","),0)))</f>
        <v/>
      </c>
      <c r="O611">
        <f>IF(M611="","",IF(ISNUMBER(C611),C611,IFERROR(_xlfn.NUMBERVALUE(C611,".",","),0)))</f>
        <v/>
      </c>
    </row>
    <row r="612">
      <c r="K612">
        <f>IF(OR(LEFT(B612,9)="DOANH THU",LEFT(B612,8)="SỐ LƯỢNG"),A612,IF(A612="","",K611))</f>
        <v/>
      </c>
      <c r="L612">
        <f>IF(A612="","",IF(ISNUMBER(--LEFT(A612,FIND(" - ",A612&amp;" - ")-1)),LEFT(A612,FIND(" - ",A612&amp;" - ")-1),TRIM(A612)))</f>
        <v/>
      </c>
      <c r="M612">
        <f>IF(OR(K612="",K612=A612,A612=""),"",K612&amp;"|"&amp;L612)</f>
        <v/>
      </c>
      <c r="N612">
        <f>IF(M612="","",IF(ISNUMBER(B612),B612,IFERROR(_xlfn.NUMBERVALUE(B612,".",","),0)))</f>
        <v/>
      </c>
      <c r="O612">
        <f>IF(M612="","",IF(ISNUMBER(C612),C612,IFERROR(_xlfn.NUMBERVALUE(C612,".",","),0)))</f>
        <v/>
      </c>
    </row>
    <row r="613">
      <c r="K613">
        <f>IF(OR(LEFT(B613,9)="DOANH THU",LEFT(B613,8)="SỐ LƯỢNG"),A613,IF(A613="","",K612))</f>
        <v/>
      </c>
      <c r="L613">
        <f>IF(A613="","",IF(ISNUMBER(--LEFT(A613,FIND(" - ",A613&amp;" - ")-1)),LEFT(A613,FIND(" - ",A613&amp;" - ")-1),TRIM(A613)))</f>
        <v/>
      </c>
      <c r="M613">
        <f>IF(OR(K613="",K613=A613,A613=""),"",K613&amp;"|"&amp;L613)</f>
        <v/>
      </c>
      <c r="N613">
        <f>IF(M613="","",IF(ISNUMBER(B613),B613,IFERROR(_xlfn.NUMBERVALUE(B613,".",","),0)))</f>
        <v/>
      </c>
      <c r="O613">
        <f>IF(M613="","",IF(ISNUMBER(C613),C613,IFERROR(_xlfn.NUMBERVALUE(C613,".",","),0)))</f>
        <v/>
      </c>
    </row>
    <row r="614">
      <c r="K614">
        <f>IF(OR(LEFT(B614,9)="DOANH THU",LEFT(B614,8)="SỐ LƯỢNG"),A614,IF(A614="","",K613))</f>
        <v/>
      </c>
      <c r="L614">
        <f>IF(A614="","",IF(ISNUMBER(--LEFT(A614,FIND(" - ",A614&amp;" - ")-1)),LEFT(A614,FIND(" - ",A614&amp;" - ")-1),TRIM(A614)))</f>
        <v/>
      </c>
      <c r="M614">
        <f>IF(OR(K614="",K614=A614,A614=""),"",K614&amp;"|"&amp;L614)</f>
        <v/>
      </c>
      <c r="N614">
        <f>IF(M614="","",IF(ISNUMBER(B614),B614,IFERROR(_xlfn.NUMBERVALUE(B614,".",","),0)))</f>
        <v/>
      </c>
      <c r="O614">
        <f>IF(M614="","",IF(ISNUMBER(C614),C614,IFERROR(_xlfn.NUMBERVALUE(C614,".",","),0)))</f>
        <v/>
      </c>
    </row>
    <row r="615">
      <c r="K615">
        <f>IF(OR(LEFT(B615,9)="DOANH THU",LEFT(B615,8)="SỐ LƯỢNG"),A615,IF(A615="","",K614))</f>
        <v/>
      </c>
      <c r="L615">
        <f>IF(A615="","",IF(ISNUMBER(--LEFT(A615,FIND(" - ",A615&amp;" - ")-1)),LEFT(A615,FIND(" - ",A615&amp;" - ")-1),TRIM(A615)))</f>
        <v/>
      </c>
      <c r="M615">
        <f>IF(OR(K615="",K615=A615,A615=""),"",K615&amp;"|"&amp;L615)</f>
        <v/>
      </c>
      <c r="N615">
        <f>IF(M615="","",IF(ISNUMBER(B615),B615,IFERROR(_xlfn.NUMBERVALUE(B615,".",","),0)))</f>
        <v/>
      </c>
      <c r="O615">
        <f>IF(M615="","",IF(ISNUMBER(C615),C615,IFERROR(_xlfn.NUMBERVALUE(C615,".",","),0)))</f>
        <v/>
      </c>
    </row>
    <row r="616">
      <c r="K616">
        <f>IF(OR(LEFT(B616,9)="DOANH THU",LEFT(B616,8)="SỐ LƯỢNG"),A616,IF(A616="","",K615))</f>
        <v/>
      </c>
      <c r="L616">
        <f>IF(A616="","",IF(ISNUMBER(--LEFT(A616,FIND(" - ",A616&amp;" - ")-1)),LEFT(A616,FIND(" - ",A616&amp;" - ")-1),TRIM(A616)))</f>
        <v/>
      </c>
      <c r="M616">
        <f>IF(OR(K616="",K616=A616,A616=""),"",K616&amp;"|"&amp;L616)</f>
        <v/>
      </c>
      <c r="N616">
        <f>IF(M616="","",IF(ISNUMBER(B616),B616,IFERROR(_xlfn.NUMBERVALUE(B616,".",","),0)))</f>
        <v/>
      </c>
      <c r="O616">
        <f>IF(M616="","",IF(ISNUMBER(C616),C616,IFERROR(_xlfn.NUMBERVALUE(C616,".",","),0)))</f>
        <v/>
      </c>
    </row>
    <row r="617">
      <c r="K617">
        <f>IF(OR(LEFT(B617,9)="DOANH THU",LEFT(B617,8)="SỐ LƯỢNG"),A617,IF(A617="","",K616))</f>
        <v/>
      </c>
      <c r="L617">
        <f>IF(A617="","",IF(ISNUMBER(--LEFT(A617,FIND(" - ",A617&amp;" - ")-1)),LEFT(A617,FIND(" - ",A617&amp;" - ")-1),TRIM(A617)))</f>
        <v/>
      </c>
      <c r="M617">
        <f>IF(OR(K617="",K617=A617,A617=""),"",K617&amp;"|"&amp;L617)</f>
        <v/>
      </c>
      <c r="N617">
        <f>IF(M617="","",IF(ISNUMBER(B617),B617,IFERROR(_xlfn.NUMBERVALUE(B617,".",","),0)))</f>
        <v/>
      </c>
      <c r="O617">
        <f>IF(M617="","",IF(ISNUMBER(C617),C617,IFERROR(_xlfn.NUMBERVALUE(C617,".",","),0)))</f>
        <v/>
      </c>
    </row>
    <row r="618">
      <c r="K618">
        <f>IF(OR(LEFT(B618,9)="DOANH THU",LEFT(B618,8)="SỐ LƯỢNG"),A618,IF(A618="","",K617))</f>
        <v/>
      </c>
      <c r="L618">
        <f>IF(A618="","",IF(ISNUMBER(--LEFT(A618,FIND(" - ",A618&amp;" - ")-1)),LEFT(A618,FIND(" - ",A618&amp;" - ")-1),TRIM(A618)))</f>
        <v/>
      </c>
      <c r="M618">
        <f>IF(OR(K618="",K618=A618,A618=""),"",K618&amp;"|"&amp;L618)</f>
        <v/>
      </c>
      <c r="N618">
        <f>IF(M618="","",IF(ISNUMBER(B618),B618,IFERROR(_xlfn.NUMBERVALUE(B618,".",","),0)))</f>
        <v/>
      </c>
      <c r="O618">
        <f>IF(M618="","",IF(ISNUMBER(C618),C618,IFERROR(_xlfn.NUMBERVALUE(C618,".",","),0)))</f>
        <v/>
      </c>
    </row>
    <row r="619">
      <c r="K619">
        <f>IF(OR(LEFT(B619,9)="DOANH THU",LEFT(B619,8)="SỐ LƯỢNG"),A619,IF(A619="","",K618))</f>
        <v/>
      </c>
      <c r="L619">
        <f>IF(A619="","",IF(ISNUMBER(--LEFT(A619,FIND(" - ",A619&amp;" - ")-1)),LEFT(A619,FIND(" - ",A619&amp;" - ")-1),TRIM(A619)))</f>
        <v/>
      </c>
      <c r="M619">
        <f>IF(OR(K619="",K619=A619,A619=""),"",K619&amp;"|"&amp;L619)</f>
        <v/>
      </c>
      <c r="N619">
        <f>IF(M619="","",IF(ISNUMBER(B619),B619,IFERROR(_xlfn.NUMBERVALUE(B619,".",","),0)))</f>
        <v/>
      </c>
      <c r="O619">
        <f>IF(M619="","",IF(ISNUMBER(C619),C619,IFERROR(_xlfn.NUMBERVALUE(C619,".",","),0)))</f>
        <v/>
      </c>
    </row>
    <row r="620">
      <c r="K620">
        <f>IF(OR(LEFT(B620,9)="DOANH THU",LEFT(B620,8)="SỐ LƯỢNG"),A620,IF(A620="","",K619))</f>
        <v/>
      </c>
      <c r="L620">
        <f>IF(A620="","",IF(ISNUMBER(--LEFT(A620,FIND(" - ",A620&amp;" - ")-1)),LEFT(A620,FIND(" - ",A620&amp;" - ")-1),TRIM(A620)))</f>
        <v/>
      </c>
      <c r="M620">
        <f>IF(OR(K620="",K620=A620,A620=""),"",K620&amp;"|"&amp;L620)</f>
        <v/>
      </c>
      <c r="N620">
        <f>IF(M620="","",IF(ISNUMBER(B620),B620,IFERROR(_xlfn.NUMBERVALUE(B620,".",","),0)))</f>
        <v/>
      </c>
      <c r="O620">
        <f>IF(M620="","",IF(ISNUMBER(C620),C620,IFERROR(_xlfn.NUMBERVALUE(C620,".",","),0)))</f>
        <v/>
      </c>
    </row>
    <row r="621">
      <c r="K621">
        <f>IF(OR(LEFT(B621,9)="DOANH THU",LEFT(B621,8)="SỐ LƯỢNG"),A621,IF(A621="","",K620))</f>
        <v/>
      </c>
      <c r="L621">
        <f>IF(A621="","",IF(ISNUMBER(--LEFT(A621,FIND(" - ",A621&amp;" - ")-1)),LEFT(A621,FIND(" - ",A621&amp;" - ")-1),TRIM(A621)))</f>
        <v/>
      </c>
      <c r="M621">
        <f>IF(OR(K621="",K621=A621,A621=""),"",K621&amp;"|"&amp;L621)</f>
        <v/>
      </c>
      <c r="N621">
        <f>IF(M621="","",IF(ISNUMBER(B621),B621,IFERROR(_xlfn.NUMBERVALUE(B621,".",","),0)))</f>
        <v/>
      </c>
      <c r="O621">
        <f>IF(M621="","",IF(ISNUMBER(C621),C621,IFERROR(_xlfn.NUMBERVALUE(C621,".",","),0)))</f>
        <v/>
      </c>
    </row>
    <row r="622">
      <c r="K622">
        <f>IF(OR(LEFT(B622,9)="DOANH THU",LEFT(B622,8)="SỐ LƯỢNG"),A622,IF(A622="","",K621))</f>
        <v/>
      </c>
      <c r="L622">
        <f>IF(A622="","",IF(ISNUMBER(--LEFT(A622,FIND(" - ",A622&amp;" - ")-1)),LEFT(A622,FIND(" - ",A622&amp;" - ")-1),TRIM(A622)))</f>
        <v/>
      </c>
      <c r="M622">
        <f>IF(OR(K622="",K622=A622,A622=""),"",K622&amp;"|"&amp;L622)</f>
        <v/>
      </c>
      <c r="N622">
        <f>IF(M622="","",IF(ISNUMBER(B622),B622,IFERROR(_xlfn.NUMBERVALUE(B622,".",","),0)))</f>
        <v/>
      </c>
      <c r="O622">
        <f>IF(M622="","",IF(ISNUMBER(C622),C622,IFERROR(_xlfn.NUMBERVALUE(C622,".",","),0)))</f>
        <v/>
      </c>
    </row>
    <row r="623">
      <c r="K623">
        <f>IF(OR(LEFT(B623,9)="DOANH THU",LEFT(B623,8)="SỐ LƯỢNG"),A623,IF(A623="","",K622))</f>
        <v/>
      </c>
      <c r="L623">
        <f>IF(A623="","",IF(ISNUMBER(--LEFT(A623,FIND(" - ",A623&amp;" - ")-1)),LEFT(A623,FIND(" - ",A623&amp;" - ")-1),TRIM(A623)))</f>
        <v/>
      </c>
      <c r="M623">
        <f>IF(OR(K623="",K623=A623,A623=""),"",K623&amp;"|"&amp;L623)</f>
        <v/>
      </c>
      <c r="N623">
        <f>IF(M623="","",IF(ISNUMBER(B623),B623,IFERROR(_xlfn.NUMBERVALUE(B623,".",","),0)))</f>
        <v/>
      </c>
      <c r="O623">
        <f>IF(M623="","",IF(ISNUMBER(C623),C623,IFERROR(_xlfn.NUMBERVALUE(C623,".",","),0)))</f>
        <v/>
      </c>
    </row>
    <row r="624">
      <c r="K624">
        <f>IF(OR(LEFT(B624,9)="DOANH THU",LEFT(B624,8)="SỐ LƯỢNG"),A624,IF(A624="","",K623))</f>
        <v/>
      </c>
      <c r="L624">
        <f>IF(A624="","",IF(ISNUMBER(--LEFT(A624,FIND(" - ",A624&amp;" - ")-1)),LEFT(A624,FIND(" - ",A624&amp;" - ")-1),TRIM(A624)))</f>
        <v/>
      </c>
      <c r="M624">
        <f>IF(OR(K624="",K624=A624,A624=""),"",K624&amp;"|"&amp;L624)</f>
        <v/>
      </c>
      <c r="N624">
        <f>IF(M624="","",IF(ISNUMBER(B624),B624,IFERROR(_xlfn.NUMBERVALUE(B624,".",","),0)))</f>
        <v/>
      </c>
      <c r="O624">
        <f>IF(M624="","",IF(ISNUMBER(C624),C624,IFERROR(_xlfn.NUMBERVALUE(C624,".",","),0)))</f>
        <v/>
      </c>
    </row>
    <row r="625">
      <c r="K625">
        <f>IF(OR(LEFT(B625,9)="DOANH THU",LEFT(B625,8)="SỐ LƯỢNG"),A625,IF(A625="","",K624))</f>
        <v/>
      </c>
      <c r="L625">
        <f>IF(A625="","",IF(ISNUMBER(--LEFT(A625,FIND(" - ",A625&amp;" - ")-1)),LEFT(A625,FIND(" - ",A625&amp;" - ")-1),TRIM(A625)))</f>
        <v/>
      </c>
      <c r="M625">
        <f>IF(OR(K625="",K625=A625,A625=""),"",K625&amp;"|"&amp;L625)</f>
        <v/>
      </c>
      <c r="N625">
        <f>IF(M625="","",IF(ISNUMBER(B625),B625,IFERROR(_xlfn.NUMBERVALUE(B625,".",","),0)))</f>
        <v/>
      </c>
      <c r="O625">
        <f>IF(M625="","",IF(ISNUMBER(C625),C625,IFERROR(_xlfn.NUMBERVALUE(C625,".",","),0)))</f>
        <v/>
      </c>
    </row>
    <row r="626">
      <c r="K626">
        <f>IF(OR(LEFT(B626,9)="DOANH THU",LEFT(B626,8)="SỐ LƯỢNG"),A626,IF(A626="","",K625))</f>
        <v/>
      </c>
      <c r="L626">
        <f>IF(A626="","",IF(ISNUMBER(--LEFT(A626,FIND(" - ",A626&amp;" - ")-1)),LEFT(A626,FIND(" - ",A626&amp;" - ")-1),TRIM(A626)))</f>
        <v/>
      </c>
      <c r="M626">
        <f>IF(OR(K626="",K626=A626,A626=""),"",K626&amp;"|"&amp;L626)</f>
        <v/>
      </c>
      <c r="N626">
        <f>IF(M626="","",IF(ISNUMBER(B626),B626,IFERROR(_xlfn.NUMBERVALUE(B626,".",","),0)))</f>
        <v/>
      </c>
      <c r="O626">
        <f>IF(M626="","",IF(ISNUMBER(C626),C626,IFERROR(_xlfn.NUMBERVALUE(C626,".",","),0)))</f>
        <v/>
      </c>
    </row>
    <row r="627">
      <c r="K627">
        <f>IF(OR(LEFT(B627,9)="DOANH THU",LEFT(B627,8)="SỐ LƯỢNG"),A627,IF(A627="","",K626))</f>
        <v/>
      </c>
      <c r="L627">
        <f>IF(A627="","",IF(ISNUMBER(--LEFT(A627,FIND(" - ",A627&amp;" - ")-1)),LEFT(A627,FIND(" - ",A627&amp;" - ")-1),TRIM(A627)))</f>
        <v/>
      </c>
      <c r="M627">
        <f>IF(OR(K627="",K627=A627,A627=""),"",K627&amp;"|"&amp;L627)</f>
        <v/>
      </c>
      <c r="N627">
        <f>IF(M627="","",IF(ISNUMBER(B627),B627,IFERROR(_xlfn.NUMBERVALUE(B627,".",","),0)))</f>
        <v/>
      </c>
      <c r="O627">
        <f>IF(M627="","",IF(ISNUMBER(C627),C627,IFERROR(_xlfn.NUMBERVALUE(C627,".",","),0)))</f>
        <v/>
      </c>
    </row>
    <row r="628">
      <c r="K628">
        <f>IF(OR(LEFT(B628,9)="DOANH THU",LEFT(B628,8)="SỐ LƯỢNG"),A628,IF(A628="","",K627))</f>
        <v/>
      </c>
      <c r="L628">
        <f>IF(A628="","",IF(ISNUMBER(--LEFT(A628,FIND(" - ",A628&amp;" - ")-1)),LEFT(A628,FIND(" - ",A628&amp;" - ")-1),TRIM(A628)))</f>
        <v/>
      </c>
      <c r="M628">
        <f>IF(OR(K628="",K628=A628,A628=""),"",K628&amp;"|"&amp;L628)</f>
        <v/>
      </c>
      <c r="N628">
        <f>IF(M628="","",IF(ISNUMBER(B628),B628,IFERROR(_xlfn.NUMBERVALUE(B628,".",","),0)))</f>
        <v/>
      </c>
      <c r="O628">
        <f>IF(M628="","",IF(ISNUMBER(C628),C628,IFERROR(_xlfn.NUMBERVALUE(C628,".",","),0)))</f>
        <v/>
      </c>
    </row>
    <row r="629">
      <c r="K629">
        <f>IF(OR(LEFT(B629,9)="DOANH THU",LEFT(B629,8)="SỐ LƯỢNG"),A629,IF(A629="","",K628))</f>
        <v/>
      </c>
      <c r="L629">
        <f>IF(A629="","",IF(ISNUMBER(--LEFT(A629,FIND(" - ",A629&amp;" - ")-1)),LEFT(A629,FIND(" - ",A629&amp;" - ")-1),TRIM(A629)))</f>
        <v/>
      </c>
      <c r="M629">
        <f>IF(OR(K629="",K629=A629,A629=""),"",K629&amp;"|"&amp;L629)</f>
        <v/>
      </c>
      <c r="N629">
        <f>IF(M629="","",IF(ISNUMBER(B629),B629,IFERROR(_xlfn.NUMBERVALUE(B629,".",","),0)))</f>
        <v/>
      </c>
      <c r="O629">
        <f>IF(M629="","",IF(ISNUMBER(C629),C629,IFERROR(_xlfn.NUMBERVALUE(C629,".",","),0)))</f>
        <v/>
      </c>
    </row>
    <row r="630">
      <c r="K630">
        <f>IF(OR(LEFT(B630,9)="DOANH THU",LEFT(B630,8)="SỐ LƯỢNG"),A630,IF(A630="","",K629))</f>
        <v/>
      </c>
      <c r="L630">
        <f>IF(A630="","",IF(ISNUMBER(--LEFT(A630,FIND(" - ",A630&amp;" - ")-1)),LEFT(A630,FIND(" - ",A630&amp;" - ")-1),TRIM(A630)))</f>
        <v/>
      </c>
      <c r="M630">
        <f>IF(OR(K630="",K630=A630,A630=""),"",K630&amp;"|"&amp;L630)</f>
        <v/>
      </c>
      <c r="N630">
        <f>IF(M630="","",IF(ISNUMBER(B630),B630,IFERROR(_xlfn.NUMBERVALUE(B630,".",","),0)))</f>
        <v/>
      </c>
      <c r="O630">
        <f>IF(M630="","",IF(ISNUMBER(C630),C630,IFERROR(_xlfn.NUMBERVALUE(C630,".",","),0)))</f>
        <v/>
      </c>
    </row>
    <row r="631">
      <c r="K631">
        <f>IF(OR(LEFT(B631,9)="DOANH THU",LEFT(B631,8)="SỐ LƯỢNG"),A631,IF(A631="","",K630))</f>
        <v/>
      </c>
      <c r="L631">
        <f>IF(A631="","",IF(ISNUMBER(--LEFT(A631,FIND(" - ",A631&amp;" - ")-1)),LEFT(A631,FIND(" - ",A631&amp;" - ")-1),TRIM(A631)))</f>
        <v/>
      </c>
      <c r="M631">
        <f>IF(OR(K631="",K631=A631,A631=""),"",K631&amp;"|"&amp;L631)</f>
        <v/>
      </c>
      <c r="N631">
        <f>IF(M631="","",IF(ISNUMBER(B631),B631,IFERROR(_xlfn.NUMBERVALUE(B631,".",","),0)))</f>
        <v/>
      </c>
      <c r="O631">
        <f>IF(M631="","",IF(ISNUMBER(C631),C631,IFERROR(_xlfn.NUMBERVALUE(C631,".",","),0)))</f>
        <v/>
      </c>
    </row>
    <row r="632">
      <c r="K632">
        <f>IF(OR(LEFT(B632,9)="DOANH THU",LEFT(B632,8)="SỐ LƯỢNG"),A632,IF(A632="","",K631))</f>
        <v/>
      </c>
      <c r="L632">
        <f>IF(A632="","",IF(ISNUMBER(--LEFT(A632,FIND(" - ",A632&amp;" - ")-1)),LEFT(A632,FIND(" - ",A632&amp;" - ")-1),TRIM(A632)))</f>
        <v/>
      </c>
      <c r="M632">
        <f>IF(OR(K632="",K632=A632,A632=""),"",K632&amp;"|"&amp;L632)</f>
        <v/>
      </c>
      <c r="N632">
        <f>IF(M632="","",IF(ISNUMBER(B632),B632,IFERROR(_xlfn.NUMBERVALUE(B632,".",","),0)))</f>
        <v/>
      </c>
      <c r="O632">
        <f>IF(M632="","",IF(ISNUMBER(C632),C632,IFERROR(_xlfn.NUMBERVALUE(C632,".",","),0)))</f>
        <v/>
      </c>
    </row>
    <row r="633">
      <c r="K633">
        <f>IF(OR(LEFT(B633,9)="DOANH THU",LEFT(B633,8)="SỐ LƯỢNG"),A633,IF(A633="","",K632))</f>
        <v/>
      </c>
      <c r="L633">
        <f>IF(A633="","",IF(ISNUMBER(--LEFT(A633,FIND(" - ",A633&amp;" - ")-1)),LEFT(A633,FIND(" - ",A633&amp;" - ")-1),TRIM(A633)))</f>
        <v/>
      </c>
      <c r="M633">
        <f>IF(OR(K633="",K633=A633,A633=""),"",K633&amp;"|"&amp;L633)</f>
        <v/>
      </c>
      <c r="N633">
        <f>IF(M633="","",IF(ISNUMBER(B633),B633,IFERROR(_xlfn.NUMBERVALUE(B633,".",","),0)))</f>
        <v/>
      </c>
      <c r="O633">
        <f>IF(M633="","",IF(ISNUMBER(C633),C633,IFERROR(_xlfn.NUMBERVALUE(C633,".",","),0)))</f>
        <v/>
      </c>
    </row>
    <row r="634">
      <c r="K634">
        <f>IF(OR(LEFT(B634,9)="DOANH THU",LEFT(B634,8)="SỐ LƯỢNG"),A634,IF(A634="","",K633))</f>
        <v/>
      </c>
      <c r="L634">
        <f>IF(A634="","",IF(ISNUMBER(--LEFT(A634,FIND(" - ",A634&amp;" - ")-1)),LEFT(A634,FIND(" - ",A634&amp;" - ")-1),TRIM(A634)))</f>
        <v/>
      </c>
      <c r="M634">
        <f>IF(OR(K634="",K634=A634,A634=""),"",K634&amp;"|"&amp;L634)</f>
        <v/>
      </c>
      <c r="N634">
        <f>IF(M634="","",IF(ISNUMBER(B634),B634,IFERROR(_xlfn.NUMBERVALUE(B634,".",","),0)))</f>
        <v/>
      </c>
      <c r="O634">
        <f>IF(M634="","",IF(ISNUMBER(C634),C634,IFERROR(_xlfn.NUMBERVALUE(C634,".",","),0)))</f>
        <v/>
      </c>
    </row>
    <row r="635">
      <c r="K635">
        <f>IF(OR(LEFT(B635,9)="DOANH THU",LEFT(B635,8)="SỐ LƯỢNG"),A635,IF(A635="","",K634))</f>
        <v/>
      </c>
      <c r="L635">
        <f>IF(A635="","",IF(ISNUMBER(--LEFT(A635,FIND(" - ",A635&amp;" - ")-1)),LEFT(A635,FIND(" - ",A635&amp;" - ")-1),TRIM(A635)))</f>
        <v/>
      </c>
      <c r="M635">
        <f>IF(OR(K635="",K635=A635,A635=""),"",K635&amp;"|"&amp;L635)</f>
        <v/>
      </c>
      <c r="N635">
        <f>IF(M635="","",IF(ISNUMBER(B635),B635,IFERROR(_xlfn.NUMBERVALUE(B635,".",","),0)))</f>
        <v/>
      </c>
      <c r="O635">
        <f>IF(M635="","",IF(ISNUMBER(C635),C635,IFERROR(_xlfn.NUMBERVALUE(C635,".",","),0)))</f>
        <v/>
      </c>
    </row>
    <row r="636">
      <c r="K636">
        <f>IF(OR(LEFT(B636,9)="DOANH THU",LEFT(B636,8)="SỐ LƯỢNG"),A636,IF(A636="","",K635))</f>
        <v/>
      </c>
      <c r="L636">
        <f>IF(A636="","",IF(ISNUMBER(--LEFT(A636,FIND(" - ",A636&amp;" - ")-1)),LEFT(A636,FIND(" - ",A636&amp;" - ")-1),TRIM(A636)))</f>
        <v/>
      </c>
      <c r="M636">
        <f>IF(OR(K636="",K636=A636,A636=""),"",K636&amp;"|"&amp;L636)</f>
        <v/>
      </c>
      <c r="N636">
        <f>IF(M636="","",IF(ISNUMBER(B636),B636,IFERROR(_xlfn.NUMBERVALUE(B636,".",","),0)))</f>
        <v/>
      </c>
      <c r="O636">
        <f>IF(M636="","",IF(ISNUMBER(C636),C636,IFERROR(_xlfn.NUMBERVALUE(C636,".",","),0)))</f>
        <v/>
      </c>
    </row>
    <row r="637">
      <c r="K637">
        <f>IF(OR(LEFT(B637,9)="DOANH THU",LEFT(B637,8)="SỐ LƯỢNG"),A637,IF(A637="","",K636))</f>
        <v/>
      </c>
      <c r="L637">
        <f>IF(A637="","",IF(ISNUMBER(--LEFT(A637,FIND(" - ",A637&amp;" - ")-1)),LEFT(A637,FIND(" - ",A637&amp;" - ")-1),TRIM(A637)))</f>
        <v/>
      </c>
      <c r="M637">
        <f>IF(OR(K637="",K637=A637,A637=""),"",K637&amp;"|"&amp;L637)</f>
        <v/>
      </c>
      <c r="N637">
        <f>IF(M637="","",IF(ISNUMBER(B637),B637,IFERROR(_xlfn.NUMBERVALUE(B637,".",","),0)))</f>
        <v/>
      </c>
      <c r="O637">
        <f>IF(M637="","",IF(ISNUMBER(C637),C637,IFERROR(_xlfn.NUMBERVALUE(C637,".",","),0)))</f>
        <v/>
      </c>
    </row>
    <row r="638">
      <c r="K638">
        <f>IF(OR(LEFT(B638,9)="DOANH THU",LEFT(B638,8)="SỐ LƯỢNG"),A638,IF(A638="","",K637))</f>
        <v/>
      </c>
      <c r="L638">
        <f>IF(A638="","",IF(ISNUMBER(--LEFT(A638,FIND(" - ",A638&amp;" - ")-1)),LEFT(A638,FIND(" - ",A638&amp;" - ")-1),TRIM(A638)))</f>
        <v/>
      </c>
      <c r="M638">
        <f>IF(OR(K638="",K638=A638,A638=""),"",K638&amp;"|"&amp;L638)</f>
        <v/>
      </c>
      <c r="N638">
        <f>IF(M638="","",IF(ISNUMBER(B638),B638,IFERROR(_xlfn.NUMBERVALUE(B638,".",","),0)))</f>
        <v/>
      </c>
      <c r="O638">
        <f>IF(M638="","",IF(ISNUMBER(C638),C638,IFERROR(_xlfn.NUMBERVALUE(C638,".",","),0)))</f>
        <v/>
      </c>
    </row>
    <row r="639">
      <c r="K639">
        <f>IF(OR(LEFT(B639,9)="DOANH THU",LEFT(B639,8)="SỐ LƯỢNG"),A639,IF(A639="","",K638))</f>
        <v/>
      </c>
      <c r="L639">
        <f>IF(A639="","",IF(ISNUMBER(--LEFT(A639,FIND(" - ",A639&amp;" - ")-1)),LEFT(A639,FIND(" - ",A639&amp;" - ")-1),TRIM(A639)))</f>
        <v/>
      </c>
      <c r="M639">
        <f>IF(OR(K639="",K639=A639,A639=""),"",K639&amp;"|"&amp;L639)</f>
        <v/>
      </c>
      <c r="N639">
        <f>IF(M639="","",IF(ISNUMBER(B639),B639,IFERROR(_xlfn.NUMBERVALUE(B639,".",","),0)))</f>
        <v/>
      </c>
      <c r="O639">
        <f>IF(M639="","",IF(ISNUMBER(C639),C639,IFERROR(_xlfn.NUMBERVALUE(C639,".",","),0)))</f>
        <v/>
      </c>
    </row>
    <row r="640">
      <c r="K640">
        <f>IF(OR(LEFT(B640,9)="DOANH THU",LEFT(B640,8)="SỐ LƯỢNG"),A640,IF(A640="","",K639))</f>
        <v/>
      </c>
      <c r="L640">
        <f>IF(A640="","",IF(ISNUMBER(--LEFT(A640,FIND(" - ",A640&amp;" - ")-1)),LEFT(A640,FIND(" - ",A640&amp;" - ")-1),TRIM(A640)))</f>
        <v/>
      </c>
      <c r="M640">
        <f>IF(OR(K640="",K640=A640,A640=""),"",K640&amp;"|"&amp;L640)</f>
        <v/>
      </c>
      <c r="N640">
        <f>IF(M640="","",IF(ISNUMBER(B640),B640,IFERROR(_xlfn.NUMBERVALUE(B640,".",","),0)))</f>
        <v/>
      </c>
      <c r="O640">
        <f>IF(M640="","",IF(ISNUMBER(C640),C640,IFERROR(_xlfn.NUMBERVALUE(C640,".",","),0)))</f>
        <v/>
      </c>
    </row>
    <row r="641">
      <c r="K641">
        <f>IF(OR(LEFT(B641,9)="DOANH THU",LEFT(B641,8)="SỐ LƯỢNG"),A641,IF(A641="","",K640))</f>
        <v/>
      </c>
      <c r="L641">
        <f>IF(A641="","",IF(ISNUMBER(--LEFT(A641,FIND(" - ",A641&amp;" - ")-1)),LEFT(A641,FIND(" - ",A641&amp;" - ")-1),TRIM(A641)))</f>
        <v/>
      </c>
      <c r="M641">
        <f>IF(OR(K641="",K641=A641,A641=""),"",K641&amp;"|"&amp;L641)</f>
        <v/>
      </c>
      <c r="N641">
        <f>IF(M641="","",IF(ISNUMBER(B641),B641,IFERROR(_xlfn.NUMBERVALUE(B641,".",","),0)))</f>
        <v/>
      </c>
      <c r="O641">
        <f>IF(M641="","",IF(ISNUMBER(C641),C641,IFERROR(_xlfn.NUMBERVALUE(C641,".",","),0)))</f>
        <v/>
      </c>
    </row>
    <row r="642">
      <c r="K642">
        <f>IF(OR(LEFT(B642,9)="DOANH THU",LEFT(B642,8)="SỐ LƯỢNG"),A642,IF(A642="","",K641))</f>
        <v/>
      </c>
      <c r="L642">
        <f>IF(A642="","",IF(ISNUMBER(--LEFT(A642,FIND(" - ",A642&amp;" - ")-1)),LEFT(A642,FIND(" - ",A642&amp;" - ")-1),TRIM(A642)))</f>
        <v/>
      </c>
      <c r="M642">
        <f>IF(OR(K642="",K642=A642,A642=""),"",K642&amp;"|"&amp;L642)</f>
        <v/>
      </c>
      <c r="N642">
        <f>IF(M642="","",IF(ISNUMBER(B642),B642,IFERROR(_xlfn.NUMBERVALUE(B642,".",","),0)))</f>
        <v/>
      </c>
      <c r="O642">
        <f>IF(M642="","",IF(ISNUMBER(C642),C642,IFERROR(_xlfn.NUMBERVALUE(C642,".",","),0)))</f>
        <v/>
      </c>
    </row>
    <row r="643">
      <c r="K643">
        <f>IF(OR(LEFT(B643,9)="DOANH THU",LEFT(B643,8)="SỐ LƯỢNG"),A643,IF(A643="","",K642))</f>
        <v/>
      </c>
      <c r="L643">
        <f>IF(A643="","",IF(ISNUMBER(--LEFT(A643,FIND(" - ",A643&amp;" - ")-1)),LEFT(A643,FIND(" - ",A643&amp;" - ")-1),TRIM(A643)))</f>
        <v/>
      </c>
      <c r="M643">
        <f>IF(OR(K643="",K643=A643,A643=""),"",K643&amp;"|"&amp;L643)</f>
        <v/>
      </c>
      <c r="N643">
        <f>IF(M643="","",IF(ISNUMBER(B643),B643,IFERROR(_xlfn.NUMBERVALUE(B643,".",","),0)))</f>
        <v/>
      </c>
      <c r="O643">
        <f>IF(M643="","",IF(ISNUMBER(C643),C643,IFERROR(_xlfn.NUMBERVALUE(C643,".",","),0)))</f>
        <v/>
      </c>
    </row>
    <row r="644">
      <c r="K644">
        <f>IF(OR(LEFT(B644,9)="DOANH THU",LEFT(B644,8)="SỐ LƯỢNG"),A644,IF(A644="","",K643))</f>
        <v/>
      </c>
      <c r="L644">
        <f>IF(A644="","",IF(ISNUMBER(--LEFT(A644,FIND(" - ",A644&amp;" - ")-1)),LEFT(A644,FIND(" - ",A644&amp;" - ")-1),TRIM(A644)))</f>
        <v/>
      </c>
      <c r="M644">
        <f>IF(OR(K644="",K644=A644,A644=""),"",K644&amp;"|"&amp;L644)</f>
        <v/>
      </c>
      <c r="N644">
        <f>IF(M644="","",IF(ISNUMBER(B644),B644,IFERROR(_xlfn.NUMBERVALUE(B644,".",","),0)))</f>
        <v/>
      </c>
      <c r="O644">
        <f>IF(M644="","",IF(ISNUMBER(C644),C644,IFERROR(_xlfn.NUMBERVALUE(C644,".",","),0)))</f>
        <v/>
      </c>
    </row>
    <row r="645">
      <c r="K645">
        <f>IF(OR(LEFT(B645,9)="DOANH THU",LEFT(B645,8)="SỐ LƯỢNG"),A645,IF(A645="","",K644))</f>
        <v/>
      </c>
      <c r="L645">
        <f>IF(A645="","",IF(ISNUMBER(--LEFT(A645,FIND(" - ",A645&amp;" - ")-1)),LEFT(A645,FIND(" - ",A645&amp;" - ")-1),TRIM(A645)))</f>
        <v/>
      </c>
      <c r="M645">
        <f>IF(OR(K645="",K645=A645,A645=""),"",K645&amp;"|"&amp;L645)</f>
        <v/>
      </c>
      <c r="N645">
        <f>IF(M645="","",IF(ISNUMBER(B645),B645,IFERROR(_xlfn.NUMBERVALUE(B645,".",","),0)))</f>
        <v/>
      </c>
      <c r="O645">
        <f>IF(M645="","",IF(ISNUMBER(C645),C645,IFERROR(_xlfn.NUMBERVALUE(C645,".",","),0)))</f>
        <v/>
      </c>
    </row>
    <row r="646">
      <c r="K646">
        <f>IF(OR(LEFT(B646,9)="DOANH THU",LEFT(B646,8)="SỐ LƯỢNG"),A646,IF(A646="","",K645))</f>
        <v/>
      </c>
      <c r="L646">
        <f>IF(A646="","",IF(ISNUMBER(--LEFT(A646,FIND(" - ",A646&amp;" - ")-1)),LEFT(A646,FIND(" - ",A646&amp;" - ")-1),TRIM(A646)))</f>
        <v/>
      </c>
      <c r="M646">
        <f>IF(OR(K646="",K646=A646,A646=""),"",K646&amp;"|"&amp;L646)</f>
        <v/>
      </c>
      <c r="N646">
        <f>IF(M646="","",IF(ISNUMBER(B646),B646,IFERROR(_xlfn.NUMBERVALUE(B646,".",","),0)))</f>
        <v/>
      </c>
      <c r="O646">
        <f>IF(M646="","",IF(ISNUMBER(C646),C646,IFERROR(_xlfn.NUMBERVALUE(C646,".",","),0)))</f>
        <v/>
      </c>
    </row>
    <row r="647">
      <c r="K647">
        <f>IF(OR(LEFT(B647,9)="DOANH THU",LEFT(B647,8)="SỐ LƯỢNG"),A647,IF(A647="","",K646))</f>
        <v/>
      </c>
      <c r="L647">
        <f>IF(A647="","",IF(ISNUMBER(--LEFT(A647,FIND(" - ",A647&amp;" - ")-1)),LEFT(A647,FIND(" - ",A647&amp;" - ")-1),TRIM(A647)))</f>
        <v/>
      </c>
      <c r="M647">
        <f>IF(OR(K647="",K647=A647,A647=""),"",K647&amp;"|"&amp;L647)</f>
        <v/>
      </c>
      <c r="N647">
        <f>IF(M647="","",IF(ISNUMBER(B647),B647,IFERROR(_xlfn.NUMBERVALUE(B647,".",","),0)))</f>
        <v/>
      </c>
      <c r="O647">
        <f>IF(M647="","",IF(ISNUMBER(C647),C647,IFERROR(_xlfn.NUMBERVALUE(C647,".",","),0)))</f>
        <v/>
      </c>
    </row>
    <row r="648">
      <c r="K648">
        <f>IF(OR(LEFT(B648,9)="DOANH THU",LEFT(B648,8)="SỐ LƯỢNG"),A648,IF(A648="","",K647))</f>
        <v/>
      </c>
      <c r="L648">
        <f>IF(A648="","",IF(ISNUMBER(--LEFT(A648,FIND(" - ",A648&amp;" - ")-1)),LEFT(A648,FIND(" - ",A648&amp;" - ")-1),TRIM(A648)))</f>
        <v/>
      </c>
      <c r="M648">
        <f>IF(OR(K648="",K648=A648,A648=""),"",K648&amp;"|"&amp;L648)</f>
        <v/>
      </c>
      <c r="N648">
        <f>IF(M648="","",IF(ISNUMBER(B648),B648,IFERROR(_xlfn.NUMBERVALUE(B648,".",","),0)))</f>
        <v/>
      </c>
      <c r="O648">
        <f>IF(M648="","",IF(ISNUMBER(C648),C648,IFERROR(_xlfn.NUMBERVALUE(C648,".",","),0)))</f>
        <v/>
      </c>
    </row>
    <row r="649">
      <c r="K649">
        <f>IF(OR(LEFT(B649,9)="DOANH THU",LEFT(B649,8)="SỐ LƯỢNG"),A649,IF(A649="","",K648))</f>
        <v/>
      </c>
      <c r="L649">
        <f>IF(A649="","",IF(ISNUMBER(--LEFT(A649,FIND(" - ",A649&amp;" - ")-1)),LEFT(A649,FIND(" - ",A649&amp;" - ")-1),TRIM(A649)))</f>
        <v/>
      </c>
      <c r="M649">
        <f>IF(OR(K649="",K649=A649,A649=""),"",K649&amp;"|"&amp;L649)</f>
        <v/>
      </c>
      <c r="N649">
        <f>IF(M649="","",IF(ISNUMBER(B649),B649,IFERROR(_xlfn.NUMBERVALUE(B649,".",","),0)))</f>
        <v/>
      </c>
      <c r="O649">
        <f>IF(M649="","",IF(ISNUMBER(C649),C649,IFERROR(_xlfn.NUMBERVALUE(C649,".",","),0)))</f>
        <v/>
      </c>
    </row>
    <row r="650">
      <c r="K650">
        <f>IF(OR(LEFT(B650,9)="DOANH THU",LEFT(B650,8)="SỐ LƯỢNG"),A650,IF(A650="","",K649))</f>
        <v/>
      </c>
      <c r="L650">
        <f>IF(A650="","",IF(ISNUMBER(--LEFT(A650,FIND(" - ",A650&amp;" - ")-1)),LEFT(A650,FIND(" - ",A650&amp;" - ")-1),TRIM(A650)))</f>
        <v/>
      </c>
      <c r="M650">
        <f>IF(OR(K650="",K650=A650,A650=""),"",K650&amp;"|"&amp;L650)</f>
        <v/>
      </c>
      <c r="N650">
        <f>IF(M650="","",IF(ISNUMBER(B650),B650,IFERROR(_xlfn.NUMBERVALUE(B650,".",","),0)))</f>
        <v/>
      </c>
      <c r="O650">
        <f>IF(M650="","",IF(ISNUMBER(C650),C650,IFERROR(_xlfn.NUMBERVALUE(C650,".",","),0)))</f>
        <v/>
      </c>
    </row>
    <row r="651">
      <c r="K651">
        <f>IF(OR(LEFT(B651,9)="DOANH THU",LEFT(B651,8)="SỐ LƯỢNG"),A651,IF(A651="","",K650))</f>
        <v/>
      </c>
      <c r="L651">
        <f>IF(A651="","",IF(ISNUMBER(--LEFT(A651,FIND(" - ",A651&amp;" - ")-1)),LEFT(A651,FIND(" - ",A651&amp;" - ")-1),TRIM(A651)))</f>
        <v/>
      </c>
      <c r="M651">
        <f>IF(OR(K651="",K651=A651,A651=""),"",K651&amp;"|"&amp;L651)</f>
        <v/>
      </c>
      <c r="N651">
        <f>IF(M651="","",IF(ISNUMBER(B651),B651,IFERROR(_xlfn.NUMBERVALUE(B651,".",","),0)))</f>
        <v/>
      </c>
      <c r="O651">
        <f>IF(M651="","",IF(ISNUMBER(C651),C651,IFERROR(_xlfn.NUMBERVALUE(C651,".",","),0)))</f>
        <v/>
      </c>
    </row>
    <row r="652">
      <c r="K652">
        <f>IF(OR(LEFT(B652,9)="DOANH THU",LEFT(B652,8)="SỐ LƯỢNG"),A652,IF(A652="","",K651))</f>
        <v/>
      </c>
      <c r="L652">
        <f>IF(A652="","",IF(ISNUMBER(--LEFT(A652,FIND(" - ",A652&amp;" - ")-1)),LEFT(A652,FIND(" - ",A652&amp;" - ")-1),TRIM(A652)))</f>
        <v/>
      </c>
      <c r="M652">
        <f>IF(OR(K652="",K652=A652,A652=""),"",K652&amp;"|"&amp;L652)</f>
        <v/>
      </c>
      <c r="N652">
        <f>IF(M652="","",IF(ISNUMBER(B652),B652,IFERROR(_xlfn.NUMBERVALUE(B652,".",","),0)))</f>
        <v/>
      </c>
      <c r="O652">
        <f>IF(M652="","",IF(ISNUMBER(C652),C652,IFERROR(_xlfn.NUMBERVALUE(C652,".",","),0)))</f>
        <v/>
      </c>
    </row>
    <row r="653">
      <c r="K653">
        <f>IF(OR(LEFT(B653,9)="DOANH THU",LEFT(B653,8)="SỐ LƯỢNG"),A653,IF(A653="","",K652))</f>
        <v/>
      </c>
      <c r="L653">
        <f>IF(A653="","",IF(ISNUMBER(--LEFT(A653,FIND(" - ",A653&amp;" - ")-1)),LEFT(A653,FIND(" - ",A653&amp;" - ")-1),TRIM(A653)))</f>
        <v/>
      </c>
      <c r="M653">
        <f>IF(OR(K653="",K653=A653,A653=""),"",K653&amp;"|"&amp;L653)</f>
        <v/>
      </c>
      <c r="N653">
        <f>IF(M653="","",IF(ISNUMBER(B653),B653,IFERROR(_xlfn.NUMBERVALUE(B653,".",","),0)))</f>
        <v/>
      </c>
      <c r="O653">
        <f>IF(M653="","",IF(ISNUMBER(C653),C653,IFERROR(_xlfn.NUMBERVALUE(C653,".",","),0)))</f>
        <v/>
      </c>
    </row>
    <row r="654">
      <c r="K654">
        <f>IF(OR(LEFT(B654,9)="DOANH THU",LEFT(B654,8)="SỐ LƯỢNG"),A654,IF(A654="","",K653))</f>
        <v/>
      </c>
      <c r="L654">
        <f>IF(A654="","",IF(ISNUMBER(--LEFT(A654,FIND(" - ",A654&amp;" - ")-1)),LEFT(A654,FIND(" - ",A654&amp;" - ")-1),TRIM(A654)))</f>
        <v/>
      </c>
      <c r="M654">
        <f>IF(OR(K654="",K654=A654,A654=""),"",K654&amp;"|"&amp;L654)</f>
        <v/>
      </c>
      <c r="N654">
        <f>IF(M654="","",IF(ISNUMBER(B654),B654,IFERROR(_xlfn.NUMBERVALUE(B654,".",","),0)))</f>
        <v/>
      </c>
      <c r="O654">
        <f>IF(M654="","",IF(ISNUMBER(C654),C654,IFERROR(_xlfn.NUMBERVALUE(C654,".",","),0)))</f>
        <v/>
      </c>
    </row>
    <row r="655">
      <c r="K655">
        <f>IF(OR(LEFT(B655,9)="DOANH THU",LEFT(B655,8)="SỐ LƯỢNG"),A655,IF(A655="","",K654))</f>
        <v/>
      </c>
      <c r="L655">
        <f>IF(A655="","",IF(ISNUMBER(--LEFT(A655,FIND(" - ",A655&amp;" - ")-1)),LEFT(A655,FIND(" - ",A655&amp;" - ")-1),TRIM(A655)))</f>
        <v/>
      </c>
      <c r="M655">
        <f>IF(OR(K655="",K655=A655,A655=""),"",K655&amp;"|"&amp;L655)</f>
        <v/>
      </c>
      <c r="N655">
        <f>IF(M655="","",IF(ISNUMBER(B655),B655,IFERROR(_xlfn.NUMBERVALUE(B655,".",","),0)))</f>
        <v/>
      </c>
      <c r="O655">
        <f>IF(M655="","",IF(ISNUMBER(C655),C655,IFERROR(_xlfn.NUMBERVALUE(C655,".",","),0)))</f>
        <v/>
      </c>
    </row>
    <row r="656">
      <c r="K656">
        <f>IF(OR(LEFT(B656,9)="DOANH THU",LEFT(B656,8)="SỐ LƯỢNG"),A656,IF(A656="","",K655))</f>
        <v/>
      </c>
      <c r="L656">
        <f>IF(A656="","",IF(ISNUMBER(--LEFT(A656,FIND(" - ",A656&amp;" - ")-1)),LEFT(A656,FIND(" - ",A656&amp;" - ")-1),TRIM(A656)))</f>
        <v/>
      </c>
      <c r="M656">
        <f>IF(OR(K656="",K656=A656,A656=""),"",K656&amp;"|"&amp;L656)</f>
        <v/>
      </c>
      <c r="N656">
        <f>IF(M656="","",IF(ISNUMBER(B656),B656,IFERROR(_xlfn.NUMBERVALUE(B656,".",","),0)))</f>
        <v/>
      </c>
      <c r="O656">
        <f>IF(M656="","",IF(ISNUMBER(C656),C656,IFERROR(_xlfn.NUMBERVALUE(C656,".",","),0)))</f>
        <v/>
      </c>
    </row>
    <row r="657">
      <c r="K657">
        <f>IF(OR(LEFT(B657,9)="DOANH THU",LEFT(B657,8)="SỐ LƯỢNG"),A657,IF(A657="","",K656))</f>
        <v/>
      </c>
      <c r="L657">
        <f>IF(A657="","",IF(ISNUMBER(--LEFT(A657,FIND(" - ",A657&amp;" - ")-1)),LEFT(A657,FIND(" - ",A657&amp;" - ")-1),TRIM(A657)))</f>
        <v/>
      </c>
      <c r="M657">
        <f>IF(OR(K657="",K657=A657,A657=""),"",K657&amp;"|"&amp;L657)</f>
        <v/>
      </c>
      <c r="N657">
        <f>IF(M657="","",IF(ISNUMBER(B657),B657,IFERROR(_xlfn.NUMBERVALUE(B657,".",","),0)))</f>
        <v/>
      </c>
      <c r="O657">
        <f>IF(M657="","",IF(ISNUMBER(C657),C657,IFERROR(_xlfn.NUMBERVALUE(C657,".",","),0)))</f>
        <v/>
      </c>
    </row>
    <row r="658">
      <c r="K658">
        <f>IF(OR(LEFT(B658,9)="DOANH THU",LEFT(B658,8)="SỐ LƯỢNG"),A658,IF(A658="","",K657))</f>
        <v/>
      </c>
      <c r="L658">
        <f>IF(A658="","",IF(ISNUMBER(--LEFT(A658,FIND(" - ",A658&amp;" - ")-1)),LEFT(A658,FIND(" - ",A658&amp;" - ")-1),TRIM(A658)))</f>
        <v/>
      </c>
      <c r="M658">
        <f>IF(OR(K658="",K658=A658,A658=""),"",K658&amp;"|"&amp;L658)</f>
        <v/>
      </c>
      <c r="N658">
        <f>IF(M658="","",IF(ISNUMBER(B658),B658,IFERROR(_xlfn.NUMBERVALUE(B658,".",","),0)))</f>
        <v/>
      </c>
      <c r="O658">
        <f>IF(M658="","",IF(ISNUMBER(C658),C658,IFERROR(_xlfn.NUMBERVALUE(C658,".",","),0)))</f>
        <v/>
      </c>
    </row>
    <row r="659">
      <c r="K659">
        <f>IF(OR(LEFT(B659,9)="DOANH THU",LEFT(B659,8)="SỐ LƯỢNG"),A659,IF(A659="","",K658))</f>
        <v/>
      </c>
      <c r="L659">
        <f>IF(A659="","",IF(ISNUMBER(--LEFT(A659,FIND(" - ",A659&amp;" - ")-1)),LEFT(A659,FIND(" - ",A659&amp;" - ")-1),TRIM(A659)))</f>
        <v/>
      </c>
      <c r="M659">
        <f>IF(OR(K659="",K659=A659,A659=""),"",K659&amp;"|"&amp;L659)</f>
        <v/>
      </c>
      <c r="N659">
        <f>IF(M659="","",IF(ISNUMBER(B659),B659,IFERROR(_xlfn.NUMBERVALUE(B659,".",","),0)))</f>
        <v/>
      </c>
      <c r="O659">
        <f>IF(M659="","",IF(ISNUMBER(C659),C659,IFERROR(_xlfn.NUMBERVALUE(C659,".",","),0)))</f>
        <v/>
      </c>
    </row>
    <row r="660">
      <c r="K660">
        <f>IF(OR(LEFT(B660,9)="DOANH THU",LEFT(B660,8)="SỐ LƯỢNG"),A660,IF(A660="","",K659))</f>
        <v/>
      </c>
      <c r="L660">
        <f>IF(A660="","",IF(ISNUMBER(--LEFT(A660,FIND(" - ",A660&amp;" - ")-1)),LEFT(A660,FIND(" - ",A660&amp;" - ")-1),TRIM(A660)))</f>
        <v/>
      </c>
      <c r="M660">
        <f>IF(OR(K660="",K660=A660,A660=""),"",K660&amp;"|"&amp;L660)</f>
        <v/>
      </c>
      <c r="N660">
        <f>IF(M660="","",IF(ISNUMBER(B660),B660,IFERROR(_xlfn.NUMBERVALUE(B660,".",","),0)))</f>
        <v/>
      </c>
      <c r="O660">
        <f>IF(M660="","",IF(ISNUMBER(C660),C660,IFERROR(_xlfn.NUMBERVALUE(C660,".",","),0)))</f>
        <v/>
      </c>
    </row>
    <row r="661">
      <c r="K661">
        <f>IF(OR(LEFT(B661,9)="DOANH THU",LEFT(B661,8)="SỐ LƯỢNG"),A661,IF(A661="","",K660))</f>
        <v/>
      </c>
      <c r="L661">
        <f>IF(A661="","",IF(ISNUMBER(--LEFT(A661,FIND(" - ",A661&amp;" - ")-1)),LEFT(A661,FIND(" - ",A661&amp;" - ")-1),TRIM(A661)))</f>
        <v/>
      </c>
      <c r="M661">
        <f>IF(OR(K661="",K661=A661,A661=""),"",K661&amp;"|"&amp;L661)</f>
        <v/>
      </c>
      <c r="N661">
        <f>IF(M661="","",IF(ISNUMBER(B661),B661,IFERROR(_xlfn.NUMBERVALUE(B661,".",","),0)))</f>
        <v/>
      </c>
      <c r="O661">
        <f>IF(M661="","",IF(ISNUMBER(C661),C661,IFERROR(_xlfn.NUMBERVALUE(C661,".",","),0)))</f>
        <v/>
      </c>
    </row>
    <row r="662">
      <c r="K662">
        <f>IF(OR(LEFT(B662,9)="DOANH THU",LEFT(B662,8)="SỐ LƯỢNG"),A662,IF(A662="","",K661))</f>
        <v/>
      </c>
      <c r="L662">
        <f>IF(A662="","",IF(ISNUMBER(--LEFT(A662,FIND(" - ",A662&amp;" - ")-1)),LEFT(A662,FIND(" - ",A662&amp;" - ")-1),TRIM(A662)))</f>
        <v/>
      </c>
      <c r="M662">
        <f>IF(OR(K662="",K662=A662,A662=""),"",K662&amp;"|"&amp;L662)</f>
        <v/>
      </c>
      <c r="N662">
        <f>IF(M662="","",IF(ISNUMBER(B662),B662,IFERROR(_xlfn.NUMBERVALUE(B662,".",","),0)))</f>
        <v/>
      </c>
      <c r="O662">
        <f>IF(M662="","",IF(ISNUMBER(C662),C662,IFERROR(_xlfn.NUMBERVALUE(C662,".",","),0)))</f>
        <v/>
      </c>
    </row>
    <row r="663">
      <c r="K663">
        <f>IF(OR(LEFT(B663,9)="DOANH THU",LEFT(B663,8)="SỐ LƯỢNG"),A663,IF(A663="","",K662))</f>
        <v/>
      </c>
      <c r="L663">
        <f>IF(A663="","",IF(ISNUMBER(--LEFT(A663,FIND(" - ",A663&amp;" - ")-1)),LEFT(A663,FIND(" - ",A663&amp;" - ")-1),TRIM(A663)))</f>
        <v/>
      </c>
      <c r="M663">
        <f>IF(OR(K663="",K663=A663,A663=""),"",K663&amp;"|"&amp;L663)</f>
        <v/>
      </c>
      <c r="N663">
        <f>IF(M663="","",IF(ISNUMBER(B663),B663,IFERROR(_xlfn.NUMBERVALUE(B663,".",","),0)))</f>
        <v/>
      </c>
      <c r="O663">
        <f>IF(M663="","",IF(ISNUMBER(C663),C663,IFERROR(_xlfn.NUMBERVALUE(C663,".",","),0)))</f>
        <v/>
      </c>
    </row>
    <row r="664">
      <c r="K664">
        <f>IF(OR(LEFT(B664,9)="DOANH THU",LEFT(B664,8)="SỐ LƯỢNG"),A664,IF(A664="","",K663))</f>
        <v/>
      </c>
      <c r="L664">
        <f>IF(A664="","",IF(ISNUMBER(--LEFT(A664,FIND(" - ",A664&amp;" - ")-1)),LEFT(A664,FIND(" - ",A664&amp;" - ")-1),TRIM(A664)))</f>
        <v/>
      </c>
      <c r="M664">
        <f>IF(OR(K664="",K664=A664,A664=""),"",K664&amp;"|"&amp;L664)</f>
        <v/>
      </c>
      <c r="N664">
        <f>IF(M664="","",IF(ISNUMBER(B664),B664,IFERROR(_xlfn.NUMBERVALUE(B664,".",","),0)))</f>
        <v/>
      </c>
      <c r="O664">
        <f>IF(M664="","",IF(ISNUMBER(C664),C664,IFERROR(_xlfn.NUMBERVALUE(C664,".",","),0)))</f>
        <v/>
      </c>
    </row>
    <row r="665">
      <c r="K665">
        <f>IF(OR(LEFT(B665,9)="DOANH THU",LEFT(B665,8)="SỐ LƯỢNG"),A665,IF(A665="","",K664))</f>
        <v/>
      </c>
      <c r="L665">
        <f>IF(A665="","",IF(ISNUMBER(--LEFT(A665,FIND(" - ",A665&amp;" - ")-1)),LEFT(A665,FIND(" - ",A665&amp;" - ")-1),TRIM(A665)))</f>
        <v/>
      </c>
      <c r="M665">
        <f>IF(OR(K665="",K665=A665,A665=""),"",K665&amp;"|"&amp;L665)</f>
        <v/>
      </c>
      <c r="N665">
        <f>IF(M665="","",IF(ISNUMBER(B665),B665,IFERROR(_xlfn.NUMBERVALUE(B665,".",","),0)))</f>
        <v/>
      </c>
      <c r="O665">
        <f>IF(M665="","",IF(ISNUMBER(C665),C665,IFERROR(_xlfn.NUMBERVALUE(C665,".",","),0)))</f>
        <v/>
      </c>
    </row>
    <row r="666">
      <c r="K666">
        <f>IF(OR(LEFT(B666,9)="DOANH THU",LEFT(B666,8)="SỐ LƯỢNG"),A666,IF(A666="","",K665))</f>
        <v/>
      </c>
      <c r="L666">
        <f>IF(A666="","",IF(ISNUMBER(--LEFT(A666,FIND(" - ",A666&amp;" - ")-1)),LEFT(A666,FIND(" - ",A666&amp;" - ")-1),TRIM(A666)))</f>
        <v/>
      </c>
      <c r="M666">
        <f>IF(OR(K666="",K666=A666,A666=""),"",K666&amp;"|"&amp;L666)</f>
        <v/>
      </c>
      <c r="N666">
        <f>IF(M666="","",IF(ISNUMBER(B666),B666,IFERROR(_xlfn.NUMBERVALUE(B666,".",","),0)))</f>
        <v/>
      </c>
      <c r="O666">
        <f>IF(M666="","",IF(ISNUMBER(C666),C666,IFERROR(_xlfn.NUMBERVALUE(C666,".",","),0)))</f>
        <v/>
      </c>
    </row>
    <row r="667">
      <c r="K667">
        <f>IF(OR(LEFT(B667,9)="DOANH THU",LEFT(B667,8)="SỐ LƯỢNG"),A667,IF(A667="","",K666))</f>
        <v/>
      </c>
      <c r="L667">
        <f>IF(A667="","",IF(ISNUMBER(--LEFT(A667,FIND(" - ",A667&amp;" - ")-1)),LEFT(A667,FIND(" - ",A667&amp;" - ")-1),TRIM(A667)))</f>
        <v/>
      </c>
      <c r="M667">
        <f>IF(OR(K667="",K667=A667,A667=""),"",K667&amp;"|"&amp;L667)</f>
        <v/>
      </c>
      <c r="N667">
        <f>IF(M667="","",IF(ISNUMBER(B667),B667,IFERROR(_xlfn.NUMBERVALUE(B667,".",","),0)))</f>
        <v/>
      </c>
      <c r="O667">
        <f>IF(M667="","",IF(ISNUMBER(C667),C667,IFERROR(_xlfn.NUMBERVALUE(C667,".",","),0)))</f>
        <v/>
      </c>
    </row>
    <row r="668">
      <c r="K668">
        <f>IF(OR(LEFT(B668,9)="DOANH THU",LEFT(B668,8)="SỐ LƯỢNG"),A668,IF(A668="","",K667))</f>
        <v/>
      </c>
      <c r="L668">
        <f>IF(A668="","",IF(ISNUMBER(--LEFT(A668,FIND(" - ",A668&amp;" - ")-1)),LEFT(A668,FIND(" - ",A668&amp;" - ")-1),TRIM(A668)))</f>
        <v/>
      </c>
      <c r="M668">
        <f>IF(OR(K668="",K668=A668,A668=""),"",K668&amp;"|"&amp;L668)</f>
        <v/>
      </c>
      <c r="N668">
        <f>IF(M668="","",IF(ISNUMBER(B668),B668,IFERROR(_xlfn.NUMBERVALUE(B668,".",","),0)))</f>
        <v/>
      </c>
      <c r="O668">
        <f>IF(M668="","",IF(ISNUMBER(C668),C668,IFERROR(_xlfn.NUMBERVALUE(C668,".",","),0)))</f>
        <v/>
      </c>
    </row>
    <row r="669">
      <c r="K669">
        <f>IF(OR(LEFT(B669,9)="DOANH THU",LEFT(B669,8)="SỐ LƯỢNG"),A669,IF(A669="","",K668))</f>
        <v/>
      </c>
      <c r="L669">
        <f>IF(A669="","",IF(ISNUMBER(--LEFT(A669,FIND(" - ",A669&amp;" - ")-1)),LEFT(A669,FIND(" - ",A669&amp;" - ")-1),TRIM(A669)))</f>
        <v/>
      </c>
      <c r="M669">
        <f>IF(OR(K669="",K669=A669,A669=""),"",K669&amp;"|"&amp;L669)</f>
        <v/>
      </c>
      <c r="N669">
        <f>IF(M669="","",IF(ISNUMBER(B669),B669,IFERROR(_xlfn.NUMBERVALUE(B669,".",","),0)))</f>
        <v/>
      </c>
      <c r="O669">
        <f>IF(M669="","",IF(ISNUMBER(C669),C669,IFERROR(_xlfn.NUMBERVALUE(C669,".",","),0)))</f>
        <v/>
      </c>
    </row>
    <row r="670">
      <c r="K670">
        <f>IF(OR(LEFT(B670,9)="DOANH THU",LEFT(B670,8)="SỐ LƯỢNG"),A670,IF(A670="","",K669))</f>
        <v/>
      </c>
      <c r="L670">
        <f>IF(A670="","",IF(ISNUMBER(--LEFT(A670,FIND(" - ",A670&amp;" - ")-1)),LEFT(A670,FIND(" - ",A670&amp;" - ")-1),TRIM(A670)))</f>
        <v/>
      </c>
      <c r="M670">
        <f>IF(OR(K670="",K670=A670,A670=""),"",K670&amp;"|"&amp;L670)</f>
        <v/>
      </c>
      <c r="N670">
        <f>IF(M670="","",IF(ISNUMBER(B670),B670,IFERROR(_xlfn.NUMBERVALUE(B670,".",","),0)))</f>
        <v/>
      </c>
      <c r="O670">
        <f>IF(M670="","",IF(ISNUMBER(C670),C670,IFERROR(_xlfn.NUMBERVALUE(C670,".",","),0)))</f>
        <v/>
      </c>
    </row>
    <row r="671">
      <c r="K671">
        <f>IF(OR(LEFT(B671,9)="DOANH THU",LEFT(B671,8)="SỐ LƯỢNG"),A671,IF(A671="","",K670))</f>
        <v/>
      </c>
      <c r="L671">
        <f>IF(A671="","",IF(ISNUMBER(--LEFT(A671,FIND(" - ",A671&amp;" - ")-1)),LEFT(A671,FIND(" - ",A671&amp;" - ")-1),TRIM(A671)))</f>
        <v/>
      </c>
      <c r="M671">
        <f>IF(OR(K671="",K671=A671,A671=""),"",K671&amp;"|"&amp;L671)</f>
        <v/>
      </c>
      <c r="N671">
        <f>IF(M671="","",IF(ISNUMBER(B671),B671,IFERROR(_xlfn.NUMBERVALUE(B671,".",","),0)))</f>
        <v/>
      </c>
      <c r="O671">
        <f>IF(M671="","",IF(ISNUMBER(C671),C671,IFERROR(_xlfn.NUMBERVALUE(C671,".",","),0)))</f>
        <v/>
      </c>
    </row>
    <row r="672">
      <c r="K672">
        <f>IF(OR(LEFT(B672,9)="DOANH THU",LEFT(B672,8)="SỐ LƯỢNG"),A672,IF(A672="","",K671))</f>
        <v/>
      </c>
      <c r="L672">
        <f>IF(A672="","",IF(ISNUMBER(--LEFT(A672,FIND(" - ",A672&amp;" - ")-1)),LEFT(A672,FIND(" - ",A672&amp;" - ")-1),TRIM(A672)))</f>
        <v/>
      </c>
      <c r="M672">
        <f>IF(OR(K672="",K672=A672,A672=""),"",K672&amp;"|"&amp;L672)</f>
        <v/>
      </c>
      <c r="N672">
        <f>IF(M672="","",IF(ISNUMBER(B672),B672,IFERROR(_xlfn.NUMBERVALUE(B672,".",","),0)))</f>
        <v/>
      </c>
      <c r="O672">
        <f>IF(M672="","",IF(ISNUMBER(C672),C672,IFERROR(_xlfn.NUMBERVALUE(C672,".",","),0)))</f>
        <v/>
      </c>
    </row>
    <row r="673">
      <c r="K673">
        <f>IF(OR(LEFT(B673,9)="DOANH THU",LEFT(B673,8)="SỐ LƯỢNG"),A673,IF(A673="","",K672))</f>
        <v/>
      </c>
      <c r="L673">
        <f>IF(A673="","",IF(ISNUMBER(--LEFT(A673,FIND(" - ",A673&amp;" - ")-1)),LEFT(A673,FIND(" - ",A673&amp;" - ")-1),TRIM(A673)))</f>
        <v/>
      </c>
      <c r="M673">
        <f>IF(OR(K673="",K673=A673,A673=""),"",K673&amp;"|"&amp;L673)</f>
        <v/>
      </c>
      <c r="N673">
        <f>IF(M673="","",IF(ISNUMBER(B673),B673,IFERROR(_xlfn.NUMBERVALUE(B673,".",","),0)))</f>
        <v/>
      </c>
      <c r="O673">
        <f>IF(M673="","",IF(ISNUMBER(C673),C673,IFERROR(_xlfn.NUMBERVALUE(C673,".",","),0)))</f>
        <v/>
      </c>
    </row>
    <row r="674">
      <c r="K674">
        <f>IF(OR(LEFT(B674,9)="DOANH THU",LEFT(B674,8)="SỐ LƯỢNG"),A674,IF(A674="","",K673))</f>
        <v/>
      </c>
      <c r="L674">
        <f>IF(A674="","",IF(ISNUMBER(--LEFT(A674,FIND(" - ",A674&amp;" - ")-1)),LEFT(A674,FIND(" - ",A674&amp;" - ")-1),TRIM(A674)))</f>
        <v/>
      </c>
      <c r="M674">
        <f>IF(OR(K674="",K674=A674,A674=""),"",K674&amp;"|"&amp;L674)</f>
        <v/>
      </c>
      <c r="N674">
        <f>IF(M674="","",IF(ISNUMBER(B674),B674,IFERROR(_xlfn.NUMBERVALUE(B674,".",","),0)))</f>
        <v/>
      </c>
      <c r="O674">
        <f>IF(M674="","",IF(ISNUMBER(C674),C674,IFERROR(_xlfn.NUMBERVALUE(C674,".",","),0)))</f>
        <v/>
      </c>
    </row>
    <row r="675">
      <c r="K675">
        <f>IF(OR(LEFT(B675,9)="DOANH THU",LEFT(B675,8)="SỐ LƯỢNG"),A675,IF(A675="","",K674))</f>
        <v/>
      </c>
      <c r="L675">
        <f>IF(A675="","",IF(ISNUMBER(--LEFT(A675,FIND(" - ",A675&amp;" - ")-1)),LEFT(A675,FIND(" - ",A675&amp;" - ")-1),TRIM(A675)))</f>
        <v/>
      </c>
      <c r="M675">
        <f>IF(OR(K675="",K675=A675,A675=""),"",K675&amp;"|"&amp;L675)</f>
        <v/>
      </c>
      <c r="N675">
        <f>IF(M675="","",IF(ISNUMBER(B675),B675,IFERROR(_xlfn.NUMBERVALUE(B675,".",","),0)))</f>
        <v/>
      </c>
      <c r="O675">
        <f>IF(M675="","",IF(ISNUMBER(C675),C675,IFERROR(_xlfn.NUMBERVALUE(C675,".",","),0)))</f>
        <v/>
      </c>
    </row>
    <row r="676">
      <c r="K676">
        <f>IF(OR(LEFT(B676,9)="DOANH THU",LEFT(B676,8)="SỐ LƯỢNG"),A676,IF(A676="","",K675))</f>
        <v/>
      </c>
      <c r="L676">
        <f>IF(A676="","",IF(ISNUMBER(--LEFT(A676,FIND(" - ",A676&amp;" - ")-1)),LEFT(A676,FIND(" - ",A676&amp;" - ")-1),TRIM(A676)))</f>
        <v/>
      </c>
      <c r="M676">
        <f>IF(OR(K676="",K676=A676,A676=""),"",K676&amp;"|"&amp;L676)</f>
        <v/>
      </c>
      <c r="N676">
        <f>IF(M676="","",IF(ISNUMBER(B676),B676,IFERROR(_xlfn.NUMBERVALUE(B676,".",","),0)))</f>
        <v/>
      </c>
      <c r="O676">
        <f>IF(M676="","",IF(ISNUMBER(C676),C676,IFERROR(_xlfn.NUMBERVALUE(C676,".",","),0)))</f>
        <v/>
      </c>
    </row>
    <row r="677">
      <c r="K677">
        <f>IF(OR(LEFT(B677,9)="DOANH THU",LEFT(B677,8)="SỐ LƯỢNG"),A677,IF(A677="","",K676))</f>
        <v/>
      </c>
      <c r="L677">
        <f>IF(A677="","",IF(ISNUMBER(--LEFT(A677,FIND(" - ",A677&amp;" - ")-1)),LEFT(A677,FIND(" - ",A677&amp;" - ")-1),TRIM(A677)))</f>
        <v/>
      </c>
      <c r="M677">
        <f>IF(OR(K677="",K677=A677,A677=""),"",K677&amp;"|"&amp;L677)</f>
        <v/>
      </c>
      <c r="N677">
        <f>IF(M677="","",IF(ISNUMBER(B677),B677,IFERROR(_xlfn.NUMBERVALUE(B677,".",","),0)))</f>
        <v/>
      </c>
      <c r="O677">
        <f>IF(M677="","",IF(ISNUMBER(C677),C677,IFERROR(_xlfn.NUMBERVALUE(C677,".",","),0)))</f>
        <v/>
      </c>
    </row>
    <row r="678">
      <c r="K678">
        <f>IF(OR(LEFT(B678,9)="DOANH THU",LEFT(B678,8)="SỐ LƯỢNG"),A678,IF(A678="","",K677))</f>
        <v/>
      </c>
      <c r="L678">
        <f>IF(A678="","",IF(ISNUMBER(--LEFT(A678,FIND(" - ",A678&amp;" - ")-1)),LEFT(A678,FIND(" - ",A678&amp;" - ")-1),TRIM(A678)))</f>
        <v/>
      </c>
      <c r="M678">
        <f>IF(OR(K678="",K678=A678,A678=""),"",K678&amp;"|"&amp;L678)</f>
        <v/>
      </c>
      <c r="N678">
        <f>IF(M678="","",IF(ISNUMBER(B678),B678,IFERROR(_xlfn.NUMBERVALUE(B678,".",","),0)))</f>
        <v/>
      </c>
      <c r="O678">
        <f>IF(M678="","",IF(ISNUMBER(C678),C678,IFERROR(_xlfn.NUMBERVALUE(C678,".",","),0)))</f>
        <v/>
      </c>
    </row>
    <row r="679">
      <c r="K679">
        <f>IF(OR(LEFT(B679,9)="DOANH THU",LEFT(B679,8)="SỐ LƯỢNG"),A679,IF(A679="","",K678))</f>
        <v/>
      </c>
      <c r="L679">
        <f>IF(A679="","",IF(ISNUMBER(--LEFT(A679,FIND(" - ",A679&amp;" - ")-1)),LEFT(A679,FIND(" - ",A679&amp;" - ")-1),TRIM(A679)))</f>
        <v/>
      </c>
      <c r="M679">
        <f>IF(OR(K679="",K679=A679,A679=""),"",K679&amp;"|"&amp;L679)</f>
        <v/>
      </c>
      <c r="N679">
        <f>IF(M679="","",IF(ISNUMBER(B679),B679,IFERROR(_xlfn.NUMBERVALUE(B679,".",","),0)))</f>
        <v/>
      </c>
      <c r="O679">
        <f>IF(M679="","",IF(ISNUMBER(C679),C679,IFERROR(_xlfn.NUMBERVALUE(C679,".",","),0)))</f>
        <v/>
      </c>
    </row>
    <row r="680">
      <c r="K680">
        <f>IF(OR(LEFT(B680,9)="DOANH THU",LEFT(B680,8)="SỐ LƯỢNG"),A680,IF(A680="","",K679))</f>
        <v/>
      </c>
      <c r="L680">
        <f>IF(A680="","",IF(ISNUMBER(--LEFT(A680,FIND(" - ",A680&amp;" - ")-1)),LEFT(A680,FIND(" - ",A680&amp;" - ")-1),TRIM(A680)))</f>
        <v/>
      </c>
      <c r="M680">
        <f>IF(OR(K680="",K680=A680,A680=""),"",K680&amp;"|"&amp;L680)</f>
        <v/>
      </c>
      <c r="N680">
        <f>IF(M680="","",IF(ISNUMBER(B680),B680,IFERROR(_xlfn.NUMBERVALUE(B680,".",","),0)))</f>
        <v/>
      </c>
      <c r="O680">
        <f>IF(M680="","",IF(ISNUMBER(C680),C680,IFERROR(_xlfn.NUMBERVALUE(C680,".",","),0)))</f>
        <v/>
      </c>
    </row>
    <row r="681">
      <c r="K681">
        <f>IF(OR(LEFT(B681,9)="DOANH THU",LEFT(B681,8)="SỐ LƯỢNG"),A681,IF(A681="","",K680))</f>
        <v/>
      </c>
      <c r="L681">
        <f>IF(A681="","",IF(ISNUMBER(--LEFT(A681,FIND(" - ",A681&amp;" - ")-1)),LEFT(A681,FIND(" - ",A681&amp;" - ")-1),TRIM(A681)))</f>
        <v/>
      </c>
      <c r="M681">
        <f>IF(OR(K681="",K681=A681,A681=""),"",K681&amp;"|"&amp;L681)</f>
        <v/>
      </c>
      <c r="N681">
        <f>IF(M681="","",IF(ISNUMBER(B681),B681,IFERROR(_xlfn.NUMBERVALUE(B681,".",","),0)))</f>
        <v/>
      </c>
      <c r="O681">
        <f>IF(M681="","",IF(ISNUMBER(C681),C681,IFERROR(_xlfn.NUMBERVALUE(C681,".",","),0)))</f>
        <v/>
      </c>
    </row>
    <row r="682">
      <c r="K682">
        <f>IF(OR(LEFT(B682,9)="DOANH THU",LEFT(B682,8)="SỐ LƯỢNG"),A682,IF(A682="","",K681))</f>
        <v/>
      </c>
      <c r="L682">
        <f>IF(A682="","",IF(ISNUMBER(--LEFT(A682,FIND(" - ",A682&amp;" - ")-1)),LEFT(A682,FIND(" - ",A682&amp;" - ")-1),TRIM(A682)))</f>
        <v/>
      </c>
      <c r="M682">
        <f>IF(OR(K682="",K682=A682,A682=""),"",K682&amp;"|"&amp;L682)</f>
        <v/>
      </c>
      <c r="N682">
        <f>IF(M682="","",IF(ISNUMBER(B682),B682,IFERROR(_xlfn.NUMBERVALUE(B682,".",","),0)))</f>
        <v/>
      </c>
      <c r="O682">
        <f>IF(M682="","",IF(ISNUMBER(C682),C682,IFERROR(_xlfn.NUMBERVALUE(C682,".",","),0)))</f>
        <v/>
      </c>
    </row>
    <row r="683">
      <c r="K683">
        <f>IF(OR(LEFT(B683,9)="DOANH THU",LEFT(B683,8)="SỐ LƯỢNG"),A683,IF(A683="","",K682))</f>
        <v/>
      </c>
      <c r="L683">
        <f>IF(A683="","",IF(ISNUMBER(--LEFT(A683,FIND(" - ",A683&amp;" - ")-1)),LEFT(A683,FIND(" - ",A683&amp;" - ")-1),TRIM(A683)))</f>
        <v/>
      </c>
      <c r="M683">
        <f>IF(OR(K683="",K683=A683,A683=""),"",K683&amp;"|"&amp;L683)</f>
        <v/>
      </c>
      <c r="N683">
        <f>IF(M683="","",IF(ISNUMBER(B683),B683,IFERROR(_xlfn.NUMBERVALUE(B683,".",","),0)))</f>
        <v/>
      </c>
      <c r="O683">
        <f>IF(M683="","",IF(ISNUMBER(C683),C683,IFERROR(_xlfn.NUMBERVALUE(C683,".",","),0)))</f>
        <v/>
      </c>
    </row>
    <row r="684">
      <c r="K684">
        <f>IF(OR(LEFT(B684,9)="DOANH THU",LEFT(B684,8)="SỐ LƯỢNG"),A684,IF(A684="","",K683))</f>
        <v/>
      </c>
      <c r="L684">
        <f>IF(A684="","",IF(ISNUMBER(--LEFT(A684,FIND(" - ",A684&amp;" - ")-1)),LEFT(A684,FIND(" - ",A684&amp;" - ")-1),TRIM(A684)))</f>
        <v/>
      </c>
      <c r="M684">
        <f>IF(OR(K684="",K684=A684,A684=""),"",K684&amp;"|"&amp;L684)</f>
        <v/>
      </c>
      <c r="N684">
        <f>IF(M684="","",IF(ISNUMBER(B684),B684,IFERROR(_xlfn.NUMBERVALUE(B684,".",","),0)))</f>
        <v/>
      </c>
      <c r="O684">
        <f>IF(M684="","",IF(ISNUMBER(C684),C684,IFERROR(_xlfn.NUMBERVALUE(C684,".",","),0)))</f>
        <v/>
      </c>
    </row>
    <row r="685">
      <c r="K685">
        <f>IF(OR(LEFT(B685,9)="DOANH THU",LEFT(B685,8)="SỐ LƯỢNG"),A685,IF(A685="","",K684))</f>
        <v/>
      </c>
      <c r="L685">
        <f>IF(A685="","",IF(ISNUMBER(--LEFT(A685,FIND(" - ",A685&amp;" - ")-1)),LEFT(A685,FIND(" - ",A685&amp;" - ")-1),TRIM(A685)))</f>
        <v/>
      </c>
      <c r="M685">
        <f>IF(OR(K685="",K685=A685,A685=""),"",K685&amp;"|"&amp;L685)</f>
        <v/>
      </c>
      <c r="N685">
        <f>IF(M685="","",IF(ISNUMBER(B685),B685,IFERROR(_xlfn.NUMBERVALUE(B685,".",","),0)))</f>
        <v/>
      </c>
      <c r="O685">
        <f>IF(M685="","",IF(ISNUMBER(C685),C685,IFERROR(_xlfn.NUMBERVALUE(C685,".",","),0)))</f>
        <v/>
      </c>
    </row>
    <row r="686">
      <c r="K686">
        <f>IF(OR(LEFT(B686,9)="DOANH THU",LEFT(B686,8)="SỐ LƯỢNG"),A686,IF(A686="","",K685))</f>
        <v/>
      </c>
      <c r="L686">
        <f>IF(A686="","",IF(ISNUMBER(--LEFT(A686,FIND(" - ",A686&amp;" - ")-1)),LEFT(A686,FIND(" - ",A686&amp;" - ")-1),TRIM(A686)))</f>
        <v/>
      </c>
      <c r="M686">
        <f>IF(OR(K686="",K686=A686,A686=""),"",K686&amp;"|"&amp;L686)</f>
        <v/>
      </c>
      <c r="N686">
        <f>IF(M686="","",IF(ISNUMBER(B686),B686,IFERROR(_xlfn.NUMBERVALUE(B686,".",","),0)))</f>
        <v/>
      </c>
      <c r="O686">
        <f>IF(M686="","",IF(ISNUMBER(C686),C686,IFERROR(_xlfn.NUMBERVALUE(C686,".",","),0)))</f>
        <v/>
      </c>
    </row>
    <row r="687">
      <c r="K687">
        <f>IF(OR(LEFT(B687,9)="DOANH THU",LEFT(B687,8)="SỐ LƯỢNG"),A687,IF(A687="","",K686))</f>
        <v/>
      </c>
      <c r="L687">
        <f>IF(A687="","",IF(ISNUMBER(--LEFT(A687,FIND(" - ",A687&amp;" - ")-1)),LEFT(A687,FIND(" - ",A687&amp;" - ")-1),TRIM(A687)))</f>
        <v/>
      </c>
      <c r="M687">
        <f>IF(OR(K687="",K687=A687,A687=""),"",K687&amp;"|"&amp;L687)</f>
        <v/>
      </c>
      <c r="N687">
        <f>IF(M687="","",IF(ISNUMBER(B687),B687,IFERROR(_xlfn.NUMBERVALUE(B687,".",","),0)))</f>
        <v/>
      </c>
      <c r="O687">
        <f>IF(M687="","",IF(ISNUMBER(C687),C687,IFERROR(_xlfn.NUMBERVALUE(C687,".",","),0)))</f>
        <v/>
      </c>
    </row>
    <row r="688">
      <c r="K688">
        <f>IF(OR(LEFT(B688,9)="DOANH THU",LEFT(B688,8)="SỐ LƯỢNG"),A688,IF(A688="","",K687))</f>
        <v/>
      </c>
      <c r="L688">
        <f>IF(A688="","",IF(ISNUMBER(--LEFT(A688,FIND(" - ",A688&amp;" - ")-1)),LEFT(A688,FIND(" - ",A688&amp;" - ")-1),TRIM(A688)))</f>
        <v/>
      </c>
      <c r="M688">
        <f>IF(OR(K688="",K688=A688,A688=""),"",K688&amp;"|"&amp;L688)</f>
        <v/>
      </c>
      <c r="N688">
        <f>IF(M688="","",IF(ISNUMBER(B688),B688,IFERROR(_xlfn.NUMBERVALUE(B688,".",","),0)))</f>
        <v/>
      </c>
      <c r="O688">
        <f>IF(M688="","",IF(ISNUMBER(C688),C688,IFERROR(_xlfn.NUMBERVALUE(C688,".",","),0)))</f>
        <v/>
      </c>
    </row>
    <row r="689">
      <c r="K689">
        <f>IF(OR(LEFT(B689,9)="DOANH THU",LEFT(B689,8)="SỐ LƯỢNG"),A689,IF(A689="","",K688))</f>
        <v/>
      </c>
      <c r="L689">
        <f>IF(A689="","",IF(ISNUMBER(--LEFT(A689,FIND(" - ",A689&amp;" - ")-1)),LEFT(A689,FIND(" - ",A689&amp;" - ")-1),TRIM(A689)))</f>
        <v/>
      </c>
      <c r="M689">
        <f>IF(OR(K689="",K689=A689,A689=""),"",K689&amp;"|"&amp;L689)</f>
        <v/>
      </c>
      <c r="N689">
        <f>IF(M689="","",IF(ISNUMBER(B689),B689,IFERROR(_xlfn.NUMBERVALUE(B689,".",","),0)))</f>
        <v/>
      </c>
      <c r="O689">
        <f>IF(M689="","",IF(ISNUMBER(C689),C689,IFERROR(_xlfn.NUMBERVALUE(C689,".",","),0)))</f>
        <v/>
      </c>
    </row>
    <row r="690">
      <c r="K690">
        <f>IF(OR(LEFT(B690,9)="DOANH THU",LEFT(B690,8)="SỐ LƯỢNG"),A690,IF(A690="","",K689))</f>
        <v/>
      </c>
      <c r="L690">
        <f>IF(A690="","",IF(ISNUMBER(--LEFT(A690,FIND(" - ",A690&amp;" - ")-1)),LEFT(A690,FIND(" - ",A690&amp;" - ")-1),TRIM(A690)))</f>
        <v/>
      </c>
      <c r="M690">
        <f>IF(OR(K690="",K690=A690,A690=""),"",K690&amp;"|"&amp;L690)</f>
        <v/>
      </c>
      <c r="N690">
        <f>IF(M690="","",IF(ISNUMBER(B690),B690,IFERROR(_xlfn.NUMBERVALUE(B690,".",","),0)))</f>
        <v/>
      </c>
      <c r="O690">
        <f>IF(M690="","",IF(ISNUMBER(C690),C690,IFERROR(_xlfn.NUMBERVALUE(C690,".",","),0)))</f>
        <v/>
      </c>
    </row>
    <row r="691">
      <c r="K691">
        <f>IF(OR(LEFT(B691,9)="DOANH THU",LEFT(B691,8)="SỐ LƯỢNG"),A691,IF(A691="","",K690))</f>
        <v/>
      </c>
      <c r="L691">
        <f>IF(A691="","",IF(ISNUMBER(--LEFT(A691,FIND(" - ",A691&amp;" - ")-1)),LEFT(A691,FIND(" - ",A691&amp;" - ")-1),TRIM(A691)))</f>
        <v/>
      </c>
      <c r="M691">
        <f>IF(OR(K691="",K691=A691,A691=""),"",K691&amp;"|"&amp;L691)</f>
        <v/>
      </c>
      <c r="N691">
        <f>IF(M691="","",IF(ISNUMBER(B691),B691,IFERROR(_xlfn.NUMBERVALUE(B691,".",","),0)))</f>
        <v/>
      </c>
      <c r="O691">
        <f>IF(M691="","",IF(ISNUMBER(C691),C691,IFERROR(_xlfn.NUMBERVALUE(C691,".",","),0)))</f>
        <v/>
      </c>
    </row>
    <row r="692">
      <c r="K692">
        <f>IF(OR(LEFT(B692,9)="DOANH THU",LEFT(B692,8)="SỐ LƯỢNG"),A692,IF(A692="","",K691))</f>
        <v/>
      </c>
      <c r="L692">
        <f>IF(A692="","",IF(ISNUMBER(--LEFT(A692,FIND(" - ",A692&amp;" - ")-1)),LEFT(A692,FIND(" - ",A692&amp;" - ")-1),TRIM(A692)))</f>
        <v/>
      </c>
      <c r="M692">
        <f>IF(OR(K692="",K692=A692,A692=""),"",K692&amp;"|"&amp;L692)</f>
        <v/>
      </c>
      <c r="N692">
        <f>IF(M692="","",IF(ISNUMBER(B692),B692,IFERROR(_xlfn.NUMBERVALUE(B692,".",","),0)))</f>
        <v/>
      </c>
      <c r="O692">
        <f>IF(M692="","",IF(ISNUMBER(C692),C692,IFERROR(_xlfn.NUMBERVALUE(C692,".",","),0)))</f>
        <v/>
      </c>
    </row>
    <row r="693">
      <c r="K693">
        <f>IF(OR(LEFT(B693,9)="DOANH THU",LEFT(B693,8)="SỐ LƯỢNG"),A693,IF(A693="","",K692))</f>
        <v/>
      </c>
      <c r="L693">
        <f>IF(A693="","",IF(ISNUMBER(--LEFT(A693,FIND(" - ",A693&amp;" - ")-1)),LEFT(A693,FIND(" - ",A693&amp;" - ")-1),TRIM(A693)))</f>
        <v/>
      </c>
      <c r="M693">
        <f>IF(OR(K693="",K693=A693,A693=""),"",K693&amp;"|"&amp;L693)</f>
        <v/>
      </c>
      <c r="N693">
        <f>IF(M693="","",IF(ISNUMBER(B693),B693,IFERROR(_xlfn.NUMBERVALUE(B693,".",","),0)))</f>
        <v/>
      </c>
      <c r="O693">
        <f>IF(M693="","",IF(ISNUMBER(C693),C693,IFERROR(_xlfn.NUMBERVALUE(C693,".",","),0)))</f>
        <v/>
      </c>
    </row>
    <row r="694">
      <c r="K694">
        <f>IF(OR(LEFT(B694,9)="DOANH THU",LEFT(B694,8)="SỐ LƯỢNG"),A694,IF(A694="","",K693))</f>
        <v/>
      </c>
      <c r="L694">
        <f>IF(A694="","",IF(ISNUMBER(--LEFT(A694,FIND(" - ",A694&amp;" - ")-1)),LEFT(A694,FIND(" - ",A694&amp;" - ")-1),TRIM(A694)))</f>
        <v/>
      </c>
      <c r="M694">
        <f>IF(OR(K694="",K694=A694,A694=""),"",K694&amp;"|"&amp;L694)</f>
        <v/>
      </c>
      <c r="N694">
        <f>IF(M694="","",IF(ISNUMBER(B694),B694,IFERROR(_xlfn.NUMBERVALUE(B694,".",","),0)))</f>
        <v/>
      </c>
      <c r="O694">
        <f>IF(M694="","",IF(ISNUMBER(C694),C694,IFERROR(_xlfn.NUMBERVALUE(C694,".",","),0)))</f>
        <v/>
      </c>
    </row>
    <row r="695">
      <c r="K695">
        <f>IF(OR(LEFT(B695,9)="DOANH THU",LEFT(B695,8)="SỐ LƯỢNG"),A695,IF(A695="","",K694))</f>
        <v/>
      </c>
      <c r="L695">
        <f>IF(A695="","",IF(ISNUMBER(--LEFT(A695,FIND(" - ",A695&amp;" - ")-1)),LEFT(A695,FIND(" - ",A695&amp;" - ")-1),TRIM(A695)))</f>
        <v/>
      </c>
      <c r="M695">
        <f>IF(OR(K695="",K695=A695,A695=""),"",K695&amp;"|"&amp;L695)</f>
        <v/>
      </c>
      <c r="N695">
        <f>IF(M695="","",IF(ISNUMBER(B695),B695,IFERROR(_xlfn.NUMBERVALUE(B695,".",","),0)))</f>
        <v/>
      </c>
      <c r="O695">
        <f>IF(M695="","",IF(ISNUMBER(C695),C695,IFERROR(_xlfn.NUMBERVALUE(C695,".",","),0)))</f>
        <v/>
      </c>
    </row>
    <row r="696">
      <c r="K696">
        <f>IF(OR(LEFT(B696,9)="DOANH THU",LEFT(B696,8)="SỐ LƯỢNG"),A696,IF(A696="","",K695))</f>
        <v/>
      </c>
      <c r="L696">
        <f>IF(A696="","",IF(ISNUMBER(--LEFT(A696,FIND(" - ",A696&amp;" - ")-1)),LEFT(A696,FIND(" - ",A696&amp;" - ")-1),TRIM(A696)))</f>
        <v/>
      </c>
      <c r="M696">
        <f>IF(OR(K696="",K696=A696,A696=""),"",K696&amp;"|"&amp;L696)</f>
        <v/>
      </c>
      <c r="N696">
        <f>IF(M696="","",IF(ISNUMBER(B696),B696,IFERROR(_xlfn.NUMBERVALUE(B696,".",","),0)))</f>
        <v/>
      </c>
      <c r="O696">
        <f>IF(M696="","",IF(ISNUMBER(C696),C696,IFERROR(_xlfn.NUMBERVALUE(C696,".",","),0)))</f>
        <v/>
      </c>
    </row>
    <row r="697">
      <c r="K697">
        <f>IF(OR(LEFT(B697,9)="DOANH THU",LEFT(B697,8)="SỐ LƯỢNG"),A697,IF(A697="","",K696))</f>
        <v/>
      </c>
      <c r="L697">
        <f>IF(A697="","",IF(ISNUMBER(--LEFT(A697,FIND(" - ",A697&amp;" - ")-1)),LEFT(A697,FIND(" - ",A697&amp;" - ")-1),TRIM(A697)))</f>
        <v/>
      </c>
      <c r="M697">
        <f>IF(OR(K697="",K697=A697,A697=""),"",K697&amp;"|"&amp;L697)</f>
        <v/>
      </c>
      <c r="N697">
        <f>IF(M697="","",IF(ISNUMBER(B697),B697,IFERROR(_xlfn.NUMBERVALUE(B697,".",","),0)))</f>
        <v/>
      </c>
      <c r="O697">
        <f>IF(M697="","",IF(ISNUMBER(C697),C697,IFERROR(_xlfn.NUMBERVALUE(C697,".",","),0)))</f>
        <v/>
      </c>
    </row>
    <row r="698">
      <c r="K698">
        <f>IF(OR(LEFT(B698,9)="DOANH THU",LEFT(B698,8)="SỐ LƯỢNG"),A698,IF(A698="","",K697))</f>
        <v/>
      </c>
      <c r="L698">
        <f>IF(A698="","",IF(ISNUMBER(--LEFT(A698,FIND(" - ",A698&amp;" - ")-1)),LEFT(A698,FIND(" - ",A698&amp;" - ")-1),TRIM(A698)))</f>
        <v/>
      </c>
      <c r="M698">
        <f>IF(OR(K698="",K698=A698,A698=""),"",K698&amp;"|"&amp;L698)</f>
        <v/>
      </c>
      <c r="N698">
        <f>IF(M698="","",IF(ISNUMBER(B698),B698,IFERROR(_xlfn.NUMBERVALUE(B698,".",","),0)))</f>
        <v/>
      </c>
      <c r="O698">
        <f>IF(M698="","",IF(ISNUMBER(C698),C698,IFERROR(_xlfn.NUMBERVALUE(C698,".",","),0)))</f>
        <v/>
      </c>
    </row>
    <row r="699">
      <c r="K699">
        <f>IF(OR(LEFT(B699,9)="DOANH THU",LEFT(B699,8)="SỐ LƯỢNG"),A699,IF(A699="","",K698))</f>
        <v/>
      </c>
      <c r="L699">
        <f>IF(A699="","",IF(ISNUMBER(--LEFT(A699,FIND(" - ",A699&amp;" - ")-1)),LEFT(A699,FIND(" - ",A699&amp;" - ")-1),TRIM(A699)))</f>
        <v/>
      </c>
      <c r="M699">
        <f>IF(OR(K699="",K699=A699,A699=""),"",K699&amp;"|"&amp;L699)</f>
        <v/>
      </c>
      <c r="N699">
        <f>IF(M699="","",IF(ISNUMBER(B699),B699,IFERROR(_xlfn.NUMBERVALUE(B699,".",","),0)))</f>
        <v/>
      </c>
      <c r="O699">
        <f>IF(M699="","",IF(ISNUMBER(C699),C699,IFERROR(_xlfn.NUMBERVALUE(C699,".",","),0)))</f>
        <v/>
      </c>
    </row>
    <row r="700">
      <c r="K700">
        <f>IF(OR(LEFT(B700,9)="DOANH THU",LEFT(B700,8)="SỐ LƯỢNG"),A700,IF(A700="","",K699))</f>
        <v/>
      </c>
      <c r="L700">
        <f>IF(A700="","",IF(ISNUMBER(--LEFT(A700,FIND(" - ",A700&amp;" - ")-1)),LEFT(A700,FIND(" - ",A700&amp;" - ")-1),TRIM(A700)))</f>
        <v/>
      </c>
      <c r="M700">
        <f>IF(OR(K700="",K700=A700,A700=""),"",K700&amp;"|"&amp;L700)</f>
        <v/>
      </c>
      <c r="N700">
        <f>IF(M700="","",IF(ISNUMBER(B700),B700,IFERROR(_xlfn.NUMBERVALUE(B700,".",","),0)))</f>
        <v/>
      </c>
      <c r="O700">
        <f>IF(M700="","",IF(ISNUMBER(C700),C700,IFERROR(_xlfn.NUMBERVALUE(C700,".",","),0)))</f>
        <v/>
      </c>
    </row>
    <row r="701">
      <c r="K701">
        <f>IF(OR(LEFT(B701,9)="DOANH THU",LEFT(B701,8)="SỐ LƯỢNG"),A701,IF(A701="","",K700))</f>
        <v/>
      </c>
      <c r="L701">
        <f>IF(A701="","",IF(ISNUMBER(--LEFT(A701,FIND(" - ",A701&amp;" - ")-1)),LEFT(A701,FIND(" - ",A701&amp;" - ")-1),TRIM(A701)))</f>
        <v/>
      </c>
      <c r="M701">
        <f>IF(OR(K701="",K701=A701,A701=""),"",K701&amp;"|"&amp;L701)</f>
        <v/>
      </c>
      <c r="N701">
        <f>IF(M701="","",IF(ISNUMBER(B701),B701,IFERROR(_xlfn.NUMBERVALUE(B701,".",","),0)))</f>
        <v/>
      </c>
      <c r="O701">
        <f>IF(M701="","",IF(ISNUMBER(C701),C701,IFERROR(_xlfn.NUMBERVALUE(C701,".",","),0)))</f>
        <v/>
      </c>
    </row>
    <row r="702">
      <c r="K702">
        <f>IF(OR(LEFT(B702,9)="DOANH THU",LEFT(B702,8)="SỐ LƯỢNG"),A702,IF(A702="","",K701))</f>
        <v/>
      </c>
      <c r="L702">
        <f>IF(A702="","",IF(ISNUMBER(--LEFT(A702,FIND(" - ",A702&amp;" - ")-1)),LEFT(A702,FIND(" - ",A702&amp;" - ")-1),TRIM(A702)))</f>
        <v/>
      </c>
      <c r="M702">
        <f>IF(OR(K702="",K702=A702,A702=""),"",K702&amp;"|"&amp;L702)</f>
        <v/>
      </c>
      <c r="N702">
        <f>IF(M702="","",IF(ISNUMBER(B702),B702,IFERROR(_xlfn.NUMBERVALUE(B702,".",","),0)))</f>
        <v/>
      </c>
      <c r="O702">
        <f>IF(M702="","",IF(ISNUMBER(C702),C702,IFERROR(_xlfn.NUMBERVALUE(C702,".",","),0)))</f>
        <v/>
      </c>
    </row>
    <row r="703">
      <c r="K703">
        <f>IF(OR(LEFT(B703,9)="DOANH THU",LEFT(B703,8)="SỐ LƯỢNG"),A703,IF(A703="","",K702))</f>
        <v/>
      </c>
      <c r="L703">
        <f>IF(A703="","",IF(ISNUMBER(--LEFT(A703,FIND(" - ",A703&amp;" - ")-1)),LEFT(A703,FIND(" - ",A703&amp;" - ")-1),TRIM(A703)))</f>
        <v/>
      </c>
      <c r="M703">
        <f>IF(OR(K703="",K703=A703,A703=""),"",K703&amp;"|"&amp;L703)</f>
        <v/>
      </c>
      <c r="N703">
        <f>IF(M703="","",IF(ISNUMBER(B703),B703,IFERROR(_xlfn.NUMBERVALUE(B703,".",","),0)))</f>
        <v/>
      </c>
      <c r="O703">
        <f>IF(M703="","",IF(ISNUMBER(C703),C703,IFERROR(_xlfn.NUMBERVALUE(C703,".",","),0)))</f>
        <v/>
      </c>
    </row>
    <row r="704">
      <c r="K704">
        <f>IF(OR(LEFT(B704,9)="DOANH THU",LEFT(B704,8)="SỐ LƯỢNG"),A704,IF(A704="","",K703))</f>
        <v/>
      </c>
      <c r="L704">
        <f>IF(A704="","",IF(ISNUMBER(--LEFT(A704,FIND(" - ",A704&amp;" - ")-1)),LEFT(A704,FIND(" - ",A704&amp;" - ")-1),TRIM(A704)))</f>
        <v/>
      </c>
      <c r="M704">
        <f>IF(OR(K704="",K704=A704,A704=""),"",K704&amp;"|"&amp;L704)</f>
        <v/>
      </c>
      <c r="N704">
        <f>IF(M704="","",IF(ISNUMBER(B704),B704,IFERROR(_xlfn.NUMBERVALUE(B704,".",","),0)))</f>
        <v/>
      </c>
      <c r="O704">
        <f>IF(M704="","",IF(ISNUMBER(C704),C704,IFERROR(_xlfn.NUMBERVALUE(C704,".",","),0)))</f>
        <v/>
      </c>
    </row>
    <row r="705">
      <c r="K705">
        <f>IF(OR(LEFT(B705,9)="DOANH THU",LEFT(B705,8)="SỐ LƯỢNG"),A705,IF(A705="","",K704))</f>
        <v/>
      </c>
      <c r="L705">
        <f>IF(A705="","",IF(ISNUMBER(--LEFT(A705,FIND(" - ",A705&amp;" - ")-1)),LEFT(A705,FIND(" - ",A705&amp;" - ")-1),TRIM(A705)))</f>
        <v/>
      </c>
      <c r="M705">
        <f>IF(OR(K705="",K705=A705,A705=""),"",K705&amp;"|"&amp;L705)</f>
        <v/>
      </c>
      <c r="N705">
        <f>IF(M705="","",IF(ISNUMBER(B705),B705,IFERROR(_xlfn.NUMBERVALUE(B705,".",","),0)))</f>
        <v/>
      </c>
      <c r="O705">
        <f>IF(M705="","",IF(ISNUMBER(C705),C705,IFERROR(_xlfn.NUMBERVALUE(C705,".",","),0)))</f>
        <v/>
      </c>
    </row>
    <row r="706">
      <c r="K706">
        <f>IF(OR(LEFT(B706,9)="DOANH THU",LEFT(B706,8)="SỐ LƯỢNG"),A706,IF(A706="","",K705))</f>
        <v/>
      </c>
      <c r="L706">
        <f>IF(A706="","",IF(ISNUMBER(--LEFT(A706,FIND(" - ",A706&amp;" - ")-1)),LEFT(A706,FIND(" - ",A706&amp;" - ")-1),TRIM(A706)))</f>
        <v/>
      </c>
      <c r="M706">
        <f>IF(OR(K706="",K706=A706,A706=""),"",K706&amp;"|"&amp;L706)</f>
        <v/>
      </c>
      <c r="N706">
        <f>IF(M706="","",IF(ISNUMBER(B706),B706,IFERROR(_xlfn.NUMBERVALUE(B706,".",","),0)))</f>
        <v/>
      </c>
      <c r="O706">
        <f>IF(M706="","",IF(ISNUMBER(C706),C706,IFERROR(_xlfn.NUMBERVALUE(C706,".",","),0)))</f>
        <v/>
      </c>
    </row>
    <row r="707">
      <c r="K707">
        <f>IF(OR(LEFT(B707,9)="DOANH THU",LEFT(B707,8)="SỐ LƯỢNG"),A707,IF(A707="","",K706))</f>
        <v/>
      </c>
      <c r="L707">
        <f>IF(A707="","",IF(ISNUMBER(--LEFT(A707,FIND(" - ",A707&amp;" - ")-1)),LEFT(A707,FIND(" - ",A707&amp;" - ")-1),TRIM(A707)))</f>
        <v/>
      </c>
      <c r="M707">
        <f>IF(OR(K707="",K707=A707,A707=""),"",K707&amp;"|"&amp;L707)</f>
        <v/>
      </c>
      <c r="N707">
        <f>IF(M707="","",IF(ISNUMBER(B707),B707,IFERROR(_xlfn.NUMBERVALUE(B707,".",","),0)))</f>
        <v/>
      </c>
      <c r="O707">
        <f>IF(M707="","",IF(ISNUMBER(C707),C707,IFERROR(_xlfn.NUMBERVALUE(C707,".",","),0)))</f>
        <v/>
      </c>
    </row>
    <row r="708">
      <c r="K708">
        <f>IF(OR(LEFT(B708,9)="DOANH THU",LEFT(B708,8)="SỐ LƯỢNG"),A708,IF(A708="","",K707))</f>
        <v/>
      </c>
      <c r="L708">
        <f>IF(A708="","",IF(ISNUMBER(--LEFT(A708,FIND(" - ",A708&amp;" - ")-1)),LEFT(A708,FIND(" - ",A708&amp;" - ")-1),TRIM(A708)))</f>
        <v/>
      </c>
      <c r="M708">
        <f>IF(OR(K708="",K708=A708,A708=""),"",K708&amp;"|"&amp;L708)</f>
        <v/>
      </c>
      <c r="N708">
        <f>IF(M708="","",IF(ISNUMBER(B708),B708,IFERROR(_xlfn.NUMBERVALUE(B708,".",","),0)))</f>
        <v/>
      </c>
      <c r="O708">
        <f>IF(M708="","",IF(ISNUMBER(C708),C708,IFERROR(_xlfn.NUMBERVALUE(C708,".",","),0)))</f>
        <v/>
      </c>
    </row>
    <row r="709">
      <c r="K709">
        <f>IF(OR(LEFT(B709,9)="DOANH THU",LEFT(B709,8)="SỐ LƯỢNG"),A709,IF(A709="","",K708))</f>
        <v/>
      </c>
      <c r="L709">
        <f>IF(A709="","",IF(ISNUMBER(--LEFT(A709,FIND(" - ",A709&amp;" - ")-1)),LEFT(A709,FIND(" - ",A709&amp;" - ")-1),TRIM(A709)))</f>
        <v/>
      </c>
      <c r="M709">
        <f>IF(OR(K709="",K709=A709,A709=""),"",K709&amp;"|"&amp;L709)</f>
        <v/>
      </c>
      <c r="N709">
        <f>IF(M709="","",IF(ISNUMBER(B709),B709,IFERROR(_xlfn.NUMBERVALUE(B709,".",","),0)))</f>
        <v/>
      </c>
      <c r="O709">
        <f>IF(M709="","",IF(ISNUMBER(C709),C709,IFERROR(_xlfn.NUMBERVALUE(C709,".",","),0)))</f>
        <v/>
      </c>
    </row>
    <row r="710">
      <c r="K710">
        <f>IF(OR(LEFT(B710,9)="DOANH THU",LEFT(B710,8)="SỐ LƯỢNG"),A710,IF(A710="","",K709))</f>
        <v/>
      </c>
      <c r="L710">
        <f>IF(A710="","",IF(ISNUMBER(--LEFT(A710,FIND(" - ",A710&amp;" - ")-1)),LEFT(A710,FIND(" - ",A710&amp;" - ")-1),TRIM(A710)))</f>
        <v/>
      </c>
      <c r="M710">
        <f>IF(OR(K710="",K710=A710,A710=""),"",K710&amp;"|"&amp;L710)</f>
        <v/>
      </c>
      <c r="N710">
        <f>IF(M710="","",IF(ISNUMBER(B710),B710,IFERROR(_xlfn.NUMBERVALUE(B710,".",","),0)))</f>
        <v/>
      </c>
      <c r="O710">
        <f>IF(M710="","",IF(ISNUMBER(C710),C710,IFERROR(_xlfn.NUMBERVALUE(C710,".",","),0)))</f>
        <v/>
      </c>
    </row>
    <row r="711">
      <c r="K711">
        <f>IF(OR(LEFT(B711,9)="DOANH THU",LEFT(B711,8)="SỐ LƯỢNG"),A711,IF(A711="","",K710))</f>
        <v/>
      </c>
      <c r="L711">
        <f>IF(A711="","",IF(ISNUMBER(--LEFT(A711,FIND(" - ",A711&amp;" - ")-1)),LEFT(A711,FIND(" - ",A711&amp;" - ")-1),TRIM(A711)))</f>
        <v/>
      </c>
      <c r="M711">
        <f>IF(OR(K711="",K711=A711,A711=""),"",K711&amp;"|"&amp;L711)</f>
        <v/>
      </c>
      <c r="N711">
        <f>IF(M711="","",IF(ISNUMBER(B711),B711,IFERROR(_xlfn.NUMBERVALUE(B711,".",","),0)))</f>
        <v/>
      </c>
      <c r="O711">
        <f>IF(M711="","",IF(ISNUMBER(C711),C711,IFERROR(_xlfn.NUMBERVALUE(C711,".",","),0)))</f>
        <v/>
      </c>
    </row>
    <row r="712">
      <c r="K712">
        <f>IF(OR(LEFT(B712,9)="DOANH THU",LEFT(B712,8)="SỐ LƯỢNG"),A712,IF(A712="","",K711))</f>
        <v/>
      </c>
      <c r="L712">
        <f>IF(A712="","",IF(ISNUMBER(--LEFT(A712,FIND(" - ",A712&amp;" - ")-1)),LEFT(A712,FIND(" - ",A712&amp;" - ")-1),TRIM(A712)))</f>
        <v/>
      </c>
      <c r="M712">
        <f>IF(OR(K712="",K712=A712,A712=""),"",K712&amp;"|"&amp;L712)</f>
        <v/>
      </c>
      <c r="N712">
        <f>IF(M712="","",IF(ISNUMBER(B712),B712,IFERROR(_xlfn.NUMBERVALUE(B712,".",","),0)))</f>
        <v/>
      </c>
      <c r="O712">
        <f>IF(M712="","",IF(ISNUMBER(C712),C712,IFERROR(_xlfn.NUMBERVALUE(C712,".",","),0)))</f>
        <v/>
      </c>
    </row>
    <row r="713">
      <c r="K713">
        <f>IF(OR(LEFT(B713,9)="DOANH THU",LEFT(B713,8)="SỐ LƯỢNG"),A713,IF(A713="","",K712))</f>
        <v/>
      </c>
      <c r="L713">
        <f>IF(A713="","",IF(ISNUMBER(--LEFT(A713,FIND(" - ",A713&amp;" - ")-1)),LEFT(A713,FIND(" - ",A713&amp;" - ")-1),TRIM(A713)))</f>
        <v/>
      </c>
      <c r="M713">
        <f>IF(OR(K713="",K713=A713,A713=""),"",K713&amp;"|"&amp;L713)</f>
        <v/>
      </c>
      <c r="N713">
        <f>IF(M713="","",IF(ISNUMBER(B713),B713,IFERROR(_xlfn.NUMBERVALUE(B713,".",","),0)))</f>
        <v/>
      </c>
      <c r="O713">
        <f>IF(M713="","",IF(ISNUMBER(C713),C713,IFERROR(_xlfn.NUMBERVALUE(C713,".",","),0)))</f>
        <v/>
      </c>
    </row>
    <row r="714">
      <c r="K714">
        <f>IF(OR(LEFT(B714,9)="DOANH THU",LEFT(B714,8)="SỐ LƯỢNG"),A714,IF(A714="","",K713))</f>
        <v/>
      </c>
      <c r="L714">
        <f>IF(A714="","",IF(ISNUMBER(--LEFT(A714,FIND(" - ",A714&amp;" - ")-1)),LEFT(A714,FIND(" - ",A714&amp;" - ")-1),TRIM(A714)))</f>
        <v/>
      </c>
      <c r="M714">
        <f>IF(OR(K714="",K714=A714,A714=""),"",K714&amp;"|"&amp;L714)</f>
        <v/>
      </c>
      <c r="N714">
        <f>IF(M714="","",IF(ISNUMBER(B714),B714,IFERROR(_xlfn.NUMBERVALUE(B714,".",","),0)))</f>
        <v/>
      </c>
      <c r="O714">
        <f>IF(M714="","",IF(ISNUMBER(C714),C714,IFERROR(_xlfn.NUMBERVALUE(C714,".",","),0)))</f>
        <v/>
      </c>
    </row>
    <row r="715">
      <c r="K715">
        <f>IF(OR(LEFT(B715,9)="DOANH THU",LEFT(B715,8)="SỐ LƯỢNG"),A715,IF(A715="","",K714))</f>
        <v/>
      </c>
      <c r="L715">
        <f>IF(A715="","",IF(ISNUMBER(--LEFT(A715,FIND(" - ",A715&amp;" - ")-1)),LEFT(A715,FIND(" - ",A715&amp;" - ")-1),TRIM(A715)))</f>
        <v/>
      </c>
      <c r="M715">
        <f>IF(OR(K715="",K715=A715,A715=""),"",K715&amp;"|"&amp;L715)</f>
        <v/>
      </c>
      <c r="N715">
        <f>IF(M715="","",IF(ISNUMBER(B715),B715,IFERROR(_xlfn.NUMBERVALUE(B715,".",","),0)))</f>
        <v/>
      </c>
      <c r="O715">
        <f>IF(M715="","",IF(ISNUMBER(C715),C715,IFERROR(_xlfn.NUMBERVALUE(C715,".",","),0)))</f>
        <v/>
      </c>
    </row>
    <row r="716">
      <c r="K716">
        <f>IF(OR(LEFT(B716,9)="DOANH THU",LEFT(B716,8)="SỐ LƯỢNG"),A716,IF(A716="","",K715))</f>
        <v/>
      </c>
      <c r="L716">
        <f>IF(A716="","",IF(ISNUMBER(--LEFT(A716,FIND(" - ",A716&amp;" - ")-1)),LEFT(A716,FIND(" - ",A716&amp;" - ")-1),TRIM(A716)))</f>
        <v/>
      </c>
      <c r="M716">
        <f>IF(OR(K716="",K716=A716,A716=""),"",K716&amp;"|"&amp;L716)</f>
        <v/>
      </c>
      <c r="N716">
        <f>IF(M716="","",IF(ISNUMBER(B716),B716,IFERROR(_xlfn.NUMBERVALUE(B716,".",","),0)))</f>
        <v/>
      </c>
      <c r="O716">
        <f>IF(M716="","",IF(ISNUMBER(C716),C716,IFERROR(_xlfn.NUMBERVALUE(C716,".",","),0)))</f>
        <v/>
      </c>
    </row>
    <row r="717">
      <c r="K717">
        <f>IF(OR(LEFT(B717,9)="DOANH THU",LEFT(B717,8)="SỐ LƯỢNG"),A717,IF(A717="","",K716))</f>
        <v/>
      </c>
      <c r="L717">
        <f>IF(A717="","",IF(ISNUMBER(--LEFT(A717,FIND(" - ",A717&amp;" - ")-1)),LEFT(A717,FIND(" - ",A717&amp;" - ")-1),TRIM(A717)))</f>
        <v/>
      </c>
      <c r="M717">
        <f>IF(OR(K717="",K717=A717,A717=""),"",K717&amp;"|"&amp;L717)</f>
        <v/>
      </c>
      <c r="N717">
        <f>IF(M717="","",IF(ISNUMBER(B717),B717,IFERROR(_xlfn.NUMBERVALUE(B717,".",","),0)))</f>
        <v/>
      </c>
      <c r="O717">
        <f>IF(M717="","",IF(ISNUMBER(C717),C717,IFERROR(_xlfn.NUMBERVALUE(C717,".",","),0)))</f>
        <v/>
      </c>
    </row>
    <row r="718">
      <c r="K718">
        <f>IF(OR(LEFT(B718,9)="DOANH THU",LEFT(B718,8)="SỐ LƯỢNG"),A718,IF(A718="","",K717))</f>
        <v/>
      </c>
      <c r="L718">
        <f>IF(A718="","",IF(ISNUMBER(--LEFT(A718,FIND(" - ",A718&amp;" - ")-1)),LEFT(A718,FIND(" - ",A718&amp;" - ")-1),TRIM(A718)))</f>
        <v/>
      </c>
      <c r="M718">
        <f>IF(OR(K718="",K718=A718,A718=""),"",K718&amp;"|"&amp;L718)</f>
        <v/>
      </c>
      <c r="N718">
        <f>IF(M718="","",IF(ISNUMBER(B718),B718,IFERROR(_xlfn.NUMBERVALUE(B718,".",","),0)))</f>
        <v/>
      </c>
      <c r="O718">
        <f>IF(M718="","",IF(ISNUMBER(C718),C718,IFERROR(_xlfn.NUMBERVALUE(C718,".",","),0)))</f>
        <v/>
      </c>
    </row>
    <row r="719">
      <c r="K719">
        <f>IF(OR(LEFT(B719,9)="DOANH THU",LEFT(B719,8)="SỐ LƯỢNG"),A719,IF(A719="","",K718))</f>
        <v/>
      </c>
      <c r="L719">
        <f>IF(A719="","",IF(ISNUMBER(--LEFT(A719,FIND(" - ",A719&amp;" - ")-1)),LEFT(A719,FIND(" - ",A719&amp;" - ")-1),TRIM(A719)))</f>
        <v/>
      </c>
      <c r="M719">
        <f>IF(OR(K719="",K719=A719,A719=""),"",K719&amp;"|"&amp;L719)</f>
        <v/>
      </c>
      <c r="N719">
        <f>IF(M719="","",IF(ISNUMBER(B719),B719,IFERROR(_xlfn.NUMBERVALUE(B719,".",","),0)))</f>
        <v/>
      </c>
      <c r="O719">
        <f>IF(M719="","",IF(ISNUMBER(C719),C719,IFERROR(_xlfn.NUMBERVALUE(C719,".",","),0)))</f>
        <v/>
      </c>
    </row>
    <row r="720">
      <c r="K720">
        <f>IF(OR(LEFT(B720,9)="DOANH THU",LEFT(B720,8)="SỐ LƯỢNG"),A720,IF(A720="","",K719))</f>
        <v/>
      </c>
      <c r="L720">
        <f>IF(A720="","",IF(ISNUMBER(--LEFT(A720,FIND(" - ",A720&amp;" - ")-1)),LEFT(A720,FIND(" - ",A720&amp;" - ")-1),TRIM(A720)))</f>
        <v/>
      </c>
      <c r="M720">
        <f>IF(OR(K720="",K720=A720,A720=""),"",K720&amp;"|"&amp;L720)</f>
        <v/>
      </c>
      <c r="N720">
        <f>IF(M720="","",IF(ISNUMBER(B720),B720,IFERROR(_xlfn.NUMBERVALUE(B720,".",","),0)))</f>
        <v/>
      </c>
      <c r="O720">
        <f>IF(M720="","",IF(ISNUMBER(C720),C720,IFERROR(_xlfn.NUMBERVALUE(C720,".",","),0)))</f>
        <v/>
      </c>
    </row>
    <row r="721">
      <c r="K721">
        <f>IF(OR(LEFT(B721,9)="DOANH THU",LEFT(B721,8)="SỐ LƯỢNG"),A721,IF(A721="","",K720))</f>
        <v/>
      </c>
      <c r="L721">
        <f>IF(A721="","",IF(ISNUMBER(--LEFT(A721,FIND(" - ",A721&amp;" - ")-1)),LEFT(A721,FIND(" - ",A721&amp;" - ")-1),TRIM(A721)))</f>
        <v/>
      </c>
      <c r="M721">
        <f>IF(OR(K721="",K721=A721,A721=""),"",K721&amp;"|"&amp;L721)</f>
        <v/>
      </c>
      <c r="N721">
        <f>IF(M721="","",IF(ISNUMBER(B721),B721,IFERROR(_xlfn.NUMBERVALUE(B721,".",","),0)))</f>
        <v/>
      </c>
      <c r="O721">
        <f>IF(M721="","",IF(ISNUMBER(C721),C721,IFERROR(_xlfn.NUMBERVALUE(C721,".",","),0)))</f>
        <v/>
      </c>
    </row>
    <row r="722">
      <c r="K722">
        <f>IF(OR(LEFT(B722,9)="DOANH THU",LEFT(B722,8)="SỐ LƯỢNG"),A722,IF(A722="","",K721))</f>
        <v/>
      </c>
      <c r="L722">
        <f>IF(A722="","",IF(ISNUMBER(--LEFT(A722,FIND(" - ",A722&amp;" - ")-1)),LEFT(A722,FIND(" - ",A722&amp;" - ")-1),TRIM(A722)))</f>
        <v/>
      </c>
      <c r="M722">
        <f>IF(OR(K722="",K722=A722,A722=""),"",K722&amp;"|"&amp;L722)</f>
        <v/>
      </c>
      <c r="N722">
        <f>IF(M722="","",IF(ISNUMBER(B722),B722,IFERROR(_xlfn.NUMBERVALUE(B722,".",","),0)))</f>
        <v/>
      </c>
      <c r="O722">
        <f>IF(M722="","",IF(ISNUMBER(C722),C722,IFERROR(_xlfn.NUMBERVALUE(C722,".",","),0)))</f>
        <v/>
      </c>
    </row>
    <row r="723">
      <c r="K723">
        <f>IF(OR(LEFT(B723,9)="DOANH THU",LEFT(B723,8)="SỐ LƯỢNG"),A723,IF(A723="","",K722))</f>
        <v/>
      </c>
      <c r="L723">
        <f>IF(A723="","",IF(ISNUMBER(--LEFT(A723,FIND(" - ",A723&amp;" - ")-1)),LEFT(A723,FIND(" - ",A723&amp;" - ")-1),TRIM(A723)))</f>
        <v/>
      </c>
      <c r="M723">
        <f>IF(OR(K723="",K723=A723,A723=""),"",K723&amp;"|"&amp;L723)</f>
        <v/>
      </c>
      <c r="N723">
        <f>IF(M723="","",IF(ISNUMBER(B723),B723,IFERROR(_xlfn.NUMBERVALUE(B723,".",","),0)))</f>
        <v/>
      </c>
      <c r="O723">
        <f>IF(M723="","",IF(ISNUMBER(C723),C723,IFERROR(_xlfn.NUMBERVALUE(C723,".",","),0)))</f>
        <v/>
      </c>
    </row>
    <row r="724">
      <c r="K724">
        <f>IF(OR(LEFT(B724,9)="DOANH THU",LEFT(B724,8)="SỐ LƯỢNG"),A724,IF(A724="","",K723))</f>
        <v/>
      </c>
      <c r="L724">
        <f>IF(A724="","",IF(ISNUMBER(--LEFT(A724,FIND(" - ",A724&amp;" - ")-1)),LEFT(A724,FIND(" - ",A724&amp;" - ")-1),TRIM(A724)))</f>
        <v/>
      </c>
      <c r="M724">
        <f>IF(OR(K724="",K724=A724,A724=""),"",K724&amp;"|"&amp;L724)</f>
        <v/>
      </c>
      <c r="N724">
        <f>IF(M724="","",IF(ISNUMBER(B724),B724,IFERROR(_xlfn.NUMBERVALUE(B724,".",","),0)))</f>
        <v/>
      </c>
      <c r="O724">
        <f>IF(M724="","",IF(ISNUMBER(C724),C724,IFERROR(_xlfn.NUMBERVALUE(C724,".",","),0)))</f>
        <v/>
      </c>
    </row>
    <row r="725">
      <c r="K725">
        <f>IF(OR(LEFT(B725,9)="DOANH THU",LEFT(B725,8)="SỐ LƯỢNG"),A725,IF(A725="","",K724))</f>
        <v/>
      </c>
      <c r="L725">
        <f>IF(A725="","",IF(ISNUMBER(--LEFT(A725,FIND(" - ",A725&amp;" - ")-1)),LEFT(A725,FIND(" - ",A725&amp;" - ")-1),TRIM(A725)))</f>
        <v/>
      </c>
      <c r="M725">
        <f>IF(OR(K725="",K725=A725,A725=""),"",K725&amp;"|"&amp;L725)</f>
        <v/>
      </c>
      <c r="N725">
        <f>IF(M725="","",IF(ISNUMBER(B725),B725,IFERROR(_xlfn.NUMBERVALUE(B725,".",","),0)))</f>
        <v/>
      </c>
      <c r="O725">
        <f>IF(M725="","",IF(ISNUMBER(C725),C725,IFERROR(_xlfn.NUMBERVALUE(C725,".",","),0)))</f>
        <v/>
      </c>
    </row>
    <row r="726">
      <c r="K726">
        <f>IF(OR(LEFT(B726,9)="DOANH THU",LEFT(B726,8)="SỐ LƯỢNG"),A726,IF(A726="","",K725))</f>
        <v/>
      </c>
      <c r="L726">
        <f>IF(A726="","",IF(ISNUMBER(--LEFT(A726,FIND(" - ",A726&amp;" - ")-1)),LEFT(A726,FIND(" - ",A726&amp;" - ")-1),TRIM(A726)))</f>
        <v/>
      </c>
      <c r="M726">
        <f>IF(OR(K726="",K726=A726,A726=""),"",K726&amp;"|"&amp;L726)</f>
        <v/>
      </c>
      <c r="N726">
        <f>IF(M726="","",IF(ISNUMBER(B726),B726,IFERROR(_xlfn.NUMBERVALUE(B726,".",","),0)))</f>
        <v/>
      </c>
      <c r="O726">
        <f>IF(M726="","",IF(ISNUMBER(C726),C726,IFERROR(_xlfn.NUMBERVALUE(C726,".",","),0)))</f>
        <v/>
      </c>
    </row>
    <row r="727">
      <c r="K727">
        <f>IF(OR(LEFT(B727,9)="DOANH THU",LEFT(B727,8)="SỐ LƯỢNG"),A727,IF(A727="","",K726))</f>
        <v/>
      </c>
      <c r="L727">
        <f>IF(A727="","",IF(ISNUMBER(--LEFT(A727,FIND(" - ",A727&amp;" - ")-1)),LEFT(A727,FIND(" - ",A727&amp;" - ")-1),TRIM(A727)))</f>
        <v/>
      </c>
      <c r="M727">
        <f>IF(OR(K727="",K727=A727,A727=""),"",K727&amp;"|"&amp;L727)</f>
        <v/>
      </c>
      <c r="N727">
        <f>IF(M727="","",IF(ISNUMBER(B727),B727,IFERROR(_xlfn.NUMBERVALUE(B727,".",","),0)))</f>
        <v/>
      </c>
      <c r="O727">
        <f>IF(M727="","",IF(ISNUMBER(C727),C727,IFERROR(_xlfn.NUMBERVALUE(C727,".",","),0)))</f>
        <v/>
      </c>
    </row>
    <row r="728">
      <c r="K728">
        <f>IF(OR(LEFT(B728,9)="DOANH THU",LEFT(B728,8)="SỐ LƯỢNG"),A728,IF(A728="","",K727))</f>
        <v/>
      </c>
      <c r="L728">
        <f>IF(A728="","",IF(ISNUMBER(--LEFT(A728,FIND(" - ",A728&amp;" - ")-1)),LEFT(A728,FIND(" - ",A728&amp;" - ")-1),TRIM(A728)))</f>
        <v/>
      </c>
      <c r="M728">
        <f>IF(OR(K728="",K728=A728,A728=""),"",K728&amp;"|"&amp;L728)</f>
        <v/>
      </c>
      <c r="N728">
        <f>IF(M728="","",IF(ISNUMBER(B728),B728,IFERROR(_xlfn.NUMBERVALUE(B728,".",","),0)))</f>
        <v/>
      </c>
      <c r="O728">
        <f>IF(M728="","",IF(ISNUMBER(C728),C728,IFERROR(_xlfn.NUMBERVALUE(C728,".",","),0)))</f>
        <v/>
      </c>
    </row>
    <row r="729">
      <c r="K729">
        <f>IF(OR(LEFT(B729,9)="DOANH THU",LEFT(B729,8)="SỐ LƯỢNG"),A729,IF(A729="","",K728))</f>
        <v/>
      </c>
      <c r="L729">
        <f>IF(A729="","",IF(ISNUMBER(--LEFT(A729,FIND(" - ",A729&amp;" - ")-1)),LEFT(A729,FIND(" - ",A729&amp;" - ")-1),TRIM(A729)))</f>
        <v/>
      </c>
      <c r="M729">
        <f>IF(OR(K729="",K729=A729,A729=""),"",K729&amp;"|"&amp;L729)</f>
        <v/>
      </c>
      <c r="N729">
        <f>IF(M729="","",IF(ISNUMBER(B729),B729,IFERROR(_xlfn.NUMBERVALUE(B729,".",","),0)))</f>
        <v/>
      </c>
      <c r="O729">
        <f>IF(M729="","",IF(ISNUMBER(C729),C729,IFERROR(_xlfn.NUMBERVALUE(C729,".",","),0)))</f>
        <v/>
      </c>
    </row>
    <row r="730">
      <c r="K730">
        <f>IF(OR(LEFT(B730,9)="DOANH THU",LEFT(B730,8)="SỐ LƯỢNG"),A730,IF(A730="","",K729))</f>
        <v/>
      </c>
      <c r="L730">
        <f>IF(A730="","",IF(ISNUMBER(--LEFT(A730,FIND(" - ",A730&amp;" - ")-1)),LEFT(A730,FIND(" - ",A730&amp;" - ")-1),TRIM(A730)))</f>
        <v/>
      </c>
      <c r="M730">
        <f>IF(OR(K730="",K730=A730,A730=""),"",K730&amp;"|"&amp;L730)</f>
        <v/>
      </c>
      <c r="N730">
        <f>IF(M730="","",IF(ISNUMBER(B730),B730,IFERROR(_xlfn.NUMBERVALUE(B730,".",","),0)))</f>
        <v/>
      </c>
      <c r="O730">
        <f>IF(M730="","",IF(ISNUMBER(C730),C730,IFERROR(_xlfn.NUMBERVALUE(C730,".",","),0)))</f>
        <v/>
      </c>
    </row>
    <row r="731">
      <c r="K731">
        <f>IF(OR(LEFT(B731,9)="DOANH THU",LEFT(B731,8)="SỐ LƯỢNG"),A731,IF(A731="","",K730))</f>
        <v/>
      </c>
      <c r="L731">
        <f>IF(A731="","",IF(ISNUMBER(--LEFT(A731,FIND(" - ",A731&amp;" - ")-1)),LEFT(A731,FIND(" - ",A731&amp;" - ")-1),TRIM(A731)))</f>
        <v/>
      </c>
      <c r="M731">
        <f>IF(OR(K731="",K731=A731,A731=""),"",K731&amp;"|"&amp;L731)</f>
        <v/>
      </c>
      <c r="N731">
        <f>IF(M731="","",IF(ISNUMBER(B731),B731,IFERROR(_xlfn.NUMBERVALUE(B731,".",","),0)))</f>
        <v/>
      </c>
      <c r="O731">
        <f>IF(M731="","",IF(ISNUMBER(C731),C731,IFERROR(_xlfn.NUMBERVALUE(C731,".",","),0)))</f>
        <v/>
      </c>
    </row>
    <row r="732">
      <c r="K732">
        <f>IF(OR(LEFT(B732,9)="DOANH THU",LEFT(B732,8)="SỐ LƯỢNG"),A732,IF(A732="","",K731))</f>
        <v/>
      </c>
      <c r="L732">
        <f>IF(A732="","",IF(ISNUMBER(--LEFT(A732,FIND(" - ",A732&amp;" - ")-1)),LEFT(A732,FIND(" - ",A732&amp;" - ")-1),TRIM(A732)))</f>
        <v/>
      </c>
      <c r="M732">
        <f>IF(OR(K732="",K732=A732,A732=""),"",K732&amp;"|"&amp;L732)</f>
        <v/>
      </c>
      <c r="N732">
        <f>IF(M732="","",IF(ISNUMBER(B732),B732,IFERROR(_xlfn.NUMBERVALUE(B732,".",","),0)))</f>
        <v/>
      </c>
      <c r="O732">
        <f>IF(M732="","",IF(ISNUMBER(C732),C732,IFERROR(_xlfn.NUMBERVALUE(C732,".",","),0)))</f>
        <v/>
      </c>
    </row>
    <row r="733">
      <c r="K733">
        <f>IF(OR(LEFT(B733,9)="DOANH THU",LEFT(B733,8)="SỐ LƯỢNG"),A733,IF(A733="","",K732))</f>
        <v/>
      </c>
      <c r="L733">
        <f>IF(A733="","",IF(ISNUMBER(--LEFT(A733,FIND(" - ",A733&amp;" - ")-1)),LEFT(A733,FIND(" - ",A733&amp;" - ")-1),TRIM(A733)))</f>
        <v/>
      </c>
      <c r="M733">
        <f>IF(OR(K733="",K733=A733,A733=""),"",K733&amp;"|"&amp;L733)</f>
        <v/>
      </c>
      <c r="N733">
        <f>IF(M733="","",IF(ISNUMBER(B733),B733,IFERROR(_xlfn.NUMBERVALUE(B733,".",","),0)))</f>
        <v/>
      </c>
      <c r="O733">
        <f>IF(M733="","",IF(ISNUMBER(C733),C733,IFERROR(_xlfn.NUMBERVALUE(C733,".",","),0)))</f>
        <v/>
      </c>
    </row>
    <row r="734">
      <c r="K734">
        <f>IF(OR(LEFT(B734,9)="DOANH THU",LEFT(B734,8)="SỐ LƯỢNG"),A734,IF(A734="","",K733))</f>
        <v/>
      </c>
      <c r="L734">
        <f>IF(A734="","",IF(ISNUMBER(--LEFT(A734,FIND(" - ",A734&amp;" - ")-1)),LEFT(A734,FIND(" - ",A734&amp;" - ")-1),TRIM(A734)))</f>
        <v/>
      </c>
      <c r="M734">
        <f>IF(OR(K734="",K734=A734,A734=""),"",K734&amp;"|"&amp;L734)</f>
        <v/>
      </c>
      <c r="N734">
        <f>IF(M734="","",IF(ISNUMBER(B734),B734,IFERROR(_xlfn.NUMBERVALUE(B734,".",","),0)))</f>
        <v/>
      </c>
      <c r="O734">
        <f>IF(M734="","",IF(ISNUMBER(C734),C734,IFERROR(_xlfn.NUMBERVALUE(C734,".",","),0)))</f>
        <v/>
      </c>
    </row>
    <row r="735">
      <c r="K735">
        <f>IF(OR(LEFT(B735,9)="DOANH THU",LEFT(B735,8)="SỐ LƯỢNG"),A735,IF(A735="","",K734))</f>
        <v/>
      </c>
      <c r="L735">
        <f>IF(A735="","",IF(ISNUMBER(--LEFT(A735,FIND(" - ",A735&amp;" - ")-1)),LEFT(A735,FIND(" - ",A735&amp;" - ")-1),TRIM(A735)))</f>
        <v/>
      </c>
      <c r="M735">
        <f>IF(OR(K735="",K735=A735,A735=""),"",K735&amp;"|"&amp;L735)</f>
        <v/>
      </c>
      <c r="N735">
        <f>IF(M735="","",IF(ISNUMBER(B735),B735,IFERROR(_xlfn.NUMBERVALUE(B735,".",","),0)))</f>
        <v/>
      </c>
      <c r="O735">
        <f>IF(M735="","",IF(ISNUMBER(C735),C735,IFERROR(_xlfn.NUMBERVALUE(C735,".",","),0)))</f>
        <v/>
      </c>
    </row>
    <row r="736">
      <c r="K736">
        <f>IF(OR(LEFT(B736,9)="DOANH THU",LEFT(B736,8)="SỐ LƯỢNG"),A736,IF(A736="","",K735))</f>
        <v/>
      </c>
      <c r="L736">
        <f>IF(A736="","",IF(ISNUMBER(--LEFT(A736,FIND(" - ",A736&amp;" - ")-1)),LEFT(A736,FIND(" - ",A736&amp;" - ")-1),TRIM(A736)))</f>
        <v/>
      </c>
      <c r="M736">
        <f>IF(OR(K736="",K736=A736,A736=""),"",K736&amp;"|"&amp;L736)</f>
        <v/>
      </c>
      <c r="N736">
        <f>IF(M736="","",IF(ISNUMBER(B736),B736,IFERROR(_xlfn.NUMBERVALUE(B736,".",","),0)))</f>
        <v/>
      </c>
      <c r="O736">
        <f>IF(M736="","",IF(ISNUMBER(C736),C736,IFERROR(_xlfn.NUMBERVALUE(C736,".",","),0)))</f>
        <v/>
      </c>
    </row>
    <row r="737">
      <c r="K737">
        <f>IF(OR(LEFT(B737,9)="DOANH THU",LEFT(B737,8)="SỐ LƯỢNG"),A737,IF(A737="","",K736))</f>
        <v/>
      </c>
      <c r="L737">
        <f>IF(A737="","",IF(ISNUMBER(--LEFT(A737,FIND(" - ",A737&amp;" - ")-1)),LEFT(A737,FIND(" - ",A737&amp;" - ")-1),TRIM(A737)))</f>
        <v/>
      </c>
      <c r="M737">
        <f>IF(OR(K737="",K737=A737,A737=""),"",K737&amp;"|"&amp;L737)</f>
        <v/>
      </c>
      <c r="N737">
        <f>IF(M737="","",IF(ISNUMBER(B737),B737,IFERROR(_xlfn.NUMBERVALUE(B737,".",","),0)))</f>
        <v/>
      </c>
      <c r="O737">
        <f>IF(M737="","",IF(ISNUMBER(C737),C737,IFERROR(_xlfn.NUMBERVALUE(C737,".",","),0)))</f>
        <v/>
      </c>
    </row>
    <row r="738">
      <c r="K738">
        <f>IF(OR(LEFT(B738,9)="DOANH THU",LEFT(B738,8)="SỐ LƯỢNG"),A738,IF(A738="","",K737))</f>
        <v/>
      </c>
      <c r="L738">
        <f>IF(A738="","",IF(ISNUMBER(--LEFT(A738,FIND(" - ",A738&amp;" - ")-1)),LEFT(A738,FIND(" - ",A738&amp;" - ")-1),TRIM(A738)))</f>
        <v/>
      </c>
      <c r="M738">
        <f>IF(OR(K738="",K738=A738,A738=""),"",K738&amp;"|"&amp;L738)</f>
        <v/>
      </c>
      <c r="N738">
        <f>IF(M738="","",IF(ISNUMBER(B738),B738,IFERROR(_xlfn.NUMBERVALUE(B738,".",","),0)))</f>
        <v/>
      </c>
      <c r="O738">
        <f>IF(M738="","",IF(ISNUMBER(C738),C738,IFERROR(_xlfn.NUMBERVALUE(C738,".",","),0)))</f>
        <v/>
      </c>
    </row>
    <row r="739">
      <c r="K739">
        <f>IF(OR(LEFT(B739,9)="DOANH THU",LEFT(B739,8)="SỐ LƯỢNG"),A739,IF(A739="","",K738))</f>
        <v/>
      </c>
      <c r="L739">
        <f>IF(A739="","",IF(ISNUMBER(--LEFT(A739,FIND(" - ",A739&amp;" - ")-1)),LEFT(A739,FIND(" - ",A739&amp;" - ")-1),TRIM(A739)))</f>
        <v/>
      </c>
      <c r="M739">
        <f>IF(OR(K739="",K739=A739,A739=""),"",K739&amp;"|"&amp;L739)</f>
        <v/>
      </c>
      <c r="N739">
        <f>IF(M739="","",IF(ISNUMBER(B739),B739,IFERROR(_xlfn.NUMBERVALUE(B739,".",","),0)))</f>
        <v/>
      </c>
      <c r="O739">
        <f>IF(M739="","",IF(ISNUMBER(C739),C739,IFERROR(_xlfn.NUMBERVALUE(C739,".",","),0)))</f>
        <v/>
      </c>
    </row>
    <row r="740">
      <c r="K740">
        <f>IF(OR(LEFT(B740,9)="DOANH THU",LEFT(B740,8)="SỐ LƯỢNG"),A740,IF(A740="","",K739))</f>
        <v/>
      </c>
      <c r="L740">
        <f>IF(A740="","",IF(ISNUMBER(--LEFT(A740,FIND(" - ",A740&amp;" - ")-1)),LEFT(A740,FIND(" - ",A740&amp;" - ")-1),TRIM(A740)))</f>
        <v/>
      </c>
      <c r="M740">
        <f>IF(OR(K740="",K740=A740,A740=""),"",K740&amp;"|"&amp;L740)</f>
        <v/>
      </c>
      <c r="N740">
        <f>IF(M740="","",IF(ISNUMBER(B740),B740,IFERROR(_xlfn.NUMBERVALUE(B740,".",","),0)))</f>
        <v/>
      </c>
      <c r="O740">
        <f>IF(M740="","",IF(ISNUMBER(C740),C740,IFERROR(_xlfn.NUMBERVALUE(C740,".",","),0)))</f>
        <v/>
      </c>
    </row>
    <row r="741">
      <c r="K741">
        <f>IF(OR(LEFT(B741,9)="DOANH THU",LEFT(B741,8)="SỐ LƯỢNG"),A741,IF(A741="","",K740))</f>
        <v/>
      </c>
      <c r="L741">
        <f>IF(A741="","",IF(ISNUMBER(--LEFT(A741,FIND(" - ",A741&amp;" - ")-1)),LEFT(A741,FIND(" - ",A741&amp;" - ")-1),TRIM(A741)))</f>
        <v/>
      </c>
      <c r="M741">
        <f>IF(OR(K741="",K741=A741,A741=""),"",K741&amp;"|"&amp;L741)</f>
        <v/>
      </c>
      <c r="N741">
        <f>IF(M741="","",IF(ISNUMBER(B741),B741,IFERROR(_xlfn.NUMBERVALUE(B741,".",","),0)))</f>
        <v/>
      </c>
      <c r="O741">
        <f>IF(M741="","",IF(ISNUMBER(C741),C741,IFERROR(_xlfn.NUMBERVALUE(C741,".",","),0)))</f>
        <v/>
      </c>
    </row>
    <row r="742">
      <c r="K742">
        <f>IF(OR(LEFT(B742,9)="DOANH THU",LEFT(B742,8)="SỐ LƯỢNG"),A742,IF(A742="","",K741))</f>
        <v/>
      </c>
      <c r="L742">
        <f>IF(A742="","",IF(ISNUMBER(--LEFT(A742,FIND(" - ",A742&amp;" - ")-1)),LEFT(A742,FIND(" - ",A742&amp;" - ")-1),TRIM(A742)))</f>
        <v/>
      </c>
      <c r="M742">
        <f>IF(OR(K742="",K742=A742,A742=""),"",K742&amp;"|"&amp;L742)</f>
        <v/>
      </c>
      <c r="N742">
        <f>IF(M742="","",IF(ISNUMBER(B742),B742,IFERROR(_xlfn.NUMBERVALUE(B742,".",","),0)))</f>
        <v/>
      </c>
      <c r="O742">
        <f>IF(M742="","",IF(ISNUMBER(C742),C742,IFERROR(_xlfn.NUMBERVALUE(C742,".",","),0)))</f>
        <v/>
      </c>
    </row>
    <row r="743">
      <c r="K743">
        <f>IF(OR(LEFT(B743,9)="DOANH THU",LEFT(B743,8)="SỐ LƯỢNG"),A743,IF(A743="","",K742))</f>
        <v/>
      </c>
      <c r="L743">
        <f>IF(A743="","",IF(ISNUMBER(--LEFT(A743,FIND(" - ",A743&amp;" - ")-1)),LEFT(A743,FIND(" - ",A743&amp;" - ")-1),TRIM(A743)))</f>
        <v/>
      </c>
      <c r="M743">
        <f>IF(OR(K743="",K743=A743,A743=""),"",K743&amp;"|"&amp;L743)</f>
        <v/>
      </c>
      <c r="N743">
        <f>IF(M743="","",IF(ISNUMBER(B743),B743,IFERROR(_xlfn.NUMBERVALUE(B743,".",","),0)))</f>
        <v/>
      </c>
      <c r="O743">
        <f>IF(M743="","",IF(ISNUMBER(C743),C743,IFERROR(_xlfn.NUMBERVALUE(C743,".",","),0)))</f>
        <v/>
      </c>
    </row>
    <row r="744">
      <c r="K744">
        <f>IF(OR(LEFT(B744,9)="DOANH THU",LEFT(B744,8)="SỐ LƯỢNG"),A744,IF(A744="","",K743))</f>
        <v/>
      </c>
      <c r="L744">
        <f>IF(A744="","",IF(ISNUMBER(--LEFT(A744,FIND(" - ",A744&amp;" - ")-1)),LEFT(A744,FIND(" - ",A744&amp;" - ")-1),TRIM(A744)))</f>
        <v/>
      </c>
      <c r="M744">
        <f>IF(OR(K744="",K744=A744,A744=""),"",K744&amp;"|"&amp;L744)</f>
        <v/>
      </c>
      <c r="N744">
        <f>IF(M744="","",IF(ISNUMBER(B744),B744,IFERROR(_xlfn.NUMBERVALUE(B744,".",","),0)))</f>
        <v/>
      </c>
      <c r="O744">
        <f>IF(M744="","",IF(ISNUMBER(C744),C744,IFERROR(_xlfn.NUMBERVALUE(C744,".",","),0)))</f>
        <v/>
      </c>
    </row>
    <row r="745">
      <c r="K745">
        <f>IF(OR(LEFT(B745,9)="DOANH THU",LEFT(B745,8)="SỐ LƯỢNG"),A745,IF(A745="","",K744))</f>
        <v/>
      </c>
      <c r="L745">
        <f>IF(A745="","",IF(ISNUMBER(--LEFT(A745,FIND(" - ",A745&amp;" - ")-1)),LEFT(A745,FIND(" - ",A745&amp;" - ")-1),TRIM(A745)))</f>
        <v/>
      </c>
      <c r="M745">
        <f>IF(OR(K745="",K745=A745,A745=""),"",K745&amp;"|"&amp;L745)</f>
        <v/>
      </c>
      <c r="N745">
        <f>IF(M745="","",IF(ISNUMBER(B745),B745,IFERROR(_xlfn.NUMBERVALUE(B745,".",","),0)))</f>
        <v/>
      </c>
      <c r="O745">
        <f>IF(M745="","",IF(ISNUMBER(C745),C745,IFERROR(_xlfn.NUMBERVALUE(C745,".",","),0)))</f>
        <v/>
      </c>
    </row>
    <row r="746">
      <c r="K746">
        <f>IF(OR(LEFT(B746,9)="DOANH THU",LEFT(B746,8)="SỐ LƯỢNG"),A746,IF(A746="","",K745))</f>
        <v/>
      </c>
      <c r="L746">
        <f>IF(A746="","",IF(ISNUMBER(--LEFT(A746,FIND(" - ",A746&amp;" - ")-1)),LEFT(A746,FIND(" - ",A746&amp;" - ")-1),TRIM(A746)))</f>
        <v/>
      </c>
      <c r="M746">
        <f>IF(OR(K746="",K746=A746,A746=""),"",K746&amp;"|"&amp;L746)</f>
        <v/>
      </c>
      <c r="N746">
        <f>IF(M746="","",IF(ISNUMBER(B746),B746,IFERROR(_xlfn.NUMBERVALUE(B746,".",","),0)))</f>
        <v/>
      </c>
      <c r="O746">
        <f>IF(M746="","",IF(ISNUMBER(C746),C746,IFERROR(_xlfn.NUMBERVALUE(C746,".",","),0)))</f>
        <v/>
      </c>
    </row>
    <row r="747">
      <c r="K747">
        <f>IF(OR(LEFT(B747,9)="DOANH THU",LEFT(B747,8)="SỐ LƯỢNG"),A747,IF(A747="","",K746))</f>
        <v/>
      </c>
      <c r="L747">
        <f>IF(A747="","",IF(ISNUMBER(--LEFT(A747,FIND(" - ",A747&amp;" - ")-1)),LEFT(A747,FIND(" - ",A747&amp;" - ")-1),TRIM(A747)))</f>
        <v/>
      </c>
      <c r="M747">
        <f>IF(OR(K747="",K747=A747,A747=""),"",K747&amp;"|"&amp;L747)</f>
        <v/>
      </c>
      <c r="N747">
        <f>IF(M747="","",IF(ISNUMBER(B747),B747,IFERROR(_xlfn.NUMBERVALUE(B747,".",","),0)))</f>
        <v/>
      </c>
      <c r="O747">
        <f>IF(M747="","",IF(ISNUMBER(C747),C747,IFERROR(_xlfn.NUMBERVALUE(C747,".",","),0)))</f>
        <v/>
      </c>
    </row>
    <row r="748">
      <c r="K748">
        <f>IF(OR(LEFT(B748,9)="DOANH THU",LEFT(B748,8)="SỐ LƯỢNG"),A748,IF(A748="","",K747))</f>
        <v/>
      </c>
      <c r="L748">
        <f>IF(A748="","",IF(ISNUMBER(--LEFT(A748,FIND(" - ",A748&amp;" - ")-1)),LEFT(A748,FIND(" - ",A748&amp;" - ")-1),TRIM(A748)))</f>
        <v/>
      </c>
      <c r="M748">
        <f>IF(OR(K748="",K748=A748,A748=""),"",K748&amp;"|"&amp;L748)</f>
        <v/>
      </c>
      <c r="N748">
        <f>IF(M748="","",IF(ISNUMBER(B748),B748,IFERROR(_xlfn.NUMBERVALUE(B748,".",","),0)))</f>
        <v/>
      </c>
      <c r="O748">
        <f>IF(M748="","",IF(ISNUMBER(C748),C748,IFERROR(_xlfn.NUMBERVALUE(C748,".",","),0)))</f>
        <v/>
      </c>
    </row>
    <row r="749">
      <c r="K749">
        <f>IF(OR(LEFT(B749,9)="DOANH THU",LEFT(B749,8)="SỐ LƯỢNG"),A749,IF(A749="","",K748))</f>
        <v/>
      </c>
      <c r="L749">
        <f>IF(A749="","",IF(ISNUMBER(--LEFT(A749,FIND(" - ",A749&amp;" - ")-1)),LEFT(A749,FIND(" - ",A749&amp;" - ")-1),TRIM(A749)))</f>
        <v/>
      </c>
      <c r="M749">
        <f>IF(OR(K749="",K749=A749,A749=""),"",K749&amp;"|"&amp;L749)</f>
        <v/>
      </c>
      <c r="N749">
        <f>IF(M749="","",IF(ISNUMBER(B749),B749,IFERROR(_xlfn.NUMBERVALUE(B749,".",","),0)))</f>
        <v/>
      </c>
      <c r="O749">
        <f>IF(M749="","",IF(ISNUMBER(C749),C749,IFERROR(_xlfn.NUMBERVALUE(C749,".",","),0)))</f>
        <v/>
      </c>
    </row>
    <row r="750">
      <c r="K750">
        <f>IF(OR(LEFT(B750,9)="DOANH THU",LEFT(B750,8)="SỐ LƯỢNG"),A750,IF(A750="","",K749))</f>
        <v/>
      </c>
      <c r="L750">
        <f>IF(A750="","",IF(ISNUMBER(--LEFT(A750,FIND(" - ",A750&amp;" - ")-1)),LEFT(A750,FIND(" - ",A750&amp;" - ")-1),TRIM(A750)))</f>
        <v/>
      </c>
      <c r="M750">
        <f>IF(OR(K750="",K750=A750,A750=""),"",K750&amp;"|"&amp;L750)</f>
        <v/>
      </c>
      <c r="N750">
        <f>IF(M750="","",IF(ISNUMBER(B750),B750,IFERROR(_xlfn.NUMBERVALUE(B750,".",","),0)))</f>
        <v/>
      </c>
      <c r="O750">
        <f>IF(M750="","",IF(ISNUMBER(C750),C750,IFERROR(_xlfn.NUMBERVALUE(C750,".",","),0)))</f>
        <v/>
      </c>
    </row>
    <row r="751">
      <c r="K751">
        <f>IF(OR(LEFT(B751,9)="DOANH THU",LEFT(B751,8)="SỐ LƯỢNG"),A751,IF(A751="","",K750))</f>
        <v/>
      </c>
      <c r="L751">
        <f>IF(A751="","",IF(ISNUMBER(--LEFT(A751,FIND(" - ",A751&amp;" - ")-1)),LEFT(A751,FIND(" - ",A751&amp;" - ")-1),TRIM(A751)))</f>
        <v/>
      </c>
      <c r="M751">
        <f>IF(OR(K751="",K751=A751,A751=""),"",K751&amp;"|"&amp;L751)</f>
        <v/>
      </c>
      <c r="N751">
        <f>IF(M751="","",IF(ISNUMBER(B751),B751,IFERROR(_xlfn.NUMBERVALUE(B751,".",","),0)))</f>
        <v/>
      </c>
      <c r="O751">
        <f>IF(M751="","",IF(ISNUMBER(C751),C751,IFERROR(_xlfn.NUMBERVALUE(C751,".",","),0)))</f>
        <v/>
      </c>
    </row>
    <row r="752">
      <c r="K752">
        <f>IF(OR(LEFT(B752,9)="DOANH THU",LEFT(B752,8)="SỐ LƯỢNG"),A752,IF(A752="","",K751))</f>
        <v/>
      </c>
      <c r="L752">
        <f>IF(A752="","",IF(ISNUMBER(--LEFT(A752,FIND(" - ",A752&amp;" - ")-1)),LEFT(A752,FIND(" - ",A752&amp;" - ")-1),TRIM(A752)))</f>
        <v/>
      </c>
      <c r="M752">
        <f>IF(OR(K752="",K752=A752,A752=""),"",K752&amp;"|"&amp;L752)</f>
        <v/>
      </c>
      <c r="N752">
        <f>IF(M752="","",IF(ISNUMBER(B752),B752,IFERROR(_xlfn.NUMBERVALUE(B752,".",","),0)))</f>
        <v/>
      </c>
      <c r="O752">
        <f>IF(M752="","",IF(ISNUMBER(C752),C752,IFERROR(_xlfn.NUMBERVALUE(C752,".",","),0)))</f>
        <v/>
      </c>
    </row>
    <row r="753">
      <c r="K753">
        <f>IF(OR(LEFT(B753,9)="DOANH THU",LEFT(B753,8)="SỐ LƯỢNG"),A753,IF(A753="","",K752))</f>
        <v/>
      </c>
      <c r="L753">
        <f>IF(A753="","",IF(ISNUMBER(--LEFT(A753,FIND(" - ",A753&amp;" - ")-1)),LEFT(A753,FIND(" - ",A753&amp;" - ")-1),TRIM(A753)))</f>
        <v/>
      </c>
      <c r="M753">
        <f>IF(OR(K753="",K753=A753,A753=""),"",K753&amp;"|"&amp;L753)</f>
        <v/>
      </c>
      <c r="N753">
        <f>IF(M753="","",IF(ISNUMBER(B753),B753,IFERROR(_xlfn.NUMBERVALUE(B753,".",","),0)))</f>
        <v/>
      </c>
      <c r="O753">
        <f>IF(M753="","",IF(ISNUMBER(C753),C753,IFERROR(_xlfn.NUMBERVALUE(C753,".",","),0)))</f>
        <v/>
      </c>
    </row>
    <row r="754">
      <c r="K754">
        <f>IF(OR(LEFT(B754,9)="DOANH THU",LEFT(B754,8)="SỐ LƯỢNG"),A754,IF(A754="","",K753))</f>
        <v/>
      </c>
      <c r="L754">
        <f>IF(A754="","",IF(ISNUMBER(--LEFT(A754,FIND(" - ",A754&amp;" - ")-1)),LEFT(A754,FIND(" - ",A754&amp;" - ")-1),TRIM(A754)))</f>
        <v/>
      </c>
      <c r="M754">
        <f>IF(OR(K754="",K754=A754,A754=""),"",K754&amp;"|"&amp;L754)</f>
        <v/>
      </c>
      <c r="N754">
        <f>IF(M754="","",IF(ISNUMBER(B754),B754,IFERROR(_xlfn.NUMBERVALUE(B754,".",","),0)))</f>
        <v/>
      </c>
      <c r="O754">
        <f>IF(M754="","",IF(ISNUMBER(C754),C754,IFERROR(_xlfn.NUMBERVALUE(C754,".",","),0)))</f>
        <v/>
      </c>
    </row>
    <row r="755">
      <c r="K755">
        <f>IF(OR(LEFT(B755,9)="DOANH THU",LEFT(B755,8)="SỐ LƯỢNG"),A755,IF(A755="","",K754))</f>
        <v/>
      </c>
      <c r="L755">
        <f>IF(A755="","",IF(ISNUMBER(--LEFT(A755,FIND(" - ",A755&amp;" - ")-1)),LEFT(A755,FIND(" - ",A755&amp;" - ")-1),TRIM(A755)))</f>
        <v/>
      </c>
      <c r="M755">
        <f>IF(OR(K755="",K755=A755,A755=""),"",K755&amp;"|"&amp;L755)</f>
        <v/>
      </c>
      <c r="N755">
        <f>IF(M755="","",IF(ISNUMBER(B755),B755,IFERROR(_xlfn.NUMBERVALUE(B755,".",","),0)))</f>
        <v/>
      </c>
      <c r="O755">
        <f>IF(M755="","",IF(ISNUMBER(C755),C755,IFERROR(_xlfn.NUMBERVALUE(C755,".",","),0)))</f>
        <v/>
      </c>
    </row>
    <row r="756">
      <c r="K756">
        <f>IF(OR(LEFT(B756,9)="DOANH THU",LEFT(B756,8)="SỐ LƯỢNG"),A756,IF(A756="","",K755))</f>
        <v/>
      </c>
      <c r="L756">
        <f>IF(A756="","",IF(ISNUMBER(--LEFT(A756,FIND(" - ",A756&amp;" - ")-1)),LEFT(A756,FIND(" - ",A756&amp;" - ")-1),TRIM(A756)))</f>
        <v/>
      </c>
      <c r="M756">
        <f>IF(OR(K756="",K756=A756,A756=""),"",K756&amp;"|"&amp;L756)</f>
        <v/>
      </c>
      <c r="N756">
        <f>IF(M756="","",IF(ISNUMBER(B756),B756,IFERROR(_xlfn.NUMBERVALUE(B756,".",","),0)))</f>
        <v/>
      </c>
      <c r="O756">
        <f>IF(M756="","",IF(ISNUMBER(C756),C756,IFERROR(_xlfn.NUMBERVALUE(C756,".",","),0)))</f>
        <v/>
      </c>
    </row>
    <row r="757">
      <c r="K757">
        <f>IF(OR(LEFT(B757,9)="DOANH THU",LEFT(B757,8)="SỐ LƯỢNG"),A757,IF(A757="","",K756))</f>
        <v/>
      </c>
      <c r="L757">
        <f>IF(A757="","",IF(ISNUMBER(--LEFT(A757,FIND(" - ",A757&amp;" - ")-1)),LEFT(A757,FIND(" - ",A757&amp;" - ")-1),TRIM(A757)))</f>
        <v/>
      </c>
      <c r="M757">
        <f>IF(OR(K757="",K757=A757,A757=""),"",K757&amp;"|"&amp;L757)</f>
        <v/>
      </c>
      <c r="N757">
        <f>IF(M757="","",IF(ISNUMBER(B757),B757,IFERROR(_xlfn.NUMBERVALUE(B757,".",","),0)))</f>
        <v/>
      </c>
      <c r="O757">
        <f>IF(M757="","",IF(ISNUMBER(C757),C757,IFERROR(_xlfn.NUMBERVALUE(C757,".",","),0)))</f>
        <v/>
      </c>
    </row>
    <row r="758">
      <c r="K758">
        <f>IF(OR(LEFT(B758,9)="DOANH THU",LEFT(B758,8)="SỐ LƯỢNG"),A758,IF(A758="","",K757))</f>
        <v/>
      </c>
      <c r="L758">
        <f>IF(A758="","",IF(ISNUMBER(--LEFT(A758,FIND(" - ",A758&amp;" - ")-1)),LEFT(A758,FIND(" - ",A758&amp;" - ")-1),TRIM(A758)))</f>
        <v/>
      </c>
      <c r="M758">
        <f>IF(OR(K758="",K758=A758,A758=""),"",K758&amp;"|"&amp;L758)</f>
        <v/>
      </c>
      <c r="N758">
        <f>IF(M758="","",IF(ISNUMBER(B758),B758,IFERROR(_xlfn.NUMBERVALUE(B758,".",","),0)))</f>
        <v/>
      </c>
      <c r="O758">
        <f>IF(M758="","",IF(ISNUMBER(C758),C758,IFERROR(_xlfn.NUMBERVALUE(C758,".",","),0)))</f>
        <v/>
      </c>
    </row>
    <row r="759">
      <c r="K759">
        <f>IF(OR(LEFT(B759,9)="DOANH THU",LEFT(B759,8)="SỐ LƯỢNG"),A759,IF(A759="","",K758))</f>
        <v/>
      </c>
      <c r="L759">
        <f>IF(A759="","",IF(ISNUMBER(--LEFT(A759,FIND(" - ",A759&amp;" - ")-1)),LEFT(A759,FIND(" - ",A759&amp;" - ")-1),TRIM(A759)))</f>
        <v/>
      </c>
      <c r="M759">
        <f>IF(OR(K759="",K759=A759,A759=""),"",K759&amp;"|"&amp;L759)</f>
        <v/>
      </c>
      <c r="N759">
        <f>IF(M759="","",IF(ISNUMBER(B759),B759,IFERROR(_xlfn.NUMBERVALUE(B759,".",","),0)))</f>
        <v/>
      </c>
      <c r="O759">
        <f>IF(M759="","",IF(ISNUMBER(C759),C759,IFERROR(_xlfn.NUMBERVALUE(C759,".",","),0)))</f>
        <v/>
      </c>
    </row>
    <row r="760">
      <c r="K760">
        <f>IF(OR(LEFT(B760,9)="DOANH THU",LEFT(B760,8)="SỐ LƯỢNG"),A760,IF(A760="","",K759))</f>
        <v/>
      </c>
      <c r="L760">
        <f>IF(A760="","",IF(ISNUMBER(--LEFT(A760,FIND(" - ",A760&amp;" - ")-1)),LEFT(A760,FIND(" - ",A760&amp;" - ")-1),TRIM(A760)))</f>
        <v/>
      </c>
      <c r="M760">
        <f>IF(OR(K760="",K760=A760,A760=""),"",K760&amp;"|"&amp;L760)</f>
        <v/>
      </c>
      <c r="N760">
        <f>IF(M760="","",IF(ISNUMBER(B760),B760,IFERROR(_xlfn.NUMBERVALUE(B760,".",","),0)))</f>
        <v/>
      </c>
      <c r="O760">
        <f>IF(M760="","",IF(ISNUMBER(C760),C760,IFERROR(_xlfn.NUMBERVALUE(C760,".",","),0)))</f>
        <v/>
      </c>
    </row>
    <row r="761">
      <c r="K761">
        <f>IF(OR(LEFT(B761,9)="DOANH THU",LEFT(B761,8)="SỐ LƯỢNG"),A761,IF(A761="","",K760))</f>
        <v/>
      </c>
      <c r="L761">
        <f>IF(A761="","",IF(ISNUMBER(--LEFT(A761,FIND(" - ",A761&amp;" - ")-1)),LEFT(A761,FIND(" - ",A761&amp;" - ")-1),TRIM(A761)))</f>
        <v/>
      </c>
      <c r="M761">
        <f>IF(OR(K761="",K761=A761,A761=""),"",K761&amp;"|"&amp;L761)</f>
        <v/>
      </c>
      <c r="N761">
        <f>IF(M761="","",IF(ISNUMBER(B761),B761,IFERROR(_xlfn.NUMBERVALUE(B761,".",","),0)))</f>
        <v/>
      </c>
      <c r="O761">
        <f>IF(M761="","",IF(ISNUMBER(C761),C761,IFERROR(_xlfn.NUMBERVALUE(C761,".",","),0)))</f>
        <v/>
      </c>
    </row>
    <row r="762">
      <c r="K762">
        <f>IF(OR(LEFT(B762,9)="DOANH THU",LEFT(B762,8)="SỐ LƯỢNG"),A762,IF(A762="","",K761))</f>
        <v/>
      </c>
      <c r="L762">
        <f>IF(A762="","",IF(ISNUMBER(--LEFT(A762,FIND(" - ",A762&amp;" - ")-1)),LEFT(A762,FIND(" - ",A762&amp;" - ")-1),TRIM(A762)))</f>
        <v/>
      </c>
      <c r="M762">
        <f>IF(OR(K762="",K762=A762,A762=""),"",K762&amp;"|"&amp;L762)</f>
        <v/>
      </c>
      <c r="N762">
        <f>IF(M762="","",IF(ISNUMBER(B762),B762,IFERROR(_xlfn.NUMBERVALUE(B762,".",","),0)))</f>
        <v/>
      </c>
      <c r="O762">
        <f>IF(M762="","",IF(ISNUMBER(C762),C762,IFERROR(_xlfn.NUMBERVALUE(C762,".",","),0)))</f>
        <v/>
      </c>
    </row>
    <row r="763">
      <c r="K763">
        <f>IF(OR(LEFT(B763,9)="DOANH THU",LEFT(B763,8)="SỐ LƯỢNG"),A763,IF(A763="","",K762))</f>
        <v/>
      </c>
      <c r="L763">
        <f>IF(A763="","",IF(ISNUMBER(--LEFT(A763,FIND(" - ",A763&amp;" - ")-1)),LEFT(A763,FIND(" - ",A763&amp;" - ")-1),TRIM(A763)))</f>
        <v/>
      </c>
      <c r="M763">
        <f>IF(OR(K763="",K763=A763,A763=""),"",K763&amp;"|"&amp;L763)</f>
        <v/>
      </c>
      <c r="N763">
        <f>IF(M763="","",IF(ISNUMBER(B763),B763,IFERROR(_xlfn.NUMBERVALUE(B763,".",","),0)))</f>
        <v/>
      </c>
      <c r="O763">
        <f>IF(M763="","",IF(ISNUMBER(C763),C763,IFERROR(_xlfn.NUMBERVALUE(C763,".",","),0)))</f>
        <v/>
      </c>
    </row>
    <row r="764">
      <c r="K764">
        <f>IF(OR(LEFT(B764,9)="DOANH THU",LEFT(B764,8)="SỐ LƯỢNG"),A764,IF(A764="","",K763))</f>
        <v/>
      </c>
      <c r="L764">
        <f>IF(A764="","",IF(ISNUMBER(--LEFT(A764,FIND(" - ",A764&amp;" - ")-1)),LEFT(A764,FIND(" - ",A764&amp;" - ")-1),TRIM(A764)))</f>
        <v/>
      </c>
      <c r="M764">
        <f>IF(OR(K764="",K764=A764,A764=""),"",K764&amp;"|"&amp;L764)</f>
        <v/>
      </c>
      <c r="N764">
        <f>IF(M764="","",IF(ISNUMBER(B764),B764,IFERROR(_xlfn.NUMBERVALUE(B764,".",","),0)))</f>
        <v/>
      </c>
      <c r="O764">
        <f>IF(M764="","",IF(ISNUMBER(C764),C764,IFERROR(_xlfn.NUMBERVALUE(C764,".",","),0)))</f>
        <v/>
      </c>
    </row>
    <row r="765">
      <c r="K765">
        <f>IF(OR(LEFT(B765,9)="DOANH THU",LEFT(B765,8)="SỐ LƯỢNG"),A765,IF(A765="","",K764))</f>
        <v/>
      </c>
      <c r="L765">
        <f>IF(A765="","",IF(ISNUMBER(--LEFT(A765,FIND(" - ",A765&amp;" - ")-1)),LEFT(A765,FIND(" - ",A765&amp;" - ")-1),TRIM(A765)))</f>
        <v/>
      </c>
      <c r="M765">
        <f>IF(OR(K765="",K765=A765,A765=""),"",K765&amp;"|"&amp;L765)</f>
        <v/>
      </c>
      <c r="N765">
        <f>IF(M765="","",IF(ISNUMBER(B765),B765,IFERROR(_xlfn.NUMBERVALUE(B765,".",","),0)))</f>
        <v/>
      </c>
      <c r="O765">
        <f>IF(M765="","",IF(ISNUMBER(C765),C765,IFERROR(_xlfn.NUMBERVALUE(C765,".",","),0)))</f>
        <v/>
      </c>
    </row>
    <row r="766">
      <c r="K766">
        <f>IF(OR(LEFT(B766,9)="DOANH THU",LEFT(B766,8)="SỐ LƯỢNG"),A766,IF(A766="","",K765))</f>
        <v/>
      </c>
      <c r="L766">
        <f>IF(A766="","",IF(ISNUMBER(--LEFT(A766,FIND(" - ",A766&amp;" - ")-1)),LEFT(A766,FIND(" - ",A766&amp;" - ")-1),TRIM(A766)))</f>
        <v/>
      </c>
      <c r="M766">
        <f>IF(OR(K766="",K766=A766,A766=""),"",K766&amp;"|"&amp;L766)</f>
        <v/>
      </c>
      <c r="N766">
        <f>IF(M766="","",IF(ISNUMBER(B766),B766,IFERROR(_xlfn.NUMBERVALUE(B766,".",","),0)))</f>
        <v/>
      </c>
      <c r="O766">
        <f>IF(M766="","",IF(ISNUMBER(C766),C766,IFERROR(_xlfn.NUMBERVALUE(C766,".",","),0)))</f>
        <v/>
      </c>
    </row>
    <row r="767">
      <c r="K767">
        <f>IF(OR(LEFT(B767,9)="DOANH THU",LEFT(B767,8)="SỐ LƯỢNG"),A767,IF(A767="","",K766))</f>
        <v/>
      </c>
      <c r="L767">
        <f>IF(A767="","",IF(ISNUMBER(--LEFT(A767,FIND(" - ",A767&amp;" - ")-1)),LEFT(A767,FIND(" - ",A767&amp;" - ")-1),TRIM(A767)))</f>
        <v/>
      </c>
      <c r="M767">
        <f>IF(OR(K767="",K767=A767,A767=""),"",K767&amp;"|"&amp;L767)</f>
        <v/>
      </c>
      <c r="N767">
        <f>IF(M767="","",IF(ISNUMBER(B767),B767,IFERROR(_xlfn.NUMBERVALUE(B767,".",","),0)))</f>
        <v/>
      </c>
      <c r="O767">
        <f>IF(M767="","",IF(ISNUMBER(C767),C767,IFERROR(_xlfn.NUMBERVALUE(C767,".",","),0)))</f>
        <v/>
      </c>
    </row>
    <row r="768">
      <c r="K768">
        <f>IF(OR(LEFT(B768,9)="DOANH THU",LEFT(B768,8)="SỐ LƯỢNG"),A768,IF(A768="","",K767))</f>
        <v/>
      </c>
      <c r="L768">
        <f>IF(A768="","",IF(ISNUMBER(--LEFT(A768,FIND(" - ",A768&amp;" - ")-1)),LEFT(A768,FIND(" - ",A768&amp;" - ")-1),TRIM(A768)))</f>
        <v/>
      </c>
      <c r="M768">
        <f>IF(OR(K768="",K768=A768,A768=""),"",K768&amp;"|"&amp;L768)</f>
        <v/>
      </c>
      <c r="N768">
        <f>IF(M768="","",IF(ISNUMBER(B768),B768,IFERROR(_xlfn.NUMBERVALUE(B768,".",","),0)))</f>
        <v/>
      </c>
      <c r="O768">
        <f>IF(M768="","",IF(ISNUMBER(C768),C768,IFERROR(_xlfn.NUMBERVALUE(C768,".",","),0)))</f>
        <v/>
      </c>
    </row>
    <row r="769">
      <c r="K769">
        <f>IF(OR(LEFT(B769,9)="DOANH THU",LEFT(B769,8)="SỐ LƯỢNG"),A769,IF(A769="","",K768))</f>
        <v/>
      </c>
      <c r="L769">
        <f>IF(A769="","",IF(ISNUMBER(--LEFT(A769,FIND(" - ",A769&amp;" - ")-1)),LEFT(A769,FIND(" - ",A769&amp;" - ")-1),TRIM(A769)))</f>
        <v/>
      </c>
      <c r="M769">
        <f>IF(OR(K769="",K769=A769,A769=""),"",K769&amp;"|"&amp;L769)</f>
        <v/>
      </c>
      <c r="N769">
        <f>IF(M769="","",IF(ISNUMBER(B769),B769,IFERROR(_xlfn.NUMBERVALUE(B769,".",","),0)))</f>
        <v/>
      </c>
      <c r="O769">
        <f>IF(M769="","",IF(ISNUMBER(C769),C769,IFERROR(_xlfn.NUMBERVALUE(C769,".",","),0)))</f>
        <v/>
      </c>
    </row>
    <row r="770">
      <c r="K770">
        <f>IF(OR(LEFT(B770,9)="DOANH THU",LEFT(B770,8)="SỐ LƯỢNG"),A770,IF(A770="","",K769))</f>
        <v/>
      </c>
      <c r="L770">
        <f>IF(A770="","",IF(ISNUMBER(--LEFT(A770,FIND(" - ",A770&amp;" - ")-1)),LEFT(A770,FIND(" - ",A770&amp;" - ")-1),TRIM(A770)))</f>
        <v/>
      </c>
      <c r="M770">
        <f>IF(OR(K770="",K770=A770,A770=""),"",K770&amp;"|"&amp;L770)</f>
        <v/>
      </c>
      <c r="N770">
        <f>IF(M770="","",IF(ISNUMBER(B770),B770,IFERROR(_xlfn.NUMBERVALUE(B770,".",","),0)))</f>
        <v/>
      </c>
      <c r="O770">
        <f>IF(M770="","",IF(ISNUMBER(C770),C770,IFERROR(_xlfn.NUMBERVALUE(C770,".",","),0)))</f>
        <v/>
      </c>
    </row>
    <row r="771">
      <c r="K771">
        <f>IF(OR(LEFT(B771,9)="DOANH THU",LEFT(B771,8)="SỐ LƯỢNG"),A771,IF(A771="","",K770))</f>
        <v/>
      </c>
      <c r="L771">
        <f>IF(A771="","",IF(ISNUMBER(--LEFT(A771,FIND(" - ",A771&amp;" - ")-1)),LEFT(A771,FIND(" - ",A771&amp;" - ")-1),TRIM(A771)))</f>
        <v/>
      </c>
      <c r="M771">
        <f>IF(OR(K771="",K771=A771,A771=""),"",K771&amp;"|"&amp;L771)</f>
        <v/>
      </c>
      <c r="N771">
        <f>IF(M771="","",IF(ISNUMBER(B771),B771,IFERROR(_xlfn.NUMBERVALUE(B771,".",","),0)))</f>
        <v/>
      </c>
      <c r="O771">
        <f>IF(M771="","",IF(ISNUMBER(C771),C771,IFERROR(_xlfn.NUMBERVALUE(C771,".",","),0)))</f>
        <v/>
      </c>
    </row>
    <row r="772">
      <c r="K772">
        <f>IF(OR(LEFT(B772,9)="DOANH THU",LEFT(B772,8)="SỐ LƯỢNG"),A772,IF(A772="","",K771))</f>
        <v/>
      </c>
      <c r="L772">
        <f>IF(A772="","",IF(ISNUMBER(--LEFT(A772,FIND(" - ",A772&amp;" - ")-1)),LEFT(A772,FIND(" - ",A772&amp;" - ")-1),TRIM(A772)))</f>
        <v/>
      </c>
      <c r="M772">
        <f>IF(OR(K772="",K772=A772,A772=""),"",K772&amp;"|"&amp;L772)</f>
        <v/>
      </c>
      <c r="N772">
        <f>IF(M772="","",IF(ISNUMBER(B772),B772,IFERROR(_xlfn.NUMBERVALUE(B772,".",","),0)))</f>
        <v/>
      </c>
      <c r="O772">
        <f>IF(M772="","",IF(ISNUMBER(C772),C772,IFERROR(_xlfn.NUMBERVALUE(C772,".",","),0)))</f>
        <v/>
      </c>
    </row>
    <row r="773">
      <c r="K773">
        <f>IF(OR(LEFT(B773,9)="DOANH THU",LEFT(B773,8)="SỐ LƯỢNG"),A773,IF(A773="","",K772))</f>
        <v/>
      </c>
      <c r="L773">
        <f>IF(A773="","",IF(ISNUMBER(--LEFT(A773,FIND(" - ",A773&amp;" - ")-1)),LEFT(A773,FIND(" - ",A773&amp;" - ")-1),TRIM(A773)))</f>
        <v/>
      </c>
      <c r="M773">
        <f>IF(OR(K773="",K773=A773,A773=""),"",K773&amp;"|"&amp;L773)</f>
        <v/>
      </c>
      <c r="N773">
        <f>IF(M773="","",IF(ISNUMBER(B773),B773,IFERROR(_xlfn.NUMBERVALUE(B773,".",","),0)))</f>
        <v/>
      </c>
      <c r="O773">
        <f>IF(M773="","",IF(ISNUMBER(C773),C773,IFERROR(_xlfn.NUMBERVALUE(C773,".",","),0)))</f>
        <v/>
      </c>
    </row>
    <row r="774">
      <c r="K774">
        <f>IF(OR(LEFT(B774,9)="DOANH THU",LEFT(B774,8)="SỐ LƯỢNG"),A774,IF(A774="","",K773))</f>
        <v/>
      </c>
      <c r="L774">
        <f>IF(A774="","",IF(ISNUMBER(--LEFT(A774,FIND(" - ",A774&amp;" - ")-1)),LEFT(A774,FIND(" - ",A774&amp;" - ")-1),TRIM(A774)))</f>
        <v/>
      </c>
      <c r="M774">
        <f>IF(OR(K774="",K774=A774,A774=""),"",K774&amp;"|"&amp;L774)</f>
        <v/>
      </c>
      <c r="N774">
        <f>IF(M774="","",IF(ISNUMBER(B774),B774,IFERROR(_xlfn.NUMBERVALUE(B774,".",","),0)))</f>
        <v/>
      </c>
      <c r="O774">
        <f>IF(M774="","",IF(ISNUMBER(C774),C774,IFERROR(_xlfn.NUMBERVALUE(C774,".",","),0)))</f>
        <v/>
      </c>
    </row>
    <row r="775">
      <c r="K775">
        <f>IF(OR(LEFT(B775,9)="DOANH THU",LEFT(B775,8)="SỐ LƯỢNG"),A775,IF(A775="","",K774))</f>
        <v/>
      </c>
      <c r="L775">
        <f>IF(A775="","",IF(ISNUMBER(--LEFT(A775,FIND(" - ",A775&amp;" - ")-1)),LEFT(A775,FIND(" - ",A775&amp;" - ")-1),TRIM(A775)))</f>
        <v/>
      </c>
      <c r="M775">
        <f>IF(OR(K775="",K775=A775,A775=""),"",K775&amp;"|"&amp;L775)</f>
        <v/>
      </c>
      <c r="N775">
        <f>IF(M775="","",IF(ISNUMBER(B775),B775,IFERROR(_xlfn.NUMBERVALUE(B775,".",","),0)))</f>
        <v/>
      </c>
      <c r="O775">
        <f>IF(M775="","",IF(ISNUMBER(C775),C775,IFERROR(_xlfn.NUMBERVALUE(C775,".",","),0)))</f>
        <v/>
      </c>
    </row>
    <row r="776">
      <c r="K776">
        <f>IF(OR(LEFT(B776,9)="DOANH THU",LEFT(B776,8)="SỐ LƯỢNG"),A776,IF(A776="","",K775))</f>
        <v/>
      </c>
      <c r="L776">
        <f>IF(A776="","",IF(ISNUMBER(--LEFT(A776,FIND(" - ",A776&amp;" - ")-1)),LEFT(A776,FIND(" - ",A776&amp;" - ")-1),TRIM(A776)))</f>
        <v/>
      </c>
      <c r="M776">
        <f>IF(OR(K776="",K776=A776,A776=""),"",K776&amp;"|"&amp;L776)</f>
        <v/>
      </c>
      <c r="N776">
        <f>IF(M776="","",IF(ISNUMBER(B776),B776,IFERROR(_xlfn.NUMBERVALUE(B776,".",","),0)))</f>
        <v/>
      </c>
      <c r="O776">
        <f>IF(M776="","",IF(ISNUMBER(C776),C776,IFERROR(_xlfn.NUMBERVALUE(C776,".",","),0)))</f>
        <v/>
      </c>
    </row>
    <row r="777">
      <c r="K777">
        <f>IF(OR(LEFT(B777,9)="DOANH THU",LEFT(B777,8)="SỐ LƯỢNG"),A777,IF(A777="","",K776))</f>
        <v/>
      </c>
      <c r="L777">
        <f>IF(A777="","",IF(ISNUMBER(--LEFT(A777,FIND(" - ",A777&amp;" - ")-1)),LEFT(A777,FIND(" - ",A777&amp;" - ")-1),TRIM(A777)))</f>
        <v/>
      </c>
      <c r="M777">
        <f>IF(OR(K777="",K777=A777,A777=""),"",K777&amp;"|"&amp;L777)</f>
        <v/>
      </c>
      <c r="N777">
        <f>IF(M777="","",IF(ISNUMBER(B777),B777,IFERROR(_xlfn.NUMBERVALUE(B777,".",","),0)))</f>
        <v/>
      </c>
      <c r="O777">
        <f>IF(M777="","",IF(ISNUMBER(C777),C777,IFERROR(_xlfn.NUMBERVALUE(C777,".",","),0)))</f>
        <v/>
      </c>
    </row>
    <row r="778">
      <c r="K778">
        <f>IF(OR(LEFT(B778,9)="DOANH THU",LEFT(B778,8)="SỐ LƯỢNG"),A778,IF(A778="","",K777))</f>
        <v/>
      </c>
      <c r="L778">
        <f>IF(A778="","",IF(ISNUMBER(--LEFT(A778,FIND(" - ",A778&amp;" - ")-1)),LEFT(A778,FIND(" - ",A778&amp;" - ")-1),TRIM(A778)))</f>
        <v/>
      </c>
      <c r="M778">
        <f>IF(OR(K778="",K778=A778,A778=""),"",K778&amp;"|"&amp;L778)</f>
        <v/>
      </c>
      <c r="N778">
        <f>IF(M778="","",IF(ISNUMBER(B778),B778,IFERROR(_xlfn.NUMBERVALUE(B778,".",","),0)))</f>
        <v/>
      </c>
      <c r="O778">
        <f>IF(M778="","",IF(ISNUMBER(C778),C778,IFERROR(_xlfn.NUMBERVALUE(C778,".",","),0)))</f>
        <v/>
      </c>
    </row>
    <row r="779">
      <c r="K779">
        <f>IF(OR(LEFT(B779,9)="DOANH THU",LEFT(B779,8)="SỐ LƯỢNG"),A779,IF(A779="","",K778))</f>
        <v/>
      </c>
      <c r="L779">
        <f>IF(A779="","",IF(ISNUMBER(--LEFT(A779,FIND(" - ",A779&amp;" - ")-1)),LEFT(A779,FIND(" - ",A779&amp;" - ")-1),TRIM(A779)))</f>
        <v/>
      </c>
      <c r="M779">
        <f>IF(OR(K779="",K779=A779,A779=""),"",K779&amp;"|"&amp;L779)</f>
        <v/>
      </c>
      <c r="N779">
        <f>IF(M779="","",IF(ISNUMBER(B779),B779,IFERROR(_xlfn.NUMBERVALUE(B779,".",","),0)))</f>
        <v/>
      </c>
      <c r="O779">
        <f>IF(M779="","",IF(ISNUMBER(C779),C779,IFERROR(_xlfn.NUMBERVALUE(C779,".",","),0)))</f>
        <v/>
      </c>
    </row>
    <row r="780">
      <c r="K780">
        <f>IF(OR(LEFT(B780,9)="DOANH THU",LEFT(B780,8)="SỐ LƯỢNG"),A780,IF(A780="","",K779))</f>
        <v/>
      </c>
      <c r="L780">
        <f>IF(A780="","",IF(ISNUMBER(--LEFT(A780,FIND(" - ",A780&amp;" - ")-1)),LEFT(A780,FIND(" - ",A780&amp;" - ")-1),TRIM(A780)))</f>
        <v/>
      </c>
      <c r="M780">
        <f>IF(OR(K780="",K780=A780,A780=""),"",K780&amp;"|"&amp;L780)</f>
        <v/>
      </c>
      <c r="N780">
        <f>IF(M780="","",IF(ISNUMBER(B780),B780,IFERROR(_xlfn.NUMBERVALUE(B780,".",","),0)))</f>
        <v/>
      </c>
      <c r="O780">
        <f>IF(M780="","",IF(ISNUMBER(C780),C780,IFERROR(_xlfn.NUMBERVALUE(C780,".",","),0)))</f>
        <v/>
      </c>
    </row>
    <row r="781">
      <c r="K781">
        <f>IF(OR(LEFT(B781,9)="DOANH THU",LEFT(B781,8)="SỐ LƯỢNG"),A781,IF(A781="","",K780))</f>
        <v/>
      </c>
      <c r="L781">
        <f>IF(A781="","",IF(ISNUMBER(--LEFT(A781,FIND(" - ",A781&amp;" - ")-1)),LEFT(A781,FIND(" - ",A781&amp;" - ")-1),TRIM(A781)))</f>
        <v/>
      </c>
      <c r="M781">
        <f>IF(OR(K781="",K781=A781,A781=""),"",K781&amp;"|"&amp;L781)</f>
        <v/>
      </c>
      <c r="N781">
        <f>IF(M781="","",IF(ISNUMBER(B781),B781,IFERROR(_xlfn.NUMBERVALUE(B781,".",","),0)))</f>
        <v/>
      </c>
      <c r="O781">
        <f>IF(M781="","",IF(ISNUMBER(C781),C781,IFERROR(_xlfn.NUMBERVALUE(C781,".",","),0)))</f>
        <v/>
      </c>
    </row>
    <row r="782">
      <c r="K782">
        <f>IF(OR(LEFT(B782,9)="DOANH THU",LEFT(B782,8)="SỐ LƯỢNG"),A782,IF(A782="","",K781))</f>
        <v/>
      </c>
      <c r="L782">
        <f>IF(A782="","",IF(ISNUMBER(--LEFT(A782,FIND(" - ",A782&amp;" - ")-1)),LEFT(A782,FIND(" - ",A782&amp;" - ")-1),TRIM(A782)))</f>
        <v/>
      </c>
      <c r="M782">
        <f>IF(OR(K782="",K782=A782,A782=""),"",K782&amp;"|"&amp;L782)</f>
        <v/>
      </c>
      <c r="N782">
        <f>IF(M782="","",IF(ISNUMBER(B782),B782,IFERROR(_xlfn.NUMBERVALUE(B782,".",","),0)))</f>
        <v/>
      </c>
      <c r="O782">
        <f>IF(M782="","",IF(ISNUMBER(C782),C782,IFERROR(_xlfn.NUMBERVALUE(C782,".",","),0)))</f>
        <v/>
      </c>
    </row>
    <row r="783">
      <c r="K783">
        <f>IF(OR(LEFT(B783,9)="DOANH THU",LEFT(B783,8)="SỐ LƯỢNG"),A783,IF(A783="","",K782))</f>
        <v/>
      </c>
      <c r="L783">
        <f>IF(A783="","",IF(ISNUMBER(--LEFT(A783,FIND(" - ",A783&amp;" - ")-1)),LEFT(A783,FIND(" - ",A783&amp;" - ")-1),TRIM(A783)))</f>
        <v/>
      </c>
      <c r="M783">
        <f>IF(OR(K783="",K783=A783,A783=""),"",K783&amp;"|"&amp;L783)</f>
        <v/>
      </c>
      <c r="N783">
        <f>IF(M783="","",IF(ISNUMBER(B783),B783,IFERROR(_xlfn.NUMBERVALUE(B783,".",","),0)))</f>
        <v/>
      </c>
      <c r="O783">
        <f>IF(M783="","",IF(ISNUMBER(C783),C783,IFERROR(_xlfn.NUMBERVALUE(C783,".",","),0)))</f>
        <v/>
      </c>
    </row>
    <row r="784">
      <c r="K784">
        <f>IF(OR(LEFT(B784,9)="DOANH THU",LEFT(B784,8)="SỐ LƯỢNG"),A784,IF(A784="","",K783))</f>
        <v/>
      </c>
      <c r="L784">
        <f>IF(A784="","",IF(ISNUMBER(--LEFT(A784,FIND(" - ",A784&amp;" - ")-1)),LEFT(A784,FIND(" - ",A784&amp;" - ")-1),TRIM(A784)))</f>
        <v/>
      </c>
      <c r="M784">
        <f>IF(OR(K784="",K784=A784,A784=""),"",K784&amp;"|"&amp;L784)</f>
        <v/>
      </c>
      <c r="N784">
        <f>IF(M784="","",IF(ISNUMBER(B784),B784,IFERROR(_xlfn.NUMBERVALUE(B784,".",","),0)))</f>
        <v/>
      </c>
      <c r="O784">
        <f>IF(M784="","",IF(ISNUMBER(C784),C784,IFERROR(_xlfn.NUMBERVALUE(C784,".",","),0)))</f>
        <v/>
      </c>
    </row>
    <row r="785">
      <c r="K785">
        <f>IF(OR(LEFT(B785,9)="DOANH THU",LEFT(B785,8)="SỐ LƯỢNG"),A785,IF(A785="","",K784))</f>
        <v/>
      </c>
      <c r="L785">
        <f>IF(A785="","",IF(ISNUMBER(--LEFT(A785,FIND(" - ",A785&amp;" - ")-1)),LEFT(A785,FIND(" - ",A785&amp;" - ")-1),TRIM(A785)))</f>
        <v/>
      </c>
      <c r="M785">
        <f>IF(OR(K785="",K785=A785,A785=""),"",K785&amp;"|"&amp;L785)</f>
        <v/>
      </c>
      <c r="N785">
        <f>IF(M785="","",IF(ISNUMBER(B785),B785,IFERROR(_xlfn.NUMBERVALUE(B785,".",","),0)))</f>
        <v/>
      </c>
      <c r="O785">
        <f>IF(M785="","",IF(ISNUMBER(C785),C785,IFERROR(_xlfn.NUMBERVALUE(C785,".",","),0)))</f>
        <v/>
      </c>
    </row>
    <row r="786">
      <c r="K786">
        <f>IF(OR(LEFT(B786,9)="DOANH THU",LEFT(B786,8)="SỐ LƯỢNG"),A786,IF(A786="","",K785))</f>
        <v/>
      </c>
      <c r="L786">
        <f>IF(A786="","",IF(ISNUMBER(--LEFT(A786,FIND(" - ",A786&amp;" - ")-1)),LEFT(A786,FIND(" - ",A786&amp;" - ")-1),TRIM(A786)))</f>
        <v/>
      </c>
      <c r="M786">
        <f>IF(OR(K786="",K786=A786,A786=""),"",K786&amp;"|"&amp;L786)</f>
        <v/>
      </c>
      <c r="N786">
        <f>IF(M786="","",IF(ISNUMBER(B786),B786,IFERROR(_xlfn.NUMBERVALUE(B786,".",","),0)))</f>
        <v/>
      </c>
      <c r="O786">
        <f>IF(M786="","",IF(ISNUMBER(C786),C786,IFERROR(_xlfn.NUMBERVALUE(C786,".",","),0)))</f>
        <v/>
      </c>
    </row>
    <row r="787">
      <c r="K787">
        <f>IF(OR(LEFT(B787,9)="DOANH THU",LEFT(B787,8)="SỐ LƯỢNG"),A787,IF(A787="","",K786))</f>
        <v/>
      </c>
      <c r="L787">
        <f>IF(A787="","",IF(ISNUMBER(--LEFT(A787,FIND(" - ",A787&amp;" - ")-1)),LEFT(A787,FIND(" - ",A787&amp;" - ")-1),TRIM(A787)))</f>
        <v/>
      </c>
      <c r="M787">
        <f>IF(OR(K787="",K787=A787,A787=""),"",K787&amp;"|"&amp;L787)</f>
        <v/>
      </c>
      <c r="N787">
        <f>IF(M787="","",IF(ISNUMBER(B787),B787,IFERROR(_xlfn.NUMBERVALUE(B787,".",","),0)))</f>
        <v/>
      </c>
      <c r="O787">
        <f>IF(M787="","",IF(ISNUMBER(C787),C787,IFERROR(_xlfn.NUMBERVALUE(C787,".",","),0)))</f>
        <v/>
      </c>
    </row>
    <row r="788">
      <c r="K788">
        <f>IF(OR(LEFT(B788,9)="DOANH THU",LEFT(B788,8)="SỐ LƯỢNG"),A788,IF(A788="","",K787))</f>
        <v/>
      </c>
      <c r="L788">
        <f>IF(A788="","",IF(ISNUMBER(--LEFT(A788,FIND(" - ",A788&amp;" - ")-1)),LEFT(A788,FIND(" - ",A788&amp;" - ")-1),TRIM(A788)))</f>
        <v/>
      </c>
      <c r="M788">
        <f>IF(OR(K788="",K788=A788,A788=""),"",K788&amp;"|"&amp;L788)</f>
        <v/>
      </c>
      <c r="N788">
        <f>IF(M788="","",IF(ISNUMBER(B788),B788,IFERROR(_xlfn.NUMBERVALUE(B788,".",","),0)))</f>
        <v/>
      </c>
      <c r="O788">
        <f>IF(M788="","",IF(ISNUMBER(C788),C788,IFERROR(_xlfn.NUMBERVALUE(C788,".",","),0)))</f>
        <v/>
      </c>
    </row>
    <row r="789">
      <c r="K789">
        <f>IF(OR(LEFT(B789,9)="DOANH THU",LEFT(B789,8)="SỐ LƯỢNG"),A789,IF(A789="","",K788))</f>
        <v/>
      </c>
      <c r="L789">
        <f>IF(A789="","",IF(ISNUMBER(--LEFT(A789,FIND(" - ",A789&amp;" - ")-1)),LEFT(A789,FIND(" - ",A789&amp;" - ")-1),TRIM(A789)))</f>
        <v/>
      </c>
      <c r="M789">
        <f>IF(OR(K789="",K789=A789,A789=""),"",K789&amp;"|"&amp;L789)</f>
        <v/>
      </c>
      <c r="N789">
        <f>IF(M789="","",IF(ISNUMBER(B789),B789,IFERROR(_xlfn.NUMBERVALUE(B789,".",","),0)))</f>
        <v/>
      </c>
      <c r="O789">
        <f>IF(M789="","",IF(ISNUMBER(C789),C789,IFERROR(_xlfn.NUMBERVALUE(C789,".",","),0)))</f>
        <v/>
      </c>
    </row>
    <row r="790">
      <c r="K790">
        <f>IF(OR(LEFT(B790,9)="DOANH THU",LEFT(B790,8)="SỐ LƯỢNG"),A790,IF(A790="","",K789))</f>
        <v/>
      </c>
      <c r="L790">
        <f>IF(A790="","",IF(ISNUMBER(--LEFT(A790,FIND(" - ",A790&amp;" - ")-1)),LEFT(A790,FIND(" - ",A790&amp;" - ")-1),TRIM(A790)))</f>
        <v/>
      </c>
      <c r="M790">
        <f>IF(OR(K790="",K790=A790,A790=""),"",K790&amp;"|"&amp;L790)</f>
        <v/>
      </c>
      <c r="N790">
        <f>IF(M790="","",IF(ISNUMBER(B790),B790,IFERROR(_xlfn.NUMBERVALUE(B790,".",","),0)))</f>
        <v/>
      </c>
      <c r="O790">
        <f>IF(M790="","",IF(ISNUMBER(C790),C790,IFERROR(_xlfn.NUMBERVALUE(C790,".",","),0)))</f>
        <v/>
      </c>
    </row>
    <row r="791">
      <c r="K791">
        <f>IF(OR(LEFT(B791,9)="DOANH THU",LEFT(B791,8)="SỐ LƯỢNG"),A791,IF(A791="","",K790))</f>
        <v/>
      </c>
      <c r="L791">
        <f>IF(A791="","",IF(ISNUMBER(--LEFT(A791,FIND(" - ",A791&amp;" - ")-1)),LEFT(A791,FIND(" - ",A791&amp;" - ")-1),TRIM(A791)))</f>
        <v/>
      </c>
      <c r="M791">
        <f>IF(OR(K791="",K791=A791,A791=""),"",K791&amp;"|"&amp;L791)</f>
        <v/>
      </c>
      <c r="N791">
        <f>IF(M791="","",IF(ISNUMBER(B791),B791,IFERROR(_xlfn.NUMBERVALUE(B791,".",","),0)))</f>
        <v/>
      </c>
      <c r="O791">
        <f>IF(M791="","",IF(ISNUMBER(C791),C791,IFERROR(_xlfn.NUMBERVALUE(C791,".",","),0)))</f>
        <v/>
      </c>
    </row>
    <row r="792">
      <c r="K792">
        <f>IF(OR(LEFT(B792,9)="DOANH THU",LEFT(B792,8)="SỐ LƯỢNG"),A792,IF(A792="","",K791))</f>
        <v/>
      </c>
      <c r="L792">
        <f>IF(A792="","",IF(ISNUMBER(--LEFT(A792,FIND(" - ",A792&amp;" - ")-1)),LEFT(A792,FIND(" - ",A792&amp;" - ")-1),TRIM(A792)))</f>
        <v/>
      </c>
      <c r="M792">
        <f>IF(OR(K792="",K792=A792,A792=""),"",K792&amp;"|"&amp;L792)</f>
        <v/>
      </c>
      <c r="N792">
        <f>IF(M792="","",IF(ISNUMBER(B792),B792,IFERROR(_xlfn.NUMBERVALUE(B792,".",","),0)))</f>
        <v/>
      </c>
      <c r="O792">
        <f>IF(M792="","",IF(ISNUMBER(C792),C792,IFERROR(_xlfn.NUMBERVALUE(C792,".",","),0)))</f>
        <v/>
      </c>
    </row>
    <row r="793">
      <c r="K793">
        <f>IF(OR(LEFT(B793,9)="DOANH THU",LEFT(B793,8)="SỐ LƯỢNG"),A793,IF(A793="","",K792))</f>
        <v/>
      </c>
      <c r="L793">
        <f>IF(A793="","",IF(ISNUMBER(--LEFT(A793,FIND(" - ",A793&amp;" - ")-1)),LEFT(A793,FIND(" - ",A793&amp;" - ")-1),TRIM(A793)))</f>
        <v/>
      </c>
      <c r="M793">
        <f>IF(OR(K793="",K793=A793,A793=""),"",K793&amp;"|"&amp;L793)</f>
        <v/>
      </c>
      <c r="N793">
        <f>IF(M793="","",IF(ISNUMBER(B793),B793,IFERROR(_xlfn.NUMBERVALUE(B793,".",","),0)))</f>
        <v/>
      </c>
      <c r="O793">
        <f>IF(M793="","",IF(ISNUMBER(C793),C793,IFERROR(_xlfn.NUMBERVALUE(C793,".",","),0)))</f>
        <v/>
      </c>
    </row>
    <row r="794">
      <c r="K794">
        <f>IF(OR(LEFT(B794,9)="DOANH THU",LEFT(B794,8)="SỐ LƯỢNG"),A794,IF(A794="","",K793))</f>
        <v/>
      </c>
      <c r="L794">
        <f>IF(A794="","",IF(ISNUMBER(--LEFT(A794,FIND(" - ",A794&amp;" - ")-1)),LEFT(A794,FIND(" - ",A794&amp;" - ")-1),TRIM(A794)))</f>
        <v/>
      </c>
      <c r="M794">
        <f>IF(OR(K794="",K794=A794,A794=""),"",K794&amp;"|"&amp;L794)</f>
        <v/>
      </c>
      <c r="N794">
        <f>IF(M794="","",IF(ISNUMBER(B794),B794,IFERROR(_xlfn.NUMBERVALUE(B794,".",","),0)))</f>
        <v/>
      </c>
      <c r="O794">
        <f>IF(M794="","",IF(ISNUMBER(C794),C794,IFERROR(_xlfn.NUMBERVALUE(C794,".",","),0)))</f>
        <v/>
      </c>
    </row>
    <row r="795">
      <c r="K795">
        <f>IF(OR(LEFT(B795,9)="DOANH THU",LEFT(B795,8)="SỐ LƯỢNG"),A795,IF(A795="","",K794))</f>
        <v/>
      </c>
      <c r="L795">
        <f>IF(A795="","",IF(ISNUMBER(--LEFT(A795,FIND(" - ",A795&amp;" - ")-1)),LEFT(A795,FIND(" - ",A795&amp;" - ")-1),TRIM(A795)))</f>
        <v/>
      </c>
      <c r="M795">
        <f>IF(OR(K795="",K795=A795,A795=""),"",K795&amp;"|"&amp;L795)</f>
        <v/>
      </c>
      <c r="N795">
        <f>IF(M795="","",IF(ISNUMBER(B795),B795,IFERROR(_xlfn.NUMBERVALUE(B795,".",","),0)))</f>
        <v/>
      </c>
      <c r="O795">
        <f>IF(M795="","",IF(ISNUMBER(C795),C795,IFERROR(_xlfn.NUMBERVALUE(C795,".",","),0)))</f>
        <v/>
      </c>
    </row>
    <row r="796">
      <c r="K796">
        <f>IF(OR(LEFT(B796,9)="DOANH THU",LEFT(B796,8)="SỐ LƯỢNG"),A796,IF(A796="","",K795))</f>
        <v/>
      </c>
      <c r="L796">
        <f>IF(A796="","",IF(ISNUMBER(--LEFT(A796,FIND(" - ",A796&amp;" - ")-1)),LEFT(A796,FIND(" - ",A796&amp;" - ")-1),TRIM(A796)))</f>
        <v/>
      </c>
      <c r="M796">
        <f>IF(OR(K796="",K796=A796,A796=""),"",K796&amp;"|"&amp;L796)</f>
        <v/>
      </c>
      <c r="N796">
        <f>IF(M796="","",IF(ISNUMBER(B796),B796,IFERROR(_xlfn.NUMBERVALUE(B796,".",","),0)))</f>
        <v/>
      </c>
      <c r="O796">
        <f>IF(M796="","",IF(ISNUMBER(C796),C796,IFERROR(_xlfn.NUMBERVALUE(C796,".",","),0)))</f>
        <v/>
      </c>
    </row>
    <row r="797">
      <c r="K797">
        <f>IF(OR(LEFT(B797,9)="DOANH THU",LEFT(B797,8)="SỐ LƯỢNG"),A797,IF(A797="","",K796))</f>
        <v/>
      </c>
      <c r="L797">
        <f>IF(A797="","",IF(ISNUMBER(--LEFT(A797,FIND(" - ",A797&amp;" - ")-1)),LEFT(A797,FIND(" - ",A797&amp;" - ")-1),TRIM(A797)))</f>
        <v/>
      </c>
      <c r="M797">
        <f>IF(OR(K797="",K797=A797,A797=""),"",K797&amp;"|"&amp;L797)</f>
        <v/>
      </c>
      <c r="N797">
        <f>IF(M797="","",IF(ISNUMBER(B797),B797,IFERROR(_xlfn.NUMBERVALUE(B797,".",","),0)))</f>
        <v/>
      </c>
      <c r="O797">
        <f>IF(M797="","",IF(ISNUMBER(C797),C797,IFERROR(_xlfn.NUMBERVALUE(C797,".",","),0)))</f>
        <v/>
      </c>
    </row>
    <row r="798">
      <c r="K798">
        <f>IF(OR(LEFT(B798,9)="DOANH THU",LEFT(B798,8)="SỐ LƯỢNG"),A798,IF(A798="","",K797))</f>
        <v/>
      </c>
      <c r="L798">
        <f>IF(A798="","",IF(ISNUMBER(--LEFT(A798,FIND(" - ",A798&amp;" - ")-1)),LEFT(A798,FIND(" - ",A798&amp;" - ")-1),TRIM(A798)))</f>
        <v/>
      </c>
      <c r="M798">
        <f>IF(OR(K798="",K798=A798,A798=""),"",K798&amp;"|"&amp;L798)</f>
        <v/>
      </c>
      <c r="N798">
        <f>IF(M798="","",IF(ISNUMBER(B798),B798,IFERROR(_xlfn.NUMBERVALUE(B798,".",","),0)))</f>
        <v/>
      </c>
      <c r="O798">
        <f>IF(M798="","",IF(ISNUMBER(C798),C798,IFERROR(_xlfn.NUMBERVALUE(C798,".",","),0)))</f>
        <v/>
      </c>
    </row>
    <row r="799">
      <c r="K799">
        <f>IF(OR(LEFT(B799,9)="DOANH THU",LEFT(B799,8)="SỐ LƯỢNG"),A799,IF(A799="","",K798))</f>
        <v/>
      </c>
      <c r="L799">
        <f>IF(A799="","",IF(ISNUMBER(--LEFT(A799,FIND(" - ",A799&amp;" - ")-1)),LEFT(A799,FIND(" - ",A799&amp;" - ")-1),TRIM(A799)))</f>
        <v/>
      </c>
      <c r="M799">
        <f>IF(OR(K799="",K799=A799,A799=""),"",K799&amp;"|"&amp;L799)</f>
        <v/>
      </c>
      <c r="N799">
        <f>IF(M799="","",IF(ISNUMBER(B799),B799,IFERROR(_xlfn.NUMBERVALUE(B799,".",","),0)))</f>
        <v/>
      </c>
      <c r="O799">
        <f>IF(M799="","",IF(ISNUMBER(C799),C799,IFERROR(_xlfn.NUMBERVALUE(C799,".",","),0)))</f>
        <v/>
      </c>
    </row>
    <row r="800">
      <c r="K800">
        <f>IF(OR(LEFT(B800,9)="DOANH THU",LEFT(B800,8)="SỐ LƯỢNG"),A800,IF(A800="","",K799))</f>
        <v/>
      </c>
      <c r="L800">
        <f>IF(A800="","",IF(ISNUMBER(--LEFT(A800,FIND(" - ",A800&amp;" - ")-1)),LEFT(A800,FIND(" - ",A800&amp;" - ")-1),TRIM(A800)))</f>
        <v/>
      </c>
      <c r="M800">
        <f>IF(OR(K800="",K800=A800,A800=""),"",K800&amp;"|"&amp;L800)</f>
        <v/>
      </c>
      <c r="N800">
        <f>IF(M800="","",IF(ISNUMBER(B800),B800,IFERROR(_xlfn.NUMBERVALUE(B800,".",","),0)))</f>
        <v/>
      </c>
      <c r="O800">
        <f>IF(M800="","",IF(ISNUMBER(C800),C800,IFERROR(_xlfn.NUMBERVALUE(C800,".",","),0)))</f>
        <v/>
      </c>
    </row>
    <row r="801">
      <c r="K801">
        <f>IF(OR(LEFT(B801,9)="DOANH THU",LEFT(B801,8)="SỐ LƯỢNG"),A801,IF(A801="","",K800))</f>
        <v/>
      </c>
      <c r="L801">
        <f>IF(A801="","",IF(ISNUMBER(--LEFT(A801,FIND(" - ",A801&amp;" - ")-1)),LEFT(A801,FIND(" - ",A801&amp;" - ")-1),TRIM(A801)))</f>
        <v/>
      </c>
      <c r="M801">
        <f>IF(OR(K801="",K801=A801,A801=""),"",K801&amp;"|"&amp;L801)</f>
        <v/>
      </c>
      <c r="N801">
        <f>IF(M801="","",IF(ISNUMBER(B801),B801,IFERROR(_xlfn.NUMBERVALUE(B801,".",","),0)))</f>
        <v/>
      </c>
      <c r="O801">
        <f>IF(M801="","",IF(ISNUMBER(C801),C801,IFERROR(_xlfn.NUMBERVALUE(C801,".",","),0)))</f>
        <v/>
      </c>
    </row>
    <row r="802">
      <c r="K802">
        <f>IF(OR(LEFT(B802,9)="DOANH THU",LEFT(B802,8)="SỐ LƯỢNG"),A802,IF(A802="","",K801))</f>
        <v/>
      </c>
      <c r="L802">
        <f>IF(A802="","",IF(ISNUMBER(--LEFT(A802,FIND(" - ",A802&amp;" - ")-1)),LEFT(A802,FIND(" - ",A802&amp;" - ")-1),TRIM(A802)))</f>
        <v/>
      </c>
      <c r="M802">
        <f>IF(OR(K802="",K802=A802,A802=""),"",K802&amp;"|"&amp;L802)</f>
        <v/>
      </c>
      <c r="N802">
        <f>IF(M802="","",IF(ISNUMBER(B802),B802,IFERROR(_xlfn.NUMBERVALUE(B802,".",","),0)))</f>
        <v/>
      </c>
      <c r="O802">
        <f>IF(M802="","",IF(ISNUMBER(C802),C802,IFERROR(_xlfn.NUMBERVALUE(C802,".",","),0)))</f>
        <v/>
      </c>
    </row>
    <row r="803">
      <c r="K803">
        <f>IF(OR(LEFT(B803,9)="DOANH THU",LEFT(B803,8)="SỐ LƯỢNG"),A803,IF(A803="","",K802))</f>
        <v/>
      </c>
      <c r="L803">
        <f>IF(A803="","",IF(ISNUMBER(--LEFT(A803,FIND(" - ",A803&amp;" - ")-1)),LEFT(A803,FIND(" - ",A803&amp;" - ")-1),TRIM(A803)))</f>
        <v/>
      </c>
      <c r="M803">
        <f>IF(OR(K803="",K803=A803,A803=""),"",K803&amp;"|"&amp;L803)</f>
        <v/>
      </c>
      <c r="N803">
        <f>IF(M803="","",IF(ISNUMBER(B803),B803,IFERROR(_xlfn.NUMBERVALUE(B803,".",","),0)))</f>
        <v/>
      </c>
      <c r="O803">
        <f>IF(M803="","",IF(ISNUMBER(C803),C803,IFERROR(_xlfn.NUMBERVALUE(C803,".",","),0)))</f>
        <v/>
      </c>
    </row>
    <row r="804">
      <c r="K804">
        <f>IF(OR(LEFT(B804,9)="DOANH THU",LEFT(B804,8)="SỐ LƯỢNG"),A804,IF(A804="","",K803))</f>
        <v/>
      </c>
      <c r="L804">
        <f>IF(A804="","",IF(ISNUMBER(--LEFT(A804,FIND(" - ",A804&amp;" - ")-1)),LEFT(A804,FIND(" - ",A804&amp;" - ")-1),TRIM(A804)))</f>
        <v/>
      </c>
      <c r="M804">
        <f>IF(OR(K804="",K804=A804,A804=""),"",K804&amp;"|"&amp;L804)</f>
        <v/>
      </c>
      <c r="N804">
        <f>IF(M804="","",IF(ISNUMBER(B804),B804,IFERROR(_xlfn.NUMBERVALUE(B804,".",","),0)))</f>
        <v/>
      </c>
      <c r="O804">
        <f>IF(M804="","",IF(ISNUMBER(C804),C804,IFERROR(_xlfn.NUMBERVALUE(C804,".",","),0)))</f>
        <v/>
      </c>
    </row>
    <row r="805">
      <c r="K805">
        <f>IF(OR(LEFT(B805,9)="DOANH THU",LEFT(B805,8)="SỐ LƯỢNG"),A805,IF(A805="","",K804))</f>
        <v/>
      </c>
      <c r="L805">
        <f>IF(A805="","",IF(ISNUMBER(--LEFT(A805,FIND(" - ",A805&amp;" - ")-1)),LEFT(A805,FIND(" - ",A805&amp;" - ")-1),TRIM(A805)))</f>
        <v/>
      </c>
      <c r="M805">
        <f>IF(OR(K805="",K805=A805,A805=""),"",K805&amp;"|"&amp;L805)</f>
        <v/>
      </c>
      <c r="N805">
        <f>IF(M805="","",IF(ISNUMBER(B805),B805,IFERROR(_xlfn.NUMBERVALUE(B805,".",","),0)))</f>
        <v/>
      </c>
      <c r="O805">
        <f>IF(M805="","",IF(ISNUMBER(C805),C805,IFERROR(_xlfn.NUMBERVALUE(C805,".",","),0)))</f>
        <v/>
      </c>
    </row>
    <row r="806">
      <c r="K806">
        <f>IF(OR(LEFT(B806,9)="DOANH THU",LEFT(B806,8)="SỐ LƯỢNG"),A806,IF(A806="","",K805))</f>
        <v/>
      </c>
      <c r="L806">
        <f>IF(A806="","",IF(ISNUMBER(--LEFT(A806,FIND(" - ",A806&amp;" - ")-1)),LEFT(A806,FIND(" - ",A806&amp;" - ")-1),TRIM(A806)))</f>
        <v/>
      </c>
      <c r="M806">
        <f>IF(OR(K806="",K806=A806,A806=""),"",K806&amp;"|"&amp;L806)</f>
        <v/>
      </c>
      <c r="N806">
        <f>IF(M806="","",IF(ISNUMBER(B806),B806,IFERROR(_xlfn.NUMBERVALUE(B806,".",","),0)))</f>
        <v/>
      </c>
      <c r="O806">
        <f>IF(M806="","",IF(ISNUMBER(C806),C806,IFERROR(_xlfn.NUMBERVALUE(C806,".",","),0)))</f>
        <v/>
      </c>
    </row>
    <row r="807">
      <c r="K807">
        <f>IF(OR(LEFT(B807,9)="DOANH THU",LEFT(B807,8)="SỐ LƯỢNG"),A807,IF(A807="","",K806))</f>
        <v/>
      </c>
      <c r="L807">
        <f>IF(A807="","",IF(ISNUMBER(--LEFT(A807,FIND(" - ",A807&amp;" - ")-1)),LEFT(A807,FIND(" - ",A807&amp;" - ")-1),TRIM(A807)))</f>
        <v/>
      </c>
      <c r="M807">
        <f>IF(OR(K807="",K807=A807,A807=""),"",K807&amp;"|"&amp;L807)</f>
        <v/>
      </c>
      <c r="N807">
        <f>IF(M807="","",IF(ISNUMBER(B807),B807,IFERROR(_xlfn.NUMBERVALUE(B807,".",","),0)))</f>
        <v/>
      </c>
      <c r="O807">
        <f>IF(M807="","",IF(ISNUMBER(C807),C807,IFERROR(_xlfn.NUMBERVALUE(C807,".",","),0)))</f>
        <v/>
      </c>
    </row>
    <row r="808">
      <c r="K808">
        <f>IF(OR(LEFT(B808,9)="DOANH THU",LEFT(B808,8)="SỐ LƯỢNG"),A808,IF(A808="","",K807))</f>
        <v/>
      </c>
      <c r="L808">
        <f>IF(A808="","",IF(ISNUMBER(--LEFT(A808,FIND(" - ",A808&amp;" - ")-1)),LEFT(A808,FIND(" - ",A808&amp;" - ")-1),TRIM(A808)))</f>
        <v/>
      </c>
      <c r="M808">
        <f>IF(OR(K808="",K808=A808,A808=""),"",K808&amp;"|"&amp;L808)</f>
        <v/>
      </c>
      <c r="N808">
        <f>IF(M808="","",IF(ISNUMBER(B808),B808,IFERROR(_xlfn.NUMBERVALUE(B808,".",","),0)))</f>
        <v/>
      </c>
      <c r="O808">
        <f>IF(M808="","",IF(ISNUMBER(C808),C808,IFERROR(_xlfn.NUMBERVALUE(C808,".",","),0)))</f>
        <v/>
      </c>
    </row>
    <row r="809">
      <c r="K809">
        <f>IF(OR(LEFT(B809,9)="DOANH THU",LEFT(B809,8)="SỐ LƯỢNG"),A809,IF(A809="","",K808))</f>
        <v/>
      </c>
      <c r="L809">
        <f>IF(A809="","",IF(ISNUMBER(--LEFT(A809,FIND(" - ",A809&amp;" - ")-1)),LEFT(A809,FIND(" - ",A809&amp;" - ")-1),TRIM(A809)))</f>
        <v/>
      </c>
      <c r="M809">
        <f>IF(OR(K809="",K809=A809,A809=""),"",K809&amp;"|"&amp;L809)</f>
        <v/>
      </c>
      <c r="N809">
        <f>IF(M809="","",IF(ISNUMBER(B809),B809,IFERROR(_xlfn.NUMBERVALUE(B809,".",","),0)))</f>
        <v/>
      </c>
      <c r="O809">
        <f>IF(M809="","",IF(ISNUMBER(C809),C809,IFERROR(_xlfn.NUMBERVALUE(C809,".",","),0)))</f>
        <v/>
      </c>
    </row>
    <row r="810">
      <c r="K810">
        <f>IF(OR(LEFT(B810,9)="DOANH THU",LEFT(B810,8)="SỐ LƯỢNG"),A810,IF(A810="","",K809))</f>
        <v/>
      </c>
      <c r="L810">
        <f>IF(A810="","",IF(ISNUMBER(--LEFT(A810,FIND(" - ",A810&amp;" - ")-1)),LEFT(A810,FIND(" - ",A810&amp;" - ")-1),TRIM(A810)))</f>
        <v/>
      </c>
      <c r="M810">
        <f>IF(OR(K810="",K810=A810,A810=""),"",K810&amp;"|"&amp;L810)</f>
        <v/>
      </c>
      <c r="N810">
        <f>IF(M810="","",IF(ISNUMBER(B810),B810,IFERROR(_xlfn.NUMBERVALUE(B810,".",","),0)))</f>
        <v/>
      </c>
      <c r="O810">
        <f>IF(M810="","",IF(ISNUMBER(C810),C810,IFERROR(_xlfn.NUMBERVALUE(C810,".",","),0)))</f>
        <v/>
      </c>
    </row>
    <row r="811">
      <c r="K811">
        <f>IF(OR(LEFT(B811,9)="DOANH THU",LEFT(B811,8)="SỐ LƯỢNG"),A811,IF(A811="","",K810))</f>
        <v/>
      </c>
      <c r="L811">
        <f>IF(A811="","",IF(ISNUMBER(--LEFT(A811,FIND(" - ",A811&amp;" - ")-1)),LEFT(A811,FIND(" - ",A811&amp;" - ")-1),TRIM(A811)))</f>
        <v/>
      </c>
      <c r="M811">
        <f>IF(OR(K811="",K811=A811,A811=""),"",K811&amp;"|"&amp;L811)</f>
        <v/>
      </c>
      <c r="N811">
        <f>IF(M811="","",IF(ISNUMBER(B811),B811,IFERROR(_xlfn.NUMBERVALUE(B811,".",","),0)))</f>
        <v/>
      </c>
      <c r="O811">
        <f>IF(M811="","",IF(ISNUMBER(C811),C811,IFERROR(_xlfn.NUMBERVALUE(C811,".",","),0)))</f>
        <v/>
      </c>
    </row>
    <row r="812">
      <c r="K812">
        <f>IF(OR(LEFT(B812,9)="DOANH THU",LEFT(B812,8)="SỐ LƯỢNG"),A812,IF(A812="","",K811))</f>
        <v/>
      </c>
      <c r="L812">
        <f>IF(A812="","",IF(ISNUMBER(--LEFT(A812,FIND(" - ",A812&amp;" - ")-1)),LEFT(A812,FIND(" - ",A812&amp;" - ")-1),TRIM(A812)))</f>
        <v/>
      </c>
      <c r="M812">
        <f>IF(OR(K812="",K812=A812,A812=""),"",K812&amp;"|"&amp;L812)</f>
        <v/>
      </c>
      <c r="N812">
        <f>IF(M812="","",IF(ISNUMBER(B812),B812,IFERROR(_xlfn.NUMBERVALUE(B812,".",","),0)))</f>
        <v/>
      </c>
      <c r="O812">
        <f>IF(M812="","",IF(ISNUMBER(C812),C812,IFERROR(_xlfn.NUMBERVALUE(C812,".",","),0)))</f>
        <v/>
      </c>
    </row>
    <row r="813">
      <c r="K813">
        <f>IF(OR(LEFT(B813,9)="DOANH THU",LEFT(B813,8)="SỐ LƯỢNG"),A813,IF(A813="","",K812))</f>
        <v/>
      </c>
      <c r="L813">
        <f>IF(A813="","",IF(ISNUMBER(--LEFT(A813,FIND(" - ",A813&amp;" - ")-1)),LEFT(A813,FIND(" - ",A813&amp;" - ")-1),TRIM(A813)))</f>
        <v/>
      </c>
      <c r="M813">
        <f>IF(OR(K813="",K813=A813,A813=""),"",K813&amp;"|"&amp;L813)</f>
        <v/>
      </c>
      <c r="N813">
        <f>IF(M813="","",IF(ISNUMBER(B813),B813,IFERROR(_xlfn.NUMBERVALUE(B813,".",","),0)))</f>
        <v/>
      </c>
      <c r="O813">
        <f>IF(M813="","",IF(ISNUMBER(C813),C813,IFERROR(_xlfn.NUMBERVALUE(C813,".",","),0)))</f>
        <v/>
      </c>
    </row>
    <row r="814">
      <c r="K814">
        <f>IF(OR(LEFT(B814,9)="DOANH THU",LEFT(B814,8)="SỐ LƯỢNG"),A814,IF(A814="","",K813))</f>
        <v/>
      </c>
      <c r="L814">
        <f>IF(A814="","",IF(ISNUMBER(--LEFT(A814,FIND(" - ",A814&amp;" - ")-1)),LEFT(A814,FIND(" - ",A814&amp;" - ")-1),TRIM(A814)))</f>
        <v/>
      </c>
      <c r="M814">
        <f>IF(OR(K814="",K814=A814,A814=""),"",K814&amp;"|"&amp;L814)</f>
        <v/>
      </c>
      <c r="N814">
        <f>IF(M814="","",IF(ISNUMBER(B814),B814,IFERROR(_xlfn.NUMBERVALUE(B814,".",","),0)))</f>
        <v/>
      </c>
      <c r="O814">
        <f>IF(M814="","",IF(ISNUMBER(C814),C814,IFERROR(_xlfn.NUMBERVALUE(C814,".",","),0)))</f>
        <v/>
      </c>
    </row>
    <row r="815">
      <c r="K815">
        <f>IF(OR(LEFT(B815,9)="DOANH THU",LEFT(B815,8)="SỐ LƯỢNG"),A815,IF(A815="","",K814))</f>
        <v/>
      </c>
      <c r="L815">
        <f>IF(A815="","",IF(ISNUMBER(--LEFT(A815,FIND(" - ",A815&amp;" - ")-1)),LEFT(A815,FIND(" - ",A815&amp;" - ")-1),TRIM(A815)))</f>
        <v/>
      </c>
      <c r="M815">
        <f>IF(OR(K815="",K815=A815,A815=""),"",K815&amp;"|"&amp;L815)</f>
        <v/>
      </c>
      <c r="N815">
        <f>IF(M815="","",IF(ISNUMBER(B815),B815,IFERROR(_xlfn.NUMBERVALUE(B815,".",","),0)))</f>
        <v/>
      </c>
      <c r="O815">
        <f>IF(M815="","",IF(ISNUMBER(C815),C815,IFERROR(_xlfn.NUMBERVALUE(C815,".",","),0)))</f>
        <v/>
      </c>
    </row>
    <row r="816">
      <c r="K816">
        <f>IF(OR(LEFT(B816,9)="DOANH THU",LEFT(B816,8)="SỐ LƯỢNG"),A816,IF(A816="","",K815))</f>
        <v/>
      </c>
      <c r="L816">
        <f>IF(A816="","",IF(ISNUMBER(--LEFT(A816,FIND(" - ",A816&amp;" - ")-1)),LEFT(A816,FIND(" - ",A816&amp;" - ")-1),TRIM(A816)))</f>
        <v/>
      </c>
      <c r="M816">
        <f>IF(OR(K816="",K816=A816,A816=""),"",K816&amp;"|"&amp;L816)</f>
        <v/>
      </c>
      <c r="N816">
        <f>IF(M816="","",IF(ISNUMBER(B816),B816,IFERROR(_xlfn.NUMBERVALUE(B816,".",","),0)))</f>
        <v/>
      </c>
      <c r="O816">
        <f>IF(M816="","",IF(ISNUMBER(C816),C816,IFERROR(_xlfn.NUMBERVALUE(C816,".",","),0)))</f>
        <v/>
      </c>
    </row>
    <row r="817">
      <c r="K817">
        <f>IF(OR(LEFT(B817,9)="DOANH THU",LEFT(B817,8)="SỐ LƯỢNG"),A817,IF(A817="","",K816))</f>
        <v/>
      </c>
      <c r="L817">
        <f>IF(A817="","",IF(ISNUMBER(--LEFT(A817,FIND(" - ",A817&amp;" - ")-1)),LEFT(A817,FIND(" - ",A817&amp;" - ")-1),TRIM(A817)))</f>
        <v/>
      </c>
      <c r="M817">
        <f>IF(OR(K817="",K817=A817,A817=""),"",K817&amp;"|"&amp;L817)</f>
        <v/>
      </c>
      <c r="N817">
        <f>IF(M817="","",IF(ISNUMBER(B817),B817,IFERROR(_xlfn.NUMBERVALUE(B817,".",","),0)))</f>
        <v/>
      </c>
      <c r="O817">
        <f>IF(M817="","",IF(ISNUMBER(C817),C817,IFERROR(_xlfn.NUMBERVALUE(C817,".",","),0)))</f>
        <v/>
      </c>
    </row>
    <row r="818">
      <c r="K818">
        <f>IF(OR(LEFT(B818,9)="DOANH THU",LEFT(B818,8)="SỐ LƯỢNG"),A818,IF(A818="","",K817))</f>
        <v/>
      </c>
      <c r="L818">
        <f>IF(A818="","",IF(ISNUMBER(--LEFT(A818,FIND(" - ",A818&amp;" - ")-1)),LEFT(A818,FIND(" - ",A818&amp;" - ")-1),TRIM(A818)))</f>
        <v/>
      </c>
      <c r="M818">
        <f>IF(OR(K818="",K818=A818,A818=""),"",K818&amp;"|"&amp;L818)</f>
        <v/>
      </c>
      <c r="N818">
        <f>IF(M818="","",IF(ISNUMBER(B818),B818,IFERROR(_xlfn.NUMBERVALUE(B818,".",","),0)))</f>
        <v/>
      </c>
      <c r="O818">
        <f>IF(M818="","",IF(ISNUMBER(C818),C818,IFERROR(_xlfn.NUMBERVALUE(C818,".",","),0)))</f>
        <v/>
      </c>
    </row>
    <row r="819">
      <c r="K819">
        <f>IF(OR(LEFT(B819,9)="DOANH THU",LEFT(B819,8)="SỐ LƯỢNG"),A819,IF(A819="","",K818))</f>
        <v/>
      </c>
      <c r="L819">
        <f>IF(A819="","",IF(ISNUMBER(--LEFT(A819,FIND(" - ",A819&amp;" - ")-1)),LEFT(A819,FIND(" - ",A819&amp;" - ")-1),TRIM(A819)))</f>
        <v/>
      </c>
      <c r="M819">
        <f>IF(OR(K819="",K819=A819,A819=""),"",K819&amp;"|"&amp;L819)</f>
        <v/>
      </c>
      <c r="N819">
        <f>IF(M819="","",IF(ISNUMBER(B819),B819,IFERROR(_xlfn.NUMBERVALUE(B819,".",","),0)))</f>
        <v/>
      </c>
      <c r="O819">
        <f>IF(M819="","",IF(ISNUMBER(C819),C819,IFERROR(_xlfn.NUMBERVALUE(C819,".",","),0)))</f>
        <v/>
      </c>
    </row>
    <row r="820">
      <c r="K820">
        <f>IF(OR(LEFT(B820,9)="DOANH THU",LEFT(B820,8)="SỐ LƯỢNG"),A820,IF(A820="","",K819))</f>
        <v/>
      </c>
      <c r="L820">
        <f>IF(A820="","",IF(ISNUMBER(--LEFT(A820,FIND(" - ",A820&amp;" - ")-1)),LEFT(A820,FIND(" - ",A820&amp;" - ")-1),TRIM(A820)))</f>
        <v/>
      </c>
      <c r="M820">
        <f>IF(OR(K820="",K820=A820,A820=""),"",K820&amp;"|"&amp;L820)</f>
        <v/>
      </c>
      <c r="N820">
        <f>IF(M820="","",IF(ISNUMBER(B820),B820,IFERROR(_xlfn.NUMBERVALUE(B820,".",","),0)))</f>
        <v/>
      </c>
      <c r="O820">
        <f>IF(M820="","",IF(ISNUMBER(C820),C820,IFERROR(_xlfn.NUMBERVALUE(C820,".",","),0)))</f>
        <v/>
      </c>
    </row>
    <row r="821">
      <c r="K821">
        <f>IF(OR(LEFT(B821,9)="DOANH THU",LEFT(B821,8)="SỐ LƯỢNG"),A821,IF(A821="","",K820))</f>
        <v/>
      </c>
      <c r="L821">
        <f>IF(A821="","",IF(ISNUMBER(--LEFT(A821,FIND(" - ",A821&amp;" - ")-1)),LEFT(A821,FIND(" - ",A821&amp;" - ")-1),TRIM(A821)))</f>
        <v/>
      </c>
      <c r="M821">
        <f>IF(OR(K821="",K821=A821,A821=""),"",K821&amp;"|"&amp;L821)</f>
        <v/>
      </c>
      <c r="N821">
        <f>IF(M821="","",IF(ISNUMBER(B821),B821,IFERROR(_xlfn.NUMBERVALUE(B821,".",","),0)))</f>
        <v/>
      </c>
      <c r="O821">
        <f>IF(M821="","",IF(ISNUMBER(C821),C821,IFERROR(_xlfn.NUMBERVALUE(C821,".",","),0)))</f>
        <v/>
      </c>
    </row>
    <row r="822">
      <c r="K822">
        <f>IF(OR(LEFT(B822,9)="DOANH THU",LEFT(B822,8)="SỐ LƯỢNG"),A822,IF(A822="","",K821))</f>
        <v/>
      </c>
      <c r="L822">
        <f>IF(A822="","",IF(ISNUMBER(--LEFT(A822,FIND(" - ",A822&amp;" - ")-1)),LEFT(A822,FIND(" - ",A822&amp;" - ")-1),TRIM(A822)))</f>
        <v/>
      </c>
      <c r="M822">
        <f>IF(OR(K822="",K822=A822,A822=""),"",K822&amp;"|"&amp;L822)</f>
        <v/>
      </c>
      <c r="N822">
        <f>IF(M822="","",IF(ISNUMBER(B822),B822,IFERROR(_xlfn.NUMBERVALUE(B822,".",","),0)))</f>
        <v/>
      </c>
      <c r="O822">
        <f>IF(M822="","",IF(ISNUMBER(C822),C822,IFERROR(_xlfn.NUMBERVALUE(C822,".",","),0)))</f>
        <v/>
      </c>
    </row>
    <row r="823">
      <c r="K823">
        <f>IF(OR(LEFT(B823,9)="DOANH THU",LEFT(B823,8)="SỐ LƯỢNG"),A823,IF(A823="","",K822))</f>
        <v/>
      </c>
      <c r="L823">
        <f>IF(A823="","",IF(ISNUMBER(--LEFT(A823,FIND(" - ",A823&amp;" - ")-1)),LEFT(A823,FIND(" - ",A823&amp;" - ")-1),TRIM(A823)))</f>
        <v/>
      </c>
      <c r="M823">
        <f>IF(OR(K823="",K823=A823,A823=""),"",K823&amp;"|"&amp;L823)</f>
        <v/>
      </c>
      <c r="N823">
        <f>IF(M823="","",IF(ISNUMBER(B823),B823,IFERROR(_xlfn.NUMBERVALUE(B823,".",","),0)))</f>
        <v/>
      </c>
      <c r="O823">
        <f>IF(M823="","",IF(ISNUMBER(C823),C823,IFERROR(_xlfn.NUMBERVALUE(C823,".",","),0)))</f>
        <v/>
      </c>
    </row>
    <row r="824">
      <c r="K824">
        <f>IF(OR(LEFT(B824,9)="DOANH THU",LEFT(B824,8)="SỐ LƯỢNG"),A824,IF(A824="","",K823))</f>
        <v/>
      </c>
      <c r="L824">
        <f>IF(A824="","",IF(ISNUMBER(--LEFT(A824,FIND(" - ",A824&amp;" - ")-1)),LEFT(A824,FIND(" - ",A824&amp;" - ")-1),TRIM(A824)))</f>
        <v/>
      </c>
      <c r="M824">
        <f>IF(OR(K824="",K824=A824,A824=""),"",K824&amp;"|"&amp;L824)</f>
        <v/>
      </c>
      <c r="N824">
        <f>IF(M824="","",IF(ISNUMBER(B824),B824,IFERROR(_xlfn.NUMBERVALUE(B824,".",","),0)))</f>
        <v/>
      </c>
      <c r="O824">
        <f>IF(M824="","",IF(ISNUMBER(C824),C824,IFERROR(_xlfn.NUMBERVALUE(C824,".",","),0)))</f>
        <v/>
      </c>
    </row>
    <row r="825">
      <c r="K825">
        <f>IF(OR(LEFT(B825,9)="DOANH THU",LEFT(B825,8)="SỐ LƯỢNG"),A825,IF(A825="","",K824))</f>
        <v/>
      </c>
      <c r="L825">
        <f>IF(A825="","",IF(ISNUMBER(--LEFT(A825,FIND(" - ",A825&amp;" - ")-1)),LEFT(A825,FIND(" - ",A825&amp;" - ")-1),TRIM(A825)))</f>
        <v/>
      </c>
      <c r="M825">
        <f>IF(OR(K825="",K825=A825,A825=""),"",K825&amp;"|"&amp;L825)</f>
        <v/>
      </c>
      <c r="N825">
        <f>IF(M825="","",IF(ISNUMBER(B825),B825,IFERROR(_xlfn.NUMBERVALUE(B825,".",","),0)))</f>
        <v/>
      </c>
      <c r="O825">
        <f>IF(M825="","",IF(ISNUMBER(C825),C825,IFERROR(_xlfn.NUMBERVALUE(C825,".",","),0)))</f>
        <v/>
      </c>
    </row>
    <row r="826">
      <c r="K826">
        <f>IF(OR(LEFT(B826,9)="DOANH THU",LEFT(B826,8)="SỐ LƯỢNG"),A826,IF(A826="","",K825))</f>
        <v/>
      </c>
      <c r="L826">
        <f>IF(A826="","",IF(ISNUMBER(--LEFT(A826,FIND(" - ",A826&amp;" - ")-1)),LEFT(A826,FIND(" - ",A826&amp;" - ")-1),TRIM(A826)))</f>
        <v/>
      </c>
      <c r="M826">
        <f>IF(OR(K826="",K826=A826,A826=""),"",K826&amp;"|"&amp;L826)</f>
        <v/>
      </c>
      <c r="N826">
        <f>IF(M826="","",IF(ISNUMBER(B826),B826,IFERROR(_xlfn.NUMBERVALUE(B826,".",","),0)))</f>
        <v/>
      </c>
      <c r="O826">
        <f>IF(M826="","",IF(ISNUMBER(C826),C826,IFERROR(_xlfn.NUMBERVALUE(C826,".",","),0)))</f>
        <v/>
      </c>
    </row>
    <row r="827">
      <c r="K827">
        <f>IF(OR(LEFT(B827,9)="DOANH THU",LEFT(B827,8)="SỐ LƯỢNG"),A827,IF(A827="","",K826))</f>
        <v/>
      </c>
      <c r="L827">
        <f>IF(A827="","",IF(ISNUMBER(--LEFT(A827,FIND(" - ",A827&amp;" - ")-1)),LEFT(A827,FIND(" - ",A827&amp;" - ")-1),TRIM(A827)))</f>
        <v/>
      </c>
      <c r="M827">
        <f>IF(OR(K827="",K827=A827,A827=""),"",K827&amp;"|"&amp;L827)</f>
        <v/>
      </c>
      <c r="N827">
        <f>IF(M827="","",IF(ISNUMBER(B827),B827,IFERROR(_xlfn.NUMBERVALUE(B827,".",","),0)))</f>
        <v/>
      </c>
      <c r="O827">
        <f>IF(M827="","",IF(ISNUMBER(C827),C827,IFERROR(_xlfn.NUMBERVALUE(C827,".",","),0)))</f>
        <v/>
      </c>
    </row>
    <row r="828">
      <c r="K828">
        <f>IF(OR(LEFT(B828,9)="DOANH THU",LEFT(B828,8)="SỐ LƯỢNG"),A828,IF(A828="","",K827))</f>
        <v/>
      </c>
      <c r="L828">
        <f>IF(A828="","",IF(ISNUMBER(--LEFT(A828,FIND(" - ",A828&amp;" - ")-1)),LEFT(A828,FIND(" - ",A828&amp;" - ")-1),TRIM(A828)))</f>
        <v/>
      </c>
      <c r="M828">
        <f>IF(OR(K828="",K828=A828,A828=""),"",K828&amp;"|"&amp;L828)</f>
        <v/>
      </c>
      <c r="N828">
        <f>IF(M828="","",IF(ISNUMBER(B828),B828,IFERROR(_xlfn.NUMBERVALUE(B828,".",","),0)))</f>
        <v/>
      </c>
      <c r="O828">
        <f>IF(M828="","",IF(ISNUMBER(C828),C828,IFERROR(_xlfn.NUMBERVALUE(C828,".",","),0)))</f>
        <v/>
      </c>
    </row>
    <row r="829">
      <c r="K829">
        <f>IF(OR(LEFT(B829,9)="DOANH THU",LEFT(B829,8)="SỐ LƯỢNG"),A829,IF(A829="","",K828))</f>
        <v/>
      </c>
      <c r="L829">
        <f>IF(A829="","",IF(ISNUMBER(--LEFT(A829,FIND(" - ",A829&amp;" - ")-1)),LEFT(A829,FIND(" - ",A829&amp;" - ")-1),TRIM(A829)))</f>
        <v/>
      </c>
      <c r="M829">
        <f>IF(OR(K829="",K829=A829,A829=""),"",K829&amp;"|"&amp;L829)</f>
        <v/>
      </c>
      <c r="N829">
        <f>IF(M829="","",IF(ISNUMBER(B829),B829,IFERROR(_xlfn.NUMBERVALUE(B829,".",","),0)))</f>
        <v/>
      </c>
      <c r="O829">
        <f>IF(M829="","",IF(ISNUMBER(C829),C829,IFERROR(_xlfn.NUMBERVALUE(C829,".",","),0)))</f>
        <v/>
      </c>
    </row>
    <row r="830">
      <c r="K830">
        <f>IF(OR(LEFT(B830,9)="DOANH THU",LEFT(B830,8)="SỐ LƯỢNG"),A830,IF(A830="","",K829))</f>
        <v/>
      </c>
      <c r="L830">
        <f>IF(A830="","",IF(ISNUMBER(--LEFT(A830,FIND(" - ",A830&amp;" - ")-1)),LEFT(A830,FIND(" - ",A830&amp;" - ")-1),TRIM(A830)))</f>
        <v/>
      </c>
      <c r="M830">
        <f>IF(OR(K830="",K830=A830,A830=""),"",K830&amp;"|"&amp;L830)</f>
        <v/>
      </c>
      <c r="N830">
        <f>IF(M830="","",IF(ISNUMBER(B830),B830,IFERROR(_xlfn.NUMBERVALUE(B830,".",","),0)))</f>
        <v/>
      </c>
      <c r="O830">
        <f>IF(M830="","",IF(ISNUMBER(C830),C830,IFERROR(_xlfn.NUMBERVALUE(C830,".",","),0)))</f>
        <v/>
      </c>
    </row>
    <row r="831">
      <c r="K831">
        <f>IF(OR(LEFT(B831,9)="DOANH THU",LEFT(B831,8)="SỐ LƯỢNG"),A831,IF(A831="","",K830))</f>
        <v/>
      </c>
      <c r="L831">
        <f>IF(A831="","",IF(ISNUMBER(--LEFT(A831,FIND(" - ",A831&amp;" - ")-1)),LEFT(A831,FIND(" - ",A831&amp;" - ")-1),TRIM(A831)))</f>
        <v/>
      </c>
      <c r="M831">
        <f>IF(OR(K831="",K831=A831,A831=""),"",K831&amp;"|"&amp;L831)</f>
        <v/>
      </c>
      <c r="N831">
        <f>IF(M831="","",IF(ISNUMBER(B831),B831,IFERROR(_xlfn.NUMBERVALUE(B831,".",","),0)))</f>
        <v/>
      </c>
      <c r="O831">
        <f>IF(M831="","",IF(ISNUMBER(C831),C831,IFERROR(_xlfn.NUMBERVALUE(C831,".",","),0)))</f>
        <v/>
      </c>
    </row>
    <row r="832">
      <c r="K832">
        <f>IF(OR(LEFT(B832,9)="DOANH THU",LEFT(B832,8)="SỐ LƯỢNG"),A832,IF(A832="","",K831))</f>
        <v/>
      </c>
      <c r="L832">
        <f>IF(A832="","",IF(ISNUMBER(--LEFT(A832,FIND(" - ",A832&amp;" - ")-1)),LEFT(A832,FIND(" - ",A832&amp;" - ")-1),TRIM(A832)))</f>
        <v/>
      </c>
      <c r="M832">
        <f>IF(OR(K832="",K832=A832,A832=""),"",K832&amp;"|"&amp;L832)</f>
        <v/>
      </c>
      <c r="N832">
        <f>IF(M832="","",IF(ISNUMBER(B832),B832,IFERROR(_xlfn.NUMBERVALUE(B832,".",","),0)))</f>
        <v/>
      </c>
      <c r="O832">
        <f>IF(M832="","",IF(ISNUMBER(C832),C832,IFERROR(_xlfn.NUMBERVALUE(C832,".",","),0)))</f>
        <v/>
      </c>
    </row>
    <row r="833">
      <c r="K833">
        <f>IF(OR(LEFT(B833,9)="DOANH THU",LEFT(B833,8)="SỐ LƯỢNG"),A833,IF(A833="","",K832))</f>
        <v/>
      </c>
      <c r="L833">
        <f>IF(A833="","",IF(ISNUMBER(--LEFT(A833,FIND(" - ",A833&amp;" - ")-1)),LEFT(A833,FIND(" - ",A833&amp;" - ")-1),TRIM(A833)))</f>
        <v/>
      </c>
      <c r="M833">
        <f>IF(OR(K833="",K833=A833,A833=""),"",K833&amp;"|"&amp;L833)</f>
        <v/>
      </c>
      <c r="N833">
        <f>IF(M833="","",IF(ISNUMBER(B833),B833,IFERROR(_xlfn.NUMBERVALUE(B833,".",","),0)))</f>
        <v/>
      </c>
      <c r="O833">
        <f>IF(M833="","",IF(ISNUMBER(C833),C833,IFERROR(_xlfn.NUMBERVALUE(C833,".",","),0)))</f>
        <v/>
      </c>
    </row>
    <row r="834">
      <c r="K834">
        <f>IF(OR(LEFT(B834,9)="DOANH THU",LEFT(B834,8)="SỐ LƯỢNG"),A834,IF(A834="","",K833))</f>
        <v/>
      </c>
      <c r="L834">
        <f>IF(A834="","",IF(ISNUMBER(--LEFT(A834,FIND(" - ",A834&amp;" - ")-1)),LEFT(A834,FIND(" - ",A834&amp;" - ")-1),TRIM(A834)))</f>
        <v/>
      </c>
      <c r="M834">
        <f>IF(OR(K834="",K834=A834,A834=""),"",K834&amp;"|"&amp;L834)</f>
        <v/>
      </c>
      <c r="N834">
        <f>IF(M834="","",IF(ISNUMBER(B834),B834,IFERROR(_xlfn.NUMBERVALUE(B834,".",","),0)))</f>
        <v/>
      </c>
      <c r="O834">
        <f>IF(M834="","",IF(ISNUMBER(C834),C834,IFERROR(_xlfn.NUMBERVALUE(C834,".",","),0)))</f>
        <v/>
      </c>
    </row>
    <row r="835">
      <c r="K835">
        <f>IF(OR(LEFT(B835,9)="DOANH THU",LEFT(B835,8)="SỐ LƯỢNG"),A835,IF(A835="","",K834))</f>
        <v/>
      </c>
      <c r="L835">
        <f>IF(A835="","",IF(ISNUMBER(--LEFT(A835,FIND(" - ",A835&amp;" - ")-1)),LEFT(A835,FIND(" - ",A835&amp;" - ")-1),TRIM(A835)))</f>
        <v/>
      </c>
      <c r="M835">
        <f>IF(OR(K835="",K835=A835,A835=""),"",K835&amp;"|"&amp;L835)</f>
        <v/>
      </c>
      <c r="N835">
        <f>IF(M835="","",IF(ISNUMBER(B835),B835,IFERROR(_xlfn.NUMBERVALUE(B835,".",","),0)))</f>
        <v/>
      </c>
      <c r="O835">
        <f>IF(M835="","",IF(ISNUMBER(C835),C835,IFERROR(_xlfn.NUMBERVALUE(C835,".",","),0)))</f>
        <v/>
      </c>
    </row>
    <row r="836">
      <c r="K836">
        <f>IF(OR(LEFT(B836,9)="DOANH THU",LEFT(B836,8)="SỐ LƯỢNG"),A836,IF(A836="","",K835))</f>
        <v/>
      </c>
      <c r="L836">
        <f>IF(A836="","",IF(ISNUMBER(--LEFT(A836,FIND(" - ",A836&amp;" - ")-1)),LEFT(A836,FIND(" - ",A836&amp;" - ")-1),TRIM(A836)))</f>
        <v/>
      </c>
      <c r="M836">
        <f>IF(OR(K836="",K836=A836,A836=""),"",K836&amp;"|"&amp;L836)</f>
        <v/>
      </c>
      <c r="N836">
        <f>IF(M836="","",IF(ISNUMBER(B836),B836,IFERROR(_xlfn.NUMBERVALUE(B836,".",","),0)))</f>
        <v/>
      </c>
      <c r="O836">
        <f>IF(M836="","",IF(ISNUMBER(C836),C836,IFERROR(_xlfn.NUMBERVALUE(C836,".",","),0)))</f>
        <v/>
      </c>
    </row>
    <row r="837">
      <c r="K837">
        <f>IF(OR(LEFT(B837,9)="DOANH THU",LEFT(B837,8)="SỐ LƯỢNG"),A837,IF(A837="","",K836))</f>
        <v/>
      </c>
      <c r="L837">
        <f>IF(A837="","",IF(ISNUMBER(--LEFT(A837,FIND(" - ",A837&amp;" - ")-1)),LEFT(A837,FIND(" - ",A837&amp;" - ")-1),TRIM(A837)))</f>
        <v/>
      </c>
      <c r="M837">
        <f>IF(OR(K837="",K837=A837,A837=""),"",K837&amp;"|"&amp;L837)</f>
        <v/>
      </c>
      <c r="N837">
        <f>IF(M837="","",IF(ISNUMBER(B837),B837,IFERROR(_xlfn.NUMBERVALUE(B837,".",","),0)))</f>
        <v/>
      </c>
      <c r="O837">
        <f>IF(M837="","",IF(ISNUMBER(C837),C837,IFERROR(_xlfn.NUMBERVALUE(C837,".",","),0)))</f>
        <v/>
      </c>
    </row>
    <row r="838">
      <c r="K838">
        <f>IF(OR(LEFT(B838,9)="DOANH THU",LEFT(B838,8)="SỐ LƯỢNG"),A838,IF(A838="","",K837))</f>
        <v/>
      </c>
      <c r="L838">
        <f>IF(A838="","",IF(ISNUMBER(--LEFT(A838,FIND(" - ",A838&amp;" - ")-1)),LEFT(A838,FIND(" - ",A838&amp;" - ")-1),TRIM(A838)))</f>
        <v/>
      </c>
      <c r="M838">
        <f>IF(OR(K838="",K838=A838,A838=""),"",K838&amp;"|"&amp;L838)</f>
        <v/>
      </c>
      <c r="N838">
        <f>IF(M838="","",IF(ISNUMBER(B838),B838,IFERROR(_xlfn.NUMBERVALUE(B838,".",","),0)))</f>
        <v/>
      </c>
      <c r="O838">
        <f>IF(M838="","",IF(ISNUMBER(C838),C838,IFERROR(_xlfn.NUMBERVALUE(C838,".",","),0)))</f>
        <v/>
      </c>
    </row>
    <row r="839">
      <c r="K839">
        <f>IF(OR(LEFT(B839,9)="DOANH THU",LEFT(B839,8)="SỐ LƯỢNG"),A839,IF(A839="","",K838))</f>
        <v/>
      </c>
      <c r="L839">
        <f>IF(A839="","",IF(ISNUMBER(--LEFT(A839,FIND(" - ",A839&amp;" - ")-1)),LEFT(A839,FIND(" - ",A839&amp;" - ")-1),TRIM(A839)))</f>
        <v/>
      </c>
      <c r="M839">
        <f>IF(OR(K839="",K839=A839,A839=""),"",K839&amp;"|"&amp;L839)</f>
        <v/>
      </c>
      <c r="N839">
        <f>IF(M839="","",IF(ISNUMBER(B839),B839,IFERROR(_xlfn.NUMBERVALUE(B839,".",","),0)))</f>
        <v/>
      </c>
      <c r="O839">
        <f>IF(M839="","",IF(ISNUMBER(C839),C839,IFERROR(_xlfn.NUMBERVALUE(C839,".",","),0)))</f>
        <v/>
      </c>
    </row>
    <row r="840">
      <c r="K840">
        <f>IF(OR(LEFT(B840,9)="DOANH THU",LEFT(B840,8)="SỐ LƯỢNG"),A840,IF(A840="","",K839))</f>
        <v/>
      </c>
      <c r="L840">
        <f>IF(A840="","",IF(ISNUMBER(--LEFT(A840,FIND(" - ",A840&amp;" - ")-1)),LEFT(A840,FIND(" - ",A840&amp;" - ")-1),TRIM(A840)))</f>
        <v/>
      </c>
      <c r="M840">
        <f>IF(OR(K840="",K840=A840,A840=""),"",K840&amp;"|"&amp;L840)</f>
        <v/>
      </c>
      <c r="N840">
        <f>IF(M840="","",IF(ISNUMBER(B840),B840,IFERROR(_xlfn.NUMBERVALUE(B840,".",","),0)))</f>
        <v/>
      </c>
      <c r="O840">
        <f>IF(M840="","",IF(ISNUMBER(C840),C840,IFERROR(_xlfn.NUMBERVALUE(C840,".",","),0)))</f>
        <v/>
      </c>
    </row>
    <row r="841">
      <c r="K841">
        <f>IF(OR(LEFT(B841,9)="DOANH THU",LEFT(B841,8)="SỐ LƯỢNG"),A841,IF(A841="","",K840))</f>
        <v/>
      </c>
      <c r="L841">
        <f>IF(A841="","",IF(ISNUMBER(--LEFT(A841,FIND(" - ",A841&amp;" - ")-1)),LEFT(A841,FIND(" - ",A841&amp;" - ")-1),TRIM(A841)))</f>
        <v/>
      </c>
      <c r="M841">
        <f>IF(OR(K841="",K841=A841,A841=""),"",K841&amp;"|"&amp;L841)</f>
        <v/>
      </c>
      <c r="N841">
        <f>IF(M841="","",IF(ISNUMBER(B841),B841,IFERROR(_xlfn.NUMBERVALUE(B841,".",","),0)))</f>
        <v/>
      </c>
      <c r="O841">
        <f>IF(M841="","",IF(ISNUMBER(C841),C841,IFERROR(_xlfn.NUMBERVALUE(C841,".",","),0)))</f>
        <v/>
      </c>
    </row>
    <row r="842">
      <c r="K842">
        <f>IF(OR(LEFT(B842,9)="DOANH THU",LEFT(B842,8)="SỐ LƯỢNG"),A842,IF(A842="","",K841))</f>
        <v/>
      </c>
      <c r="L842">
        <f>IF(A842="","",IF(ISNUMBER(--LEFT(A842,FIND(" - ",A842&amp;" - ")-1)),LEFT(A842,FIND(" - ",A842&amp;" - ")-1),TRIM(A842)))</f>
        <v/>
      </c>
      <c r="M842">
        <f>IF(OR(K842="",K842=A842,A842=""),"",K842&amp;"|"&amp;L842)</f>
        <v/>
      </c>
      <c r="N842">
        <f>IF(M842="","",IF(ISNUMBER(B842),B842,IFERROR(_xlfn.NUMBERVALUE(B842,".",","),0)))</f>
        <v/>
      </c>
      <c r="O842">
        <f>IF(M842="","",IF(ISNUMBER(C842),C842,IFERROR(_xlfn.NUMBERVALUE(C842,".",","),0)))</f>
        <v/>
      </c>
    </row>
    <row r="843">
      <c r="K843">
        <f>IF(OR(LEFT(B843,9)="DOANH THU",LEFT(B843,8)="SỐ LƯỢNG"),A843,IF(A843="","",K842))</f>
        <v/>
      </c>
      <c r="L843">
        <f>IF(A843="","",IF(ISNUMBER(--LEFT(A843,FIND(" - ",A843&amp;" - ")-1)),LEFT(A843,FIND(" - ",A843&amp;" - ")-1),TRIM(A843)))</f>
        <v/>
      </c>
      <c r="M843">
        <f>IF(OR(K843="",K843=A843,A843=""),"",K843&amp;"|"&amp;L843)</f>
        <v/>
      </c>
      <c r="N843">
        <f>IF(M843="","",IF(ISNUMBER(B843),B843,IFERROR(_xlfn.NUMBERVALUE(B843,".",","),0)))</f>
        <v/>
      </c>
      <c r="O843">
        <f>IF(M843="","",IF(ISNUMBER(C843),C843,IFERROR(_xlfn.NUMBERVALUE(C843,".",","),0)))</f>
        <v/>
      </c>
    </row>
    <row r="844">
      <c r="K844">
        <f>IF(OR(LEFT(B844,9)="DOANH THU",LEFT(B844,8)="SỐ LƯỢNG"),A844,IF(A844="","",K843))</f>
        <v/>
      </c>
      <c r="L844">
        <f>IF(A844="","",IF(ISNUMBER(--LEFT(A844,FIND(" - ",A844&amp;" - ")-1)),LEFT(A844,FIND(" - ",A844&amp;" - ")-1),TRIM(A844)))</f>
        <v/>
      </c>
      <c r="M844">
        <f>IF(OR(K844="",K844=A844,A844=""),"",K844&amp;"|"&amp;L844)</f>
        <v/>
      </c>
      <c r="N844">
        <f>IF(M844="","",IF(ISNUMBER(B844),B844,IFERROR(_xlfn.NUMBERVALUE(B844,".",","),0)))</f>
        <v/>
      </c>
      <c r="O844">
        <f>IF(M844="","",IF(ISNUMBER(C844),C844,IFERROR(_xlfn.NUMBERVALUE(C844,".",","),0)))</f>
        <v/>
      </c>
    </row>
    <row r="845">
      <c r="K845">
        <f>IF(OR(LEFT(B845,9)="DOANH THU",LEFT(B845,8)="SỐ LƯỢNG"),A845,IF(A845="","",K844))</f>
        <v/>
      </c>
      <c r="L845">
        <f>IF(A845="","",IF(ISNUMBER(--LEFT(A845,FIND(" - ",A845&amp;" - ")-1)),LEFT(A845,FIND(" - ",A845&amp;" - ")-1),TRIM(A845)))</f>
        <v/>
      </c>
      <c r="M845">
        <f>IF(OR(K845="",K845=A845,A845=""),"",K845&amp;"|"&amp;L845)</f>
        <v/>
      </c>
      <c r="N845">
        <f>IF(M845="","",IF(ISNUMBER(B845),B845,IFERROR(_xlfn.NUMBERVALUE(B845,".",","),0)))</f>
        <v/>
      </c>
      <c r="O845">
        <f>IF(M845="","",IF(ISNUMBER(C845),C845,IFERROR(_xlfn.NUMBERVALUE(C845,".",","),0)))</f>
        <v/>
      </c>
    </row>
    <row r="846">
      <c r="K846">
        <f>IF(OR(LEFT(B846,9)="DOANH THU",LEFT(B846,8)="SỐ LƯỢNG"),A846,IF(A846="","",K845))</f>
        <v/>
      </c>
      <c r="L846">
        <f>IF(A846="","",IF(ISNUMBER(--LEFT(A846,FIND(" - ",A846&amp;" - ")-1)),LEFT(A846,FIND(" - ",A846&amp;" - ")-1),TRIM(A846)))</f>
        <v/>
      </c>
      <c r="M846">
        <f>IF(OR(K846="",K846=A846,A846=""),"",K846&amp;"|"&amp;L846)</f>
        <v/>
      </c>
      <c r="N846">
        <f>IF(M846="","",IF(ISNUMBER(B846),B846,IFERROR(_xlfn.NUMBERVALUE(B846,".",","),0)))</f>
        <v/>
      </c>
      <c r="O846">
        <f>IF(M846="","",IF(ISNUMBER(C846),C846,IFERROR(_xlfn.NUMBERVALUE(C846,".",","),0)))</f>
        <v/>
      </c>
    </row>
    <row r="847">
      <c r="K847">
        <f>IF(OR(LEFT(B847,9)="DOANH THU",LEFT(B847,8)="SỐ LƯỢNG"),A847,IF(A847="","",K846))</f>
        <v/>
      </c>
      <c r="L847">
        <f>IF(A847="","",IF(ISNUMBER(--LEFT(A847,FIND(" - ",A847&amp;" - ")-1)),LEFT(A847,FIND(" - ",A847&amp;" - ")-1),TRIM(A847)))</f>
        <v/>
      </c>
      <c r="M847">
        <f>IF(OR(K847="",K847=A847,A847=""),"",K847&amp;"|"&amp;L847)</f>
        <v/>
      </c>
      <c r="N847">
        <f>IF(M847="","",IF(ISNUMBER(B847),B847,IFERROR(_xlfn.NUMBERVALUE(B847,".",","),0)))</f>
        <v/>
      </c>
      <c r="O847">
        <f>IF(M847="","",IF(ISNUMBER(C847),C847,IFERROR(_xlfn.NUMBERVALUE(C847,".",","),0)))</f>
        <v/>
      </c>
    </row>
    <row r="848">
      <c r="K848">
        <f>IF(OR(LEFT(B848,9)="DOANH THU",LEFT(B848,8)="SỐ LƯỢNG"),A848,IF(A848="","",K847))</f>
        <v/>
      </c>
      <c r="L848">
        <f>IF(A848="","",IF(ISNUMBER(--LEFT(A848,FIND(" - ",A848&amp;" - ")-1)),LEFT(A848,FIND(" - ",A848&amp;" - ")-1),TRIM(A848)))</f>
        <v/>
      </c>
      <c r="M848">
        <f>IF(OR(K848="",K848=A848,A848=""),"",K848&amp;"|"&amp;L848)</f>
        <v/>
      </c>
      <c r="N848">
        <f>IF(M848="","",IF(ISNUMBER(B848),B848,IFERROR(_xlfn.NUMBERVALUE(B848,".",","),0)))</f>
        <v/>
      </c>
      <c r="O848">
        <f>IF(M848="","",IF(ISNUMBER(C848),C848,IFERROR(_xlfn.NUMBERVALUE(C848,".",","),0)))</f>
        <v/>
      </c>
    </row>
    <row r="849">
      <c r="K849">
        <f>IF(OR(LEFT(B849,9)="DOANH THU",LEFT(B849,8)="SỐ LƯỢNG"),A849,IF(A849="","",K848))</f>
        <v/>
      </c>
      <c r="L849">
        <f>IF(A849="","",IF(ISNUMBER(--LEFT(A849,FIND(" - ",A849&amp;" - ")-1)),LEFT(A849,FIND(" - ",A849&amp;" - ")-1),TRIM(A849)))</f>
        <v/>
      </c>
      <c r="M849">
        <f>IF(OR(K849="",K849=A849,A849=""),"",K849&amp;"|"&amp;L849)</f>
        <v/>
      </c>
      <c r="N849">
        <f>IF(M849="","",IF(ISNUMBER(B849),B849,IFERROR(_xlfn.NUMBERVALUE(B849,".",","),0)))</f>
        <v/>
      </c>
      <c r="O849">
        <f>IF(M849="","",IF(ISNUMBER(C849),C849,IFERROR(_xlfn.NUMBERVALUE(C849,".",","),0)))</f>
        <v/>
      </c>
    </row>
    <row r="850">
      <c r="K850">
        <f>IF(OR(LEFT(B850,9)="DOANH THU",LEFT(B850,8)="SỐ LƯỢNG"),A850,IF(A850="","",K849))</f>
        <v/>
      </c>
      <c r="L850">
        <f>IF(A850="","",IF(ISNUMBER(--LEFT(A850,FIND(" - ",A850&amp;" - ")-1)),LEFT(A850,FIND(" - ",A850&amp;" - ")-1),TRIM(A850)))</f>
        <v/>
      </c>
      <c r="M850">
        <f>IF(OR(K850="",K850=A850,A850=""),"",K850&amp;"|"&amp;L850)</f>
        <v/>
      </c>
      <c r="N850">
        <f>IF(M850="","",IF(ISNUMBER(B850),B850,IFERROR(_xlfn.NUMBERVALUE(B850,".",","),0)))</f>
        <v/>
      </c>
      <c r="O850">
        <f>IF(M850="","",IF(ISNUMBER(C850),C850,IFERROR(_xlfn.NUMBERVALUE(C850,".",","),0)))</f>
        <v/>
      </c>
    </row>
    <row r="851">
      <c r="K851">
        <f>IF(OR(LEFT(B851,9)="DOANH THU",LEFT(B851,8)="SỐ LƯỢNG"),A851,IF(A851="","",K850))</f>
        <v/>
      </c>
      <c r="L851">
        <f>IF(A851="","",IF(ISNUMBER(--LEFT(A851,FIND(" - ",A851&amp;" - ")-1)),LEFT(A851,FIND(" - ",A851&amp;" - ")-1),TRIM(A851)))</f>
        <v/>
      </c>
      <c r="M851">
        <f>IF(OR(K851="",K851=A851,A851=""),"",K851&amp;"|"&amp;L851)</f>
        <v/>
      </c>
      <c r="N851">
        <f>IF(M851="","",IF(ISNUMBER(B851),B851,IFERROR(_xlfn.NUMBERVALUE(B851,".",","),0)))</f>
        <v/>
      </c>
      <c r="O851">
        <f>IF(M851="","",IF(ISNUMBER(C851),C851,IFERROR(_xlfn.NUMBERVALUE(C851,".",","),0)))</f>
        <v/>
      </c>
    </row>
    <row r="852">
      <c r="K852">
        <f>IF(OR(LEFT(B852,9)="DOANH THU",LEFT(B852,8)="SỐ LƯỢNG"),A852,IF(A852="","",K851))</f>
        <v/>
      </c>
      <c r="L852">
        <f>IF(A852="","",IF(ISNUMBER(--LEFT(A852,FIND(" - ",A852&amp;" - ")-1)),LEFT(A852,FIND(" - ",A852&amp;" - ")-1),TRIM(A852)))</f>
        <v/>
      </c>
      <c r="M852">
        <f>IF(OR(K852="",K852=A852,A852=""),"",K852&amp;"|"&amp;L852)</f>
        <v/>
      </c>
      <c r="N852">
        <f>IF(M852="","",IF(ISNUMBER(B852),B852,IFERROR(_xlfn.NUMBERVALUE(B852,".",","),0)))</f>
        <v/>
      </c>
      <c r="O852">
        <f>IF(M852="","",IF(ISNUMBER(C852),C852,IFERROR(_xlfn.NUMBERVALUE(C852,".",","),0)))</f>
        <v/>
      </c>
    </row>
    <row r="853">
      <c r="K853">
        <f>IF(OR(LEFT(B853,9)="DOANH THU",LEFT(B853,8)="SỐ LƯỢNG"),A853,IF(A853="","",K852))</f>
        <v/>
      </c>
      <c r="L853">
        <f>IF(A853="","",IF(ISNUMBER(--LEFT(A853,FIND(" - ",A853&amp;" - ")-1)),LEFT(A853,FIND(" - ",A853&amp;" - ")-1),TRIM(A853)))</f>
        <v/>
      </c>
      <c r="M853">
        <f>IF(OR(K853="",K853=A853,A853=""),"",K853&amp;"|"&amp;L853)</f>
        <v/>
      </c>
      <c r="N853">
        <f>IF(M853="","",IF(ISNUMBER(B853),B853,IFERROR(_xlfn.NUMBERVALUE(B853,".",","),0)))</f>
        <v/>
      </c>
      <c r="O853">
        <f>IF(M853="","",IF(ISNUMBER(C853),C853,IFERROR(_xlfn.NUMBERVALUE(C853,".",","),0)))</f>
        <v/>
      </c>
    </row>
    <row r="854">
      <c r="K854">
        <f>IF(OR(LEFT(B854,9)="DOANH THU",LEFT(B854,8)="SỐ LƯỢNG"),A854,IF(A854="","",K853))</f>
        <v/>
      </c>
      <c r="L854">
        <f>IF(A854="","",IF(ISNUMBER(--LEFT(A854,FIND(" - ",A854&amp;" - ")-1)),LEFT(A854,FIND(" - ",A854&amp;" - ")-1),TRIM(A854)))</f>
        <v/>
      </c>
      <c r="M854">
        <f>IF(OR(K854="",K854=A854,A854=""),"",K854&amp;"|"&amp;L854)</f>
        <v/>
      </c>
      <c r="N854">
        <f>IF(M854="","",IF(ISNUMBER(B854),B854,IFERROR(_xlfn.NUMBERVALUE(B854,".",","),0)))</f>
        <v/>
      </c>
      <c r="O854">
        <f>IF(M854="","",IF(ISNUMBER(C854),C854,IFERROR(_xlfn.NUMBERVALUE(C854,".",","),0)))</f>
        <v/>
      </c>
    </row>
    <row r="855">
      <c r="K855">
        <f>IF(OR(LEFT(B855,9)="DOANH THU",LEFT(B855,8)="SỐ LƯỢNG"),A855,IF(A855="","",K854))</f>
        <v/>
      </c>
      <c r="L855">
        <f>IF(A855="","",IF(ISNUMBER(--LEFT(A855,FIND(" - ",A855&amp;" - ")-1)),LEFT(A855,FIND(" - ",A855&amp;" - ")-1),TRIM(A855)))</f>
        <v/>
      </c>
      <c r="M855">
        <f>IF(OR(K855="",K855=A855,A855=""),"",K855&amp;"|"&amp;L855)</f>
        <v/>
      </c>
      <c r="N855">
        <f>IF(M855="","",IF(ISNUMBER(B855),B855,IFERROR(_xlfn.NUMBERVALUE(B855,".",","),0)))</f>
        <v/>
      </c>
      <c r="O855">
        <f>IF(M855="","",IF(ISNUMBER(C855),C855,IFERROR(_xlfn.NUMBERVALUE(C855,".",","),0)))</f>
        <v/>
      </c>
    </row>
    <row r="856">
      <c r="K856">
        <f>IF(OR(LEFT(B856,9)="DOANH THU",LEFT(B856,8)="SỐ LƯỢNG"),A856,IF(A856="","",K855))</f>
        <v/>
      </c>
      <c r="L856">
        <f>IF(A856="","",IF(ISNUMBER(--LEFT(A856,FIND(" - ",A856&amp;" - ")-1)),LEFT(A856,FIND(" - ",A856&amp;" - ")-1),TRIM(A856)))</f>
        <v/>
      </c>
      <c r="M856">
        <f>IF(OR(K856="",K856=A856,A856=""),"",K856&amp;"|"&amp;L856)</f>
        <v/>
      </c>
      <c r="N856">
        <f>IF(M856="","",IF(ISNUMBER(B856),B856,IFERROR(_xlfn.NUMBERVALUE(B856,".",","),0)))</f>
        <v/>
      </c>
      <c r="O856">
        <f>IF(M856="","",IF(ISNUMBER(C856),C856,IFERROR(_xlfn.NUMBERVALUE(C856,".",","),0)))</f>
        <v/>
      </c>
    </row>
    <row r="857">
      <c r="K857">
        <f>IF(OR(LEFT(B857,9)="DOANH THU",LEFT(B857,8)="SỐ LƯỢNG"),A857,IF(A857="","",K856))</f>
        <v/>
      </c>
      <c r="L857">
        <f>IF(A857="","",IF(ISNUMBER(--LEFT(A857,FIND(" - ",A857&amp;" - ")-1)),LEFT(A857,FIND(" - ",A857&amp;" - ")-1),TRIM(A857)))</f>
        <v/>
      </c>
      <c r="M857">
        <f>IF(OR(K857="",K857=A857,A857=""),"",K857&amp;"|"&amp;L857)</f>
        <v/>
      </c>
      <c r="N857">
        <f>IF(M857="","",IF(ISNUMBER(B857),B857,IFERROR(_xlfn.NUMBERVALUE(B857,".",","),0)))</f>
        <v/>
      </c>
      <c r="O857">
        <f>IF(M857="","",IF(ISNUMBER(C857),C857,IFERROR(_xlfn.NUMBERVALUE(C857,".",","),0)))</f>
        <v/>
      </c>
    </row>
    <row r="858">
      <c r="K858">
        <f>IF(OR(LEFT(B858,9)="DOANH THU",LEFT(B858,8)="SỐ LƯỢNG"),A858,IF(A858="","",K857))</f>
        <v/>
      </c>
      <c r="L858">
        <f>IF(A858="","",IF(ISNUMBER(--LEFT(A858,FIND(" - ",A858&amp;" - ")-1)),LEFT(A858,FIND(" - ",A858&amp;" - ")-1),TRIM(A858)))</f>
        <v/>
      </c>
      <c r="M858">
        <f>IF(OR(K858="",K858=A858,A858=""),"",K858&amp;"|"&amp;L858)</f>
        <v/>
      </c>
      <c r="N858">
        <f>IF(M858="","",IF(ISNUMBER(B858),B858,IFERROR(_xlfn.NUMBERVALUE(B858,".",","),0)))</f>
        <v/>
      </c>
      <c r="O858">
        <f>IF(M858="","",IF(ISNUMBER(C858),C858,IFERROR(_xlfn.NUMBERVALUE(C858,".",","),0)))</f>
        <v/>
      </c>
    </row>
    <row r="859">
      <c r="K859">
        <f>IF(OR(LEFT(B859,9)="DOANH THU",LEFT(B859,8)="SỐ LƯỢNG"),A859,IF(A859="","",K858))</f>
        <v/>
      </c>
      <c r="L859">
        <f>IF(A859="","",IF(ISNUMBER(--LEFT(A859,FIND(" - ",A859&amp;" - ")-1)),LEFT(A859,FIND(" - ",A859&amp;" - ")-1),TRIM(A859)))</f>
        <v/>
      </c>
      <c r="M859">
        <f>IF(OR(K859="",K859=A859,A859=""),"",K859&amp;"|"&amp;L859)</f>
        <v/>
      </c>
      <c r="N859">
        <f>IF(M859="","",IF(ISNUMBER(B859),B859,IFERROR(_xlfn.NUMBERVALUE(B859,".",","),0)))</f>
        <v/>
      </c>
      <c r="O859">
        <f>IF(M859="","",IF(ISNUMBER(C859),C859,IFERROR(_xlfn.NUMBERVALUE(C859,".",","),0)))</f>
        <v/>
      </c>
    </row>
    <row r="860">
      <c r="K860">
        <f>IF(OR(LEFT(B860,9)="DOANH THU",LEFT(B860,8)="SỐ LƯỢNG"),A860,IF(A860="","",K859))</f>
        <v/>
      </c>
      <c r="L860">
        <f>IF(A860="","",IF(ISNUMBER(--LEFT(A860,FIND(" - ",A860&amp;" - ")-1)),LEFT(A860,FIND(" - ",A860&amp;" - ")-1),TRIM(A860)))</f>
        <v/>
      </c>
      <c r="M860">
        <f>IF(OR(K860="",K860=A860,A860=""),"",K860&amp;"|"&amp;L860)</f>
        <v/>
      </c>
      <c r="N860">
        <f>IF(M860="","",IF(ISNUMBER(B860),B860,IFERROR(_xlfn.NUMBERVALUE(B860,".",","),0)))</f>
        <v/>
      </c>
      <c r="O860">
        <f>IF(M860="","",IF(ISNUMBER(C860),C860,IFERROR(_xlfn.NUMBERVALUE(C860,".",","),0)))</f>
        <v/>
      </c>
    </row>
    <row r="861">
      <c r="K861">
        <f>IF(OR(LEFT(B861,9)="DOANH THU",LEFT(B861,8)="SỐ LƯỢNG"),A861,IF(A861="","",K860))</f>
        <v/>
      </c>
      <c r="L861">
        <f>IF(A861="","",IF(ISNUMBER(--LEFT(A861,FIND(" - ",A861&amp;" - ")-1)),LEFT(A861,FIND(" - ",A861&amp;" - ")-1),TRIM(A861)))</f>
        <v/>
      </c>
      <c r="M861">
        <f>IF(OR(K861="",K861=A861,A861=""),"",K861&amp;"|"&amp;L861)</f>
        <v/>
      </c>
      <c r="N861">
        <f>IF(M861="","",IF(ISNUMBER(B861),B861,IFERROR(_xlfn.NUMBERVALUE(B861,".",","),0)))</f>
        <v/>
      </c>
      <c r="O861">
        <f>IF(M861="","",IF(ISNUMBER(C861),C861,IFERROR(_xlfn.NUMBERVALUE(C861,".",","),0)))</f>
        <v/>
      </c>
    </row>
    <row r="862">
      <c r="K862">
        <f>IF(OR(LEFT(B862,9)="DOANH THU",LEFT(B862,8)="SỐ LƯỢNG"),A862,IF(A862="","",K861))</f>
        <v/>
      </c>
      <c r="L862">
        <f>IF(A862="","",IF(ISNUMBER(--LEFT(A862,FIND(" - ",A862&amp;" - ")-1)),LEFT(A862,FIND(" - ",A862&amp;" - ")-1),TRIM(A862)))</f>
        <v/>
      </c>
      <c r="M862">
        <f>IF(OR(K862="",K862=A862,A862=""),"",K862&amp;"|"&amp;L862)</f>
        <v/>
      </c>
      <c r="N862">
        <f>IF(M862="","",IF(ISNUMBER(B862),B862,IFERROR(_xlfn.NUMBERVALUE(B862,".",","),0)))</f>
        <v/>
      </c>
      <c r="O862">
        <f>IF(M862="","",IF(ISNUMBER(C862),C862,IFERROR(_xlfn.NUMBERVALUE(C862,".",","),0)))</f>
        <v/>
      </c>
    </row>
    <row r="863">
      <c r="K863">
        <f>IF(OR(LEFT(B863,9)="DOANH THU",LEFT(B863,8)="SỐ LƯỢNG"),A863,IF(A863="","",K862))</f>
        <v/>
      </c>
      <c r="L863">
        <f>IF(A863="","",IF(ISNUMBER(--LEFT(A863,FIND(" - ",A863&amp;" - ")-1)),LEFT(A863,FIND(" - ",A863&amp;" - ")-1),TRIM(A863)))</f>
        <v/>
      </c>
      <c r="M863">
        <f>IF(OR(K863="",K863=A863,A863=""),"",K863&amp;"|"&amp;L863)</f>
        <v/>
      </c>
      <c r="N863">
        <f>IF(M863="","",IF(ISNUMBER(B863),B863,IFERROR(_xlfn.NUMBERVALUE(B863,".",","),0)))</f>
        <v/>
      </c>
      <c r="O863">
        <f>IF(M863="","",IF(ISNUMBER(C863),C863,IFERROR(_xlfn.NUMBERVALUE(C863,".",","),0)))</f>
        <v/>
      </c>
    </row>
    <row r="864">
      <c r="K864">
        <f>IF(OR(LEFT(B864,9)="DOANH THU",LEFT(B864,8)="SỐ LƯỢNG"),A864,IF(A864="","",K863))</f>
        <v/>
      </c>
      <c r="L864">
        <f>IF(A864="","",IF(ISNUMBER(--LEFT(A864,FIND(" - ",A864&amp;" - ")-1)),LEFT(A864,FIND(" - ",A864&amp;" - ")-1),TRIM(A864)))</f>
        <v/>
      </c>
      <c r="M864">
        <f>IF(OR(K864="",K864=A864,A864=""),"",K864&amp;"|"&amp;L864)</f>
        <v/>
      </c>
      <c r="N864">
        <f>IF(M864="","",IF(ISNUMBER(B864),B864,IFERROR(_xlfn.NUMBERVALUE(B864,".",","),0)))</f>
        <v/>
      </c>
      <c r="O864">
        <f>IF(M864="","",IF(ISNUMBER(C864),C864,IFERROR(_xlfn.NUMBERVALUE(C864,".",","),0)))</f>
        <v/>
      </c>
    </row>
    <row r="865">
      <c r="K865">
        <f>IF(OR(LEFT(B865,9)="DOANH THU",LEFT(B865,8)="SỐ LƯỢNG"),A865,IF(A865="","",K864))</f>
        <v/>
      </c>
      <c r="L865">
        <f>IF(A865="","",IF(ISNUMBER(--LEFT(A865,FIND(" - ",A865&amp;" - ")-1)),LEFT(A865,FIND(" - ",A865&amp;" - ")-1),TRIM(A865)))</f>
        <v/>
      </c>
      <c r="M865">
        <f>IF(OR(K865="",K865=A865,A865=""),"",K865&amp;"|"&amp;L865)</f>
        <v/>
      </c>
      <c r="N865">
        <f>IF(M865="","",IF(ISNUMBER(B865),B865,IFERROR(_xlfn.NUMBERVALUE(B865,".",","),0)))</f>
        <v/>
      </c>
      <c r="O865">
        <f>IF(M865="","",IF(ISNUMBER(C865),C865,IFERROR(_xlfn.NUMBERVALUE(C865,".",","),0)))</f>
        <v/>
      </c>
    </row>
    <row r="866">
      <c r="K866">
        <f>IF(OR(LEFT(B866,9)="DOANH THU",LEFT(B866,8)="SỐ LƯỢNG"),A866,IF(A866="","",K865))</f>
        <v/>
      </c>
      <c r="L866">
        <f>IF(A866="","",IF(ISNUMBER(--LEFT(A866,FIND(" - ",A866&amp;" - ")-1)),LEFT(A866,FIND(" - ",A866&amp;" - ")-1),TRIM(A866)))</f>
        <v/>
      </c>
      <c r="M866">
        <f>IF(OR(K866="",K866=A866,A866=""),"",K866&amp;"|"&amp;L866)</f>
        <v/>
      </c>
      <c r="N866">
        <f>IF(M866="","",IF(ISNUMBER(B866),B866,IFERROR(_xlfn.NUMBERVALUE(B866,".",","),0)))</f>
        <v/>
      </c>
      <c r="O866">
        <f>IF(M866="","",IF(ISNUMBER(C866),C866,IFERROR(_xlfn.NUMBERVALUE(C866,".",","),0)))</f>
        <v/>
      </c>
    </row>
    <row r="867">
      <c r="K867">
        <f>IF(OR(LEFT(B867,9)="DOANH THU",LEFT(B867,8)="SỐ LƯỢNG"),A867,IF(A867="","",K866))</f>
        <v/>
      </c>
      <c r="L867">
        <f>IF(A867="","",IF(ISNUMBER(--LEFT(A867,FIND(" - ",A867&amp;" - ")-1)),LEFT(A867,FIND(" - ",A867&amp;" - ")-1),TRIM(A867)))</f>
        <v/>
      </c>
      <c r="M867">
        <f>IF(OR(K867="",K867=A867,A867=""),"",K867&amp;"|"&amp;L867)</f>
        <v/>
      </c>
      <c r="N867">
        <f>IF(M867="","",IF(ISNUMBER(B867),B867,IFERROR(_xlfn.NUMBERVALUE(B867,".",","),0)))</f>
        <v/>
      </c>
      <c r="O867">
        <f>IF(M867="","",IF(ISNUMBER(C867),C867,IFERROR(_xlfn.NUMBERVALUE(C867,".",","),0)))</f>
        <v/>
      </c>
    </row>
    <row r="868">
      <c r="K868">
        <f>IF(OR(LEFT(B868,9)="DOANH THU",LEFT(B868,8)="SỐ LƯỢNG"),A868,IF(A868="","",K867))</f>
        <v/>
      </c>
      <c r="L868">
        <f>IF(A868="","",IF(ISNUMBER(--LEFT(A868,FIND(" - ",A868&amp;" - ")-1)),LEFT(A868,FIND(" - ",A868&amp;" - ")-1),TRIM(A868)))</f>
        <v/>
      </c>
      <c r="M868">
        <f>IF(OR(K868="",K868=A868,A868=""),"",K868&amp;"|"&amp;L868)</f>
        <v/>
      </c>
      <c r="N868">
        <f>IF(M868="","",IF(ISNUMBER(B868),B868,IFERROR(_xlfn.NUMBERVALUE(B868,".",","),0)))</f>
        <v/>
      </c>
      <c r="O868">
        <f>IF(M868="","",IF(ISNUMBER(C868),C868,IFERROR(_xlfn.NUMBERVALUE(C868,".",","),0)))</f>
        <v/>
      </c>
    </row>
    <row r="869">
      <c r="K869">
        <f>IF(OR(LEFT(B869,9)="DOANH THU",LEFT(B869,8)="SỐ LƯỢNG"),A869,IF(A869="","",K868))</f>
        <v/>
      </c>
      <c r="L869">
        <f>IF(A869="","",IF(ISNUMBER(--LEFT(A869,FIND(" - ",A869&amp;" - ")-1)),LEFT(A869,FIND(" - ",A869&amp;" - ")-1),TRIM(A869)))</f>
        <v/>
      </c>
      <c r="M869">
        <f>IF(OR(K869="",K869=A869,A869=""),"",K869&amp;"|"&amp;L869)</f>
        <v/>
      </c>
      <c r="N869">
        <f>IF(M869="","",IF(ISNUMBER(B869),B869,IFERROR(_xlfn.NUMBERVALUE(B869,".",","),0)))</f>
        <v/>
      </c>
      <c r="O869">
        <f>IF(M869="","",IF(ISNUMBER(C869),C869,IFERROR(_xlfn.NUMBERVALUE(C869,".",","),0)))</f>
        <v/>
      </c>
    </row>
    <row r="870">
      <c r="K870">
        <f>IF(OR(LEFT(B870,9)="DOANH THU",LEFT(B870,8)="SỐ LƯỢNG"),A870,IF(A870="","",K869))</f>
        <v/>
      </c>
      <c r="L870">
        <f>IF(A870="","",IF(ISNUMBER(--LEFT(A870,FIND(" - ",A870&amp;" - ")-1)),LEFT(A870,FIND(" - ",A870&amp;" - ")-1),TRIM(A870)))</f>
        <v/>
      </c>
      <c r="M870">
        <f>IF(OR(K870="",K870=A870,A870=""),"",K870&amp;"|"&amp;L870)</f>
        <v/>
      </c>
      <c r="N870">
        <f>IF(M870="","",IF(ISNUMBER(B870),B870,IFERROR(_xlfn.NUMBERVALUE(B870,".",","),0)))</f>
        <v/>
      </c>
      <c r="O870">
        <f>IF(M870="","",IF(ISNUMBER(C870),C870,IFERROR(_xlfn.NUMBERVALUE(C870,".",","),0)))</f>
        <v/>
      </c>
    </row>
    <row r="871">
      <c r="K871">
        <f>IF(OR(LEFT(B871,9)="DOANH THU",LEFT(B871,8)="SỐ LƯỢNG"),A871,IF(A871="","",K870))</f>
        <v/>
      </c>
      <c r="L871">
        <f>IF(A871="","",IF(ISNUMBER(--LEFT(A871,FIND(" - ",A871&amp;" - ")-1)),LEFT(A871,FIND(" - ",A871&amp;" - ")-1),TRIM(A871)))</f>
        <v/>
      </c>
      <c r="M871">
        <f>IF(OR(K871="",K871=A871,A871=""),"",K871&amp;"|"&amp;L871)</f>
        <v/>
      </c>
      <c r="N871">
        <f>IF(M871="","",IF(ISNUMBER(B871),B871,IFERROR(_xlfn.NUMBERVALUE(B871,".",","),0)))</f>
        <v/>
      </c>
      <c r="O871">
        <f>IF(M871="","",IF(ISNUMBER(C871),C871,IFERROR(_xlfn.NUMBERVALUE(C871,".",","),0)))</f>
        <v/>
      </c>
    </row>
    <row r="872">
      <c r="K872">
        <f>IF(OR(LEFT(B872,9)="DOANH THU",LEFT(B872,8)="SỐ LƯỢNG"),A872,IF(A872="","",K871))</f>
        <v/>
      </c>
      <c r="L872">
        <f>IF(A872="","",IF(ISNUMBER(--LEFT(A872,FIND(" - ",A872&amp;" - ")-1)),LEFT(A872,FIND(" - ",A872&amp;" - ")-1),TRIM(A872)))</f>
        <v/>
      </c>
      <c r="M872">
        <f>IF(OR(K872="",K872=A872,A872=""),"",K872&amp;"|"&amp;L872)</f>
        <v/>
      </c>
      <c r="N872">
        <f>IF(M872="","",IF(ISNUMBER(B872),B872,IFERROR(_xlfn.NUMBERVALUE(B872,".",","),0)))</f>
        <v/>
      </c>
      <c r="O872">
        <f>IF(M872="","",IF(ISNUMBER(C872),C872,IFERROR(_xlfn.NUMBERVALUE(C872,".",","),0)))</f>
        <v/>
      </c>
    </row>
    <row r="873">
      <c r="K873">
        <f>IF(OR(LEFT(B873,9)="DOANH THU",LEFT(B873,8)="SỐ LƯỢNG"),A873,IF(A873="","",K872))</f>
        <v/>
      </c>
      <c r="L873">
        <f>IF(A873="","",IF(ISNUMBER(--LEFT(A873,FIND(" - ",A873&amp;" - ")-1)),LEFT(A873,FIND(" - ",A873&amp;" - ")-1),TRIM(A873)))</f>
        <v/>
      </c>
      <c r="M873">
        <f>IF(OR(K873="",K873=A873,A873=""),"",K873&amp;"|"&amp;L873)</f>
        <v/>
      </c>
      <c r="N873">
        <f>IF(M873="","",IF(ISNUMBER(B873),B873,IFERROR(_xlfn.NUMBERVALUE(B873,".",","),0)))</f>
        <v/>
      </c>
      <c r="O873">
        <f>IF(M873="","",IF(ISNUMBER(C873),C873,IFERROR(_xlfn.NUMBERVALUE(C873,".",","),0)))</f>
        <v/>
      </c>
    </row>
    <row r="874">
      <c r="K874">
        <f>IF(OR(LEFT(B874,9)="DOANH THU",LEFT(B874,8)="SỐ LƯỢNG"),A874,IF(A874="","",K873))</f>
        <v/>
      </c>
      <c r="L874">
        <f>IF(A874="","",IF(ISNUMBER(--LEFT(A874,FIND(" - ",A874&amp;" - ")-1)),LEFT(A874,FIND(" - ",A874&amp;" - ")-1),TRIM(A874)))</f>
        <v/>
      </c>
      <c r="M874">
        <f>IF(OR(K874="",K874=A874,A874=""),"",K874&amp;"|"&amp;L874)</f>
        <v/>
      </c>
      <c r="N874">
        <f>IF(M874="","",IF(ISNUMBER(B874),B874,IFERROR(_xlfn.NUMBERVALUE(B874,".",","),0)))</f>
        <v/>
      </c>
      <c r="O874">
        <f>IF(M874="","",IF(ISNUMBER(C874),C874,IFERROR(_xlfn.NUMBERVALUE(C874,".",","),0)))</f>
        <v/>
      </c>
    </row>
    <row r="875">
      <c r="K875">
        <f>IF(OR(LEFT(B875,9)="DOANH THU",LEFT(B875,8)="SỐ LƯỢNG"),A875,IF(A875="","",K874))</f>
        <v/>
      </c>
      <c r="L875">
        <f>IF(A875="","",IF(ISNUMBER(--LEFT(A875,FIND(" - ",A875&amp;" - ")-1)),LEFT(A875,FIND(" - ",A875&amp;" - ")-1),TRIM(A875)))</f>
        <v/>
      </c>
      <c r="M875">
        <f>IF(OR(K875="",K875=A875,A875=""),"",K875&amp;"|"&amp;L875)</f>
        <v/>
      </c>
      <c r="N875">
        <f>IF(M875="","",IF(ISNUMBER(B875),B875,IFERROR(_xlfn.NUMBERVALUE(B875,".",","),0)))</f>
        <v/>
      </c>
      <c r="O875">
        <f>IF(M875="","",IF(ISNUMBER(C875),C875,IFERROR(_xlfn.NUMBERVALUE(C875,".",","),0)))</f>
        <v/>
      </c>
    </row>
    <row r="876">
      <c r="K876">
        <f>IF(OR(LEFT(B876,9)="DOANH THU",LEFT(B876,8)="SỐ LƯỢNG"),A876,IF(A876="","",K875))</f>
        <v/>
      </c>
      <c r="L876">
        <f>IF(A876="","",IF(ISNUMBER(--LEFT(A876,FIND(" - ",A876&amp;" - ")-1)),LEFT(A876,FIND(" - ",A876&amp;" - ")-1),TRIM(A876)))</f>
        <v/>
      </c>
      <c r="M876">
        <f>IF(OR(K876="",K876=A876,A876=""),"",K876&amp;"|"&amp;L876)</f>
        <v/>
      </c>
      <c r="N876">
        <f>IF(M876="","",IF(ISNUMBER(B876),B876,IFERROR(_xlfn.NUMBERVALUE(B876,".",","),0)))</f>
        <v/>
      </c>
      <c r="O876">
        <f>IF(M876="","",IF(ISNUMBER(C876),C876,IFERROR(_xlfn.NUMBERVALUE(C876,".",","),0)))</f>
        <v/>
      </c>
    </row>
    <row r="877">
      <c r="K877">
        <f>IF(OR(LEFT(B877,9)="DOANH THU",LEFT(B877,8)="SỐ LƯỢNG"),A877,IF(A877="","",K876))</f>
        <v/>
      </c>
      <c r="L877">
        <f>IF(A877="","",IF(ISNUMBER(--LEFT(A877,FIND(" - ",A877&amp;" - ")-1)),LEFT(A877,FIND(" - ",A877&amp;" - ")-1),TRIM(A877)))</f>
        <v/>
      </c>
      <c r="M877">
        <f>IF(OR(K877="",K877=A877,A877=""),"",K877&amp;"|"&amp;L877)</f>
        <v/>
      </c>
      <c r="N877">
        <f>IF(M877="","",IF(ISNUMBER(B877),B877,IFERROR(_xlfn.NUMBERVALUE(B877,".",","),0)))</f>
        <v/>
      </c>
      <c r="O877">
        <f>IF(M877="","",IF(ISNUMBER(C877),C877,IFERROR(_xlfn.NUMBERVALUE(C877,".",","),0)))</f>
        <v/>
      </c>
    </row>
    <row r="878">
      <c r="K878">
        <f>IF(OR(LEFT(B878,9)="DOANH THU",LEFT(B878,8)="SỐ LƯỢNG"),A878,IF(A878="","",K877))</f>
        <v/>
      </c>
      <c r="L878">
        <f>IF(A878="","",IF(ISNUMBER(--LEFT(A878,FIND(" - ",A878&amp;" - ")-1)),LEFT(A878,FIND(" - ",A878&amp;" - ")-1),TRIM(A878)))</f>
        <v/>
      </c>
      <c r="M878">
        <f>IF(OR(K878="",K878=A878,A878=""),"",K878&amp;"|"&amp;L878)</f>
        <v/>
      </c>
      <c r="N878">
        <f>IF(M878="","",IF(ISNUMBER(B878),B878,IFERROR(_xlfn.NUMBERVALUE(B878,".",","),0)))</f>
        <v/>
      </c>
      <c r="O878">
        <f>IF(M878="","",IF(ISNUMBER(C878),C878,IFERROR(_xlfn.NUMBERVALUE(C878,".",","),0)))</f>
        <v/>
      </c>
    </row>
    <row r="879">
      <c r="K879">
        <f>IF(OR(LEFT(B879,9)="DOANH THU",LEFT(B879,8)="SỐ LƯỢNG"),A879,IF(A879="","",K878))</f>
        <v/>
      </c>
      <c r="L879">
        <f>IF(A879="","",IF(ISNUMBER(--LEFT(A879,FIND(" - ",A879&amp;" - ")-1)),LEFT(A879,FIND(" - ",A879&amp;" - ")-1),TRIM(A879)))</f>
        <v/>
      </c>
      <c r="M879">
        <f>IF(OR(K879="",K879=A879,A879=""),"",K879&amp;"|"&amp;L879)</f>
        <v/>
      </c>
      <c r="N879">
        <f>IF(M879="","",IF(ISNUMBER(B879),B879,IFERROR(_xlfn.NUMBERVALUE(B879,".",","),0)))</f>
        <v/>
      </c>
      <c r="O879">
        <f>IF(M879="","",IF(ISNUMBER(C879),C879,IFERROR(_xlfn.NUMBERVALUE(C879,".",","),0)))</f>
        <v/>
      </c>
    </row>
    <row r="880">
      <c r="K880">
        <f>IF(OR(LEFT(B880,9)="DOANH THU",LEFT(B880,8)="SỐ LƯỢNG"),A880,IF(A880="","",K879))</f>
        <v/>
      </c>
      <c r="L880">
        <f>IF(A880="","",IF(ISNUMBER(--LEFT(A880,FIND(" - ",A880&amp;" - ")-1)),LEFT(A880,FIND(" - ",A880&amp;" - ")-1),TRIM(A880)))</f>
        <v/>
      </c>
      <c r="M880">
        <f>IF(OR(K880="",K880=A880,A880=""),"",K880&amp;"|"&amp;L880)</f>
        <v/>
      </c>
      <c r="N880">
        <f>IF(M880="","",IF(ISNUMBER(B880),B880,IFERROR(_xlfn.NUMBERVALUE(B880,".",","),0)))</f>
        <v/>
      </c>
      <c r="O880">
        <f>IF(M880="","",IF(ISNUMBER(C880),C880,IFERROR(_xlfn.NUMBERVALUE(C880,".",","),0)))</f>
        <v/>
      </c>
    </row>
    <row r="881">
      <c r="K881">
        <f>IF(OR(LEFT(B881,9)="DOANH THU",LEFT(B881,8)="SỐ LƯỢNG"),A881,IF(A881="","",K880))</f>
        <v/>
      </c>
      <c r="L881">
        <f>IF(A881="","",IF(ISNUMBER(--LEFT(A881,FIND(" - ",A881&amp;" - ")-1)),LEFT(A881,FIND(" - ",A881&amp;" - ")-1),TRIM(A881)))</f>
        <v/>
      </c>
      <c r="M881">
        <f>IF(OR(K881="",K881=A881,A881=""),"",K881&amp;"|"&amp;L881)</f>
        <v/>
      </c>
      <c r="N881">
        <f>IF(M881="","",IF(ISNUMBER(B881),B881,IFERROR(_xlfn.NUMBERVALUE(B881,".",","),0)))</f>
        <v/>
      </c>
      <c r="O881">
        <f>IF(M881="","",IF(ISNUMBER(C881),C881,IFERROR(_xlfn.NUMBERVALUE(C881,".",","),0)))</f>
        <v/>
      </c>
    </row>
    <row r="882">
      <c r="K882">
        <f>IF(OR(LEFT(B882,9)="DOANH THU",LEFT(B882,8)="SỐ LƯỢNG"),A882,IF(A882="","",K881))</f>
        <v/>
      </c>
      <c r="L882">
        <f>IF(A882="","",IF(ISNUMBER(--LEFT(A882,FIND(" - ",A882&amp;" - ")-1)),LEFT(A882,FIND(" - ",A882&amp;" - ")-1),TRIM(A882)))</f>
        <v/>
      </c>
      <c r="M882">
        <f>IF(OR(K882="",K882=A882,A882=""),"",K882&amp;"|"&amp;L882)</f>
        <v/>
      </c>
      <c r="N882">
        <f>IF(M882="","",IF(ISNUMBER(B882),B882,IFERROR(_xlfn.NUMBERVALUE(B882,".",","),0)))</f>
        <v/>
      </c>
      <c r="O882">
        <f>IF(M882="","",IF(ISNUMBER(C882),C882,IFERROR(_xlfn.NUMBERVALUE(C882,".",","),0)))</f>
        <v/>
      </c>
    </row>
    <row r="883">
      <c r="K883">
        <f>IF(OR(LEFT(B883,9)="DOANH THU",LEFT(B883,8)="SỐ LƯỢNG"),A883,IF(A883="","",K882))</f>
        <v/>
      </c>
      <c r="L883">
        <f>IF(A883="","",IF(ISNUMBER(--LEFT(A883,FIND(" - ",A883&amp;" - ")-1)),LEFT(A883,FIND(" - ",A883&amp;" - ")-1),TRIM(A883)))</f>
        <v/>
      </c>
      <c r="M883">
        <f>IF(OR(K883="",K883=A883,A883=""),"",K883&amp;"|"&amp;L883)</f>
        <v/>
      </c>
      <c r="N883">
        <f>IF(M883="","",IF(ISNUMBER(B883),B883,IFERROR(_xlfn.NUMBERVALUE(B883,".",","),0)))</f>
        <v/>
      </c>
      <c r="O883">
        <f>IF(M883="","",IF(ISNUMBER(C883),C883,IFERROR(_xlfn.NUMBERVALUE(C883,".",","),0)))</f>
        <v/>
      </c>
    </row>
    <row r="884">
      <c r="K884">
        <f>IF(OR(LEFT(B884,9)="DOANH THU",LEFT(B884,8)="SỐ LƯỢNG"),A884,IF(A884="","",K883))</f>
        <v/>
      </c>
      <c r="L884">
        <f>IF(A884="","",IF(ISNUMBER(--LEFT(A884,FIND(" - ",A884&amp;" - ")-1)),LEFT(A884,FIND(" - ",A884&amp;" - ")-1),TRIM(A884)))</f>
        <v/>
      </c>
      <c r="M884">
        <f>IF(OR(K884="",K884=A884,A884=""),"",K884&amp;"|"&amp;L884)</f>
        <v/>
      </c>
      <c r="N884">
        <f>IF(M884="","",IF(ISNUMBER(B884),B884,IFERROR(_xlfn.NUMBERVALUE(B884,".",","),0)))</f>
        <v/>
      </c>
      <c r="O884">
        <f>IF(M884="","",IF(ISNUMBER(C884),C884,IFERROR(_xlfn.NUMBERVALUE(C884,".",","),0)))</f>
        <v/>
      </c>
    </row>
    <row r="885">
      <c r="K885">
        <f>IF(OR(LEFT(B885,9)="DOANH THU",LEFT(B885,8)="SỐ LƯỢNG"),A885,IF(A885="","",K884))</f>
        <v/>
      </c>
      <c r="L885">
        <f>IF(A885="","",IF(ISNUMBER(--LEFT(A885,FIND(" - ",A885&amp;" - ")-1)),LEFT(A885,FIND(" - ",A885&amp;" - ")-1),TRIM(A885)))</f>
        <v/>
      </c>
      <c r="M885">
        <f>IF(OR(K885="",K885=A885,A885=""),"",K885&amp;"|"&amp;L885)</f>
        <v/>
      </c>
      <c r="N885">
        <f>IF(M885="","",IF(ISNUMBER(B885),B885,IFERROR(_xlfn.NUMBERVALUE(B885,".",","),0)))</f>
        <v/>
      </c>
      <c r="O885">
        <f>IF(M885="","",IF(ISNUMBER(C885),C885,IFERROR(_xlfn.NUMBERVALUE(C885,".",","),0)))</f>
        <v/>
      </c>
    </row>
    <row r="886">
      <c r="K886">
        <f>IF(OR(LEFT(B886,9)="DOANH THU",LEFT(B886,8)="SỐ LƯỢNG"),A886,IF(A886="","",K885))</f>
        <v/>
      </c>
      <c r="L886">
        <f>IF(A886="","",IF(ISNUMBER(--LEFT(A886,FIND(" - ",A886&amp;" - ")-1)),LEFT(A886,FIND(" - ",A886&amp;" - ")-1),TRIM(A886)))</f>
        <v/>
      </c>
      <c r="M886">
        <f>IF(OR(K886="",K886=A886,A886=""),"",K886&amp;"|"&amp;L886)</f>
        <v/>
      </c>
      <c r="N886">
        <f>IF(M886="","",IF(ISNUMBER(B886),B886,IFERROR(_xlfn.NUMBERVALUE(B886,".",","),0)))</f>
        <v/>
      </c>
      <c r="O886">
        <f>IF(M886="","",IF(ISNUMBER(C886),C886,IFERROR(_xlfn.NUMBERVALUE(C886,".",","),0)))</f>
        <v/>
      </c>
    </row>
    <row r="887">
      <c r="K887">
        <f>IF(OR(LEFT(B887,9)="DOANH THU",LEFT(B887,8)="SỐ LƯỢNG"),A887,IF(A887="","",K886))</f>
        <v/>
      </c>
      <c r="L887">
        <f>IF(A887="","",IF(ISNUMBER(--LEFT(A887,FIND(" - ",A887&amp;" - ")-1)),LEFT(A887,FIND(" - ",A887&amp;" - ")-1),TRIM(A887)))</f>
        <v/>
      </c>
      <c r="M887">
        <f>IF(OR(K887="",K887=A887,A887=""),"",K887&amp;"|"&amp;L887)</f>
        <v/>
      </c>
      <c r="N887">
        <f>IF(M887="","",IF(ISNUMBER(B887),B887,IFERROR(_xlfn.NUMBERVALUE(B887,".",","),0)))</f>
        <v/>
      </c>
      <c r="O887">
        <f>IF(M887="","",IF(ISNUMBER(C887),C887,IFERROR(_xlfn.NUMBERVALUE(C887,".",","),0)))</f>
        <v/>
      </c>
    </row>
    <row r="888">
      <c r="K888">
        <f>IF(OR(LEFT(B888,9)="DOANH THU",LEFT(B888,8)="SỐ LƯỢNG"),A888,IF(A888="","",K887))</f>
        <v/>
      </c>
      <c r="L888">
        <f>IF(A888="","",IF(ISNUMBER(--LEFT(A888,FIND(" - ",A888&amp;" - ")-1)),LEFT(A888,FIND(" - ",A888&amp;" - ")-1),TRIM(A888)))</f>
        <v/>
      </c>
      <c r="M888">
        <f>IF(OR(K888="",K888=A888,A888=""),"",K888&amp;"|"&amp;L888)</f>
        <v/>
      </c>
      <c r="N888">
        <f>IF(M888="","",IF(ISNUMBER(B888),B888,IFERROR(_xlfn.NUMBERVALUE(B888,".",","),0)))</f>
        <v/>
      </c>
      <c r="O888">
        <f>IF(M888="","",IF(ISNUMBER(C888),C888,IFERROR(_xlfn.NUMBERVALUE(C888,".",","),0)))</f>
        <v/>
      </c>
    </row>
    <row r="889">
      <c r="K889">
        <f>IF(OR(LEFT(B889,9)="DOANH THU",LEFT(B889,8)="SỐ LƯỢNG"),A889,IF(A889="","",K888))</f>
        <v/>
      </c>
      <c r="L889">
        <f>IF(A889="","",IF(ISNUMBER(--LEFT(A889,FIND(" - ",A889&amp;" - ")-1)),LEFT(A889,FIND(" - ",A889&amp;" - ")-1),TRIM(A889)))</f>
        <v/>
      </c>
      <c r="M889">
        <f>IF(OR(K889="",K889=A889,A889=""),"",K889&amp;"|"&amp;L889)</f>
        <v/>
      </c>
      <c r="N889">
        <f>IF(M889="","",IF(ISNUMBER(B889),B889,IFERROR(_xlfn.NUMBERVALUE(B889,".",","),0)))</f>
        <v/>
      </c>
      <c r="O889">
        <f>IF(M889="","",IF(ISNUMBER(C889),C889,IFERROR(_xlfn.NUMBERVALUE(C889,".",","),0)))</f>
        <v/>
      </c>
    </row>
    <row r="890">
      <c r="K890">
        <f>IF(OR(LEFT(B890,9)="DOANH THU",LEFT(B890,8)="SỐ LƯỢNG"),A890,IF(A890="","",K889))</f>
        <v/>
      </c>
      <c r="L890">
        <f>IF(A890="","",IF(ISNUMBER(--LEFT(A890,FIND(" - ",A890&amp;" - ")-1)),LEFT(A890,FIND(" - ",A890&amp;" - ")-1),TRIM(A890)))</f>
        <v/>
      </c>
      <c r="M890">
        <f>IF(OR(K890="",K890=A890,A890=""),"",K890&amp;"|"&amp;L890)</f>
        <v/>
      </c>
      <c r="N890">
        <f>IF(M890="","",IF(ISNUMBER(B890),B890,IFERROR(_xlfn.NUMBERVALUE(B890,".",","),0)))</f>
        <v/>
      </c>
      <c r="O890">
        <f>IF(M890="","",IF(ISNUMBER(C890),C890,IFERROR(_xlfn.NUMBERVALUE(C890,".",","),0)))</f>
        <v/>
      </c>
    </row>
    <row r="891">
      <c r="K891">
        <f>IF(OR(LEFT(B891,9)="DOANH THU",LEFT(B891,8)="SỐ LƯỢNG"),A891,IF(A891="","",K890))</f>
        <v/>
      </c>
      <c r="L891">
        <f>IF(A891="","",IF(ISNUMBER(--LEFT(A891,FIND(" - ",A891&amp;" - ")-1)),LEFT(A891,FIND(" - ",A891&amp;" - ")-1),TRIM(A891)))</f>
        <v/>
      </c>
      <c r="M891">
        <f>IF(OR(K891="",K891=A891,A891=""),"",K891&amp;"|"&amp;L891)</f>
        <v/>
      </c>
      <c r="N891">
        <f>IF(M891="","",IF(ISNUMBER(B891),B891,IFERROR(_xlfn.NUMBERVALUE(B891,".",","),0)))</f>
        <v/>
      </c>
      <c r="O891">
        <f>IF(M891="","",IF(ISNUMBER(C891),C891,IFERROR(_xlfn.NUMBERVALUE(C891,".",","),0)))</f>
        <v/>
      </c>
    </row>
    <row r="892">
      <c r="K892">
        <f>IF(OR(LEFT(B892,9)="DOANH THU",LEFT(B892,8)="SỐ LƯỢNG"),A892,IF(A892="","",K891))</f>
        <v/>
      </c>
      <c r="L892">
        <f>IF(A892="","",IF(ISNUMBER(--LEFT(A892,FIND(" - ",A892&amp;" - ")-1)),LEFT(A892,FIND(" - ",A892&amp;" - ")-1),TRIM(A892)))</f>
        <v/>
      </c>
      <c r="M892">
        <f>IF(OR(K892="",K892=A892,A892=""),"",K892&amp;"|"&amp;L892)</f>
        <v/>
      </c>
      <c r="N892">
        <f>IF(M892="","",IF(ISNUMBER(B892),B892,IFERROR(_xlfn.NUMBERVALUE(B892,".",","),0)))</f>
        <v/>
      </c>
      <c r="O892">
        <f>IF(M892="","",IF(ISNUMBER(C892),C892,IFERROR(_xlfn.NUMBERVALUE(C892,".",","),0)))</f>
        <v/>
      </c>
    </row>
    <row r="893">
      <c r="K893">
        <f>IF(OR(LEFT(B893,9)="DOANH THU",LEFT(B893,8)="SỐ LƯỢNG"),A893,IF(A893="","",K892))</f>
        <v/>
      </c>
      <c r="L893">
        <f>IF(A893="","",IF(ISNUMBER(--LEFT(A893,FIND(" - ",A893&amp;" - ")-1)),LEFT(A893,FIND(" - ",A893&amp;" - ")-1),TRIM(A893)))</f>
        <v/>
      </c>
      <c r="M893">
        <f>IF(OR(K893="",K893=A893,A893=""),"",K893&amp;"|"&amp;L893)</f>
        <v/>
      </c>
      <c r="N893">
        <f>IF(M893="","",IF(ISNUMBER(B893),B893,IFERROR(_xlfn.NUMBERVALUE(B893,".",","),0)))</f>
        <v/>
      </c>
      <c r="O893">
        <f>IF(M893="","",IF(ISNUMBER(C893),C893,IFERROR(_xlfn.NUMBERVALUE(C893,".",","),0)))</f>
        <v/>
      </c>
    </row>
    <row r="894">
      <c r="K894">
        <f>IF(OR(LEFT(B894,9)="DOANH THU",LEFT(B894,8)="SỐ LƯỢNG"),A894,IF(A894="","",K893))</f>
        <v/>
      </c>
      <c r="L894">
        <f>IF(A894="","",IF(ISNUMBER(--LEFT(A894,FIND(" - ",A894&amp;" - ")-1)),LEFT(A894,FIND(" - ",A894&amp;" - ")-1),TRIM(A894)))</f>
        <v/>
      </c>
      <c r="M894">
        <f>IF(OR(K894="",K894=A894,A894=""),"",K894&amp;"|"&amp;L894)</f>
        <v/>
      </c>
      <c r="N894">
        <f>IF(M894="","",IF(ISNUMBER(B894),B894,IFERROR(_xlfn.NUMBERVALUE(B894,".",","),0)))</f>
        <v/>
      </c>
      <c r="O894">
        <f>IF(M894="","",IF(ISNUMBER(C894),C894,IFERROR(_xlfn.NUMBERVALUE(C894,".",","),0)))</f>
        <v/>
      </c>
    </row>
    <row r="895">
      <c r="K895">
        <f>IF(OR(LEFT(B895,9)="DOANH THU",LEFT(B895,8)="SỐ LƯỢNG"),A895,IF(A895="","",K894))</f>
        <v/>
      </c>
      <c r="L895">
        <f>IF(A895="","",IF(ISNUMBER(--LEFT(A895,FIND(" - ",A895&amp;" - ")-1)),LEFT(A895,FIND(" - ",A895&amp;" - ")-1),TRIM(A895)))</f>
        <v/>
      </c>
      <c r="M895">
        <f>IF(OR(K895="",K895=A895,A895=""),"",K895&amp;"|"&amp;L895)</f>
        <v/>
      </c>
      <c r="N895">
        <f>IF(M895="","",IF(ISNUMBER(B895),B895,IFERROR(_xlfn.NUMBERVALUE(B895,".",","),0)))</f>
        <v/>
      </c>
      <c r="O895">
        <f>IF(M895="","",IF(ISNUMBER(C895),C895,IFERROR(_xlfn.NUMBERVALUE(C895,".",","),0)))</f>
        <v/>
      </c>
    </row>
    <row r="896">
      <c r="K896">
        <f>IF(OR(LEFT(B896,9)="DOANH THU",LEFT(B896,8)="SỐ LƯỢNG"),A896,IF(A896="","",K895))</f>
        <v/>
      </c>
      <c r="L896">
        <f>IF(A896="","",IF(ISNUMBER(--LEFT(A896,FIND(" - ",A896&amp;" - ")-1)),LEFT(A896,FIND(" - ",A896&amp;" - ")-1),TRIM(A896)))</f>
        <v/>
      </c>
      <c r="M896">
        <f>IF(OR(K896="",K896=A896,A896=""),"",K896&amp;"|"&amp;L896)</f>
        <v/>
      </c>
      <c r="N896">
        <f>IF(M896="","",IF(ISNUMBER(B896),B896,IFERROR(_xlfn.NUMBERVALUE(B896,".",","),0)))</f>
        <v/>
      </c>
      <c r="O896">
        <f>IF(M896="","",IF(ISNUMBER(C896),C896,IFERROR(_xlfn.NUMBERVALUE(C896,".",","),0)))</f>
        <v/>
      </c>
    </row>
    <row r="897">
      <c r="K897">
        <f>IF(OR(LEFT(B897,9)="DOANH THU",LEFT(B897,8)="SỐ LƯỢNG"),A897,IF(A897="","",K896))</f>
        <v/>
      </c>
      <c r="L897">
        <f>IF(A897="","",IF(ISNUMBER(--LEFT(A897,FIND(" - ",A897&amp;" - ")-1)),LEFT(A897,FIND(" - ",A897&amp;" - ")-1),TRIM(A897)))</f>
        <v/>
      </c>
      <c r="M897">
        <f>IF(OR(K897="",K897=A897,A897=""),"",K897&amp;"|"&amp;L897)</f>
        <v/>
      </c>
      <c r="N897">
        <f>IF(M897="","",IF(ISNUMBER(B897),B897,IFERROR(_xlfn.NUMBERVALUE(B897,".",","),0)))</f>
        <v/>
      </c>
      <c r="O897">
        <f>IF(M897="","",IF(ISNUMBER(C897),C897,IFERROR(_xlfn.NUMBERVALUE(C897,".",","),0)))</f>
        <v/>
      </c>
    </row>
    <row r="898">
      <c r="K898">
        <f>IF(OR(LEFT(B898,9)="DOANH THU",LEFT(B898,8)="SỐ LƯỢNG"),A898,IF(A898="","",K897))</f>
        <v/>
      </c>
      <c r="L898">
        <f>IF(A898="","",IF(ISNUMBER(--LEFT(A898,FIND(" - ",A898&amp;" - ")-1)),LEFT(A898,FIND(" - ",A898&amp;" - ")-1),TRIM(A898)))</f>
        <v/>
      </c>
      <c r="M898">
        <f>IF(OR(K898="",K898=A898,A898=""),"",K898&amp;"|"&amp;L898)</f>
        <v/>
      </c>
      <c r="N898">
        <f>IF(M898="","",IF(ISNUMBER(B898),B898,IFERROR(_xlfn.NUMBERVALUE(B898,".",","),0)))</f>
        <v/>
      </c>
      <c r="O898">
        <f>IF(M898="","",IF(ISNUMBER(C898),C898,IFERROR(_xlfn.NUMBERVALUE(C898,".",","),0)))</f>
        <v/>
      </c>
    </row>
    <row r="899">
      <c r="K899">
        <f>IF(OR(LEFT(B899,9)="DOANH THU",LEFT(B899,8)="SỐ LƯỢNG"),A899,IF(A899="","",K898))</f>
        <v/>
      </c>
      <c r="L899">
        <f>IF(A899="","",IF(ISNUMBER(--LEFT(A899,FIND(" - ",A899&amp;" - ")-1)),LEFT(A899,FIND(" - ",A899&amp;" - ")-1),TRIM(A899)))</f>
        <v/>
      </c>
      <c r="M899">
        <f>IF(OR(K899="",K899=A899,A899=""),"",K899&amp;"|"&amp;L899)</f>
        <v/>
      </c>
      <c r="N899">
        <f>IF(M899="","",IF(ISNUMBER(B899),B899,IFERROR(_xlfn.NUMBERVALUE(B899,".",","),0)))</f>
        <v/>
      </c>
      <c r="O899">
        <f>IF(M899="","",IF(ISNUMBER(C899),C899,IFERROR(_xlfn.NUMBERVALUE(C899,".",","),0)))</f>
        <v/>
      </c>
    </row>
    <row r="900">
      <c r="K900">
        <f>IF(OR(LEFT(B900,9)="DOANH THU",LEFT(B900,8)="SỐ LƯỢNG"),A900,IF(A900="","",K899))</f>
        <v/>
      </c>
      <c r="L900">
        <f>IF(A900="","",IF(ISNUMBER(--LEFT(A900,FIND(" - ",A900&amp;" - ")-1)),LEFT(A900,FIND(" - ",A900&amp;" - ")-1),TRIM(A900)))</f>
        <v/>
      </c>
      <c r="M900">
        <f>IF(OR(K900="",K900=A900,A900=""),"",K900&amp;"|"&amp;L900)</f>
        <v/>
      </c>
      <c r="N900">
        <f>IF(M900="","",IF(ISNUMBER(B900),B900,IFERROR(_xlfn.NUMBERVALUE(B900,".",","),0)))</f>
        <v/>
      </c>
      <c r="O900">
        <f>IF(M900="","",IF(ISNUMBER(C900),C900,IFERROR(_xlfn.NUMBERVALUE(C900,".",","),0)))</f>
        <v/>
      </c>
    </row>
    <row r="901">
      <c r="K901">
        <f>IF(OR(LEFT(B901,9)="DOANH THU",LEFT(B901,8)="SỐ LƯỢNG"),A901,IF(A901="","",K900))</f>
        <v/>
      </c>
      <c r="L901">
        <f>IF(A901="","",IF(ISNUMBER(--LEFT(A901,FIND(" - ",A901&amp;" - ")-1)),LEFT(A901,FIND(" - ",A901&amp;" - ")-1),TRIM(A901)))</f>
        <v/>
      </c>
      <c r="M901">
        <f>IF(OR(K901="",K901=A901,A901=""),"",K901&amp;"|"&amp;L901)</f>
        <v/>
      </c>
      <c r="N901">
        <f>IF(M901="","",IF(ISNUMBER(B901),B901,IFERROR(_xlfn.NUMBERVALUE(B901,".",","),0)))</f>
        <v/>
      </c>
      <c r="O901">
        <f>IF(M901="","",IF(ISNUMBER(C901),C901,IFERROR(_xlfn.NUMBERVALUE(C901,".",","),0)))</f>
        <v/>
      </c>
    </row>
    <row r="902">
      <c r="K902">
        <f>IF(OR(LEFT(B902,9)="DOANH THU",LEFT(B902,8)="SỐ LƯỢNG"),A902,IF(A902="","",K901))</f>
        <v/>
      </c>
      <c r="L902">
        <f>IF(A902="","",IF(ISNUMBER(--LEFT(A902,FIND(" - ",A902&amp;" - ")-1)),LEFT(A902,FIND(" - ",A902&amp;" - ")-1),TRIM(A902)))</f>
        <v/>
      </c>
      <c r="M902">
        <f>IF(OR(K902="",K902=A902,A902=""),"",K902&amp;"|"&amp;L902)</f>
        <v/>
      </c>
      <c r="N902">
        <f>IF(M902="","",IF(ISNUMBER(B902),B902,IFERROR(_xlfn.NUMBERVALUE(B902,".",","),0)))</f>
        <v/>
      </c>
      <c r="O902">
        <f>IF(M902="","",IF(ISNUMBER(C902),C902,IFERROR(_xlfn.NUMBERVALUE(C902,".",","),0)))</f>
        <v/>
      </c>
    </row>
    <row r="903">
      <c r="K903">
        <f>IF(OR(LEFT(B903,9)="DOANH THU",LEFT(B903,8)="SỐ LƯỢNG"),A903,IF(A903="","",K902))</f>
        <v/>
      </c>
      <c r="L903">
        <f>IF(A903="","",IF(ISNUMBER(--LEFT(A903,FIND(" - ",A903&amp;" - ")-1)),LEFT(A903,FIND(" - ",A903&amp;" - ")-1),TRIM(A903)))</f>
        <v/>
      </c>
      <c r="M903">
        <f>IF(OR(K903="",K903=A903,A903=""),"",K903&amp;"|"&amp;L903)</f>
        <v/>
      </c>
      <c r="N903">
        <f>IF(M903="","",IF(ISNUMBER(B903),B903,IFERROR(_xlfn.NUMBERVALUE(B903,".",","),0)))</f>
        <v/>
      </c>
      <c r="O903">
        <f>IF(M903="","",IF(ISNUMBER(C903),C903,IFERROR(_xlfn.NUMBERVALUE(C903,".",","),0)))</f>
        <v/>
      </c>
    </row>
    <row r="904">
      <c r="K904">
        <f>IF(OR(LEFT(B904,9)="DOANH THU",LEFT(B904,8)="SỐ LƯỢNG"),A904,IF(A904="","",K903))</f>
        <v/>
      </c>
      <c r="L904">
        <f>IF(A904="","",IF(ISNUMBER(--LEFT(A904,FIND(" - ",A904&amp;" - ")-1)),LEFT(A904,FIND(" - ",A904&amp;" - ")-1),TRIM(A904)))</f>
        <v/>
      </c>
      <c r="M904">
        <f>IF(OR(K904="",K904=A904,A904=""),"",K904&amp;"|"&amp;L904)</f>
        <v/>
      </c>
      <c r="N904">
        <f>IF(M904="","",IF(ISNUMBER(B904),B904,IFERROR(_xlfn.NUMBERVALUE(B904,".",","),0)))</f>
        <v/>
      </c>
      <c r="O904">
        <f>IF(M904="","",IF(ISNUMBER(C904),C904,IFERROR(_xlfn.NUMBERVALUE(C904,".",","),0)))</f>
        <v/>
      </c>
    </row>
    <row r="905">
      <c r="K905">
        <f>IF(OR(LEFT(B905,9)="DOANH THU",LEFT(B905,8)="SỐ LƯỢNG"),A905,IF(A905="","",K904))</f>
        <v/>
      </c>
      <c r="L905">
        <f>IF(A905="","",IF(ISNUMBER(--LEFT(A905,FIND(" - ",A905&amp;" - ")-1)),LEFT(A905,FIND(" - ",A905&amp;" - ")-1),TRIM(A905)))</f>
        <v/>
      </c>
      <c r="M905">
        <f>IF(OR(K905="",K905=A905,A905=""),"",K905&amp;"|"&amp;L905)</f>
        <v/>
      </c>
      <c r="N905">
        <f>IF(M905="","",IF(ISNUMBER(B905),B905,IFERROR(_xlfn.NUMBERVALUE(B905,".",","),0)))</f>
        <v/>
      </c>
      <c r="O905">
        <f>IF(M905="","",IF(ISNUMBER(C905),C905,IFERROR(_xlfn.NUMBERVALUE(C905,".",","),0)))</f>
        <v/>
      </c>
    </row>
    <row r="906">
      <c r="K906">
        <f>IF(OR(LEFT(B906,9)="DOANH THU",LEFT(B906,8)="SỐ LƯỢNG"),A906,IF(A906="","",K905))</f>
        <v/>
      </c>
      <c r="L906">
        <f>IF(A906="","",IF(ISNUMBER(--LEFT(A906,FIND(" - ",A906&amp;" - ")-1)),LEFT(A906,FIND(" - ",A906&amp;" - ")-1),TRIM(A906)))</f>
        <v/>
      </c>
      <c r="M906">
        <f>IF(OR(K906="",K906=A906,A906=""),"",K906&amp;"|"&amp;L906)</f>
        <v/>
      </c>
      <c r="N906">
        <f>IF(M906="","",IF(ISNUMBER(B906),B906,IFERROR(_xlfn.NUMBERVALUE(B906,".",","),0)))</f>
        <v/>
      </c>
      <c r="O906">
        <f>IF(M906="","",IF(ISNUMBER(C906),C906,IFERROR(_xlfn.NUMBERVALUE(C906,".",","),0)))</f>
        <v/>
      </c>
    </row>
    <row r="907">
      <c r="K907">
        <f>IF(OR(LEFT(B907,9)="DOANH THU",LEFT(B907,8)="SỐ LƯỢNG"),A907,IF(A907="","",K906))</f>
        <v/>
      </c>
      <c r="L907">
        <f>IF(A907="","",IF(ISNUMBER(--LEFT(A907,FIND(" - ",A907&amp;" - ")-1)),LEFT(A907,FIND(" - ",A907&amp;" - ")-1),TRIM(A907)))</f>
        <v/>
      </c>
      <c r="M907">
        <f>IF(OR(K907="",K907=A907,A907=""),"",K907&amp;"|"&amp;L907)</f>
        <v/>
      </c>
      <c r="N907">
        <f>IF(M907="","",IF(ISNUMBER(B907),B907,IFERROR(_xlfn.NUMBERVALUE(B907,".",","),0)))</f>
        <v/>
      </c>
      <c r="O907">
        <f>IF(M907="","",IF(ISNUMBER(C907),C907,IFERROR(_xlfn.NUMBERVALUE(C907,".",","),0)))</f>
        <v/>
      </c>
    </row>
    <row r="908">
      <c r="K908">
        <f>IF(OR(LEFT(B908,9)="DOANH THU",LEFT(B908,8)="SỐ LƯỢNG"),A908,IF(A908="","",K907))</f>
        <v/>
      </c>
      <c r="L908">
        <f>IF(A908="","",IF(ISNUMBER(--LEFT(A908,FIND(" - ",A908&amp;" - ")-1)),LEFT(A908,FIND(" - ",A908&amp;" - ")-1),TRIM(A908)))</f>
        <v/>
      </c>
      <c r="M908">
        <f>IF(OR(K908="",K908=A908,A908=""),"",K908&amp;"|"&amp;L908)</f>
        <v/>
      </c>
      <c r="N908">
        <f>IF(M908="","",IF(ISNUMBER(B908),B908,IFERROR(_xlfn.NUMBERVALUE(B908,".",","),0)))</f>
        <v/>
      </c>
      <c r="O908">
        <f>IF(M908="","",IF(ISNUMBER(C908),C908,IFERROR(_xlfn.NUMBERVALUE(C908,".",","),0)))</f>
        <v/>
      </c>
    </row>
    <row r="909">
      <c r="K909">
        <f>IF(OR(LEFT(B909,9)="DOANH THU",LEFT(B909,8)="SỐ LƯỢNG"),A909,IF(A909="","",K908))</f>
        <v/>
      </c>
      <c r="L909">
        <f>IF(A909="","",IF(ISNUMBER(--LEFT(A909,FIND(" - ",A909&amp;" - ")-1)),LEFT(A909,FIND(" - ",A909&amp;" - ")-1),TRIM(A909)))</f>
        <v/>
      </c>
      <c r="M909">
        <f>IF(OR(K909="",K909=A909,A909=""),"",K909&amp;"|"&amp;L909)</f>
        <v/>
      </c>
      <c r="N909">
        <f>IF(M909="","",IF(ISNUMBER(B909),B909,IFERROR(_xlfn.NUMBERVALUE(B909,".",","),0)))</f>
        <v/>
      </c>
      <c r="O909">
        <f>IF(M909="","",IF(ISNUMBER(C909),C909,IFERROR(_xlfn.NUMBERVALUE(C909,".",","),0)))</f>
        <v/>
      </c>
    </row>
    <row r="910">
      <c r="K910">
        <f>IF(OR(LEFT(B910,9)="DOANH THU",LEFT(B910,8)="SỐ LƯỢNG"),A910,IF(A910="","",K909))</f>
        <v/>
      </c>
      <c r="L910">
        <f>IF(A910="","",IF(ISNUMBER(--LEFT(A910,FIND(" - ",A910&amp;" - ")-1)),LEFT(A910,FIND(" - ",A910&amp;" - ")-1),TRIM(A910)))</f>
        <v/>
      </c>
      <c r="M910">
        <f>IF(OR(K910="",K910=A910,A910=""),"",K910&amp;"|"&amp;L910)</f>
        <v/>
      </c>
      <c r="N910">
        <f>IF(M910="","",IF(ISNUMBER(B910),B910,IFERROR(_xlfn.NUMBERVALUE(B910,".",","),0)))</f>
        <v/>
      </c>
      <c r="O910">
        <f>IF(M910="","",IF(ISNUMBER(C910),C910,IFERROR(_xlfn.NUMBERVALUE(C910,".",","),0)))</f>
        <v/>
      </c>
    </row>
    <row r="911">
      <c r="K911">
        <f>IF(OR(LEFT(B911,9)="DOANH THU",LEFT(B911,8)="SỐ LƯỢNG"),A911,IF(A911="","",K910))</f>
        <v/>
      </c>
      <c r="L911">
        <f>IF(A911="","",IF(ISNUMBER(--LEFT(A911,FIND(" - ",A911&amp;" - ")-1)),LEFT(A911,FIND(" - ",A911&amp;" - ")-1),TRIM(A911)))</f>
        <v/>
      </c>
      <c r="M911">
        <f>IF(OR(K911="",K911=A911,A911=""),"",K911&amp;"|"&amp;L911)</f>
        <v/>
      </c>
      <c r="N911">
        <f>IF(M911="","",IF(ISNUMBER(B911),B911,IFERROR(_xlfn.NUMBERVALUE(B911,".",","),0)))</f>
        <v/>
      </c>
      <c r="O911">
        <f>IF(M911="","",IF(ISNUMBER(C911),C911,IFERROR(_xlfn.NUMBERVALUE(C911,".",","),0)))</f>
        <v/>
      </c>
    </row>
    <row r="912">
      <c r="K912">
        <f>IF(OR(LEFT(B912,9)="DOANH THU",LEFT(B912,8)="SỐ LƯỢNG"),A912,IF(A912="","",K911))</f>
        <v/>
      </c>
      <c r="L912">
        <f>IF(A912="","",IF(ISNUMBER(--LEFT(A912,FIND(" - ",A912&amp;" - ")-1)),LEFT(A912,FIND(" - ",A912&amp;" - ")-1),TRIM(A912)))</f>
        <v/>
      </c>
      <c r="M912">
        <f>IF(OR(K912="",K912=A912,A912=""),"",K912&amp;"|"&amp;L912)</f>
        <v/>
      </c>
      <c r="N912">
        <f>IF(M912="","",IF(ISNUMBER(B912),B912,IFERROR(_xlfn.NUMBERVALUE(B912,".",","),0)))</f>
        <v/>
      </c>
      <c r="O912">
        <f>IF(M912="","",IF(ISNUMBER(C912),C912,IFERROR(_xlfn.NUMBERVALUE(C912,".",","),0)))</f>
        <v/>
      </c>
    </row>
    <row r="913">
      <c r="K913">
        <f>IF(OR(LEFT(B913,9)="DOANH THU",LEFT(B913,8)="SỐ LƯỢNG"),A913,IF(A913="","",K912))</f>
        <v/>
      </c>
      <c r="L913">
        <f>IF(A913="","",IF(ISNUMBER(--LEFT(A913,FIND(" - ",A913&amp;" - ")-1)),LEFT(A913,FIND(" - ",A913&amp;" - ")-1),TRIM(A913)))</f>
        <v/>
      </c>
      <c r="M913">
        <f>IF(OR(K913="",K913=A913,A913=""),"",K913&amp;"|"&amp;L913)</f>
        <v/>
      </c>
      <c r="N913">
        <f>IF(M913="","",IF(ISNUMBER(B913),B913,IFERROR(_xlfn.NUMBERVALUE(B913,".",","),0)))</f>
        <v/>
      </c>
      <c r="O913">
        <f>IF(M913="","",IF(ISNUMBER(C913),C913,IFERROR(_xlfn.NUMBERVALUE(C913,".",","),0)))</f>
        <v/>
      </c>
    </row>
    <row r="914">
      <c r="K914">
        <f>IF(OR(LEFT(B914,9)="DOANH THU",LEFT(B914,8)="SỐ LƯỢNG"),A914,IF(A914="","",K913))</f>
        <v/>
      </c>
      <c r="L914">
        <f>IF(A914="","",IF(ISNUMBER(--LEFT(A914,FIND(" - ",A914&amp;" - ")-1)),LEFT(A914,FIND(" - ",A914&amp;" - ")-1),TRIM(A914)))</f>
        <v/>
      </c>
      <c r="M914">
        <f>IF(OR(K914="",K914=A914,A914=""),"",K914&amp;"|"&amp;L914)</f>
        <v/>
      </c>
      <c r="N914">
        <f>IF(M914="","",IF(ISNUMBER(B914),B914,IFERROR(_xlfn.NUMBERVALUE(B914,".",","),0)))</f>
        <v/>
      </c>
      <c r="O914">
        <f>IF(M914="","",IF(ISNUMBER(C914),C914,IFERROR(_xlfn.NUMBERVALUE(C914,".",","),0)))</f>
        <v/>
      </c>
    </row>
    <row r="915">
      <c r="K915">
        <f>IF(OR(LEFT(B915,9)="DOANH THU",LEFT(B915,8)="SỐ LƯỢNG"),A915,IF(A915="","",K914))</f>
        <v/>
      </c>
      <c r="L915">
        <f>IF(A915="","",IF(ISNUMBER(--LEFT(A915,FIND(" - ",A915&amp;" - ")-1)),LEFT(A915,FIND(" - ",A915&amp;" - ")-1),TRIM(A915)))</f>
        <v/>
      </c>
      <c r="M915">
        <f>IF(OR(K915="",K915=A915,A915=""),"",K915&amp;"|"&amp;L915)</f>
        <v/>
      </c>
      <c r="N915">
        <f>IF(M915="","",IF(ISNUMBER(B915),B915,IFERROR(_xlfn.NUMBERVALUE(B915,".",","),0)))</f>
        <v/>
      </c>
      <c r="O915">
        <f>IF(M915="","",IF(ISNUMBER(C915),C915,IFERROR(_xlfn.NUMBERVALUE(C915,".",","),0)))</f>
        <v/>
      </c>
    </row>
    <row r="916">
      <c r="K916">
        <f>IF(OR(LEFT(B916,9)="DOANH THU",LEFT(B916,8)="SỐ LƯỢNG"),A916,IF(A916="","",K915))</f>
        <v/>
      </c>
      <c r="L916">
        <f>IF(A916="","",IF(ISNUMBER(--LEFT(A916,FIND(" - ",A916&amp;" - ")-1)),LEFT(A916,FIND(" - ",A916&amp;" - ")-1),TRIM(A916)))</f>
        <v/>
      </c>
      <c r="M916">
        <f>IF(OR(K916="",K916=A916,A916=""),"",K916&amp;"|"&amp;L916)</f>
        <v/>
      </c>
      <c r="N916">
        <f>IF(M916="","",IF(ISNUMBER(B916),B916,IFERROR(_xlfn.NUMBERVALUE(B916,".",","),0)))</f>
        <v/>
      </c>
      <c r="O916">
        <f>IF(M916="","",IF(ISNUMBER(C916),C916,IFERROR(_xlfn.NUMBERVALUE(C916,".",","),0)))</f>
        <v/>
      </c>
    </row>
    <row r="917">
      <c r="K917">
        <f>IF(OR(LEFT(B917,9)="DOANH THU",LEFT(B917,8)="SỐ LƯỢNG"),A917,IF(A917="","",K916))</f>
        <v/>
      </c>
      <c r="L917">
        <f>IF(A917="","",IF(ISNUMBER(--LEFT(A917,FIND(" - ",A917&amp;" - ")-1)),LEFT(A917,FIND(" - ",A917&amp;" - ")-1),TRIM(A917)))</f>
        <v/>
      </c>
      <c r="M917">
        <f>IF(OR(K917="",K917=A917,A917=""),"",K917&amp;"|"&amp;L917)</f>
        <v/>
      </c>
      <c r="N917">
        <f>IF(M917="","",IF(ISNUMBER(B917),B917,IFERROR(_xlfn.NUMBERVALUE(B917,".",","),0)))</f>
        <v/>
      </c>
      <c r="O917">
        <f>IF(M917="","",IF(ISNUMBER(C917),C917,IFERROR(_xlfn.NUMBERVALUE(C917,".",","),0)))</f>
        <v/>
      </c>
    </row>
    <row r="918">
      <c r="K918">
        <f>IF(OR(LEFT(B918,9)="DOANH THU",LEFT(B918,8)="SỐ LƯỢNG"),A918,IF(A918="","",K917))</f>
        <v/>
      </c>
      <c r="L918">
        <f>IF(A918="","",IF(ISNUMBER(--LEFT(A918,FIND(" - ",A918&amp;" - ")-1)),LEFT(A918,FIND(" - ",A918&amp;" - ")-1),TRIM(A918)))</f>
        <v/>
      </c>
      <c r="M918">
        <f>IF(OR(K918="",K918=A918,A918=""),"",K918&amp;"|"&amp;L918)</f>
        <v/>
      </c>
      <c r="N918">
        <f>IF(M918="","",IF(ISNUMBER(B918),B918,IFERROR(_xlfn.NUMBERVALUE(B918,".",","),0)))</f>
        <v/>
      </c>
      <c r="O918">
        <f>IF(M918="","",IF(ISNUMBER(C918),C918,IFERROR(_xlfn.NUMBERVALUE(C918,".",","),0)))</f>
        <v/>
      </c>
    </row>
    <row r="919">
      <c r="K919">
        <f>IF(OR(LEFT(B919,9)="DOANH THU",LEFT(B919,8)="SỐ LƯỢNG"),A919,IF(A919="","",K918))</f>
        <v/>
      </c>
      <c r="L919">
        <f>IF(A919="","",IF(ISNUMBER(--LEFT(A919,FIND(" - ",A919&amp;" - ")-1)),LEFT(A919,FIND(" - ",A919&amp;" - ")-1),TRIM(A919)))</f>
        <v/>
      </c>
      <c r="M919">
        <f>IF(OR(K919="",K919=A919,A919=""),"",K919&amp;"|"&amp;L919)</f>
        <v/>
      </c>
      <c r="N919">
        <f>IF(M919="","",IF(ISNUMBER(B919),B919,IFERROR(_xlfn.NUMBERVALUE(B919,".",","),0)))</f>
        <v/>
      </c>
      <c r="O919">
        <f>IF(M919="","",IF(ISNUMBER(C919),C919,IFERROR(_xlfn.NUMBERVALUE(C919,".",","),0)))</f>
        <v/>
      </c>
    </row>
    <row r="920">
      <c r="K920">
        <f>IF(OR(LEFT(B920,9)="DOANH THU",LEFT(B920,8)="SỐ LƯỢNG"),A920,IF(A920="","",K919))</f>
        <v/>
      </c>
      <c r="L920">
        <f>IF(A920="","",IF(ISNUMBER(--LEFT(A920,FIND(" - ",A920&amp;" - ")-1)),LEFT(A920,FIND(" - ",A920&amp;" - ")-1),TRIM(A920)))</f>
        <v/>
      </c>
      <c r="M920">
        <f>IF(OR(K920="",K920=A920,A920=""),"",K920&amp;"|"&amp;L920)</f>
        <v/>
      </c>
      <c r="N920">
        <f>IF(M920="","",IF(ISNUMBER(B920),B920,IFERROR(_xlfn.NUMBERVALUE(B920,".",","),0)))</f>
        <v/>
      </c>
      <c r="O920">
        <f>IF(M920="","",IF(ISNUMBER(C920),C920,IFERROR(_xlfn.NUMBERVALUE(C920,".",","),0)))</f>
        <v/>
      </c>
    </row>
    <row r="921">
      <c r="K921">
        <f>IF(OR(LEFT(B921,9)="DOANH THU",LEFT(B921,8)="SỐ LƯỢNG"),A921,IF(A921="","",K920))</f>
        <v/>
      </c>
      <c r="L921">
        <f>IF(A921="","",IF(ISNUMBER(--LEFT(A921,FIND(" - ",A921&amp;" - ")-1)),LEFT(A921,FIND(" - ",A921&amp;" - ")-1),TRIM(A921)))</f>
        <v/>
      </c>
      <c r="M921">
        <f>IF(OR(K921="",K921=A921,A921=""),"",K921&amp;"|"&amp;L921)</f>
        <v/>
      </c>
      <c r="N921">
        <f>IF(M921="","",IF(ISNUMBER(B921),B921,IFERROR(_xlfn.NUMBERVALUE(B921,".",","),0)))</f>
        <v/>
      </c>
      <c r="O921">
        <f>IF(M921="","",IF(ISNUMBER(C921),C921,IFERROR(_xlfn.NUMBERVALUE(C921,".",","),0)))</f>
        <v/>
      </c>
    </row>
    <row r="922">
      <c r="K922">
        <f>IF(OR(LEFT(B922,9)="DOANH THU",LEFT(B922,8)="SỐ LƯỢNG"),A922,IF(A922="","",K921))</f>
        <v/>
      </c>
      <c r="L922">
        <f>IF(A922="","",IF(ISNUMBER(--LEFT(A922,FIND(" - ",A922&amp;" - ")-1)),LEFT(A922,FIND(" - ",A922&amp;" - ")-1),TRIM(A922)))</f>
        <v/>
      </c>
      <c r="M922">
        <f>IF(OR(K922="",K922=A922,A922=""),"",K922&amp;"|"&amp;L922)</f>
        <v/>
      </c>
      <c r="N922">
        <f>IF(M922="","",IF(ISNUMBER(B922),B922,IFERROR(_xlfn.NUMBERVALUE(B922,".",","),0)))</f>
        <v/>
      </c>
      <c r="O922">
        <f>IF(M922="","",IF(ISNUMBER(C922),C922,IFERROR(_xlfn.NUMBERVALUE(C922,".",","),0)))</f>
        <v/>
      </c>
    </row>
    <row r="923">
      <c r="K923">
        <f>IF(OR(LEFT(B923,9)="DOANH THU",LEFT(B923,8)="SỐ LƯỢNG"),A923,IF(A923="","",K922))</f>
        <v/>
      </c>
      <c r="L923">
        <f>IF(A923="","",IF(ISNUMBER(--LEFT(A923,FIND(" - ",A923&amp;" - ")-1)),LEFT(A923,FIND(" - ",A923&amp;" - ")-1),TRIM(A923)))</f>
        <v/>
      </c>
      <c r="M923">
        <f>IF(OR(K923="",K923=A923,A923=""),"",K923&amp;"|"&amp;L923)</f>
        <v/>
      </c>
      <c r="N923">
        <f>IF(M923="","",IF(ISNUMBER(B923),B923,IFERROR(_xlfn.NUMBERVALUE(B923,".",","),0)))</f>
        <v/>
      </c>
      <c r="O923">
        <f>IF(M923="","",IF(ISNUMBER(C923),C923,IFERROR(_xlfn.NUMBERVALUE(C923,".",","),0)))</f>
        <v/>
      </c>
    </row>
    <row r="924">
      <c r="K924">
        <f>IF(OR(LEFT(B924,9)="DOANH THU",LEFT(B924,8)="SỐ LƯỢNG"),A924,IF(A924="","",K923))</f>
        <v/>
      </c>
      <c r="L924">
        <f>IF(A924="","",IF(ISNUMBER(--LEFT(A924,FIND(" - ",A924&amp;" - ")-1)),LEFT(A924,FIND(" - ",A924&amp;" - ")-1),TRIM(A924)))</f>
        <v/>
      </c>
      <c r="M924">
        <f>IF(OR(K924="",K924=A924,A924=""),"",K924&amp;"|"&amp;L924)</f>
        <v/>
      </c>
      <c r="N924">
        <f>IF(M924="","",IF(ISNUMBER(B924),B924,IFERROR(_xlfn.NUMBERVALUE(B924,".",","),0)))</f>
        <v/>
      </c>
      <c r="O924">
        <f>IF(M924="","",IF(ISNUMBER(C924),C924,IFERROR(_xlfn.NUMBERVALUE(C924,".",","),0)))</f>
        <v/>
      </c>
    </row>
    <row r="925">
      <c r="K925">
        <f>IF(OR(LEFT(B925,9)="DOANH THU",LEFT(B925,8)="SỐ LƯỢNG"),A925,IF(A925="","",K924))</f>
        <v/>
      </c>
      <c r="L925">
        <f>IF(A925="","",IF(ISNUMBER(--LEFT(A925,FIND(" - ",A925&amp;" - ")-1)),LEFT(A925,FIND(" - ",A925&amp;" - ")-1),TRIM(A925)))</f>
        <v/>
      </c>
      <c r="M925">
        <f>IF(OR(K925="",K925=A925,A925=""),"",K925&amp;"|"&amp;L925)</f>
        <v/>
      </c>
      <c r="N925">
        <f>IF(M925="","",IF(ISNUMBER(B925),B925,IFERROR(_xlfn.NUMBERVALUE(B925,".",","),0)))</f>
        <v/>
      </c>
      <c r="O925">
        <f>IF(M925="","",IF(ISNUMBER(C925),C925,IFERROR(_xlfn.NUMBERVALUE(C925,".",","),0)))</f>
        <v/>
      </c>
    </row>
    <row r="926">
      <c r="K926">
        <f>IF(OR(LEFT(B926,9)="DOANH THU",LEFT(B926,8)="SỐ LƯỢNG"),A926,IF(A926="","",K925))</f>
        <v/>
      </c>
      <c r="L926">
        <f>IF(A926="","",IF(ISNUMBER(--LEFT(A926,FIND(" - ",A926&amp;" - ")-1)),LEFT(A926,FIND(" - ",A926&amp;" - ")-1),TRIM(A926)))</f>
        <v/>
      </c>
      <c r="M926">
        <f>IF(OR(K926="",K926=A926,A926=""),"",K926&amp;"|"&amp;L926)</f>
        <v/>
      </c>
      <c r="N926">
        <f>IF(M926="","",IF(ISNUMBER(B926),B926,IFERROR(_xlfn.NUMBERVALUE(B926,".",","),0)))</f>
        <v/>
      </c>
      <c r="O926">
        <f>IF(M926="","",IF(ISNUMBER(C926),C926,IFERROR(_xlfn.NUMBERVALUE(C926,".",","),0)))</f>
        <v/>
      </c>
    </row>
    <row r="927">
      <c r="K927">
        <f>IF(OR(LEFT(B927,9)="DOANH THU",LEFT(B927,8)="SỐ LƯỢNG"),A927,IF(A927="","",K926))</f>
        <v/>
      </c>
      <c r="L927">
        <f>IF(A927="","",IF(ISNUMBER(--LEFT(A927,FIND(" - ",A927&amp;" - ")-1)),LEFT(A927,FIND(" - ",A927&amp;" - ")-1),TRIM(A927)))</f>
        <v/>
      </c>
      <c r="M927">
        <f>IF(OR(K927="",K927=A927,A927=""),"",K927&amp;"|"&amp;L927)</f>
        <v/>
      </c>
      <c r="N927">
        <f>IF(M927="","",IF(ISNUMBER(B927),B927,IFERROR(_xlfn.NUMBERVALUE(B927,".",","),0)))</f>
        <v/>
      </c>
      <c r="O927">
        <f>IF(M927="","",IF(ISNUMBER(C927),C927,IFERROR(_xlfn.NUMBERVALUE(C927,".",","),0)))</f>
        <v/>
      </c>
    </row>
    <row r="928">
      <c r="K928">
        <f>IF(OR(LEFT(B928,9)="DOANH THU",LEFT(B928,8)="SỐ LƯỢNG"),A928,IF(A928="","",K927))</f>
        <v/>
      </c>
      <c r="L928">
        <f>IF(A928="","",IF(ISNUMBER(--LEFT(A928,FIND(" - ",A928&amp;" - ")-1)),LEFT(A928,FIND(" - ",A928&amp;" - ")-1),TRIM(A928)))</f>
        <v/>
      </c>
      <c r="M928">
        <f>IF(OR(K928="",K928=A928,A928=""),"",K928&amp;"|"&amp;L928)</f>
        <v/>
      </c>
      <c r="N928">
        <f>IF(M928="","",IF(ISNUMBER(B928),B928,IFERROR(_xlfn.NUMBERVALUE(B928,".",","),0)))</f>
        <v/>
      </c>
      <c r="O928">
        <f>IF(M928="","",IF(ISNUMBER(C928),C928,IFERROR(_xlfn.NUMBERVALUE(C928,".",","),0)))</f>
        <v/>
      </c>
    </row>
    <row r="929">
      <c r="K929">
        <f>IF(OR(LEFT(B929,9)="DOANH THU",LEFT(B929,8)="SỐ LƯỢNG"),A929,IF(A929="","",K928))</f>
        <v/>
      </c>
      <c r="L929">
        <f>IF(A929="","",IF(ISNUMBER(--LEFT(A929,FIND(" - ",A929&amp;" - ")-1)),LEFT(A929,FIND(" - ",A929&amp;" - ")-1),TRIM(A929)))</f>
        <v/>
      </c>
      <c r="M929">
        <f>IF(OR(K929="",K929=A929,A929=""),"",K929&amp;"|"&amp;L929)</f>
        <v/>
      </c>
      <c r="N929">
        <f>IF(M929="","",IF(ISNUMBER(B929),B929,IFERROR(_xlfn.NUMBERVALUE(B929,".",","),0)))</f>
        <v/>
      </c>
      <c r="O929">
        <f>IF(M929="","",IF(ISNUMBER(C929),C929,IFERROR(_xlfn.NUMBERVALUE(C929,".",","),0)))</f>
        <v/>
      </c>
    </row>
    <row r="930">
      <c r="K930">
        <f>IF(OR(LEFT(B930,9)="DOANH THU",LEFT(B930,8)="SỐ LƯỢNG"),A930,IF(A930="","",K929))</f>
        <v/>
      </c>
      <c r="L930">
        <f>IF(A930="","",IF(ISNUMBER(--LEFT(A930,FIND(" - ",A930&amp;" - ")-1)),LEFT(A930,FIND(" - ",A930&amp;" - ")-1),TRIM(A930)))</f>
        <v/>
      </c>
      <c r="M930">
        <f>IF(OR(K930="",K930=A930,A930=""),"",K930&amp;"|"&amp;L930)</f>
        <v/>
      </c>
      <c r="N930">
        <f>IF(M930="","",IF(ISNUMBER(B930),B930,IFERROR(_xlfn.NUMBERVALUE(B930,".",","),0)))</f>
        <v/>
      </c>
      <c r="O930">
        <f>IF(M930="","",IF(ISNUMBER(C930),C930,IFERROR(_xlfn.NUMBERVALUE(C930,".",","),0)))</f>
        <v/>
      </c>
    </row>
    <row r="931">
      <c r="K931">
        <f>IF(OR(LEFT(B931,9)="DOANH THU",LEFT(B931,8)="SỐ LƯỢNG"),A931,IF(A931="","",K930))</f>
        <v/>
      </c>
      <c r="L931">
        <f>IF(A931="","",IF(ISNUMBER(--LEFT(A931,FIND(" - ",A931&amp;" - ")-1)),LEFT(A931,FIND(" - ",A931&amp;" - ")-1),TRIM(A931)))</f>
        <v/>
      </c>
      <c r="M931">
        <f>IF(OR(K931="",K931=A931,A931=""),"",K931&amp;"|"&amp;L931)</f>
        <v/>
      </c>
      <c r="N931">
        <f>IF(M931="","",IF(ISNUMBER(B931),B931,IFERROR(_xlfn.NUMBERVALUE(B931,".",","),0)))</f>
        <v/>
      </c>
      <c r="O931">
        <f>IF(M931="","",IF(ISNUMBER(C931),C931,IFERROR(_xlfn.NUMBERVALUE(C931,".",","),0)))</f>
        <v/>
      </c>
    </row>
    <row r="932">
      <c r="K932">
        <f>IF(OR(LEFT(B932,9)="DOANH THU",LEFT(B932,8)="SỐ LƯỢNG"),A932,IF(A932="","",K931))</f>
        <v/>
      </c>
      <c r="L932">
        <f>IF(A932="","",IF(ISNUMBER(--LEFT(A932,FIND(" - ",A932&amp;" - ")-1)),LEFT(A932,FIND(" - ",A932&amp;" - ")-1),TRIM(A932)))</f>
        <v/>
      </c>
      <c r="M932">
        <f>IF(OR(K932="",K932=A932,A932=""),"",K932&amp;"|"&amp;L932)</f>
        <v/>
      </c>
      <c r="N932">
        <f>IF(M932="","",IF(ISNUMBER(B932),B932,IFERROR(_xlfn.NUMBERVALUE(B932,".",","),0)))</f>
        <v/>
      </c>
      <c r="O932">
        <f>IF(M932="","",IF(ISNUMBER(C932),C932,IFERROR(_xlfn.NUMBERVALUE(C932,".",","),0)))</f>
        <v/>
      </c>
    </row>
    <row r="933">
      <c r="K933">
        <f>IF(OR(LEFT(B933,9)="DOANH THU",LEFT(B933,8)="SỐ LƯỢNG"),A933,IF(A933="","",K932))</f>
        <v/>
      </c>
      <c r="L933">
        <f>IF(A933="","",IF(ISNUMBER(--LEFT(A933,FIND(" - ",A933&amp;" - ")-1)),LEFT(A933,FIND(" - ",A933&amp;" - ")-1),TRIM(A933)))</f>
        <v/>
      </c>
      <c r="M933">
        <f>IF(OR(K933="",K933=A933,A933=""),"",K933&amp;"|"&amp;L933)</f>
        <v/>
      </c>
      <c r="N933">
        <f>IF(M933="","",IF(ISNUMBER(B933),B933,IFERROR(_xlfn.NUMBERVALUE(B933,".",","),0)))</f>
        <v/>
      </c>
      <c r="O933">
        <f>IF(M933="","",IF(ISNUMBER(C933),C933,IFERROR(_xlfn.NUMBERVALUE(C933,".",","),0)))</f>
        <v/>
      </c>
    </row>
    <row r="934">
      <c r="K934">
        <f>IF(OR(LEFT(B934,9)="DOANH THU",LEFT(B934,8)="SỐ LƯỢNG"),A934,IF(A934="","",K933))</f>
        <v/>
      </c>
      <c r="L934">
        <f>IF(A934="","",IF(ISNUMBER(--LEFT(A934,FIND(" - ",A934&amp;" - ")-1)),LEFT(A934,FIND(" - ",A934&amp;" - ")-1),TRIM(A934)))</f>
        <v/>
      </c>
      <c r="M934">
        <f>IF(OR(K934="",K934=A934,A934=""),"",K934&amp;"|"&amp;L934)</f>
        <v/>
      </c>
      <c r="N934">
        <f>IF(M934="","",IF(ISNUMBER(B934),B934,IFERROR(_xlfn.NUMBERVALUE(B934,".",","),0)))</f>
        <v/>
      </c>
      <c r="O934">
        <f>IF(M934="","",IF(ISNUMBER(C934),C934,IFERROR(_xlfn.NUMBERVALUE(C934,".",","),0)))</f>
        <v/>
      </c>
    </row>
    <row r="935">
      <c r="K935">
        <f>IF(OR(LEFT(B935,9)="DOANH THU",LEFT(B935,8)="SỐ LƯỢNG"),A935,IF(A935="","",K934))</f>
        <v/>
      </c>
      <c r="L935">
        <f>IF(A935="","",IF(ISNUMBER(--LEFT(A935,FIND(" - ",A935&amp;" - ")-1)),LEFT(A935,FIND(" - ",A935&amp;" - ")-1),TRIM(A935)))</f>
        <v/>
      </c>
      <c r="M935">
        <f>IF(OR(K935="",K935=A935,A935=""),"",K935&amp;"|"&amp;L935)</f>
        <v/>
      </c>
      <c r="N935">
        <f>IF(M935="","",IF(ISNUMBER(B935),B935,IFERROR(_xlfn.NUMBERVALUE(B935,".",","),0)))</f>
        <v/>
      </c>
      <c r="O935">
        <f>IF(M935="","",IF(ISNUMBER(C935),C935,IFERROR(_xlfn.NUMBERVALUE(C935,".",","),0)))</f>
        <v/>
      </c>
    </row>
    <row r="936">
      <c r="K936">
        <f>IF(OR(LEFT(B936,9)="DOANH THU",LEFT(B936,8)="SỐ LƯỢNG"),A936,IF(A936="","",K935))</f>
        <v/>
      </c>
      <c r="L936">
        <f>IF(A936="","",IF(ISNUMBER(--LEFT(A936,FIND(" - ",A936&amp;" - ")-1)),LEFT(A936,FIND(" - ",A936&amp;" - ")-1),TRIM(A936)))</f>
        <v/>
      </c>
      <c r="M936">
        <f>IF(OR(K936="",K936=A936,A936=""),"",K936&amp;"|"&amp;L936)</f>
        <v/>
      </c>
      <c r="N936">
        <f>IF(M936="","",IF(ISNUMBER(B936),B936,IFERROR(_xlfn.NUMBERVALUE(B936,".",","),0)))</f>
        <v/>
      </c>
      <c r="O936">
        <f>IF(M936="","",IF(ISNUMBER(C936),C936,IFERROR(_xlfn.NUMBERVALUE(C936,".",","),0)))</f>
        <v/>
      </c>
    </row>
    <row r="937">
      <c r="K937">
        <f>IF(OR(LEFT(B937,9)="DOANH THU",LEFT(B937,8)="SỐ LƯỢNG"),A937,IF(A937="","",K936))</f>
        <v/>
      </c>
      <c r="L937">
        <f>IF(A937="","",IF(ISNUMBER(--LEFT(A937,FIND(" - ",A937&amp;" - ")-1)),LEFT(A937,FIND(" - ",A937&amp;" - ")-1),TRIM(A937)))</f>
        <v/>
      </c>
      <c r="M937">
        <f>IF(OR(K937="",K937=A937,A937=""),"",K937&amp;"|"&amp;L937)</f>
        <v/>
      </c>
      <c r="N937">
        <f>IF(M937="","",IF(ISNUMBER(B937),B937,IFERROR(_xlfn.NUMBERVALUE(B937,".",","),0)))</f>
        <v/>
      </c>
      <c r="O937">
        <f>IF(M937="","",IF(ISNUMBER(C937),C937,IFERROR(_xlfn.NUMBERVALUE(C937,".",","),0)))</f>
        <v/>
      </c>
    </row>
    <row r="938">
      <c r="K938">
        <f>IF(OR(LEFT(B938,9)="DOANH THU",LEFT(B938,8)="SỐ LƯỢNG"),A938,IF(A938="","",K937))</f>
        <v/>
      </c>
      <c r="L938">
        <f>IF(A938="","",IF(ISNUMBER(--LEFT(A938,FIND(" - ",A938&amp;" - ")-1)),LEFT(A938,FIND(" - ",A938&amp;" - ")-1),TRIM(A938)))</f>
        <v/>
      </c>
      <c r="M938">
        <f>IF(OR(K938="",K938=A938,A938=""),"",K938&amp;"|"&amp;L938)</f>
        <v/>
      </c>
      <c r="N938">
        <f>IF(M938="","",IF(ISNUMBER(B938),B938,IFERROR(_xlfn.NUMBERVALUE(B938,".",","),0)))</f>
        <v/>
      </c>
      <c r="O938">
        <f>IF(M938="","",IF(ISNUMBER(C938),C938,IFERROR(_xlfn.NUMBERVALUE(C938,".",","),0)))</f>
        <v/>
      </c>
    </row>
    <row r="939">
      <c r="K939">
        <f>IF(OR(LEFT(B939,9)="DOANH THU",LEFT(B939,8)="SỐ LƯỢNG"),A939,IF(A939="","",K938))</f>
        <v/>
      </c>
      <c r="L939">
        <f>IF(A939="","",IF(ISNUMBER(--LEFT(A939,FIND(" - ",A939&amp;" - ")-1)),LEFT(A939,FIND(" - ",A939&amp;" - ")-1),TRIM(A939)))</f>
        <v/>
      </c>
      <c r="M939">
        <f>IF(OR(K939="",K939=A939,A939=""),"",K939&amp;"|"&amp;L939)</f>
        <v/>
      </c>
      <c r="N939">
        <f>IF(M939="","",IF(ISNUMBER(B939),B939,IFERROR(_xlfn.NUMBERVALUE(B939,".",","),0)))</f>
        <v/>
      </c>
      <c r="O939">
        <f>IF(M939="","",IF(ISNUMBER(C939),C939,IFERROR(_xlfn.NUMBERVALUE(C939,".",","),0)))</f>
        <v/>
      </c>
    </row>
    <row r="940">
      <c r="K940">
        <f>IF(OR(LEFT(B940,9)="DOANH THU",LEFT(B940,8)="SỐ LƯỢNG"),A940,IF(A940="","",K939))</f>
        <v/>
      </c>
      <c r="L940">
        <f>IF(A940="","",IF(ISNUMBER(--LEFT(A940,FIND(" - ",A940&amp;" - ")-1)),LEFT(A940,FIND(" - ",A940&amp;" - ")-1),TRIM(A940)))</f>
        <v/>
      </c>
      <c r="M940">
        <f>IF(OR(K940="",K940=A940,A940=""),"",K940&amp;"|"&amp;L940)</f>
        <v/>
      </c>
      <c r="N940">
        <f>IF(M940="","",IF(ISNUMBER(B940),B940,IFERROR(_xlfn.NUMBERVALUE(B940,".",","),0)))</f>
        <v/>
      </c>
      <c r="O940">
        <f>IF(M940="","",IF(ISNUMBER(C940),C940,IFERROR(_xlfn.NUMBERVALUE(C940,".",","),0)))</f>
        <v/>
      </c>
    </row>
    <row r="941">
      <c r="K941">
        <f>IF(OR(LEFT(B941,9)="DOANH THU",LEFT(B941,8)="SỐ LƯỢNG"),A941,IF(A941="","",K940))</f>
        <v/>
      </c>
      <c r="L941">
        <f>IF(A941="","",IF(ISNUMBER(--LEFT(A941,FIND(" - ",A941&amp;" - ")-1)),LEFT(A941,FIND(" - ",A941&amp;" - ")-1),TRIM(A941)))</f>
        <v/>
      </c>
      <c r="M941">
        <f>IF(OR(K941="",K941=A941,A941=""),"",K941&amp;"|"&amp;L941)</f>
        <v/>
      </c>
      <c r="N941">
        <f>IF(M941="","",IF(ISNUMBER(B941),B941,IFERROR(_xlfn.NUMBERVALUE(B941,".",","),0)))</f>
        <v/>
      </c>
      <c r="O941">
        <f>IF(M941="","",IF(ISNUMBER(C941),C941,IFERROR(_xlfn.NUMBERVALUE(C941,".",","),0)))</f>
        <v/>
      </c>
    </row>
    <row r="942">
      <c r="K942">
        <f>IF(OR(LEFT(B942,9)="DOANH THU",LEFT(B942,8)="SỐ LƯỢNG"),A942,IF(A942="","",K941))</f>
        <v/>
      </c>
      <c r="L942">
        <f>IF(A942="","",IF(ISNUMBER(--LEFT(A942,FIND(" - ",A942&amp;" - ")-1)),LEFT(A942,FIND(" - ",A942&amp;" - ")-1),TRIM(A942)))</f>
        <v/>
      </c>
      <c r="M942">
        <f>IF(OR(K942="",K942=A942,A942=""),"",K942&amp;"|"&amp;L942)</f>
        <v/>
      </c>
      <c r="N942">
        <f>IF(M942="","",IF(ISNUMBER(B942),B942,IFERROR(_xlfn.NUMBERVALUE(B942,".",","),0)))</f>
        <v/>
      </c>
      <c r="O942">
        <f>IF(M942="","",IF(ISNUMBER(C942),C942,IFERROR(_xlfn.NUMBERVALUE(C942,".",","),0)))</f>
        <v/>
      </c>
    </row>
    <row r="943">
      <c r="K943">
        <f>IF(OR(LEFT(B943,9)="DOANH THU",LEFT(B943,8)="SỐ LƯỢNG"),A943,IF(A943="","",K942))</f>
        <v/>
      </c>
      <c r="L943">
        <f>IF(A943="","",IF(ISNUMBER(--LEFT(A943,FIND(" - ",A943&amp;" - ")-1)),LEFT(A943,FIND(" - ",A943&amp;" - ")-1),TRIM(A943)))</f>
        <v/>
      </c>
      <c r="M943">
        <f>IF(OR(K943="",K943=A943,A943=""),"",K943&amp;"|"&amp;L943)</f>
        <v/>
      </c>
      <c r="N943">
        <f>IF(M943="","",IF(ISNUMBER(B943),B943,IFERROR(_xlfn.NUMBERVALUE(B943,".",","),0)))</f>
        <v/>
      </c>
      <c r="O943">
        <f>IF(M943="","",IF(ISNUMBER(C943),C943,IFERROR(_xlfn.NUMBERVALUE(C943,".",","),0)))</f>
        <v/>
      </c>
    </row>
    <row r="944">
      <c r="K944">
        <f>IF(OR(LEFT(B944,9)="DOANH THU",LEFT(B944,8)="SỐ LƯỢNG"),A944,IF(A944="","",K943))</f>
        <v/>
      </c>
      <c r="L944">
        <f>IF(A944="","",IF(ISNUMBER(--LEFT(A944,FIND(" - ",A944&amp;" - ")-1)),LEFT(A944,FIND(" - ",A944&amp;" - ")-1),TRIM(A944)))</f>
        <v/>
      </c>
      <c r="M944">
        <f>IF(OR(K944="",K944=A944,A944=""),"",K944&amp;"|"&amp;L944)</f>
        <v/>
      </c>
      <c r="N944">
        <f>IF(M944="","",IF(ISNUMBER(B944),B944,IFERROR(_xlfn.NUMBERVALUE(B944,".",","),0)))</f>
        <v/>
      </c>
      <c r="O944">
        <f>IF(M944="","",IF(ISNUMBER(C944),C944,IFERROR(_xlfn.NUMBERVALUE(C944,".",","),0)))</f>
        <v/>
      </c>
    </row>
    <row r="945">
      <c r="K945">
        <f>IF(OR(LEFT(B945,9)="DOANH THU",LEFT(B945,8)="SỐ LƯỢNG"),A945,IF(A945="","",K944))</f>
        <v/>
      </c>
      <c r="L945">
        <f>IF(A945="","",IF(ISNUMBER(--LEFT(A945,FIND(" - ",A945&amp;" - ")-1)),LEFT(A945,FIND(" - ",A945&amp;" - ")-1),TRIM(A945)))</f>
        <v/>
      </c>
      <c r="M945">
        <f>IF(OR(K945="",K945=A945,A945=""),"",K945&amp;"|"&amp;L945)</f>
        <v/>
      </c>
      <c r="N945">
        <f>IF(M945="","",IF(ISNUMBER(B945),B945,IFERROR(_xlfn.NUMBERVALUE(B945,".",","),0)))</f>
        <v/>
      </c>
      <c r="O945">
        <f>IF(M945="","",IF(ISNUMBER(C945),C945,IFERROR(_xlfn.NUMBERVALUE(C945,".",","),0)))</f>
        <v/>
      </c>
    </row>
    <row r="946">
      <c r="K946">
        <f>IF(OR(LEFT(B946,9)="DOANH THU",LEFT(B946,8)="SỐ LƯỢNG"),A946,IF(A946="","",K945))</f>
        <v/>
      </c>
      <c r="L946">
        <f>IF(A946="","",IF(ISNUMBER(--LEFT(A946,FIND(" - ",A946&amp;" - ")-1)),LEFT(A946,FIND(" - ",A946&amp;" - ")-1),TRIM(A946)))</f>
        <v/>
      </c>
      <c r="M946">
        <f>IF(OR(K946="",K946=A946,A946=""),"",K946&amp;"|"&amp;L946)</f>
        <v/>
      </c>
      <c r="N946">
        <f>IF(M946="","",IF(ISNUMBER(B946),B946,IFERROR(_xlfn.NUMBERVALUE(B946,".",","),0)))</f>
        <v/>
      </c>
      <c r="O946">
        <f>IF(M946="","",IF(ISNUMBER(C946),C946,IFERROR(_xlfn.NUMBERVALUE(C946,".",","),0)))</f>
        <v/>
      </c>
    </row>
    <row r="947">
      <c r="K947">
        <f>IF(OR(LEFT(B947,9)="DOANH THU",LEFT(B947,8)="SỐ LƯỢNG"),A947,IF(A947="","",K946))</f>
        <v/>
      </c>
      <c r="L947">
        <f>IF(A947="","",IF(ISNUMBER(--LEFT(A947,FIND(" - ",A947&amp;" - ")-1)),LEFT(A947,FIND(" - ",A947&amp;" - ")-1),TRIM(A947)))</f>
        <v/>
      </c>
      <c r="M947">
        <f>IF(OR(K947="",K947=A947,A947=""),"",K947&amp;"|"&amp;L947)</f>
        <v/>
      </c>
      <c r="N947">
        <f>IF(M947="","",IF(ISNUMBER(B947),B947,IFERROR(_xlfn.NUMBERVALUE(B947,".",","),0)))</f>
        <v/>
      </c>
      <c r="O947">
        <f>IF(M947="","",IF(ISNUMBER(C947),C947,IFERROR(_xlfn.NUMBERVALUE(C947,".",","),0)))</f>
        <v/>
      </c>
    </row>
    <row r="948">
      <c r="K948">
        <f>IF(OR(LEFT(B948,9)="DOANH THU",LEFT(B948,8)="SỐ LƯỢNG"),A948,IF(A948="","",K947))</f>
        <v/>
      </c>
      <c r="L948">
        <f>IF(A948="","",IF(ISNUMBER(--LEFT(A948,FIND(" - ",A948&amp;" - ")-1)),LEFT(A948,FIND(" - ",A948&amp;" - ")-1),TRIM(A948)))</f>
        <v/>
      </c>
      <c r="M948">
        <f>IF(OR(K948="",K948=A948,A948=""),"",K948&amp;"|"&amp;L948)</f>
        <v/>
      </c>
      <c r="N948">
        <f>IF(M948="","",IF(ISNUMBER(B948),B948,IFERROR(_xlfn.NUMBERVALUE(B948,".",","),0)))</f>
        <v/>
      </c>
      <c r="O948">
        <f>IF(M948="","",IF(ISNUMBER(C948),C948,IFERROR(_xlfn.NUMBERVALUE(C948,".",","),0)))</f>
        <v/>
      </c>
    </row>
    <row r="949">
      <c r="K949">
        <f>IF(OR(LEFT(B949,9)="DOANH THU",LEFT(B949,8)="SỐ LƯỢNG"),A949,IF(A949="","",K948))</f>
        <v/>
      </c>
      <c r="L949">
        <f>IF(A949="","",IF(ISNUMBER(--LEFT(A949,FIND(" - ",A949&amp;" - ")-1)),LEFT(A949,FIND(" - ",A949&amp;" - ")-1),TRIM(A949)))</f>
        <v/>
      </c>
      <c r="M949">
        <f>IF(OR(K949="",K949=A949,A949=""),"",K949&amp;"|"&amp;L949)</f>
        <v/>
      </c>
      <c r="N949">
        <f>IF(M949="","",IF(ISNUMBER(B949),B949,IFERROR(_xlfn.NUMBERVALUE(B949,".",","),0)))</f>
        <v/>
      </c>
      <c r="O949">
        <f>IF(M949="","",IF(ISNUMBER(C949),C949,IFERROR(_xlfn.NUMBERVALUE(C949,".",","),0)))</f>
        <v/>
      </c>
    </row>
    <row r="950">
      <c r="K950">
        <f>IF(OR(LEFT(B950,9)="DOANH THU",LEFT(B950,8)="SỐ LƯỢNG"),A950,IF(A950="","",K949))</f>
        <v/>
      </c>
      <c r="L950">
        <f>IF(A950="","",IF(ISNUMBER(--LEFT(A950,FIND(" - ",A950&amp;" - ")-1)),LEFT(A950,FIND(" - ",A950&amp;" - ")-1),TRIM(A950)))</f>
        <v/>
      </c>
      <c r="M950">
        <f>IF(OR(K950="",K950=A950,A950=""),"",K950&amp;"|"&amp;L950)</f>
        <v/>
      </c>
      <c r="N950">
        <f>IF(M950="","",IF(ISNUMBER(B950),B950,IFERROR(_xlfn.NUMBERVALUE(B950,".",","),0)))</f>
        <v/>
      </c>
      <c r="O950">
        <f>IF(M950="","",IF(ISNUMBER(C950),C950,IFERROR(_xlfn.NUMBERVALUE(C950,".",","),0)))</f>
        <v/>
      </c>
    </row>
    <row r="951">
      <c r="K951">
        <f>IF(OR(LEFT(B951,9)="DOANH THU",LEFT(B951,8)="SỐ LƯỢNG"),A951,IF(A951="","",K950))</f>
        <v/>
      </c>
      <c r="L951">
        <f>IF(A951="","",IF(ISNUMBER(--LEFT(A951,FIND(" - ",A951&amp;" - ")-1)),LEFT(A951,FIND(" - ",A951&amp;" - ")-1),TRIM(A951)))</f>
        <v/>
      </c>
      <c r="M951">
        <f>IF(OR(K951="",K951=A951,A951=""),"",K951&amp;"|"&amp;L951)</f>
        <v/>
      </c>
      <c r="N951">
        <f>IF(M951="","",IF(ISNUMBER(B951),B951,IFERROR(_xlfn.NUMBERVALUE(B951,".",","),0)))</f>
        <v/>
      </c>
      <c r="O951">
        <f>IF(M951="","",IF(ISNUMBER(C951),C951,IFERROR(_xlfn.NUMBERVALUE(C951,".",","),0)))</f>
        <v/>
      </c>
    </row>
    <row r="952">
      <c r="K952">
        <f>IF(OR(LEFT(B952,9)="DOANH THU",LEFT(B952,8)="SỐ LƯỢNG"),A952,IF(A952="","",K951))</f>
        <v/>
      </c>
      <c r="L952">
        <f>IF(A952="","",IF(ISNUMBER(--LEFT(A952,FIND(" - ",A952&amp;" - ")-1)),LEFT(A952,FIND(" - ",A952&amp;" - ")-1),TRIM(A952)))</f>
        <v/>
      </c>
      <c r="M952">
        <f>IF(OR(K952="",K952=A952,A952=""),"",K952&amp;"|"&amp;L952)</f>
        <v/>
      </c>
      <c r="N952">
        <f>IF(M952="","",IF(ISNUMBER(B952),B952,IFERROR(_xlfn.NUMBERVALUE(B952,".",","),0)))</f>
        <v/>
      </c>
      <c r="O952">
        <f>IF(M952="","",IF(ISNUMBER(C952),C952,IFERROR(_xlfn.NUMBERVALUE(C952,".",","),0)))</f>
        <v/>
      </c>
    </row>
    <row r="953">
      <c r="K953">
        <f>IF(OR(LEFT(B953,9)="DOANH THU",LEFT(B953,8)="SỐ LƯỢNG"),A953,IF(A953="","",K952))</f>
        <v/>
      </c>
      <c r="L953">
        <f>IF(A953="","",IF(ISNUMBER(--LEFT(A953,FIND(" - ",A953&amp;" - ")-1)),LEFT(A953,FIND(" - ",A953&amp;" - ")-1),TRIM(A953)))</f>
        <v/>
      </c>
      <c r="M953">
        <f>IF(OR(K953="",K953=A953,A953=""),"",K953&amp;"|"&amp;L953)</f>
        <v/>
      </c>
      <c r="N953">
        <f>IF(M953="","",IF(ISNUMBER(B953),B953,IFERROR(_xlfn.NUMBERVALUE(B953,".",","),0)))</f>
        <v/>
      </c>
      <c r="O953">
        <f>IF(M953="","",IF(ISNUMBER(C953),C953,IFERROR(_xlfn.NUMBERVALUE(C953,".",","),0)))</f>
        <v/>
      </c>
    </row>
    <row r="954">
      <c r="K954">
        <f>IF(OR(LEFT(B954,9)="DOANH THU",LEFT(B954,8)="SỐ LƯỢNG"),A954,IF(A954="","",K953))</f>
        <v/>
      </c>
      <c r="L954">
        <f>IF(A954="","",IF(ISNUMBER(--LEFT(A954,FIND(" - ",A954&amp;" - ")-1)),LEFT(A954,FIND(" - ",A954&amp;" - ")-1),TRIM(A954)))</f>
        <v/>
      </c>
      <c r="M954">
        <f>IF(OR(K954="",K954=A954,A954=""),"",K954&amp;"|"&amp;L954)</f>
        <v/>
      </c>
      <c r="N954">
        <f>IF(M954="","",IF(ISNUMBER(B954),B954,IFERROR(_xlfn.NUMBERVALUE(B954,".",","),0)))</f>
        <v/>
      </c>
      <c r="O954">
        <f>IF(M954="","",IF(ISNUMBER(C954),C954,IFERROR(_xlfn.NUMBERVALUE(C954,".",","),0)))</f>
        <v/>
      </c>
    </row>
    <row r="955">
      <c r="K955">
        <f>IF(OR(LEFT(B955,9)="DOANH THU",LEFT(B955,8)="SỐ LƯỢNG"),A955,IF(A955="","",K954))</f>
        <v/>
      </c>
      <c r="L955">
        <f>IF(A955="","",IF(ISNUMBER(--LEFT(A955,FIND(" - ",A955&amp;" - ")-1)),LEFT(A955,FIND(" - ",A955&amp;" - ")-1),TRIM(A955)))</f>
        <v/>
      </c>
      <c r="M955">
        <f>IF(OR(K955="",K955=A955,A955=""),"",K955&amp;"|"&amp;L955)</f>
        <v/>
      </c>
      <c r="N955">
        <f>IF(M955="","",IF(ISNUMBER(B955),B955,IFERROR(_xlfn.NUMBERVALUE(B955,".",","),0)))</f>
        <v/>
      </c>
      <c r="O955">
        <f>IF(M955="","",IF(ISNUMBER(C955),C955,IFERROR(_xlfn.NUMBERVALUE(C955,".",","),0)))</f>
        <v/>
      </c>
    </row>
    <row r="956">
      <c r="K956">
        <f>IF(OR(LEFT(B956,9)="DOANH THU",LEFT(B956,8)="SỐ LƯỢNG"),A956,IF(A956="","",K955))</f>
        <v/>
      </c>
      <c r="L956">
        <f>IF(A956="","",IF(ISNUMBER(--LEFT(A956,FIND(" - ",A956&amp;" - ")-1)),LEFT(A956,FIND(" - ",A956&amp;" - ")-1),TRIM(A956)))</f>
        <v/>
      </c>
      <c r="M956">
        <f>IF(OR(K956="",K956=A956,A956=""),"",K956&amp;"|"&amp;L956)</f>
        <v/>
      </c>
      <c r="N956">
        <f>IF(M956="","",IF(ISNUMBER(B956),B956,IFERROR(_xlfn.NUMBERVALUE(B956,".",","),0)))</f>
        <v/>
      </c>
      <c r="O956">
        <f>IF(M956="","",IF(ISNUMBER(C956),C956,IFERROR(_xlfn.NUMBERVALUE(C956,".",","),0)))</f>
        <v/>
      </c>
    </row>
    <row r="957">
      <c r="K957">
        <f>IF(OR(LEFT(B957,9)="DOANH THU",LEFT(B957,8)="SỐ LƯỢNG"),A957,IF(A957="","",K956))</f>
        <v/>
      </c>
      <c r="L957">
        <f>IF(A957="","",IF(ISNUMBER(--LEFT(A957,FIND(" - ",A957&amp;" - ")-1)),LEFT(A957,FIND(" - ",A957&amp;" - ")-1),TRIM(A957)))</f>
        <v/>
      </c>
      <c r="M957">
        <f>IF(OR(K957="",K957=A957,A957=""),"",K957&amp;"|"&amp;L957)</f>
        <v/>
      </c>
      <c r="N957">
        <f>IF(M957="","",IF(ISNUMBER(B957),B957,IFERROR(_xlfn.NUMBERVALUE(B957,".",","),0)))</f>
        <v/>
      </c>
      <c r="O957">
        <f>IF(M957="","",IF(ISNUMBER(C957),C957,IFERROR(_xlfn.NUMBERVALUE(C957,".",","),0)))</f>
        <v/>
      </c>
    </row>
    <row r="958">
      <c r="K958">
        <f>IF(OR(LEFT(B958,9)="DOANH THU",LEFT(B958,8)="SỐ LƯỢNG"),A958,IF(A958="","",K957))</f>
        <v/>
      </c>
      <c r="L958">
        <f>IF(A958="","",IF(ISNUMBER(--LEFT(A958,FIND(" - ",A958&amp;" - ")-1)),LEFT(A958,FIND(" - ",A958&amp;" - ")-1),TRIM(A958)))</f>
        <v/>
      </c>
      <c r="M958">
        <f>IF(OR(K958="",K958=A958,A958=""),"",K958&amp;"|"&amp;L958)</f>
        <v/>
      </c>
      <c r="N958">
        <f>IF(M958="","",IF(ISNUMBER(B958),B958,IFERROR(_xlfn.NUMBERVALUE(B958,".",","),0)))</f>
        <v/>
      </c>
      <c r="O958">
        <f>IF(M958="","",IF(ISNUMBER(C958),C958,IFERROR(_xlfn.NUMBERVALUE(C958,".",","),0)))</f>
        <v/>
      </c>
    </row>
    <row r="959">
      <c r="K959">
        <f>IF(OR(LEFT(B959,9)="DOANH THU",LEFT(B959,8)="SỐ LƯỢNG"),A959,IF(A959="","",K958))</f>
        <v/>
      </c>
      <c r="L959">
        <f>IF(A959="","",IF(ISNUMBER(--LEFT(A959,FIND(" - ",A959&amp;" - ")-1)),LEFT(A959,FIND(" - ",A959&amp;" - ")-1),TRIM(A959)))</f>
        <v/>
      </c>
      <c r="M959">
        <f>IF(OR(K959="",K959=A959,A959=""),"",K959&amp;"|"&amp;L959)</f>
        <v/>
      </c>
      <c r="N959">
        <f>IF(M959="","",IF(ISNUMBER(B959),B959,IFERROR(_xlfn.NUMBERVALUE(B959,".",","),0)))</f>
        <v/>
      </c>
      <c r="O959">
        <f>IF(M959="","",IF(ISNUMBER(C959),C959,IFERROR(_xlfn.NUMBERVALUE(C959,".",","),0)))</f>
        <v/>
      </c>
    </row>
    <row r="960">
      <c r="K960">
        <f>IF(OR(LEFT(B960,9)="DOANH THU",LEFT(B960,8)="SỐ LƯỢNG"),A960,IF(A960="","",K959))</f>
        <v/>
      </c>
      <c r="L960">
        <f>IF(A960="","",IF(ISNUMBER(--LEFT(A960,FIND(" - ",A960&amp;" - ")-1)),LEFT(A960,FIND(" - ",A960&amp;" - ")-1),TRIM(A960)))</f>
        <v/>
      </c>
      <c r="M960">
        <f>IF(OR(K960="",K960=A960,A960=""),"",K960&amp;"|"&amp;L960)</f>
        <v/>
      </c>
      <c r="N960">
        <f>IF(M960="","",IF(ISNUMBER(B960),B960,IFERROR(_xlfn.NUMBERVALUE(B960,".",","),0)))</f>
        <v/>
      </c>
      <c r="O960">
        <f>IF(M960="","",IF(ISNUMBER(C960),C960,IFERROR(_xlfn.NUMBERVALUE(C960,".",","),0)))</f>
        <v/>
      </c>
    </row>
    <row r="961">
      <c r="K961">
        <f>IF(OR(LEFT(B961,9)="DOANH THU",LEFT(B961,8)="SỐ LƯỢNG"),A961,IF(A961="","",K960))</f>
        <v/>
      </c>
      <c r="L961">
        <f>IF(A961="","",IF(ISNUMBER(--LEFT(A961,FIND(" - ",A961&amp;" - ")-1)),LEFT(A961,FIND(" - ",A961&amp;" - ")-1),TRIM(A961)))</f>
        <v/>
      </c>
      <c r="M961">
        <f>IF(OR(K961="",K961=A961,A961=""),"",K961&amp;"|"&amp;L961)</f>
        <v/>
      </c>
      <c r="N961">
        <f>IF(M961="","",IF(ISNUMBER(B961),B961,IFERROR(_xlfn.NUMBERVALUE(B961,".",","),0)))</f>
        <v/>
      </c>
      <c r="O961">
        <f>IF(M961="","",IF(ISNUMBER(C961),C961,IFERROR(_xlfn.NUMBERVALUE(C961,".",","),0)))</f>
        <v/>
      </c>
    </row>
    <row r="962">
      <c r="K962">
        <f>IF(OR(LEFT(B962,9)="DOANH THU",LEFT(B962,8)="SỐ LƯỢNG"),A962,IF(A962="","",K961))</f>
        <v/>
      </c>
      <c r="L962">
        <f>IF(A962="","",IF(ISNUMBER(--LEFT(A962,FIND(" - ",A962&amp;" - ")-1)),LEFT(A962,FIND(" - ",A962&amp;" - ")-1),TRIM(A962)))</f>
        <v/>
      </c>
      <c r="M962">
        <f>IF(OR(K962="",K962=A962,A962=""),"",K962&amp;"|"&amp;L962)</f>
        <v/>
      </c>
      <c r="N962">
        <f>IF(M962="","",IF(ISNUMBER(B962),B962,IFERROR(_xlfn.NUMBERVALUE(B962,".",","),0)))</f>
        <v/>
      </c>
      <c r="O962">
        <f>IF(M962="","",IF(ISNUMBER(C962),C962,IFERROR(_xlfn.NUMBERVALUE(C962,".",","),0)))</f>
        <v/>
      </c>
    </row>
    <row r="963">
      <c r="K963">
        <f>IF(OR(LEFT(B963,9)="DOANH THU",LEFT(B963,8)="SỐ LƯỢNG"),A963,IF(A963="","",K962))</f>
        <v/>
      </c>
      <c r="L963">
        <f>IF(A963="","",IF(ISNUMBER(--LEFT(A963,FIND(" - ",A963&amp;" - ")-1)),LEFT(A963,FIND(" - ",A963&amp;" - ")-1),TRIM(A963)))</f>
        <v/>
      </c>
      <c r="M963">
        <f>IF(OR(K963="",K963=A963,A963=""),"",K963&amp;"|"&amp;L963)</f>
        <v/>
      </c>
      <c r="N963">
        <f>IF(M963="","",IF(ISNUMBER(B963),B963,IFERROR(_xlfn.NUMBERVALUE(B963,".",","),0)))</f>
        <v/>
      </c>
      <c r="O963">
        <f>IF(M963="","",IF(ISNUMBER(C963),C963,IFERROR(_xlfn.NUMBERVALUE(C963,".",","),0)))</f>
        <v/>
      </c>
    </row>
    <row r="964">
      <c r="K964">
        <f>IF(OR(LEFT(B964,9)="DOANH THU",LEFT(B964,8)="SỐ LƯỢNG"),A964,IF(A964="","",K963))</f>
        <v/>
      </c>
      <c r="L964">
        <f>IF(A964="","",IF(ISNUMBER(--LEFT(A964,FIND(" - ",A964&amp;" - ")-1)),LEFT(A964,FIND(" - ",A964&amp;" - ")-1),TRIM(A964)))</f>
        <v/>
      </c>
      <c r="M964">
        <f>IF(OR(K964="",K964=A964,A964=""),"",K964&amp;"|"&amp;L964)</f>
        <v/>
      </c>
      <c r="N964">
        <f>IF(M964="","",IF(ISNUMBER(B964),B964,IFERROR(_xlfn.NUMBERVALUE(B964,".",","),0)))</f>
        <v/>
      </c>
      <c r="O964">
        <f>IF(M964="","",IF(ISNUMBER(C964),C964,IFERROR(_xlfn.NUMBERVALUE(C964,".",","),0)))</f>
        <v/>
      </c>
    </row>
    <row r="965">
      <c r="K965">
        <f>IF(OR(LEFT(B965,9)="DOANH THU",LEFT(B965,8)="SỐ LƯỢNG"),A965,IF(A965="","",K964))</f>
        <v/>
      </c>
      <c r="L965">
        <f>IF(A965="","",IF(ISNUMBER(--LEFT(A965,FIND(" - ",A965&amp;" - ")-1)),LEFT(A965,FIND(" - ",A965&amp;" - ")-1),TRIM(A965)))</f>
        <v/>
      </c>
      <c r="M965">
        <f>IF(OR(K965="",K965=A965,A965=""),"",K965&amp;"|"&amp;L965)</f>
        <v/>
      </c>
      <c r="N965">
        <f>IF(M965="","",IF(ISNUMBER(B965),B965,IFERROR(_xlfn.NUMBERVALUE(B965,".",","),0)))</f>
        <v/>
      </c>
      <c r="O965">
        <f>IF(M965="","",IF(ISNUMBER(C965),C965,IFERROR(_xlfn.NUMBERVALUE(C965,".",","),0)))</f>
        <v/>
      </c>
    </row>
    <row r="966">
      <c r="K966">
        <f>IF(OR(LEFT(B966,9)="DOANH THU",LEFT(B966,8)="SỐ LƯỢNG"),A966,IF(A966="","",K965))</f>
        <v/>
      </c>
      <c r="L966">
        <f>IF(A966="","",IF(ISNUMBER(--LEFT(A966,FIND(" - ",A966&amp;" - ")-1)),LEFT(A966,FIND(" - ",A966&amp;" - ")-1),TRIM(A966)))</f>
        <v/>
      </c>
      <c r="M966">
        <f>IF(OR(K966="",K966=A966,A966=""),"",K966&amp;"|"&amp;L966)</f>
        <v/>
      </c>
      <c r="N966">
        <f>IF(M966="","",IF(ISNUMBER(B966),B966,IFERROR(_xlfn.NUMBERVALUE(B966,".",","),0)))</f>
        <v/>
      </c>
      <c r="O966">
        <f>IF(M966="","",IF(ISNUMBER(C966),C966,IFERROR(_xlfn.NUMBERVALUE(C966,".",","),0)))</f>
        <v/>
      </c>
    </row>
    <row r="967">
      <c r="K967">
        <f>IF(OR(LEFT(B967,9)="DOANH THU",LEFT(B967,8)="SỐ LƯỢNG"),A967,IF(A967="","",K966))</f>
        <v/>
      </c>
      <c r="L967">
        <f>IF(A967="","",IF(ISNUMBER(--LEFT(A967,FIND(" - ",A967&amp;" - ")-1)),LEFT(A967,FIND(" - ",A967&amp;" - ")-1),TRIM(A967)))</f>
        <v/>
      </c>
      <c r="M967">
        <f>IF(OR(K967="",K967=A967,A967=""),"",K967&amp;"|"&amp;L967)</f>
        <v/>
      </c>
      <c r="N967">
        <f>IF(M967="","",IF(ISNUMBER(B967),B967,IFERROR(_xlfn.NUMBERVALUE(B967,".",","),0)))</f>
        <v/>
      </c>
      <c r="O967">
        <f>IF(M967="","",IF(ISNUMBER(C967),C967,IFERROR(_xlfn.NUMBERVALUE(C967,".",","),0)))</f>
        <v/>
      </c>
    </row>
    <row r="968">
      <c r="K968">
        <f>IF(OR(LEFT(B968,9)="DOANH THU",LEFT(B968,8)="SỐ LƯỢNG"),A968,IF(A968="","",K967))</f>
        <v/>
      </c>
      <c r="L968">
        <f>IF(A968="","",IF(ISNUMBER(--LEFT(A968,FIND(" - ",A968&amp;" - ")-1)),LEFT(A968,FIND(" - ",A968&amp;" - ")-1),TRIM(A968)))</f>
        <v/>
      </c>
      <c r="M968">
        <f>IF(OR(K968="",K968=A968,A968=""),"",K968&amp;"|"&amp;L968)</f>
        <v/>
      </c>
      <c r="N968">
        <f>IF(M968="","",IF(ISNUMBER(B968),B968,IFERROR(_xlfn.NUMBERVALUE(B968,".",","),0)))</f>
        <v/>
      </c>
      <c r="O968">
        <f>IF(M968="","",IF(ISNUMBER(C968),C968,IFERROR(_xlfn.NUMBERVALUE(C968,".",","),0)))</f>
        <v/>
      </c>
    </row>
    <row r="969">
      <c r="K969">
        <f>IF(OR(LEFT(B969,9)="DOANH THU",LEFT(B969,8)="SỐ LƯỢNG"),A969,IF(A969="","",K968))</f>
        <v/>
      </c>
      <c r="L969">
        <f>IF(A969="","",IF(ISNUMBER(--LEFT(A969,FIND(" - ",A969&amp;" - ")-1)),LEFT(A969,FIND(" - ",A969&amp;" - ")-1),TRIM(A969)))</f>
        <v/>
      </c>
      <c r="M969">
        <f>IF(OR(K969="",K969=A969,A969=""),"",K969&amp;"|"&amp;L969)</f>
        <v/>
      </c>
      <c r="N969">
        <f>IF(M969="","",IF(ISNUMBER(B969),B969,IFERROR(_xlfn.NUMBERVALUE(B969,".",","),0)))</f>
        <v/>
      </c>
      <c r="O969">
        <f>IF(M969="","",IF(ISNUMBER(C969),C969,IFERROR(_xlfn.NUMBERVALUE(C969,".",","),0)))</f>
        <v/>
      </c>
    </row>
    <row r="970">
      <c r="K970">
        <f>IF(OR(LEFT(B970,9)="DOANH THU",LEFT(B970,8)="SỐ LƯỢNG"),A970,IF(A970="","",K969))</f>
        <v/>
      </c>
      <c r="L970">
        <f>IF(A970="","",IF(ISNUMBER(--LEFT(A970,FIND(" - ",A970&amp;" - ")-1)),LEFT(A970,FIND(" - ",A970&amp;" - ")-1),TRIM(A970)))</f>
        <v/>
      </c>
      <c r="M970">
        <f>IF(OR(K970="",K970=A970,A970=""),"",K970&amp;"|"&amp;L970)</f>
        <v/>
      </c>
      <c r="N970">
        <f>IF(M970="","",IF(ISNUMBER(B970),B970,IFERROR(_xlfn.NUMBERVALUE(B970,".",","),0)))</f>
        <v/>
      </c>
      <c r="O970">
        <f>IF(M970="","",IF(ISNUMBER(C970),C970,IFERROR(_xlfn.NUMBERVALUE(C970,".",","),0)))</f>
        <v/>
      </c>
    </row>
    <row r="971">
      <c r="K971">
        <f>IF(OR(LEFT(B971,9)="DOANH THU",LEFT(B971,8)="SỐ LƯỢNG"),A971,IF(A971="","",K970))</f>
        <v/>
      </c>
      <c r="L971">
        <f>IF(A971="","",IF(ISNUMBER(--LEFT(A971,FIND(" - ",A971&amp;" - ")-1)),LEFT(A971,FIND(" - ",A971&amp;" - ")-1),TRIM(A971)))</f>
        <v/>
      </c>
      <c r="M971">
        <f>IF(OR(K971="",K971=A971,A971=""),"",K971&amp;"|"&amp;L971)</f>
        <v/>
      </c>
      <c r="N971">
        <f>IF(M971="","",IF(ISNUMBER(B971),B971,IFERROR(_xlfn.NUMBERVALUE(B971,".",","),0)))</f>
        <v/>
      </c>
      <c r="O971">
        <f>IF(M971="","",IF(ISNUMBER(C971),C971,IFERROR(_xlfn.NUMBERVALUE(C971,".",","),0)))</f>
        <v/>
      </c>
    </row>
    <row r="972">
      <c r="K972">
        <f>IF(OR(LEFT(B972,9)="DOANH THU",LEFT(B972,8)="SỐ LƯỢNG"),A972,IF(A972="","",K971))</f>
        <v/>
      </c>
      <c r="L972">
        <f>IF(A972="","",IF(ISNUMBER(--LEFT(A972,FIND(" - ",A972&amp;" - ")-1)),LEFT(A972,FIND(" - ",A972&amp;" - ")-1),TRIM(A972)))</f>
        <v/>
      </c>
      <c r="M972">
        <f>IF(OR(K972="",K972=A972,A972=""),"",K972&amp;"|"&amp;L972)</f>
        <v/>
      </c>
      <c r="N972">
        <f>IF(M972="","",IF(ISNUMBER(B972),B972,IFERROR(_xlfn.NUMBERVALUE(B972,".",","),0)))</f>
        <v/>
      </c>
      <c r="O972">
        <f>IF(M972="","",IF(ISNUMBER(C972),C972,IFERROR(_xlfn.NUMBERVALUE(C972,".",","),0)))</f>
        <v/>
      </c>
    </row>
    <row r="973">
      <c r="K973">
        <f>IF(OR(LEFT(B973,9)="DOANH THU",LEFT(B973,8)="SỐ LƯỢNG"),A973,IF(A973="","",K972))</f>
        <v/>
      </c>
      <c r="L973">
        <f>IF(A973="","",IF(ISNUMBER(--LEFT(A973,FIND(" - ",A973&amp;" - ")-1)),LEFT(A973,FIND(" - ",A973&amp;" - ")-1),TRIM(A973)))</f>
        <v/>
      </c>
      <c r="M973">
        <f>IF(OR(K973="",K973=A973,A973=""),"",K973&amp;"|"&amp;L973)</f>
        <v/>
      </c>
      <c r="N973">
        <f>IF(M973="","",IF(ISNUMBER(B973),B973,IFERROR(_xlfn.NUMBERVALUE(B973,".",","),0)))</f>
        <v/>
      </c>
      <c r="O973">
        <f>IF(M973="","",IF(ISNUMBER(C973),C973,IFERROR(_xlfn.NUMBERVALUE(C973,".",","),0)))</f>
        <v/>
      </c>
    </row>
    <row r="974">
      <c r="K974">
        <f>IF(OR(LEFT(B974,9)="DOANH THU",LEFT(B974,8)="SỐ LƯỢNG"),A974,IF(A974="","",K973))</f>
        <v/>
      </c>
      <c r="L974">
        <f>IF(A974="","",IF(ISNUMBER(--LEFT(A974,FIND(" - ",A974&amp;" - ")-1)),LEFT(A974,FIND(" - ",A974&amp;" - ")-1),TRIM(A974)))</f>
        <v/>
      </c>
      <c r="M974">
        <f>IF(OR(K974="",K974=A974,A974=""),"",K974&amp;"|"&amp;L974)</f>
        <v/>
      </c>
      <c r="N974">
        <f>IF(M974="","",IF(ISNUMBER(B974),B974,IFERROR(_xlfn.NUMBERVALUE(B974,".",","),0)))</f>
        <v/>
      </c>
      <c r="O974">
        <f>IF(M974="","",IF(ISNUMBER(C974),C974,IFERROR(_xlfn.NUMBERVALUE(C974,".",","),0)))</f>
        <v/>
      </c>
    </row>
    <row r="975">
      <c r="K975">
        <f>IF(OR(LEFT(B975,9)="DOANH THU",LEFT(B975,8)="SỐ LƯỢNG"),A975,IF(A975="","",K974))</f>
        <v/>
      </c>
      <c r="L975">
        <f>IF(A975="","",IF(ISNUMBER(--LEFT(A975,FIND(" - ",A975&amp;" - ")-1)),LEFT(A975,FIND(" - ",A975&amp;" - ")-1),TRIM(A975)))</f>
        <v/>
      </c>
      <c r="M975">
        <f>IF(OR(K975="",K975=A975,A975=""),"",K975&amp;"|"&amp;L975)</f>
        <v/>
      </c>
      <c r="N975">
        <f>IF(M975="","",IF(ISNUMBER(B975),B975,IFERROR(_xlfn.NUMBERVALUE(B975,".",","),0)))</f>
        <v/>
      </c>
      <c r="O975">
        <f>IF(M975="","",IF(ISNUMBER(C975),C975,IFERROR(_xlfn.NUMBERVALUE(C975,".",","),0)))</f>
        <v/>
      </c>
    </row>
    <row r="976">
      <c r="K976">
        <f>IF(OR(LEFT(B976,9)="DOANH THU",LEFT(B976,8)="SỐ LƯỢNG"),A976,IF(A976="","",K975))</f>
        <v/>
      </c>
      <c r="L976">
        <f>IF(A976="","",IF(ISNUMBER(--LEFT(A976,FIND(" - ",A976&amp;" - ")-1)),LEFT(A976,FIND(" - ",A976&amp;" - ")-1),TRIM(A976)))</f>
        <v/>
      </c>
      <c r="M976">
        <f>IF(OR(K976="",K976=A976,A976=""),"",K976&amp;"|"&amp;L976)</f>
        <v/>
      </c>
      <c r="N976">
        <f>IF(M976="","",IF(ISNUMBER(B976),B976,IFERROR(_xlfn.NUMBERVALUE(B976,".",","),0)))</f>
        <v/>
      </c>
      <c r="O976">
        <f>IF(M976="","",IF(ISNUMBER(C976),C976,IFERROR(_xlfn.NUMBERVALUE(C976,".",","),0)))</f>
        <v/>
      </c>
    </row>
    <row r="977">
      <c r="K977">
        <f>IF(OR(LEFT(B977,9)="DOANH THU",LEFT(B977,8)="SỐ LƯỢNG"),A977,IF(A977="","",K976))</f>
        <v/>
      </c>
      <c r="L977">
        <f>IF(A977="","",IF(ISNUMBER(--LEFT(A977,FIND(" - ",A977&amp;" - ")-1)),LEFT(A977,FIND(" - ",A977&amp;" - ")-1),TRIM(A977)))</f>
        <v/>
      </c>
      <c r="M977">
        <f>IF(OR(K977="",K977=A977,A977=""),"",K977&amp;"|"&amp;L977)</f>
        <v/>
      </c>
      <c r="N977">
        <f>IF(M977="","",IF(ISNUMBER(B977),B977,IFERROR(_xlfn.NUMBERVALUE(B977,".",","),0)))</f>
        <v/>
      </c>
      <c r="O977">
        <f>IF(M977="","",IF(ISNUMBER(C977),C977,IFERROR(_xlfn.NUMBERVALUE(C977,".",","),0)))</f>
        <v/>
      </c>
    </row>
    <row r="978">
      <c r="K978">
        <f>IF(OR(LEFT(B978,9)="DOANH THU",LEFT(B978,8)="SỐ LƯỢNG"),A978,IF(A978="","",K977))</f>
        <v/>
      </c>
      <c r="L978">
        <f>IF(A978="","",IF(ISNUMBER(--LEFT(A978,FIND(" - ",A978&amp;" - ")-1)),LEFT(A978,FIND(" - ",A978&amp;" - ")-1),TRIM(A978)))</f>
        <v/>
      </c>
      <c r="M978">
        <f>IF(OR(K978="",K978=A978,A978=""),"",K978&amp;"|"&amp;L978)</f>
        <v/>
      </c>
      <c r="N978">
        <f>IF(M978="","",IF(ISNUMBER(B978),B978,IFERROR(_xlfn.NUMBERVALUE(B978,".",","),0)))</f>
        <v/>
      </c>
      <c r="O978">
        <f>IF(M978="","",IF(ISNUMBER(C978),C978,IFERROR(_xlfn.NUMBERVALUE(C978,".",","),0)))</f>
        <v/>
      </c>
    </row>
    <row r="979">
      <c r="K979">
        <f>IF(OR(LEFT(B979,9)="DOANH THU",LEFT(B979,8)="SỐ LƯỢNG"),A979,IF(A979="","",K978))</f>
        <v/>
      </c>
      <c r="L979">
        <f>IF(A979="","",IF(ISNUMBER(--LEFT(A979,FIND(" - ",A979&amp;" - ")-1)),LEFT(A979,FIND(" - ",A979&amp;" - ")-1),TRIM(A979)))</f>
        <v/>
      </c>
      <c r="M979">
        <f>IF(OR(K979="",K979=A979,A979=""),"",K979&amp;"|"&amp;L979)</f>
        <v/>
      </c>
      <c r="N979">
        <f>IF(M979="","",IF(ISNUMBER(B979),B979,IFERROR(_xlfn.NUMBERVALUE(B979,".",","),0)))</f>
        <v/>
      </c>
      <c r="O979">
        <f>IF(M979="","",IF(ISNUMBER(C979),C979,IFERROR(_xlfn.NUMBERVALUE(C979,".",","),0)))</f>
        <v/>
      </c>
    </row>
    <row r="980">
      <c r="K980">
        <f>IF(OR(LEFT(B980,9)="DOANH THU",LEFT(B980,8)="SỐ LƯỢNG"),A980,IF(A980="","",K979))</f>
        <v/>
      </c>
      <c r="L980">
        <f>IF(A980="","",IF(ISNUMBER(--LEFT(A980,FIND(" - ",A980&amp;" - ")-1)),LEFT(A980,FIND(" - ",A980&amp;" - ")-1),TRIM(A980)))</f>
        <v/>
      </c>
      <c r="M980">
        <f>IF(OR(K980="",K980=A980,A980=""),"",K980&amp;"|"&amp;L980)</f>
        <v/>
      </c>
      <c r="N980">
        <f>IF(M980="","",IF(ISNUMBER(B980),B980,IFERROR(_xlfn.NUMBERVALUE(B980,".",","),0)))</f>
        <v/>
      </c>
      <c r="O980">
        <f>IF(M980="","",IF(ISNUMBER(C980),C980,IFERROR(_xlfn.NUMBERVALUE(C980,".",","),0)))</f>
        <v/>
      </c>
    </row>
    <row r="981">
      <c r="K981">
        <f>IF(OR(LEFT(B981,9)="DOANH THU",LEFT(B981,8)="SỐ LƯỢNG"),A981,IF(A981="","",K980))</f>
        <v/>
      </c>
      <c r="L981">
        <f>IF(A981="","",IF(ISNUMBER(--LEFT(A981,FIND(" - ",A981&amp;" - ")-1)),LEFT(A981,FIND(" - ",A981&amp;" - ")-1),TRIM(A981)))</f>
        <v/>
      </c>
      <c r="M981">
        <f>IF(OR(K981="",K981=A981,A981=""),"",K981&amp;"|"&amp;L981)</f>
        <v/>
      </c>
      <c r="N981">
        <f>IF(M981="","",IF(ISNUMBER(B981),B981,IFERROR(_xlfn.NUMBERVALUE(B981,".",","),0)))</f>
        <v/>
      </c>
      <c r="O981">
        <f>IF(M981="","",IF(ISNUMBER(C981),C981,IFERROR(_xlfn.NUMBERVALUE(C981,".",","),0)))</f>
        <v/>
      </c>
    </row>
    <row r="982">
      <c r="K982">
        <f>IF(OR(LEFT(B982,9)="DOANH THU",LEFT(B982,8)="SỐ LƯỢNG"),A982,IF(A982="","",K981))</f>
        <v/>
      </c>
      <c r="L982">
        <f>IF(A982="","",IF(ISNUMBER(--LEFT(A982,FIND(" - ",A982&amp;" - ")-1)),LEFT(A982,FIND(" - ",A982&amp;" - ")-1),TRIM(A982)))</f>
        <v/>
      </c>
      <c r="M982">
        <f>IF(OR(K982="",K982=A982,A982=""),"",K982&amp;"|"&amp;L982)</f>
        <v/>
      </c>
      <c r="N982">
        <f>IF(M982="","",IF(ISNUMBER(B982),B982,IFERROR(_xlfn.NUMBERVALUE(B982,".",","),0)))</f>
        <v/>
      </c>
      <c r="O982">
        <f>IF(M982="","",IF(ISNUMBER(C982),C982,IFERROR(_xlfn.NUMBERVALUE(C982,".",","),0)))</f>
        <v/>
      </c>
    </row>
    <row r="983">
      <c r="K983">
        <f>IF(OR(LEFT(B983,9)="DOANH THU",LEFT(B983,8)="SỐ LƯỢNG"),A983,IF(A983="","",K982))</f>
        <v/>
      </c>
      <c r="L983">
        <f>IF(A983="","",IF(ISNUMBER(--LEFT(A983,FIND(" - ",A983&amp;" - ")-1)),LEFT(A983,FIND(" - ",A983&amp;" - ")-1),TRIM(A983)))</f>
        <v/>
      </c>
      <c r="M983">
        <f>IF(OR(K983="",K983=A983,A983=""),"",K983&amp;"|"&amp;L983)</f>
        <v/>
      </c>
      <c r="N983">
        <f>IF(M983="","",IF(ISNUMBER(B983),B983,IFERROR(_xlfn.NUMBERVALUE(B983,".",","),0)))</f>
        <v/>
      </c>
      <c r="O983">
        <f>IF(M983="","",IF(ISNUMBER(C983),C983,IFERROR(_xlfn.NUMBERVALUE(C983,".",","),0)))</f>
        <v/>
      </c>
    </row>
    <row r="984">
      <c r="K984">
        <f>IF(OR(LEFT(B984,9)="DOANH THU",LEFT(B984,8)="SỐ LƯỢNG"),A984,IF(A984="","",K983))</f>
        <v/>
      </c>
      <c r="L984">
        <f>IF(A984="","",IF(ISNUMBER(--LEFT(A984,FIND(" - ",A984&amp;" - ")-1)),LEFT(A984,FIND(" - ",A984&amp;" - ")-1),TRIM(A984)))</f>
        <v/>
      </c>
      <c r="M984">
        <f>IF(OR(K984="",K984=A984,A984=""),"",K984&amp;"|"&amp;L984)</f>
        <v/>
      </c>
      <c r="N984">
        <f>IF(M984="","",IF(ISNUMBER(B984),B984,IFERROR(_xlfn.NUMBERVALUE(B984,".",","),0)))</f>
        <v/>
      </c>
      <c r="O984">
        <f>IF(M984="","",IF(ISNUMBER(C984),C984,IFERROR(_xlfn.NUMBERVALUE(C984,".",","),0)))</f>
        <v/>
      </c>
    </row>
    <row r="985">
      <c r="K985">
        <f>IF(OR(LEFT(B985,9)="DOANH THU",LEFT(B985,8)="SỐ LƯỢNG"),A985,IF(A985="","",K984))</f>
        <v/>
      </c>
      <c r="L985">
        <f>IF(A985="","",IF(ISNUMBER(--LEFT(A985,FIND(" - ",A985&amp;" - ")-1)),LEFT(A985,FIND(" - ",A985&amp;" - ")-1),TRIM(A985)))</f>
        <v/>
      </c>
      <c r="M985">
        <f>IF(OR(K985="",K985=A985,A985=""),"",K985&amp;"|"&amp;L985)</f>
        <v/>
      </c>
      <c r="N985">
        <f>IF(M985="","",IF(ISNUMBER(B985),B985,IFERROR(_xlfn.NUMBERVALUE(B985,".",","),0)))</f>
        <v/>
      </c>
      <c r="O985">
        <f>IF(M985="","",IF(ISNUMBER(C985),C985,IFERROR(_xlfn.NUMBERVALUE(C985,".",","),0)))</f>
        <v/>
      </c>
    </row>
    <row r="986">
      <c r="K986">
        <f>IF(OR(LEFT(B986,9)="DOANH THU",LEFT(B986,8)="SỐ LƯỢNG"),A986,IF(A986="","",K985))</f>
        <v/>
      </c>
      <c r="L986">
        <f>IF(A986="","",IF(ISNUMBER(--LEFT(A986,FIND(" - ",A986&amp;" - ")-1)),LEFT(A986,FIND(" - ",A986&amp;" - ")-1),TRIM(A986)))</f>
        <v/>
      </c>
      <c r="M986">
        <f>IF(OR(K986="",K986=A986,A986=""),"",K986&amp;"|"&amp;L986)</f>
        <v/>
      </c>
      <c r="N986">
        <f>IF(M986="","",IF(ISNUMBER(B986),B986,IFERROR(_xlfn.NUMBERVALUE(B986,".",","),0)))</f>
        <v/>
      </c>
      <c r="O986">
        <f>IF(M986="","",IF(ISNUMBER(C986),C986,IFERROR(_xlfn.NUMBERVALUE(C986,".",","),0)))</f>
        <v/>
      </c>
    </row>
    <row r="987">
      <c r="K987">
        <f>IF(OR(LEFT(B987,9)="DOANH THU",LEFT(B987,8)="SỐ LƯỢNG"),A987,IF(A987="","",K986))</f>
        <v/>
      </c>
      <c r="L987">
        <f>IF(A987="","",IF(ISNUMBER(--LEFT(A987,FIND(" - ",A987&amp;" - ")-1)),LEFT(A987,FIND(" - ",A987&amp;" - ")-1),TRIM(A987)))</f>
        <v/>
      </c>
      <c r="M987">
        <f>IF(OR(K987="",K987=A987,A987=""),"",K987&amp;"|"&amp;L987)</f>
        <v/>
      </c>
      <c r="N987">
        <f>IF(M987="","",IF(ISNUMBER(B987),B987,IFERROR(_xlfn.NUMBERVALUE(B987,".",","),0)))</f>
        <v/>
      </c>
      <c r="O987">
        <f>IF(M987="","",IF(ISNUMBER(C987),C987,IFERROR(_xlfn.NUMBERVALUE(C987,".",","),0)))</f>
        <v/>
      </c>
    </row>
    <row r="988">
      <c r="K988">
        <f>IF(OR(LEFT(B988,9)="DOANH THU",LEFT(B988,8)="SỐ LƯỢNG"),A988,IF(A988="","",K987))</f>
        <v/>
      </c>
      <c r="L988">
        <f>IF(A988="","",IF(ISNUMBER(--LEFT(A988,FIND(" - ",A988&amp;" - ")-1)),LEFT(A988,FIND(" - ",A988&amp;" - ")-1),TRIM(A988)))</f>
        <v/>
      </c>
      <c r="M988">
        <f>IF(OR(K988="",K988=A988,A988=""),"",K988&amp;"|"&amp;L988)</f>
        <v/>
      </c>
      <c r="N988">
        <f>IF(M988="","",IF(ISNUMBER(B988),B988,IFERROR(_xlfn.NUMBERVALUE(B988,".",","),0)))</f>
        <v/>
      </c>
      <c r="O988">
        <f>IF(M988="","",IF(ISNUMBER(C988),C988,IFERROR(_xlfn.NUMBERVALUE(C988,".",","),0)))</f>
        <v/>
      </c>
    </row>
    <row r="989">
      <c r="K989">
        <f>IF(OR(LEFT(B989,9)="DOANH THU",LEFT(B989,8)="SỐ LƯỢNG"),A989,IF(A989="","",K988))</f>
        <v/>
      </c>
      <c r="L989">
        <f>IF(A989="","",IF(ISNUMBER(--LEFT(A989,FIND(" - ",A989&amp;" - ")-1)),LEFT(A989,FIND(" - ",A989&amp;" - ")-1),TRIM(A989)))</f>
        <v/>
      </c>
      <c r="M989">
        <f>IF(OR(K989="",K989=A989,A989=""),"",K989&amp;"|"&amp;L989)</f>
        <v/>
      </c>
      <c r="N989">
        <f>IF(M989="","",IF(ISNUMBER(B989),B989,IFERROR(_xlfn.NUMBERVALUE(B989,".",","),0)))</f>
        <v/>
      </c>
      <c r="O989">
        <f>IF(M989="","",IF(ISNUMBER(C989),C989,IFERROR(_xlfn.NUMBERVALUE(C989,".",","),0)))</f>
        <v/>
      </c>
    </row>
    <row r="990">
      <c r="K990">
        <f>IF(OR(LEFT(B990,9)="DOANH THU",LEFT(B990,8)="SỐ LƯỢNG"),A990,IF(A990="","",K989))</f>
        <v/>
      </c>
      <c r="L990">
        <f>IF(A990="","",IF(ISNUMBER(--LEFT(A990,FIND(" - ",A990&amp;" - ")-1)),LEFT(A990,FIND(" - ",A990&amp;" - ")-1),TRIM(A990)))</f>
        <v/>
      </c>
      <c r="M990">
        <f>IF(OR(K990="",K990=A990,A990=""),"",K990&amp;"|"&amp;L990)</f>
        <v/>
      </c>
      <c r="N990">
        <f>IF(M990="","",IF(ISNUMBER(B990),B990,IFERROR(_xlfn.NUMBERVALUE(B990,".",","),0)))</f>
        <v/>
      </c>
      <c r="O990">
        <f>IF(M990="","",IF(ISNUMBER(C990),C990,IFERROR(_xlfn.NUMBERVALUE(C990,".",","),0)))</f>
        <v/>
      </c>
    </row>
    <row r="991">
      <c r="K991">
        <f>IF(OR(LEFT(B991,9)="DOANH THU",LEFT(B991,8)="SỐ LƯỢNG"),A991,IF(A991="","",K990))</f>
        <v/>
      </c>
      <c r="L991">
        <f>IF(A991="","",IF(ISNUMBER(--LEFT(A991,FIND(" - ",A991&amp;" - ")-1)),LEFT(A991,FIND(" - ",A991&amp;" - ")-1),TRIM(A991)))</f>
        <v/>
      </c>
      <c r="M991">
        <f>IF(OR(K991="",K991=A991,A991=""),"",K991&amp;"|"&amp;L991)</f>
        <v/>
      </c>
      <c r="N991">
        <f>IF(M991="","",IF(ISNUMBER(B991),B991,IFERROR(_xlfn.NUMBERVALUE(B991,".",","),0)))</f>
        <v/>
      </c>
      <c r="O991">
        <f>IF(M991="","",IF(ISNUMBER(C991),C991,IFERROR(_xlfn.NUMBERVALUE(C991,".",","),0)))</f>
        <v/>
      </c>
    </row>
    <row r="992">
      <c r="K992">
        <f>IF(OR(LEFT(B992,9)="DOANH THU",LEFT(B992,8)="SỐ LƯỢNG"),A992,IF(A992="","",K991))</f>
        <v/>
      </c>
      <c r="L992">
        <f>IF(A992="","",IF(ISNUMBER(--LEFT(A992,FIND(" - ",A992&amp;" - ")-1)),LEFT(A992,FIND(" - ",A992&amp;" - ")-1),TRIM(A992)))</f>
        <v/>
      </c>
      <c r="M992">
        <f>IF(OR(K992="",K992=A992,A992=""),"",K992&amp;"|"&amp;L992)</f>
        <v/>
      </c>
      <c r="N992">
        <f>IF(M992="","",IF(ISNUMBER(B992),B992,IFERROR(_xlfn.NUMBERVALUE(B992,".",","),0)))</f>
        <v/>
      </c>
      <c r="O992">
        <f>IF(M992="","",IF(ISNUMBER(C992),C992,IFERROR(_xlfn.NUMBERVALUE(C992,".",","),0)))</f>
        <v/>
      </c>
    </row>
    <row r="993">
      <c r="K993">
        <f>IF(OR(LEFT(B993,9)="DOANH THU",LEFT(B993,8)="SỐ LƯỢNG"),A993,IF(A993="","",K992))</f>
        <v/>
      </c>
      <c r="L993">
        <f>IF(A993="","",IF(ISNUMBER(--LEFT(A993,FIND(" - ",A993&amp;" - ")-1)),LEFT(A993,FIND(" - ",A993&amp;" - ")-1),TRIM(A993)))</f>
        <v/>
      </c>
      <c r="M993">
        <f>IF(OR(K993="",K993=A993,A993=""),"",K993&amp;"|"&amp;L993)</f>
        <v/>
      </c>
      <c r="N993">
        <f>IF(M993="","",IF(ISNUMBER(B993),B993,IFERROR(_xlfn.NUMBERVALUE(B993,".",","),0)))</f>
        <v/>
      </c>
      <c r="O993">
        <f>IF(M993="","",IF(ISNUMBER(C993),C993,IFERROR(_xlfn.NUMBERVALUE(C993,".",","),0)))</f>
        <v/>
      </c>
    </row>
    <row r="994">
      <c r="K994">
        <f>IF(OR(LEFT(B994,9)="DOANH THU",LEFT(B994,8)="SỐ LƯỢNG"),A994,IF(A994="","",K993))</f>
        <v/>
      </c>
      <c r="L994">
        <f>IF(A994="","",IF(ISNUMBER(--LEFT(A994,FIND(" - ",A994&amp;" - ")-1)),LEFT(A994,FIND(" - ",A994&amp;" - ")-1),TRIM(A994)))</f>
        <v/>
      </c>
      <c r="M994">
        <f>IF(OR(K994="",K994=A994,A994=""),"",K994&amp;"|"&amp;L994)</f>
        <v/>
      </c>
      <c r="N994">
        <f>IF(M994="","",IF(ISNUMBER(B994),B994,IFERROR(_xlfn.NUMBERVALUE(B994,".",","),0)))</f>
        <v/>
      </c>
      <c r="O994">
        <f>IF(M994="","",IF(ISNUMBER(C994),C994,IFERROR(_xlfn.NUMBERVALUE(C994,".",","),0)))</f>
        <v/>
      </c>
    </row>
    <row r="995">
      <c r="K995">
        <f>IF(OR(LEFT(B995,9)="DOANH THU",LEFT(B995,8)="SỐ LƯỢNG"),A995,IF(A995="","",K994))</f>
        <v/>
      </c>
      <c r="L995">
        <f>IF(A995="","",IF(ISNUMBER(--LEFT(A995,FIND(" - ",A995&amp;" - ")-1)),LEFT(A995,FIND(" - ",A995&amp;" - ")-1),TRIM(A995)))</f>
        <v/>
      </c>
      <c r="M995">
        <f>IF(OR(K995="",K995=A995,A995=""),"",K995&amp;"|"&amp;L995)</f>
        <v/>
      </c>
      <c r="N995">
        <f>IF(M995="","",IF(ISNUMBER(B995),B995,IFERROR(_xlfn.NUMBERVALUE(B995,".",","),0)))</f>
        <v/>
      </c>
      <c r="O995">
        <f>IF(M995="","",IF(ISNUMBER(C995),C995,IFERROR(_xlfn.NUMBERVALUE(C995,".",","),0)))</f>
        <v/>
      </c>
    </row>
    <row r="996">
      <c r="K996">
        <f>IF(OR(LEFT(B996,9)="DOANH THU",LEFT(B996,8)="SỐ LƯỢNG"),A996,IF(A996="","",K995))</f>
        <v/>
      </c>
      <c r="L996">
        <f>IF(A996="","",IF(ISNUMBER(--LEFT(A996,FIND(" - ",A996&amp;" - ")-1)),LEFT(A996,FIND(" - ",A996&amp;" - ")-1),TRIM(A996)))</f>
        <v/>
      </c>
      <c r="M996">
        <f>IF(OR(K996="",K996=A996,A996=""),"",K996&amp;"|"&amp;L996)</f>
        <v/>
      </c>
      <c r="N996">
        <f>IF(M996="","",IF(ISNUMBER(B996),B996,IFERROR(_xlfn.NUMBERVALUE(B996,".",","),0)))</f>
        <v/>
      </c>
      <c r="O996">
        <f>IF(M996="","",IF(ISNUMBER(C996),C996,IFERROR(_xlfn.NUMBERVALUE(C996,".",","),0)))</f>
        <v/>
      </c>
    </row>
    <row r="997">
      <c r="K997">
        <f>IF(OR(LEFT(B997,9)="DOANH THU",LEFT(B997,8)="SỐ LƯỢNG"),A997,IF(A997="","",K996))</f>
        <v/>
      </c>
      <c r="L997">
        <f>IF(A997="","",IF(ISNUMBER(--LEFT(A997,FIND(" - ",A997&amp;" - ")-1)),LEFT(A997,FIND(" - ",A997&amp;" - ")-1),TRIM(A997)))</f>
        <v/>
      </c>
      <c r="M997">
        <f>IF(OR(K997="",K997=A997,A997=""),"",K997&amp;"|"&amp;L997)</f>
        <v/>
      </c>
      <c r="N997">
        <f>IF(M997="","",IF(ISNUMBER(B997),B997,IFERROR(_xlfn.NUMBERVALUE(B997,".",","),0)))</f>
        <v/>
      </c>
      <c r="O997">
        <f>IF(M997="","",IF(ISNUMBER(C997),C997,IFERROR(_xlfn.NUMBERVALUE(C997,".",","),0)))</f>
        <v/>
      </c>
    </row>
    <row r="998">
      <c r="K998">
        <f>IF(OR(LEFT(B998,9)="DOANH THU",LEFT(B998,8)="SỐ LƯỢNG"),A998,IF(A998="","",K997))</f>
        <v/>
      </c>
      <c r="L998">
        <f>IF(A998="","",IF(ISNUMBER(--LEFT(A998,FIND(" - ",A998&amp;" - ")-1)),LEFT(A998,FIND(" - ",A998&amp;" - ")-1),TRIM(A998)))</f>
        <v/>
      </c>
      <c r="M998">
        <f>IF(OR(K998="",K998=A998,A998=""),"",K998&amp;"|"&amp;L998)</f>
        <v/>
      </c>
      <c r="N998">
        <f>IF(M998="","",IF(ISNUMBER(B998),B998,IFERROR(_xlfn.NUMBERVALUE(B998,".",","),0)))</f>
        <v/>
      </c>
      <c r="O998">
        <f>IF(M998="","",IF(ISNUMBER(C998),C998,IFERROR(_xlfn.NUMBERVALUE(C998,".",","),0)))</f>
        <v/>
      </c>
    </row>
    <row r="999">
      <c r="K999">
        <f>IF(OR(LEFT(B999,9)="DOANH THU",LEFT(B999,8)="SỐ LƯỢNG"),A999,IF(A999="","",K998))</f>
        <v/>
      </c>
      <c r="L999">
        <f>IF(A999="","",IF(ISNUMBER(--LEFT(A999,FIND(" - ",A999&amp;" - ")-1)),LEFT(A999,FIND(" - ",A999&amp;" - ")-1),TRIM(A999)))</f>
        <v/>
      </c>
      <c r="M999">
        <f>IF(OR(K999="",K999=A999,A999=""),"",K999&amp;"|"&amp;L999)</f>
        <v/>
      </c>
      <c r="N999">
        <f>IF(M999="","",IF(ISNUMBER(B999),B999,IFERROR(_xlfn.NUMBERVALUE(B999,".",","),0)))</f>
        <v/>
      </c>
      <c r="O999">
        <f>IF(M999="","",IF(ISNUMBER(C999),C999,IFERROR(_xlfn.NUMBERVALUE(C999,".",","),0)))</f>
        <v/>
      </c>
    </row>
    <row r="1000">
      <c r="K1000">
        <f>IF(OR(LEFT(B1000,9)="DOANH THU",LEFT(B1000,8)="SỐ LƯỢNG"),A1000,IF(A1000="","",K999))</f>
        <v/>
      </c>
      <c r="L1000">
        <f>IF(A1000="","",IF(ISNUMBER(--LEFT(A1000,FIND(" - ",A1000&amp;" - ")-1)),LEFT(A1000,FIND(" - ",A1000&amp;" - ")-1),TRIM(A1000)))</f>
        <v/>
      </c>
      <c r="M1000">
        <f>IF(OR(K1000="",K1000=A1000,A1000=""),"",K1000&amp;"|"&amp;L1000)</f>
        <v/>
      </c>
      <c r="N1000">
        <f>IF(M1000="","",IF(ISNUMBER(B1000),B1000,IFERROR(_xlfn.NUMBERVALUE(B1000,".",","),0)))</f>
        <v/>
      </c>
      <c r="O1000">
        <f>IF(M1000="","",IF(ISNUMBER(C1000),C1000,IFERROR(_xlfn.NUMBERVALUE(C1000,".",","),0)))</f>
        <v/>
      </c>
    </row>
    <row r="1001">
      <c r="K1001">
        <f>IF(OR(LEFT(B1001,9)="DOANH THU",LEFT(B1001,8)="SỐ LƯỢNG"),A1001,IF(A1001="","",K1000))</f>
        <v/>
      </c>
      <c r="L1001">
        <f>IF(A1001="","",IF(ISNUMBER(--LEFT(A1001,FIND(" - ",A1001&amp;" - ")-1)),LEFT(A1001,FIND(" - ",A1001&amp;" - ")-1),TRIM(A1001)))</f>
        <v/>
      </c>
      <c r="M1001">
        <f>IF(OR(K1001="",K1001=A1001,A1001=""),"",K1001&amp;"|"&amp;L1001)</f>
        <v/>
      </c>
      <c r="N1001">
        <f>IF(M1001="","",IF(ISNUMBER(B1001),B1001,IFERROR(_xlfn.NUMBERVALUE(B1001,".",","),0)))</f>
        <v/>
      </c>
      <c r="O1001">
        <f>IF(M1001="","",IF(ISNUMBER(C1001),C1001,IFERROR(_xlfn.NUMBERVALUE(C1001,".",","),0)))</f>
        <v/>
      </c>
    </row>
    <row r="1002">
      <c r="K1002">
        <f>IF(OR(LEFT(B1002,9)="DOANH THU",LEFT(B1002,8)="SỐ LƯỢNG"),A1002,IF(A1002="","",K1001))</f>
        <v/>
      </c>
      <c r="L1002">
        <f>IF(A1002="","",IF(ISNUMBER(--LEFT(A1002,FIND(" - ",A1002&amp;" - ")-1)),LEFT(A1002,FIND(" - ",A1002&amp;" - ")-1),TRIM(A1002)))</f>
        <v/>
      </c>
      <c r="M1002">
        <f>IF(OR(K1002="",K1002=A1002,A1002=""),"",K1002&amp;"|"&amp;L1002)</f>
        <v/>
      </c>
      <c r="N1002">
        <f>IF(M1002="","",IF(ISNUMBER(B1002),B1002,IFERROR(_xlfn.NUMBERVALUE(B1002,".",","),0)))</f>
        <v/>
      </c>
      <c r="O1002">
        <f>IF(M1002="","",IF(ISNUMBER(C1002),C1002,IFERROR(_xlfn.NUMBERVALUE(C1002,".",","),0)))</f>
        <v/>
      </c>
    </row>
    <row r="1003">
      <c r="K1003">
        <f>IF(OR(LEFT(B1003,9)="DOANH THU",LEFT(B1003,8)="SỐ LƯỢNG"),A1003,IF(A1003="","",K1002))</f>
        <v/>
      </c>
      <c r="L1003">
        <f>IF(A1003="","",IF(ISNUMBER(--LEFT(A1003,FIND(" - ",A1003&amp;" - ")-1)),LEFT(A1003,FIND(" - ",A1003&amp;" - ")-1),TRIM(A1003)))</f>
        <v/>
      </c>
      <c r="M1003">
        <f>IF(OR(K1003="",K1003=A1003,A1003=""),"",K1003&amp;"|"&amp;L1003)</f>
        <v/>
      </c>
      <c r="N1003">
        <f>IF(M1003="","",IF(ISNUMBER(B1003),B1003,IFERROR(_xlfn.NUMBERVALUE(B1003,".",","),0)))</f>
        <v/>
      </c>
      <c r="O1003">
        <f>IF(M1003="","",IF(ISNUMBER(C1003),C1003,IFERROR(_xlfn.NUMBERVALUE(C1003,".",","),0)))</f>
        <v/>
      </c>
    </row>
    <row r="1004">
      <c r="K1004">
        <f>IF(OR(LEFT(B1004,9)="DOANH THU",LEFT(B1004,8)="SỐ LƯỢNG"),A1004,IF(A1004="","",K1003))</f>
        <v/>
      </c>
      <c r="L1004">
        <f>IF(A1004="","",IF(ISNUMBER(--LEFT(A1004,FIND(" - ",A1004&amp;" - ")-1)),LEFT(A1004,FIND(" - ",A1004&amp;" - ")-1),TRIM(A1004)))</f>
        <v/>
      </c>
      <c r="M1004">
        <f>IF(OR(K1004="",K1004=A1004,A1004=""),"",K1004&amp;"|"&amp;L1004)</f>
        <v/>
      </c>
      <c r="N1004">
        <f>IF(M1004="","",IF(ISNUMBER(B1004),B1004,IFERROR(_xlfn.NUMBERVALUE(B1004,".",","),0)))</f>
        <v/>
      </c>
      <c r="O1004">
        <f>IF(M1004="","",IF(ISNUMBER(C1004),C1004,IFERROR(_xlfn.NUMBERVALUE(C1004,".",","),0)))</f>
        <v/>
      </c>
    </row>
    <row r="1005">
      <c r="K1005">
        <f>IF(OR(LEFT(B1005,9)="DOANH THU",LEFT(B1005,8)="SỐ LƯỢNG"),A1005,IF(A1005="","",K1004))</f>
        <v/>
      </c>
      <c r="L1005">
        <f>IF(A1005="","",IF(ISNUMBER(--LEFT(A1005,FIND(" - ",A1005&amp;" - ")-1)),LEFT(A1005,FIND(" - ",A1005&amp;" - ")-1),TRIM(A1005)))</f>
        <v/>
      </c>
      <c r="M1005">
        <f>IF(OR(K1005="",K1005=A1005,A1005=""),"",K1005&amp;"|"&amp;L1005)</f>
        <v/>
      </c>
      <c r="N1005">
        <f>IF(M1005="","",IF(ISNUMBER(B1005),B1005,IFERROR(_xlfn.NUMBERVALUE(B1005,".",","),0)))</f>
        <v/>
      </c>
      <c r="O1005">
        <f>IF(M1005="","",IF(ISNUMBER(C1005),C1005,IFERROR(_xlfn.NUMBERVALUE(C1005,".",","),0)))</f>
        <v/>
      </c>
    </row>
    <row r="1006">
      <c r="K1006">
        <f>IF(OR(LEFT(B1006,9)="DOANH THU",LEFT(B1006,8)="SỐ LƯỢNG"),A1006,IF(A1006="","",K1005))</f>
        <v/>
      </c>
      <c r="L1006">
        <f>IF(A1006="","",IF(ISNUMBER(--LEFT(A1006,FIND(" - ",A1006&amp;" - ")-1)),LEFT(A1006,FIND(" - ",A1006&amp;" - ")-1),TRIM(A1006)))</f>
        <v/>
      </c>
      <c r="M1006">
        <f>IF(OR(K1006="",K1006=A1006,A1006=""),"",K1006&amp;"|"&amp;L1006)</f>
        <v/>
      </c>
      <c r="N1006">
        <f>IF(M1006="","",IF(ISNUMBER(B1006),B1006,IFERROR(_xlfn.NUMBERVALUE(B1006,".",","),0)))</f>
        <v/>
      </c>
      <c r="O1006">
        <f>IF(M1006="","",IF(ISNUMBER(C1006),C1006,IFERROR(_xlfn.NUMBERVALUE(C1006,".",","),0)))</f>
        <v/>
      </c>
    </row>
    <row r="1007">
      <c r="K1007">
        <f>IF(OR(LEFT(B1007,9)="DOANH THU",LEFT(B1007,8)="SỐ LƯỢNG"),A1007,IF(A1007="","",K1006))</f>
        <v/>
      </c>
      <c r="L1007">
        <f>IF(A1007="","",IF(ISNUMBER(--LEFT(A1007,FIND(" - ",A1007&amp;" - ")-1)),LEFT(A1007,FIND(" - ",A1007&amp;" - ")-1),TRIM(A1007)))</f>
        <v/>
      </c>
      <c r="M1007">
        <f>IF(OR(K1007="",K1007=A1007,A1007=""),"",K1007&amp;"|"&amp;L1007)</f>
        <v/>
      </c>
      <c r="N1007">
        <f>IF(M1007="","",IF(ISNUMBER(B1007),B1007,IFERROR(_xlfn.NUMBERVALUE(B1007,".",","),0)))</f>
        <v/>
      </c>
      <c r="O1007">
        <f>IF(M1007="","",IF(ISNUMBER(C1007),C1007,IFERROR(_xlfn.NUMBERVALUE(C1007,".",","),0)))</f>
        <v/>
      </c>
    </row>
    <row r="1008">
      <c r="K1008">
        <f>IF(OR(LEFT(B1008,9)="DOANH THU",LEFT(B1008,8)="SỐ LƯỢNG"),A1008,IF(A1008="","",K1007))</f>
        <v/>
      </c>
      <c r="L1008">
        <f>IF(A1008="","",IF(ISNUMBER(--LEFT(A1008,FIND(" - ",A1008&amp;" - ")-1)),LEFT(A1008,FIND(" - ",A1008&amp;" - ")-1),TRIM(A1008)))</f>
        <v/>
      </c>
      <c r="M1008">
        <f>IF(OR(K1008="",K1008=A1008,A1008=""),"",K1008&amp;"|"&amp;L1008)</f>
        <v/>
      </c>
      <c r="N1008">
        <f>IF(M1008="","",IF(ISNUMBER(B1008),B1008,IFERROR(_xlfn.NUMBERVALUE(B1008,".",","),0)))</f>
        <v/>
      </c>
      <c r="O1008">
        <f>IF(M1008="","",IF(ISNUMBER(C1008),C1008,IFERROR(_xlfn.NUMBERVALUE(C1008,".",","),0)))</f>
        <v/>
      </c>
    </row>
    <row r="1009">
      <c r="K1009">
        <f>IF(OR(LEFT(B1009,9)="DOANH THU",LEFT(B1009,8)="SỐ LƯỢNG"),A1009,IF(A1009="","",K1008))</f>
        <v/>
      </c>
      <c r="L1009">
        <f>IF(A1009="","",IF(ISNUMBER(--LEFT(A1009,FIND(" - ",A1009&amp;" - ")-1)),LEFT(A1009,FIND(" - ",A1009&amp;" - ")-1),TRIM(A1009)))</f>
        <v/>
      </c>
      <c r="M1009">
        <f>IF(OR(K1009="",K1009=A1009,A1009=""),"",K1009&amp;"|"&amp;L1009)</f>
        <v/>
      </c>
      <c r="N1009">
        <f>IF(M1009="","",IF(ISNUMBER(B1009),B1009,IFERROR(_xlfn.NUMBERVALUE(B1009,".",","),0)))</f>
        <v/>
      </c>
      <c r="O1009">
        <f>IF(M1009="","",IF(ISNUMBER(C1009),C1009,IFERROR(_xlfn.NUMBERVALUE(C1009,".",","),0)))</f>
        <v/>
      </c>
    </row>
    <row r="1010">
      <c r="K1010">
        <f>IF(OR(LEFT(B1010,9)="DOANH THU",LEFT(B1010,8)="SỐ LƯỢNG"),A1010,IF(A1010="","",K1009))</f>
        <v/>
      </c>
      <c r="L1010">
        <f>IF(A1010="","",IF(ISNUMBER(--LEFT(A1010,FIND(" - ",A1010&amp;" - ")-1)),LEFT(A1010,FIND(" - ",A1010&amp;" - ")-1),TRIM(A1010)))</f>
        <v/>
      </c>
      <c r="M1010">
        <f>IF(OR(K1010="",K1010=A1010,A1010=""),"",K1010&amp;"|"&amp;L1010)</f>
        <v/>
      </c>
      <c r="N1010">
        <f>IF(M1010="","",IF(ISNUMBER(B1010),B1010,IFERROR(_xlfn.NUMBERVALUE(B1010,".",","),0)))</f>
        <v/>
      </c>
      <c r="O1010">
        <f>IF(M1010="","",IF(ISNUMBER(C1010),C1010,IFERROR(_xlfn.NUMBERVALUE(C1010,".",","),0)))</f>
        <v/>
      </c>
    </row>
    <row r="1011">
      <c r="K1011">
        <f>IF(OR(LEFT(B1011,9)="DOANH THU",LEFT(B1011,8)="SỐ LƯỢNG"),A1011,IF(A1011="","",K1010))</f>
        <v/>
      </c>
      <c r="L1011">
        <f>IF(A1011="","",IF(ISNUMBER(--LEFT(A1011,FIND(" - ",A1011&amp;" - ")-1)),LEFT(A1011,FIND(" - ",A1011&amp;" - ")-1),TRIM(A1011)))</f>
        <v/>
      </c>
      <c r="M1011">
        <f>IF(OR(K1011="",K1011=A1011,A1011=""),"",K1011&amp;"|"&amp;L1011)</f>
        <v/>
      </c>
      <c r="N1011">
        <f>IF(M1011="","",IF(ISNUMBER(B1011),B1011,IFERROR(_xlfn.NUMBERVALUE(B1011,".",","),0)))</f>
        <v/>
      </c>
      <c r="O1011">
        <f>IF(M1011="","",IF(ISNUMBER(C1011),C1011,IFERROR(_xlfn.NUMBERVALUE(C1011,".",","),0)))</f>
        <v/>
      </c>
    </row>
    <row r="1012">
      <c r="K1012">
        <f>IF(OR(LEFT(B1012,9)="DOANH THU",LEFT(B1012,8)="SỐ LƯỢNG"),A1012,IF(A1012="","",K1011))</f>
        <v/>
      </c>
      <c r="L1012">
        <f>IF(A1012="","",IF(ISNUMBER(--LEFT(A1012,FIND(" - ",A1012&amp;" - ")-1)),LEFT(A1012,FIND(" - ",A1012&amp;" - ")-1),TRIM(A1012)))</f>
        <v/>
      </c>
      <c r="M1012">
        <f>IF(OR(K1012="",K1012=A1012,A1012=""),"",K1012&amp;"|"&amp;L1012)</f>
        <v/>
      </c>
      <c r="N1012">
        <f>IF(M1012="","",IF(ISNUMBER(B1012),B1012,IFERROR(_xlfn.NUMBERVALUE(B1012,".",","),0)))</f>
        <v/>
      </c>
      <c r="O1012">
        <f>IF(M1012="","",IF(ISNUMBER(C1012),C1012,IFERROR(_xlfn.NUMBERVALUE(C1012,".",","),0)))</f>
        <v/>
      </c>
    </row>
    <row r="1013">
      <c r="K1013">
        <f>IF(OR(LEFT(B1013,9)="DOANH THU",LEFT(B1013,8)="SỐ LƯỢNG"),A1013,IF(A1013="","",K1012))</f>
        <v/>
      </c>
      <c r="L1013">
        <f>IF(A1013="","",IF(ISNUMBER(--LEFT(A1013,FIND(" - ",A1013&amp;" - ")-1)),LEFT(A1013,FIND(" - ",A1013&amp;" - ")-1),TRIM(A1013)))</f>
        <v/>
      </c>
      <c r="M1013">
        <f>IF(OR(K1013="",K1013=A1013,A1013=""),"",K1013&amp;"|"&amp;L1013)</f>
        <v/>
      </c>
      <c r="N1013">
        <f>IF(M1013="","",IF(ISNUMBER(B1013),B1013,IFERROR(_xlfn.NUMBERVALUE(B1013,".",","),0)))</f>
        <v/>
      </c>
      <c r="O1013">
        <f>IF(M1013="","",IF(ISNUMBER(C1013),C1013,IFERROR(_xlfn.NUMBERVALUE(C1013,".",","),0)))</f>
        <v/>
      </c>
    </row>
    <row r="1014">
      <c r="K1014">
        <f>IF(OR(LEFT(B1014,9)="DOANH THU",LEFT(B1014,8)="SỐ LƯỢNG"),A1014,IF(A1014="","",K1013))</f>
        <v/>
      </c>
      <c r="L1014">
        <f>IF(A1014="","",IF(ISNUMBER(--LEFT(A1014,FIND(" - ",A1014&amp;" - ")-1)),LEFT(A1014,FIND(" - ",A1014&amp;" - ")-1),TRIM(A1014)))</f>
        <v/>
      </c>
      <c r="M1014">
        <f>IF(OR(K1014="",K1014=A1014,A1014=""),"",K1014&amp;"|"&amp;L1014)</f>
        <v/>
      </c>
      <c r="N1014">
        <f>IF(M1014="","",IF(ISNUMBER(B1014),B1014,IFERROR(_xlfn.NUMBERVALUE(B1014,".",","),0)))</f>
        <v/>
      </c>
      <c r="O1014">
        <f>IF(M1014="","",IF(ISNUMBER(C1014),C1014,IFERROR(_xlfn.NUMBERVALUE(C1014,".",","),0)))</f>
        <v/>
      </c>
    </row>
    <row r="1015">
      <c r="K1015">
        <f>IF(OR(LEFT(B1015,9)="DOANH THU",LEFT(B1015,8)="SỐ LƯỢNG"),A1015,IF(A1015="","",K1014))</f>
        <v/>
      </c>
      <c r="L1015">
        <f>IF(A1015="","",IF(ISNUMBER(--LEFT(A1015,FIND(" - ",A1015&amp;" - ")-1)),LEFT(A1015,FIND(" - ",A1015&amp;" - ")-1),TRIM(A1015)))</f>
        <v/>
      </c>
      <c r="M1015">
        <f>IF(OR(K1015="",K1015=A1015,A1015=""),"",K1015&amp;"|"&amp;L1015)</f>
        <v/>
      </c>
      <c r="N1015">
        <f>IF(M1015="","",IF(ISNUMBER(B1015),B1015,IFERROR(_xlfn.NUMBERVALUE(B1015,".",","),0)))</f>
        <v/>
      </c>
      <c r="O1015">
        <f>IF(M1015="","",IF(ISNUMBER(C1015),C1015,IFERROR(_xlfn.NUMBERVALUE(C1015,".",","),0)))</f>
        <v/>
      </c>
    </row>
    <row r="1016">
      <c r="K1016">
        <f>IF(OR(LEFT(B1016,9)="DOANH THU",LEFT(B1016,8)="SỐ LƯỢNG"),A1016,IF(A1016="","",K1015))</f>
        <v/>
      </c>
      <c r="L1016">
        <f>IF(A1016="","",IF(ISNUMBER(--LEFT(A1016,FIND(" - ",A1016&amp;" - ")-1)),LEFT(A1016,FIND(" - ",A1016&amp;" - ")-1),TRIM(A1016)))</f>
        <v/>
      </c>
      <c r="M1016">
        <f>IF(OR(K1016="",K1016=A1016,A1016=""),"",K1016&amp;"|"&amp;L1016)</f>
        <v/>
      </c>
      <c r="N1016">
        <f>IF(M1016="","",IF(ISNUMBER(B1016),B1016,IFERROR(_xlfn.NUMBERVALUE(B1016,".",","),0)))</f>
        <v/>
      </c>
      <c r="O1016">
        <f>IF(M1016="","",IF(ISNUMBER(C1016),C1016,IFERROR(_xlfn.NUMBERVALUE(C1016,".",","),0)))</f>
        <v/>
      </c>
    </row>
    <row r="1017">
      <c r="K1017">
        <f>IF(OR(LEFT(B1017,9)="DOANH THU",LEFT(B1017,8)="SỐ LƯỢNG"),A1017,IF(A1017="","",K1016))</f>
        <v/>
      </c>
      <c r="L1017">
        <f>IF(A1017="","",IF(ISNUMBER(--LEFT(A1017,FIND(" - ",A1017&amp;" - ")-1)),LEFT(A1017,FIND(" - ",A1017&amp;" - ")-1),TRIM(A1017)))</f>
        <v/>
      </c>
      <c r="M1017">
        <f>IF(OR(K1017="",K1017=A1017,A1017=""),"",K1017&amp;"|"&amp;L1017)</f>
        <v/>
      </c>
      <c r="N1017">
        <f>IF(M1017="","",IF(ISNUMBER(B1017),B1017,IFERROR(_xlfn.NUMBERVALUE(B1017,".",","),0)))</f>
        <v/>
      </c>
      <c r="O1017">
        <f>IF(M1017="","",IF(ISNUMBER(C1017),C1017,IFERROR(_xlfn.NUMBERVALUE(C1017,".",","),0)))</f>
        <v/>
      </c>
    </row>
    <row r="1018">
      <c r="K1018">
        <f>IF(OR(LEFT(B1018,9)="DOANH THU",LEFT(B1018,8)="SỐ LƯỢNG"),A1018,IF(A1018="","",K1017))</f>
        <v/>
      </c>
      <c r="L1018">
        <f>IF(A1018="","",IF(ISNUMBER(--LEFT(A1018,FIND(" - ",A1018&amp;" - ")-1)),LEFT(A1018,FIND(" - ",A1018&amp;" - ")-1),TRIM(A1018)))</f>
        <v/>
      </c>
      <c r="M1018">
        <f>IF(OR(K1018="",K1018=A1018,A1018=""),"",K1018&amp;"|"&amp;L1018)</f>
        <v/>
      </c>
      <c r="N1018">
        <f>IF(M1018="","",IF(ISNUMBER(B1018),B1018,IFERROR(_xlfn.NUMBERVALUE(B1018,".",","),0)))</f>
        <v/>
      </c>
      <c r="O1018">
        <f>IF(M1018="","",IF(ISNUMBER(C1018),C1018,IFERROR(_xlfn.NUMBERVALUE(C1018,".",","),0)))</f>
        <v/>
      </c>
    </row>
    <row r="1019">
      <c r="K1019">
        <f>IF(OR(LEFT(B1019,9)="DOANH THU",LEFT(B1019,8)="SỐ LƯỢNG"),A1019,IF(A1019="","",K1018))</f>
        <v/>
      </c>
      <c r="L1019">
        <f>IF(A1019="","",IF(ISNUMBER(--LEFT(A1019,FIND(" - ",A1019&amp;" - ")-1)),LEFT(A1019,FIND(" - ",A1019&amp;" - ")-1),TRIM(A1019)))</f>
        <v/>
      </c>
      <c r="M1019">
        <f>IF(OR(K1019="",K1019=A1019,A1019=""),"",K1019&amp;"|"&amp;L1019)</f>
        <v/>
      </c>
      <c r="N1019">
        <f>IF(M1019="","",IF(ISNUMBER(B1019),B1019,IFERROR(_xlfn.NUMBERVALUE(B1019,".",","),0)))</f>
        <v/>
      </c>
      <c r="O1019">
        <f>IF(M1019="","",IF(ISNUMBER(C1019),C1019,IFERROR(_xlfn.NUMBERVALUE(C1019,".",","),0)))</f>
        <v/>
      </c>
    </row>
    <row r="1020">
      <c r="K1020">
        <f>IF(OR(LEFT(B1020,9)="DOANH THU",LEFT(B1020,8)="SỐ LƯỢNG"),A1020,IF(A1020="","",K1019))</f>
        <v/>
      </c>
      <c r="L1020">
        <f>IF(A1020="","",IF(ISNUMBER(--LEFT(A1020,FIND(" - ",A1020&amp;" - ")-1)),LEFT(A1020,FIND(" - ",A1020&amp;" - ")-1),TRIM(A1020)))</f>
        <v/>
      </c>
      <c r="M1020">
        <f>IF(OR(K1020="",K1020=A1020,A1020=""),"",K1020&amp;"|"&amp;L1020)</f>
        <v/>
      </c>
      <c r="N1020">
        <f>IF(M1020="","",IF(ISNUMBER(B1020),B1020,IFERROR(_xlfn.NUMBERVALUE(B1020,".",","),0)))</f>
        <v/>
      </c>
      <c r="O1020">
        <f>IF(M1020="","",IF(ISNUMBER(C1020),C1020,IFERROR(_xlfn.NUMBERVALUE(C1020,".",","),0)))</f>
        <v/>
      </c>
    </row>
    <row r="1021">
      <c r="K1021">
        <f>IF(OR(LEFT(B1021,9)="DOANH THU",LEFT(B1021,8)="SỐ LƯỢNG"),A1021,IF(A1021="","",K1020))</f>
        <v/>
      </c>
      <c r="L1021">
        <f>IF(A1021="","",IF(ISNUMBER(--LEFT(A1021,FIND(" - ",A1021&amp;" - ")-1)),LEFT(A1021,FIND(" - ",A1021&amp;" - ")-1),TRIM(A1021)))</f>
        <v/>
      </c>
      <c r="M1021">
        <f>IF(OR(K1021="",K1021=A1021,A1021=""),"",K1021&amp;"|"&amp;L1021)</f>
        <v/>
      </c>
      <c r="N1021">
        <f>IF(M1021="","",IF(ISNUMBER(B1021),B1021,IFERROR(_xlfn.NUMBERVALUE(B1021,".",","),0)))</f>
        <v/>
      </c>
      <c r="O1021">
        <f>IF(M1021="","",IF(ISNUMBER(C1021),C1021,IFERROR(_xlfn.NUMBERVALUE(C1021,".",","),0)))</f>
        <v/>
      </c>
    </row>
    <row r="1022">
      <c r="K1022">
        <f>IF(OR(LEFT(B1022,9)="DOANH THU",LEFT(B1022,8)="SỐ LƯỢNG"),A1022,IF(A1022="","",K1021))</f>
        <v/>
      </c>
      <c r="L1022">
        <f>IF(A1022="","",IF(ISNUMBER(--LEFT(A1022,FIND(" - ",A1022&amp;" - ")-1)),LEFT(A1022,FIND(" - ",A1022&amp;" - ")-1),TRIM(A1022)))</f>
        <v/>
      </c>
      <c r="M1022">
        <f>IF(OR(K1022="",K1022=A1022,A1022=""),"",K1022&amp;"|"&amp;L1022)</f>
        <v/>
      </c>
      <c r="N1022">
        <f>IF(M1022="","",IF(ISNUMBER(B1022),B1022,IFERROR(_xlfn.NUMBERVALUE(B1022,".",","),0)))</f>
        <v/>
      </c>
      <c r="O1022">
        <f>IF(M1022="","",IF(ISNUMBER(C1022),C1022,IFERROR(_xlfn.NUMBERVALUE(C1022,".",","),0)))</f>
        <v/>
      </c>
    </row>
    <row r="1023">
      <c r="K1023">
        <f>IF(OR(LEFT(B1023,9)="DOANH THU",LEFT(B1023,8)="SỐ LƯỢNG"),A1023,IF(A1023="","",K1022))</f>
        <v/>
      </c>
      <c r="L1023">
        <f>IF(A1023="","",IF(ISNUMBER(--LEFT(A1023,FIND(" - ",A1023&amp;" - ")-1)),LEFT(A1023,FIND(" - ",A1023&amp;" - ")-1),TRIM(A1023)))</f>
        <v/>
      </c>
      <c r="M1023">
        <f>IF(OR(K1023="",K1023=A1023,A1023=""),"",K1023&amp;"|"&amp;L1023)</f>
        <v/>
      </c>
      <c r="N1023">
        <f>IF(M1023="","",IF(ISNUMBER(B1023),B1023,IFERROR(_xlfn.NUMBERVALUE(B1023,".",","),0)))</f>
        <v/>
      </c>
      <c r="O1023">
        <f>IF(M1023="","",IF(ISNUMBER(C1023),C1023,IFERROR(_xlfn.NUMBERVALUE(C1023,".",","),0)))</f>
        <v/>
      </c>
    </row>
    <row r="1024">
      <c r="K1024">
        <f>IF(OR(LEFT(B1024,9)="DOANH THU",LEFT(B1024,8)="SỐ LƯỢNG"),A1024,IF(A1024="","",K1023))</f>
        <v/>
      </c>
      <c r="L1024">
        <f>IF(A1024="","",IF(ISNUMBER(--LEFT(A1024,FIND(" - ",A1024&amp;" - ")-1)),LEFT(A1024,FIND(" - ",A1024&amp;" - ")-1),TRIM(A1024)))</f>
        <v/>
      </c>
      <c r="M1024">
        <f>IF(OR(K1024="",K1024=A1024,A1024=""),"",K1024&amp;"|"&amp;L1024)</f>
        <v/>
      </c>
      <c r="N1024">
        <f>IF(M1024="","",IF(ISNUMBER(B1024),B1024,IFERROR(_xlfn.NUMBERVALUE(B1024,".",","),0)))</f>
        <v/>
      </c>
      <c r="O1024">
        <f>IF(M1024="","",IF(ISNUMBER(C1024),C1024,IFERROR(_xlfn.NUMBERVALUE(C1024,".",","),0)))</f>
        <v/>
      </c>
    </row>
    <row r="1025">
      <c r="K1025">
        <f>IF(OR(LEFT(B1025,9)="DOANH THU",LEFT(B1025,8)="SỐ LƯỢNG"),A1025,IF(A1025="","",K1024))</f>
        <v/>
      </c>
      <c r="L1025">
        <f>IF(A1025="","",IF(ISNUMBER(--LEFT(A1025,FIND(" - ",A1025&amp;" - ")-1)),LEFT(A1025,FIND(" - ",A1025&amp;" - ")-1),TRIM(A1025)))</f>
        <v/>
      </c>
      <c r="M1025">
        <f>IF(OR(K1025="",K1025=A1025,A1025=""),"",K1025&amp;"|"&amp;L1025)</f>
        <v/>
      </c>
      <c r="N1025">
        <f>IF(M1025="","",IF(ISNUMBER(B1025),B1025,IFERROR(_xlfn.NUMBERVALUE(B1025,".",","),0)))</f>
        <v/>
      </c>
      <c r="O1025">
        <f>IF(M1025="","",IF(ISNUMBER(C1025),C1025,IFERROR(_xlfn.NUMBERVALUE(C1025,".",","),0)))</f>
        <v/>
      </c>
    </row>
    <row r="1026">
      <c r="K1026">
        <f>IF(OR(LEFT(B1026,9)="DOANH THU",LEFT(B1026,8)="SỐ LƯỢNG"),A1026,IF(A1026="","",K1025))</f>
        <v/>
      </c>
      <c r="L1026">
        <f>IF(A1026="","",IF(ISNUMBER(--LEFT(A1026,FIND(" - ",A1026&amp;" - ")-1)),LEFT(A1026,FIND(" - ",A1026&amp;" - ")-1),TRIM(A1026)))</f>
        <v/>
      </c>
      <c r="M1026">
        <f>IF(OR(K1026="",K1026=A1026,A1026=""),"",K1026&amp;"|"&amp;L1026)</f>
        <v/>
      </c>
      <c r="N1026">
        <f>IF(M1026="","",IF(ISNUMBER(B1026),B1026,IFERROR(_xlfn.NUMBERVALUE(B1026,".",","),0)))</f>
        <v/>
      </c>
      <c r="O1026">
        <f>IF(M1026="","",IF(ISNUMBER(C1026),C1026,IFERROR(_xlfn.NUMBERVALUE(C1026,".",","),0)))</f>
        <v/>
      </c>
    </row>
    <row r="1027">
      <c r="K1027">
        <f>IF(OR(LEFT(B1027,9)="DOANH THU",LEFT(B1027,8)="SỐ LƯỢNG"),A1027,IF(A1027="","",K1026))</f>
        <v/>
      </c>
      <c r="L1027">
        <f>IF(A1027="","",IF(ISNUMBER(--LEFT(A1027,FIND(" - ",A1027&amp;" - ")-1)),LEFT(A1027,FIND(" - ",A1027&amp;" - ")-1),TRIM(A1027)))</f>
        <v/>
      </c>
      <c r="M1027">
        <f>IF(OR(K1027="",K1027=A1027,A1027=""),"",K1027&amp;"|"&amp;L1027)</f>
        <v/>
      </c>
      <c r="N1027">
        <f>IF(M1027="","",IF(ISNUMBER(B1027),B1027,IFERROR(_xlfn.NUMBERVALUE(B1027,".",","),0)))</f>
        <v/>
      </c>
      <c r="O1027">
        <f>IF(M1027="","",IF(ISNUMBER(C1027),C1027,IFERROR(_xlfn.NUMBERVALUE(C1027,".",","),0)))</f>
        <v/>
      </c>
    </row>
    <row r="1028">
      <c r="K1028">
        <f>IF(OR(LEFT(B1028,9)="DOANH THU",LEFT(B1028,8)="SỐ LƯỢNG"),A1028,IF(A1028="","",K1027))</f>
        <v/>
      </c>
      <c r="L1028">
        <f>IF(A1028="","",IF(ISNUMBER(--LEFT(A1028,FIND(" - ",A1028&amp;" - ")-1)),LEFT(A1028,FIND(" - ",A1028&amp;" - ")-1),TRIM(A1028)))</f>
        <v/>
      </c>
      <c r="M1028">
        <f>IF(OR(K1028="",K1028=A1028,A1028=""),"",K1028&amp;"|"&amp;L1028)</f>
        <v/>
      </c>
      <c r="N1028">
        <f>IF(M1028="","",IF(ISNUMBER(B1028),B1028,IFERROR(_xlfn.NUMBERVALUE(B1028,".",","),0)))</f>
        <v/>
      </c>
      <c r="O1028">
        <f>IF(M1028="","",IF(ISNUMBER(C1028),C1028,IFERROR(_xlfn.NUMBERVALUE(C1028,".",","),0)))</f>
        <v/>
      </c>
    </row>
    <row r="1029">
      <c r="K1029">
        <f>IF(OR(LEFT(B1029,9)="DOANH THU",LEFT(B1029,8)="SỐ LƯỢNG"),A1029,IF(A1029="","",K1028))</f>
        <v/>
      </c>
      <c r="L1029">
        <f>IF(A1029="","",IF(ISNUMBER(--LEFT(A1029,FIND(" - ",A1029&amp;" - ")-1)),LEFT(A1029,FIND(" - ",A1029&amp;" - ")-1),TRIM(A1029)))</f>
        <v/>
      </c>
      <c r="M1029">
        <f>IF(OR(K1029="",K1029=A1029,A1029=""),"",K1029&amp;"|"&amp;L1029)</f>
        <v/>
      </c>
      <c r="N1029">
        <f>IF(M1029="","",IF(ISNUMBER(B1029),B1029,IFERROR(_xlfn.NUMBERVALUE(B1029,".",","),0)))</f>
        <v/>
      </c>
      <c r="O1029">
        <f>IF(M1029="","",IF(ISNUMBER(C1029),C1029,IFERROR(_xlfn.NUMBERVALUE(C1029,".",","),0)))</f>
        <v/>
      </c>
    </row>
    <row r="1030">
      <c r="K1030">
        <f>IF(OR(LEFT(B1030,9)="DOANH THU",LEFT(B1030,8)="SỐ LƯỢNG"),A1030,IF(A1030="","",K1029))</f>
        <v/>
      </c>
      <c r="L1030">
        <f>IF(A1030="","",IF(ISNUMBER(--LEFT(A1030,FIND(" - ",A1030&amp;" - ")-1)),LEFT(A1030,FIND(" - ",A1030&amp;" - ")-1),TRIM(A1030)))</f>
        <v/>
      </c>
      <c r="M1030">
        <f>IF(OR(K1030="",K1030=A1030,A1030=""),"",K1030&amp;"|"&amp;L1030)</f>
        <v/>
      </c>
      <c r="N1030">
        <f>IF(M1030="","",IF(ISNUMBER(B1030),B1030,IFERROR(_xlfn.NUMBERVALUE(B1030,".",","),0)))</f>
        <v/>
      </c>
      <c r="O1030">
        <f>IF(M1030="","",IF(ISNUMBER(C1030),C1030,IFERROR(_xlfn.NUMBERVALUE(C1030,".",","),0)))</f>
        <v/>
      </c>
    </row>
    <row r="1031">
      <c r="K1031">
        <f>IF(OR(LEFT(B1031,9)="DOANH THU",LEFT(B1031,8)="SỐ LƯỢNG"),A1031,IF(A1031="","",K1030))</f>
        <v/>
      </c>
      <c r="L1031">
        <f>IF(A1031="","",IF(ISNUMBER(--LEFT(A1031,FIND(" - ",A1031&amp;" - ")-1)),LEFT(A1031,FIND(" - ",A1031&amp;" - ")-1),TRIM(A1031)))</f>
        <v/>
      </c>
      <c r="M1031">
        <f>IF(OR(K1031="",K1031=A1031,A1031=""),"",K1031&amp;"|"&amp;L1031)</f>
        <v/>
      </c>
      <c r="N1031">
        <f>IF(M1031="","",IF(ISNUMBER(B1031),B1031,IFERROR(_xlfn.NUMBERVALUE(B1031,".",","),0)))</f>
        <v/>
      </c>
      <c r="O1031">
        <f>IF(M1031="","",IF(ISNUMBER(C1031),C1031,IFERROR(_xlfn.NUMBERVALUE(C1031,".",","),0)))</f>
        <v/>
      </c>
    </row>
    <row r="1032">
      <c r="K1032">
        <f>IF(OR(LEFT(B1032,9)="DOANH THU",LEFT(B1032,8)="SỐ LƯỢNG"),A1032,IF(A1032="","",K1031))</f>
        <v/>
      </c>
      <c r="L1032">
        <f>IF(A1032="","",IF(ISNUMBER(--LEFT(A1032,FIND(" - ",A1032&amp;" - ")-1)),LEFT(A1032,FIND(" - ",A1032&amp;" - ")-1),TRIM(A1032)))</f>
        <v/>
      </c>
      <c r="M1032">
        <f>IF(OR(K1032="",K1032=A1032,A1032=""),"",K1032&amp;"|"&amp;L1032)</f>
        <v/>
      </c>
      <c r="N1032">
        <f>IF(M1032="","",IF(ISNUMBER(B1032),B1032,IFERROR(_xlfn.NUMBERVALUE(B1032,".",","),0)))</f>
        <v/>
      </c>
      <c r="O1032">
        <f>IF(M1032="","",IF(ISNUMBER(C1032),C1032,IFERROR(_xlfn.NUMBERVALUE(C1032,".",","),0)))</f>
        <v/>
      </c>
    </row>
    <row r="1033">
      <c r="K1033">
        <f>IF(OR(LEFT(B1033,9)="DOANH THU",LEFT(B1033,8)="SỐ LƯỢNG"),A1033,IF(A1033="","",K1032))</f>
        <v/>
      </c>
      <c r="L1033">
        <f>IF(A1033="","",IF(ISNUMBER(--LEFT(A1033,FIND(" - ",A1033&amp;" - ")-1)),LEFT(A1033,FIND(" - ",A1033&amp;" - ")-1),TRIM(A1033)))</f>
        <v/>
      </c>
      <c r="M1033">
        <f>IF(OR(K1033="",K1033=A1033,A1033=""),"",K1033&amp;"|"&amp;L1033)</f>
        <v/>
      </c>
      <c r="N1033">
        <f>IF(M1033="","",IF(ISNUMBER(B1033),B1033,IFERROR(_xlfn.NUMBERVALUE(B1033,".",","),0)))</f>
        <v/>
      </c>
      <c r="O1033">
        <f>IF(M1033="","",IF(ISNUMBER(C1033),C1033,IFERROR(_xlfn.NUMBERVALUE(C1033,".",","),0)))</f>
        <v/>
      </c>
    </row>
    <row r="1034">
      <c r="K1034">
        <f>IF(OR(LEFT(B1034,9)="DOANH THU",LEFT(B1034,8)="SỐ LƯỢNG"),A1034,IF(A1034="","",K1033))</f>
        <v/>
      </c>
      <c r="L1034">
        <f>IF(A1034="","",IF(ISNUMBER(--LEFT(A1034,FIND(" - ",A1034&amp;" - ")-1)),LEFT(A1034,FIND(" - ",A1034&amp;" - ")-1),TRIM(A1034)))</f>
        <v/>
      </c>
      <c r="M1034">
        <f>IF(OR(K1034="",K1034=A1034,A1034=""),"",K1034&amp;"|"&amp;L1034)</f>
        <v/>
      </c>
      <c r="N1034">
        <f>IF(M1034="","",IF(ISNUMBER(B1034),B1034,IFERROR(_xlfn.NUMBERVALUE(B1034,".",","),0)))</f>
        <v/>
      </c>
      <c r="O1034">
        <f>IF(M1034="","",IF(ISNUMBER(C1034),C1034,IFERROR(_xlfn.NUMBERVALUE(C1034,".",","),0)))</f>
        <v/>
      </c>
    </row>
    <row r="1035">
      <c r="K1035">
        <f>IF(OR(LEFT(B1035,9)="DOANH THU",LEFT(B1035,8)="SỐ LƯỢNG"),A1035,IF(A1035="","",K1034))</f>
        <v/>
      </c>
      <c r="L1035">
        <f>IF(A1035="","",IF(ISNUMBER(--LEFT(A1035,FIND(" - ",A1035&amp;" - ")-1)),LEFT(A1035,FIND(" - ",A1035&amp;" - ")-1),TRIM(A1035)))</f>
        <v/>
      </c>
      <c r="M1035">
        <f>IF(OR(K1035="",K1035=A1035,A1035=""),"",K1035&amp;"|"&amp;L1035)</f>
        <v/>
      </c>
      <c r="N1035">
        <f>IF(M1035="","",IF(ISNUMBER(B1035),B1035,IFERROR(_xlfn.NUMBERVALUE(B1035,".",","),0)))</f>
        <v/>
      </c>
      <c r="O1035">
        <f>IF(M1035="","",IF(ISNUMBER(C1035),C1035,IFERROR(_xlfn.NUMBERVALUE(C1035,".",","),0)))</f>
        <v/>
      </c>
    </row>
    <row r="1036">
      <c r="K1036">
        <f>IF(OR(LEFT(B1036,9)="DOANH THU",LEFT(B1036,8)="SỐ LƯỢNG"),A1036,IF(A1036="","",K1035))</f>
        <v/>
      </c>
      <c r="L1036">
        <f>IF(A1036="","",IF(ISNUMBER(--LEFT(A1036,FIND(" - ",A1036&amp;" - ")-1)),LEFT(A1036,FIND(" - ",A1036&amp;" - ")-1),TRIM(A1036)))</f>
        <v/>
      </c>
      <c r="M1036">
        <f>IF(OR(K1036="",K1036=A1036,A1036=""),"",K1036&amp;"|"&amp;L1036)</f>
        <v/>
      </c>
      <c r="N1036">
        <f>IF(M1036="","",IF(ISNUMBER(B1036),B1036,IFERROR(_xlfn.NUMBERVALUE(B1036,".",","),0)))</f>
        <v/>
      </c>
      <c r="O1036">
        <f>IF(M1036="","",IF(ISNUMBER(C1036),C1036,IFERROR(_xlfn.NUMBERVALUE(C1036,".",","),0)))</f>
        <v/>
      </c>
    </row>
    <row r="1037">
      <c r="K1037">
        <f>IF(OR(LEFT(B1037,9)="DOANH THU",LEFT(B1037,8)="SỐ LƯỢNG"),A1037,IF(A1037="","",K1036))</f>
        <v/>
      </c>
      <c r="L1037">
        <f>IF(A1037="","",IF(ISNUMBER(--LEFT(A1037,FIND(" - ",A1037&amp;" - ")-1)),LEFT(A1037,FIND(" - ",A1037&amp;" - ")-1),TRIM(A1037)))</f>
        <v/>
      </c>
      <c r="M1037">
        <f>IF(OR(K1037="",K1037=A1037,A1037=""),"",K1037&amp;"|"&amp;L1037)</f>
        <v/>
      </c>
      <c r="N1037">
        <f>IF(M1037="","",IF(ISNUMBER(B1037),B1037,IFERROR(_xlfn.NUMBERVALUE(B1037,".",","),0)))</f>
        <v/>
      </c>
      <c r="O1037">
        <f>IF(M1037="","",IF(ISNUMBER(C1037),C1037,IFERROR(_xlfn.NUMBERVALUE(C1037,".",","),0)))</f>
        <v/>
      </c>
    </row>
    <row r="1038">
      <c r="K1038">
        <f>IF(OR(LEFT(B1038,9)="DOANH THU",LEFT(B1038,8)="SỐ LƯỢNG"),A1038,IF(A1038="","",K1037))</f>
        <v/>
      </c>
      <c r="L1038">
        <f>IF(A1038="","",IF(ISNUMBER(--LEFT(A1038,FIND(" - ",A1038&amp;" - ")-1)),LEFT(A1038,FIND(" - ",A1038&amp;" - ")-1),TRIM(A1038)))</f>
        <v/>
      </c>
      <c r="M1038">
        <f>IF(OR(K1038="",K1038=A1038,A1038=""),"",K1038&amp;"|"&amp;L1038)</f>
        <v/>
      </c>
      <c r="N1038">
        <f>IF(M1038="","",IF(ISNUMBER(B1038),B1038,IFERROR(_xlfn.NUMBERVALUE(B1038,".",","),0)))</f>
        <v/>
      </c>
      <c r="O1038">
        <f>IF(M1038="","",IF(ISNUMBER(C1038),C1038,IFERROR(_xlfn.NUMBERVALUE(C1038,".",","),0)))</f>
        <v/>
      </c>
    </row>
    <row r="1039">
      <c r="K1039">
        <f>IF(OR(LEFT(B1039,9)="DOANH THU",LEFT(B1039,8)="SỐ LƯỢNG"),A1039,IF(A1039="","",K1038))</f>
        <v/>
      </c>
      <c r="L1039">
        <f>IF(A1039="","",IF(ISNUMBER(--LEFT(A1039,FIND(" - ",A1039&amp;" - ")-1)),LEFT(A1039,FIND(" - ",A1039&amp;" - ")-1),TRIM(A1039)))</f>
        <v/>
      </c>
      <c r="M1039">
        <f>IF(OR(K1039="",K1039=A1039,A1039=""),"",K1039&amp;"|"&amp;L1039)</f>
        <v/>
      </c>
      <c r="N1039">
        <f>IF(M1039="","",IF(ISNUMBER(B1039),B1039,IFERROR(_xlfn.NUMBERVALUE(B1039,".",","),0)))</f>
        <v/>
      </c>
      <c r="O1039">
        <f>IF(M1039="","",IF(ISNUMBER(C1039),C1039,IFERROR(_xlfn.NUMBERVALUE(C1039,".",","),0)))</f>
        <v/>
      </c>
    </row>
    <row r="1040">
      <c r="K1040">
        <f>IF(OR(LEFT(B1040,9)="DOANH THU",LEFT(B1040,8)="SỐ LƯỢNG"),A1040,IF(A1040="","",K1039))</f>
        <v/>
      </c>
      <c r="L1040">
        <f>IF(A1040="","",IF(ISNUMBER(--LEFT(A1040,FIND(" - ",A1040&amp;" - ")-1)),LEFT(A1040,FIND(" - ",A1040&amp;" - ")-1),TRIM(A1040)))</f>
        <v/>
      </c>
      <c r="M1040">
        <f>IF(OR(K1040="",K1040=A1040,A1040=""),"",K1040&amp;"|"&amp;L1040)</f>
        <v/>
      </c>
      <c r="N1040">
        <f>IF(M1040="","",IF(ISNUMBER(B1040),B1040,IFERROR(_xlfn.NUMBERVALUE(B1040,".",","),0)))</f>
        <v/>
      </c>
      <c r="O1040">
        <f>IF(M1040="","",IF(ISNUMBER(C1040),C1040,IFERROR(_xlfn.NUMBERVALUE(C1040,".",","),0)))</f>
        <v/>
      </c>
    </row>
    <row r="1041">
      <c r="K1041">
        <f>IF(OR(LEFT(B1041,9)="DOANH THU",LEFT(B1041,8)="SỐ LƯỢNG"),A1041,IF(A1041="","",K1040))</f>
        <v/>
      </c>
      <c r="L1041">
        <f>IF(A1041="","",IF(ISNUMBER(--LEFT(A1041,FIND(" - ",A1041&amp;" - ")-1)),LEFT(A1041,FIND(" - ",A1041&amp;" - ")-1),TRIM(A1041)))</f>
        <v/>
      </c>
      <c r="M1041">
        <f>IF(OR(K1041="",K1041=A1041,A1041=""),"",K1041&amp;"|"&amp;L1041)</f>
        <v/>
      </c>
      <c r="N1041">
        <f>IF(M1041="","",IF(ISNUMBER(B1041),B1041,IFERROR(_xlfn.NUMBERVALUE(B1041,".",","),0)))</f>
        <v/>
      </c>
      <c r="O1041">
        <f>IF(M1041="","",IF(ISNUMBER(C1041),C1041,IFERROR(_xlfn.NUMBERVALUE(C1041,".",","),0)))</f>
        <v/>
      </c>
    </row>
    <row r="1042">
      <c r="K1042">
        <f>IF(OR(LEFT(B1042,9)="DOANH THU",LEFT(B1042,8)="SỐ LƯỢNG"),A1042,IF(A1042="","",K1041))</f>
        <v/>
      </c>
      <c r="L1042">
        <f>IF(A1042="","",IF(ISNUMBER(--LEFT(A1042,FIND(" - ",A1042&amp;" - ")-1)),LEFT(A1042,FIND(" - ",A1042&amp;" - ")-1),TRIM(A1042)))</f>
        <v/>
      </c>
      <c r="M1042">
        <f>IF(OR(K1042="",K1042=A1042,A1042=""),"",K1042&amp;"|"&amp;L1042)</f>
        <v/>
      </c>
      <c r="N1042">
        <f>IF(M1042="","",IF(ISNUMBER(B1042),B1042,IFERROR(_xlfn.NUMBERVALUE(B1042,".",","),0)))</f>
        <v/>
      </c>
      <c r="O1042">
        <f>IF(M1042="","",IF(ISNUMBER(C1042),C1042,IFERROR(_xlfn.NUMBERVALUE(C1042,".",","),0)))</f>
        <v/>
      </c>
    </row>
    <row r="1043">
      <c r="K1043">
        <f>IF(OR(LEFT(B1043,9)="DOANH THU",LEFT(B1043,8)="SỐ LƯỢNG"),A1043,IF(A1043="","",K1042))</f>
        <v/>
      </c>
      <c r="L1043">
        <f>IF(A1043="","",IF(ISNUMBER(--LEFT(A1043,FIND(" - ",A1043&amp;" - ")-1)),LEFT(A1043,FIND(" - ",A1043&amp;" - ")-1),TRIM(A1043)))</f>
        <v/>
      </c>
      <c r="M1043">
        <f>IF(OR(K1043="",K1043=A1043,A1043=""),"",K1043&amp;"|"&amp;L1043)</f>
        <v/>
      </c>
      <c r="N1043">
        <f>IF(M1043="","",IF(ISNUMBER(B1043),B1043,IFERROR(_xlfn.NUMBERVALUE(B1043,".",","),0)))</f>
        <v/>
      </c>
      <c r="O1043">
        <f>IF(M1043="","",IF(ISNUMBER(C1043),C1043,IFERROR(_xlfn.NUMBERVALUE(C1043,".",","),0)))</f>
        <v/>
      </c>
    </row>
    <row r="1044">
      <c r="K1044">
        <f>IF(OR(LEFT(B1044,9)="DOANH THU",LEFT(B1044,8)="SỐ LƯỢNG"),A1044,IF(A1044="","",K1043))</f>
        <v/>
      </c>
      <c r="L1044">
        <f>IF(A1044="","",IF(ISNUMBER(--LEFT(A1044,FIND(" - ",A1044&amp;" - ")-1)),LEFT(A1044,FIND(" - ",A1044&amp;" - ")-1),TRIM(A1044)))</f>
        <v/>
      </c>
      <c r="M1044">
        <f>IF(OR(K1044="",K1044=A1044,A1044=""),"",K1044&amp;"|"&amp;L1044)</f>
        <v/>
      </c>
      <c r="N1044">
        <f>IF(M1044="","",IF(ISNUMBER(B1044),B1044,IFERROR(_xlfn.NUMBERVALUE(B1044,".",","),0)))</f>
        <v/>
      </c>
      <c r="O1044">
        <f>IF(M1044="","",IF(ISNUMBER(C1044),C1044,IFERROR(_xlfn.NUMBERVALUE(C1044,".",","),0)))</f>
        <v/>
      </c>
    </row>
    <row r="1045">
      <c r="K1045">
        <f>IF(OR(LEFT(B1045,9)="DOANH THU",LEFT(B1045,8)="SỐ LƯỢNG"),A1045,IF(A1045="","",K1044))</f>
        <v/>
      </c>
      <c r="L1045">
        <f>IF(A1045="","",IF(ISNUMBER(--LEFT(A1045,FIND(" - ",A1045&amp;" - ")-1)),LEFT(A1045,FIND(" - ",A1045&amp;" - ")-1),TRIM(A1045)))</f>
        <v/>
      </c>
      <c r="M1045">
        <f>IF(OR(K1045="",K1045=A1045,A1045=""),"",K1045&amp;"|"&amp;L1045)</f>
        <v/>
      </c>
      <c r="N1045">
        <f>IF(M1045="","",IF(ISNUMBER(B1045),B1045,IFERROR(_xlfn.NUMBERVALUE(B1045,".",","),0)))</f>
        <v/>
      </c>
      <c r="O1045">
        <f>IF(M1045="","",IF(ISNUMBER(C1045),C1045,IFERROR(_xlfn.NUMBERVALUE(C1045,".",","),0)))</f>
        <v/>
      </c>
    </row>
    <row r="1046">
      <c r="K1046">
        <f>IF(OR(LEFT(B1046,9)="DOANH THU",LEFT(B1046,8)="SỐ LƯỢNG"),A1046,IF(A1046="","",K1045))</f>
        <v/>
      </c>
      <c r="L1046">
        <f>IF(A1046="","",IF(ISNUMBER(--LEFT(A1046,FIND(" - ",A1046&amp;" - ")-1)),LEFT(A1046,FIND(" - ",A1046&amp;" - ")-1),TRIM(A1046)))</f>
        <v/>
      </c>
      <c r="M1046">
        <f>IF(OR(K1046="",K1046=A1046,A1046=""),"",K1046&amp;"|"&amp;L1046)</f>
        <v/>
      </c>
      <c r="N1046">
        <f>IF(M1046="","",IF(ISNUMBER(B1046),B1046,IFERROR(_xlfn.NUMBERVALUE(B1046,".",","),0)))</f>
        <v/>
      </c>
      <c r="O1046">
        <f>IF(M1046="","",IF(ISNUMBER(C1046),C1046,IFERROR(_xlfn.NUMBERVALUE(C1046,".",","),0)))</f>
        <v/>
      </c>
    </row>
    <row r="1047">
      <c r="K1047">
        <f>IF(OR(LEFT(B1047,9)="DOANH THU",LEFT(B1047,8)="SỐ LƯỢNG"),A1047,IF(A1047="","",K1046))</f>
        <v/>
      </c>
      <c r="L1047">
        <f>IF(A1047="","",IF(ISNUMBER(--LEFT(A1047,FIND(" - ",A1047&amp;" - ")-1)),LEFT(A1047,FIND(" - ",A1047&amp;" - ")-1),TRIM(A1047)))</f>
        <v/>
      </c>
      <c r="M1047">
        <f>IF(OR(K1047="",K1047=A1047,A1047=""),"",K1047&amp;"|"&amp;L1047)</f>
        <v/>
      </c>
      <c r="N1047">
        <f>IF(M1047="","",IF(ISNUMBER(B1047),B1047,IFERROR(_xlfn.NUMBERVALUE(B1047,".",","),0)))</f>
        <v/>
      </c>
      <c r="O1047">
        <f>IF(M1047="","",IF(ISNUMBER(C1047),C1047,IFERROR(_xlfn.NUMBERVALUE(C1047,".",","),0)))</f>
        <v/>
      </c>
    </row>
    <row r="1048">
      <c r="K1048">
        <f>IF(OR(LEFT(B1048,9)="DOANH THU",LEFT(B1048,8)="SỐ LƯỢNG"),A1048,IF(A1048="","",K1047))</f>
        <v/>
      </c>
      <c r="L1048">
        <f>IF(A1048="","",IF(ISNUMBER(--LEFT(A1048,FIND(" - ",A1048&amp;" - ")-1)),LEFT(A1048,FIND(" - ",A1048&amp;" - ")-1),TRIM(A1048)))</f>
        <v/>
      </c>
      <c r="M1048">
        <f>IF(OR(K1048="",K1048=A1048,A1048=""),"",K1048&amp;"|"&amp;L1048)</f>
        <v/>
      </c>
      <c r="N1048">
        <f>IF(M1048="","",IF(ISNUMBER(B1048),B1048,IFERROR(_xlfn.NUMBERVALUE(B1048,".",","),0)))</f>
        <v/>
      </c>
      <c r="O1048">
        <f>IF(M1048="","",IF(ISNUMBER(C1048),C1048,IFERROR(_xlfn.NUMBERVALUE(C1048,".",","),0)))</f>
        <v/>
      </c>
    </row>
    <row r="1049">
      <c r="K1049">
        <f>IF(OR(LEFT(B1049,9)="DOANH THU",LEFT(B1049,8)="SỐ LƯỢNG"),A1049,IF(A1049="","",K1048))</f>
        <v/>
      </c>
      <c r="L1049">
        <f>IF(A1049="","",IF(ISNUMBER(--LEFT(A1049,FIND(" - ",A1049&amp;" - ")-1)),LEFT(A1049,FIND(" - ",A1049&amp;" - ")-1),TRIM(A1049)))</f>
        <v/>
      </c>
      <c r="M1049">
        <f>IF(OR(K1049="",K1049=A1049,A1049=""),"",K1049&amp;"|"&amp;L1049)</f>
        <v/>
      </c>
      <c r="N1049">
        <f>IF(M1049="","",IF(ISNUMBER(B1049),B1049,IFERROR(_xlfn.NUMBERVALUE(B1049,".",","),0)))</f>
        <v/>
      </c>
      <c r="O1049">
        <f>IF(M1049="","",IF(ISNUMBER(C1049),C1049,IFERROR(_xlfn.NUMBERVALUE(C1049,".",","),0)))</f>
        <v/>
      </c>
    </row>
    <row r="1050">
      <c r="K1050">
        <f>IF(OR(LEFT(B1050,9)="DOANH THU",LEFT(B1050,8)="SỐ LƯỢNG"),A1050,IF(A1050="","",K1049))</f>
        <v/>
      </c>
      <c r="L1050">
        <f>IF(A1050="","",IF(ISNUMBER(--LEFT(A1050,FIND(" - ",A1050&amp;" - ")-1)),LEFT(A1050,FIND(" - ",A1050&amp;" - ")-1),TRIM(A1050)))</f>
        <v/>
      </c>
      <c r="M1050">
        <f>IF(OR(K1050="",K1050=A1050,A1050=""),"",K1050&amp;"|"&amp;L1050)</f>
        <v/>
      </c>
      <c r="N1050">
        <f>IF(M1050="","",IF(ISNUMBER(B1050),B1050,IFERROR(_xlfn.NUMBERVALUE(B1050,".",","),0)))</f>
        <v/>
      </c>
      <c r="O1050">
        <f>IF(M1050="","",IF(ISNUMBER(C1050),C1050,IFERROR(_xlfn.NUMBERVALUE(C1050,".",","),0)))</f>
        <v/>
      </c>
    </row>
    <row r="1051">
      <c r="K1051">
        <f>IF(OR(LEFT(B1051,9)="DOANH THU",LEFT(B1051,8)="SỐ LƯỢNG"),A1051,IF(A1051="","",K1050))</f>
        <v/>
      </c>
      <c r="L1051">
        <f>IF(A1051="","",IF(ISNUMBER(--LEFT(A1051,FIND(" - ",A1051&amp;" - ")-1)),LEFT(A1051,FIND(" - ",A1051&amp;" - ")-1),TRIM(A1051)))</f>
        <v/>
      </c>
      <c r="M1051">
        <f>IF(OR(K1051="",K1051=A1051,A1051=""),"",K1051&amp;"|"&amp;L1051)</f>
        <v/>
      </c>
      <c r="N1051">
        <f>IF(M1051="","",IF(ISNUMBER(B1051),B1051,IFERROR(_xlfn.NUMBERVALUE(B1051,".",","),0)))</f>
        <v/>
      </c>
      <c r="O1051">
        <f>IF(M1051="","",IF(ISNUMBER(C1051),C1051,IFERROR(_xlfn.NUMBERVALUE(C1051,".",","),0)))</f>
        <v/>
      </c>
    </row>
    <row r="1052">
      <c r="K1052">
        <f>IF(OR(LEFT(B1052,9)="DOANH THU",LEFT(B1052,8)="SỐ LƯỢNG"),A1052,IF(A1052="","",K1051))</f>
        <v/>
      </c>
      <c r="L1052">
        <f>IF(A1052="","",IF(ISNUMBER(--LEFT(A1052,FIND(" - ",A1052&amp;" - ")-1)),LEFT(A1052,FIND(" - ",A1052&amp;" - ")-1),TRIM(A1052)))</f>
        <v/>
      </c>
      <c r="M1052">
        <f>IF(OR(K1052="",K1052=A1052,A1052=""),"",K1052&amp;"|"&amp;L1052)</f>
        <v/>
      </c>
      <c r="N1052">
        <f>IF(M1052="","",IF(ISNUMBER(B1052),B1052,IFERROR(_xlfn.NUMBERVALUE(B1052,".",","),0)))</f>
        <v/>
      </c>
      <c r="O1052">
        <f>IF(M1052="","",IF(ISNUMBER(C1052),C1052,IFERROR(_xlfn.NUMBERVALUE(C1052,".",","),0)))</f>
        <v/>
      </c>
    </row>
    <row r="1053">
      <c r="K1053">
        <f>IF(OR(LEFT(B1053,9)="DOANH THU",LEFT(B1053,8)="SỐ LƯỢNG"),A1053,IF(A1053="","",K1052))</f>
        <v/>
      </c>
      <c r="L1053">
        <f>IF(A1053="","",IF(ISNUMBER(--LEFT(A1053,FIND(" - ",A1053&amp;" - ")-1)),LEFT(A1053,FIND(" - ",A1053&amp;" - ")-1),TRIM(A1053)))</f>
        <v/>
      </c>
      <c r="M1053">
        <f>IF(OR(K1053="",K1053=A1053,A1053=""),"",K1053&amp;"|"&amp;L1053)</f>
        <v/>
      </c>
      <c r="N1053">
        <f>IF(M1053="","",IF(ISNUMBER(B1053),B1053,IFERROR(_xlfn.NUMBERVALUE(B1053,".",","),0)))</f>
        <v/>
      </c>
      <c r="O1053">
        <f>IF(M1053="","",IF(ISNUMBER(C1053),C1053,IFERROR(_xlfn.NUMBERVALUE(C1053,".",","),0)))</f>
        <v/>
      </c>
    </row>
    <row r="1054">
      <c r="K1054">
        <f>IF(OR(LEFT(B1054,9)="DOANH THU",LEFT(B1054,8)="SỐ LƯỢNG"),A1054,IF(A1054="","",K1053))</f>
        <v/>
      </c>
      <c r="L1054">
        <f>IF(A1054="","",IF(ISNUMBER(--LEFT(A1054,FIND(" - ",A1054&amp;" - ")-1)),LEFT(A1054,FIND(" - ",A1054&amp;" - ")-1),TRIM(A1054)))</f>
        <v/>
      </c>
      <c r="M1054">
        <f>IF(OR(K1054="",K1054=A1054,A1054=""),"",K1054&amp;"|"&amp;L1054)</f>
        <v/>
      </c>
      <c r="N1054">
        <f>IF(M1054="","",IF(ISNUMBER(B1054),B1054,IFERROR(_xlfn.NUMBERVALUE(B1054,".",","),0)))</f>
        <v/>
      </c>
      <c r="O1054">
        <f>IF(M1054="","",IF(ISNUMBER(C1054),C1054,IFERROR(_xlfn.NUMBERVALUE(C1054,".",","),0)))</f>
        <v/>
      </c>
    </row>
    <row r="1055">
      <c r="K1055">
        <f>IF(OR(LEFT(B1055,9)="DOANH THU",LEFT(B1055,8)="SỐ LƯỢNG"),A1055,IF(A1055="","",K1054))</f>
        <v/>
      </c>
      <c r="L1055">
        <f>IF(A1055="","",IF(ISNUMBER(--LEFT(A1055,FIND(" - ",A1055&amp;" - ")-1)),LEFT(A1055,FIND(" - ",A1055&amp;" - ")-1),TRIM(A1055)))</f>
        <v/>
      </c>
      <c r="M1055">
        <f>IF(OR(K1055="",K1055=A1055,A1055=""),"",K1055&amp;"|"&amp;L1055)</f>
        <v/>
      </c>
      <c r="N1055">
        <f>IF(M1055="","",IF(ISNUMBER(B1055),B1055,IFERROR(_xlfn.NUMBERVALUE(B1055,".",","),0)))</f>
        <v/>
      </c>
      <c r="O1055">
        <f>IF(M1055="","",IF(ISNUMBER(C1055),C1055,IFERROR(_xlfn.NUMBERVALUE(C1055,".",","),0)))</f>
        <v/>
      </c>
    </row>
    <row r="1056">
      <c r="K1056">
        <f>IF(OR(LEFT(B1056,9)="DOANH THU",LEFT(B1056,8)="SỐ LƯỢNG"),A1056,IF(A1056="","",K1055))</f>
        <v/>
      </c>
      <c r="L1056">
        <f>IF(A1056="","",IF(ISNUMBER(--LEFT(A1056,FIND(" - ",A1056&amp;" - ")-1)),LEFT(A1056,FIND(" - ",A1056&amp;" - ")-1),TRIM(A1056)))</f>
        <v/>
      </c>
      <c r="M1056">
        <f>IF(OR(K1056="",K1056=A1056,A1056=""),"",K1056&amp;"|"&amp;L1056)</f>
        <v/>
      </c>
      <c r="N1056">
        <f>IF(M1056="","",IF(ISNUMBER(B1056),B1056,IFERROR(_xlfn.NUMBERVALUE(B1056,".",","),0)))</f>
        <v/>
      </c>
      <c r="O1056">
        <f>IF(M1056="","",IF(ISNUMBER(C1056),C1056,IFERROR(_xlfn.NUMBERVALUE(C1056,".",","),0)))</f>
        <v/>
      </c>
    </row>
    <row r="1057">
      <c r="K1057">
        <f>IF(OR(LEFT(B1057,9)="DOANH THU",LEFT(B1057,8)="SỐ LƯỢNG"),A1057,IF(A1057="","",K1056))</f>
        <v/>
      </c>
      <c r="L1057">
        <f>IF(A1057="","",IF(ISNUMBER(--LEFT(A1057,FIND(" - ",A1057&amp;" - ")-1)),LEFT(A1057,FIND(" - ",A1057&amp;" - ")-1),TRIM(A1057)))</f>
        <v/>
      </c>
      <c r="M1057">
        <f>IF(OR(K1057="",K1057=A1057,A1057=""),"",K1057&amp;"|"&amp;L1057)</f>
        <v/>
      </c>
      <c r="N1057">
        <f>IF(M1057="","",IF(ISNUMBER(B1057),B1057,IFERROR(_xlfn.NUMBERVALUE(B1057,".",","),0)))</f>
        <v/>
      </c>
      <c r="O1057">
        <f>IF(M1057="","",IF(ISNUMBER(C1057),C1057,IFERROR(_xlfn.NUMBERVALUE(C1057,".",","),0)))</f>
        <v/>
      </c>
    </row>
    <row r="1058">
      <c r="K1058">
        <f>IF(OR(LEFT(B1058,9)="DOANH THU",LEFT(B1058,8)="SỐ LƯỢNG"),A1058,IF(A1058="","",K1057))</f>
        <v/>
      </c>
      <c r="L1058">
        <f>IF(A1058="","",IF(ISNUMBER(--LEFT(A1058,FIND(" - ",A1058&amp;" - ")-1)),LEFT(A1058,FIND(" - ",A1058&amp;" - ")-1),TRIM(A1058)))</f>
        <v/>
      </c>
      <c r="M1058">
        <f>IF(OR(K1058="",K1058=A1058,A1058=""),"",K1058&amp;"|"&amp;L1058)</f>
        <v/>
      </c>
      <c r="N1058">
        <f>IF(M1058="","",IF(ISNUMBER(B1058),B1058,IFERROR(_xlfn.NUMBERVALUE(B1058,".",","),0)))</f>
        <v/>
      </c>
      <c r="O1058">
        <f>IF(M1058="","",IF(ISNUMBER(C1058),C1058,IFERROR(_xlfn.NUMBERVALUE(C1058,".",","),0)))</f>
        <v/>
      </c>
    </row>
    <row r="1059">
      <c r="K1059">
        <f>IF(OR(LEFT(B1059,9)="DOANH THU",LEFT(B1059,8)="SỐ LƯỢNG"),A1059,IF(A1059="","",K1058))</f>
        <v/>
      </c>
      <c r="L1059">
        <f>IF(A1059="","",IF(ISNUMBER(--LEFT(A1059,FIND(" - ",A1059&amp;" - ")-1)),LEFT(A1059,FIND(" - ",A1059&amp;" - ")-1),TRIM(A1059)))</f>
        <v/>
      </c>
      <c r="M1059">
        <f>IF(OR(K1059="",K1059=A1059,A1059=""),"",K1059&amp;"|"&amp;L1059)</f>
        <v/>
      </c>
      <c r="N1059">
        <f>IF(M1059="","",IF(ISNUMBER(B1059),B1059,IFERROR(_xlfn.NUMBERVALUE(B1059,".",","),0)))</f>
        <v/>
      </c>
      <c r="O1059">
        <f>IF(M1059="","",IF(ISNUMBER(C1059),C1059,IFERROR(_xlfn.NUMBERVALUE(C1059,".",","),0)))</f>
        <v/>
      </c>
    </row>
    <row r="1060">
      <c r="K1060">
        <f>IF(OR(LEFT(B1060,9)="DOANH THU",LEFT(B1060,8)="SỐ LƯỢNG"),A1060,IF(A1060="","",K1059))</f>
        <v/>
      </c>
      <c r="L1060">
        <f>IF(A1060="","",IF(ISNUMBER(--LEFT(A1060,FIND(" - ",A1060&amp;" - ")-1)),LEFT(A1060,FIND(" - ",A1060&amp;" - ")-1),TRIM(A1060)))</f>
        <v/>
      </c>
      <c r="M1060">
        <f>IF(OR(K1060="",K1060=A1060,A1060=""),"",K1060&amp;"|"&amp;L1060)</f>
        <v/>
      </c>
      <c r="N1060">
        <f>IF(M1060="","",IF(ISNUMBER(B1060),B1060,IFERROR(_xlfn.NUMBERVALUE(B1060,".",","),0)))</f>
        <v/>
      </c>
      <c r="O1060">
        <f>IF(M1060="","",IF(ISNUMBER(C1060),C1060,IFERROR(_xlfn.NUMBERVALUE(C1060,".",","),0)))</f>
        <v/>
      </c>
    </row>
    <row r="1061">
      <c r="K1061">
        <f>IF(OR(LEFT(B1061,9)="DOANH THU",LEFT(B1061,8)="SỐ LƯỢNG"),A1061,IF(A1061="","",K1060))</f>
        <v/>
      </c>
      <c r="L1061">
        <f>IF(A1061="","",IF(ISNUMBER(--LEFT(A1061,FIND(" - ",A1061&amp;" - ")-1)),LEFT(A1061,FIND(" - ",A1061&amp;" - ")-1),TRIM(A1061)))</f>
        <v/>
      </c>
      <c r="M1061">
        <f>IF(OR(K1061="",K1061=A1061,A1061=""),"",K1061&amp;"|"&amp;L1061)</f>
        <v/>
      </c>
      <c r="N1061">
        <f>IF(M1061="","",IF(ISNUMBER(B1061),B1061,IFERROR(_xlfn.NUMBERVALUE(B1061,".",","),0)))</f>
        <v/>
      </c>
      <c r="O1061">
        <f>IF(M1061="","",IF(ISNUMBER(C1061),C1061,IFERROR(_xlfn.NUMBERVALUE(C1061,".",","),0)))</f>
        <v/>
      </c>
    </row>
    <row r="1062">
      <c r="K1062">
        <f>IF(OR(LEFT(B1062,9)="DOANH THU",LEFT(B1062,8)="SỐ LƯỢNG"),A1062,IF(A1062="","",K1061))</f>
        <v/>
      </c>
      <c r="L1062">
        <f>IF(A1062="","",IF(ISNUMBER(--LEFT(A1062,FIND(" - ",A1062&amp;" - ")-1)),LEFT(A1062,FIND(" - ",A1062&amp;" - ")-1),TRIM(A1062)))</f>
        <v/>
      </c>
      <c r="M1062">
        <f>IF(OR(K1062="",K1062=A1062,A1062=""),"",K1062&amp;"|"&amp;L1062)</f>
        <v/>
      </c>
      <c r="N1062">
        <f>IF(M1062="","",IF(ISNUMBER(B1062),B1062,IFERROR(_xlfn.NUMBERVALUE(B1062,".",","),0)))</f>
        <v/>
      </c>
      <c r="O1062">
        <f>IF(M1062="","",IF(ISNUMBER(C1062),C1062,IFERROR(_xlfn.NUMBERVALUE(C1062,".",","),0)))</f>
        <v/>
      </c>
    </row>
    <row r="1063">
      <c r="K1063">
        <f>IF(OR(LEFT(B1063,9)="DOANH THU",LEFT(B1063,8)="SỐ LƯỢNG"),A1063,IF(A1063="","",K1062))</f>
        <v/>
      </c>
      <c r="L1063">
        <f>IF(A1063="","",IF(ISNUMBER(--LEFT(A1063,FIND(" - ",A1063&amp;" - ")-1)),LEFT(A1063,FIND(" - ",A1063&amp;" - ")-1),TRIM(A1063)))</f>
        <v/>
      </c>
      <c r="M1063">
        <f>IF(OR(K1063="",K1063=A1063,A1063=""),"",K1063&amp;"|"&amp;L1063)</f>
        <v/>
      </c>
      <c r="N1063">
        <f>IF(M1063="","",IF(ISNUMBER(B1063),B1063,IFERROR(_xlfn.NUMBERVALUE(B1063,".",","),0)))</f>
        <v/>
      </c>
      <c r="O1063">
        <f>IF(M1063="","",IF(ISNUMBER(C1063),C1063,IFERROR(_xlfn.NUMBERVALUE(C1063,".",","),0)))</f>
        <v/>
      </c>
    </row>
    <row r="1064">
      <c r="K1064">
        <f>IF(OR(LEFT(B1064,9)="DOANH THU",LEFT(B1064,8)="SỐ LƯỢNG"),A1064,IF(A1064="","",K1063))</f>
        <v/>
      </c>
      <c r="L1064">
        <f>IF(A1064="","",IF(ISNUMBER(--LEFT(A1064,FIND(" - ",A1064&amp;" - ")-1)),LEFT(A1064,FIND(" - ",A1064&amp;" - ")-1),TRIM(A1064)))</f>
        <v/>
      </c>
      <c r="M1064">
        <f>IF(OR(K1064="",K1064=A1064,A1064=""),"",K1064&amp;"|"&amp;L1064)</f>
        <v/>
      </c>
      <c r="N1064">
        <f>IF(M1064="","",IF(ISNUMBER(B1064),B1064,IFERROR(_xlfn.NUMBERVALUE(B1064,".",","),0)))</f>
        <v/>
      </c>
      <c r="O1064">
        <f>IF(M1064="","",IF(ISNUMBER(C1064),C1064,IFERROR(_xlfn.NUMBERVALUE(C1064,".",","),0)))</f>
        <v/>
      </c>
    </row>
    <row r="1065">
      <c r="K1065">
        <f>IF(OR(LEFT(B1065,9)="DOANH THU",LEFT(B1065,8)="SỐ LƯỢNG"),A1065,IF(A1065="","",K1064))</f>
        <v/>
      </c>
      <c r="L1065">
        <f>IF(A1065="","",IF(ISNUMBER(--LEFT(A1065,FIND(" - ",A1065&amp;" - ")-1)),LEFT(A1065,FIND(" - ",A1065&amp;" - ")-1),TRIM(A1065)))</f>
        <v/>
      </c>
      <c r="M1065">
        <f>IF(OR(K1065="",K1065=A1065,A1065=""),"",K1065&amp;"|"&amp;L1065)</f>
        <v/>
      </c>
      <c r="N1065">
        <f>IF(M1065="","",IF(ISNUMBER(B1065),B1065,IFERROR(_xlfn.NUMBERVALUE(B1065,".",","),0)))</f>
        <v/>
      </c>
      <c r="O1065">
        <f>IF(M1065="","",IF(ISNUMBER(C1065),C1065,IFERROR(_xlfn.NUMBERVALUE(C1065,".",","),0)))</f>
        <v/>
      </c>
    </row>
    <row r="1066">
      <c r="K1066">
        <f>IF(OR(LEFT(B1066,9)="DOANH THU",LEFT(B1066,8)="SỐ LƯỢNG"),A1066,IF(A1066="","",K1065))</f>
        <v/>
      </c>
      <c r="L1066">
        <f>IF(A1066="","",IF(ISNUMBER(--LEFT(A1066,FIND(" - ",A1066&amp;" - ")-1)),LEFT(A1066,FIND(" - ",A1066&amp;" - ")-1),TRIM(A1066)))</f>
        <v/>
      </c>
      <c r="M1066">
        <f>IF(OR(K1066="",K1066=A1066,A1066=""),"",K1066&amp;"|"&amp;L1066)</f>
        <v/>
      </c>
      <c r="N1066">
        <f>IF(M1066="","",IF(ISNUMBER(B1066),B1066,IFERROR(_xlfn.NUMBERVALUE(B1066,".",","),0)))</f>
        <v/>
      </c>
      <c r="O1066">
        <f>IF(M1066="","",IF(ISNUMBER(C1066),C1066,IFERROR(_xlfn.NUMBERVALUE(C1066,".",","),0)))</f>
        <v/>
      </c>
    </row>
    <row r="1067">
      <c r="K1067">
        <f>IF(OR(LEFT(B1067,9)="DOANH THU",LEFT(B1067,8)="SỐ LƯỢNG"),A1067,IF(A1067="","",K1066))</f>
        <v/>
      </c>
      <c r="L1067">
        <f>IF(A1067="","",IF(ISNUMBER(--LEFT(A1067,FIND(" - ",A1067&amp;" - ")-1)),LEFT(A1067,FIND(" - ",A1067&amp;" - ")-1),TRIM(A1067)))</f>
        <v/>
      </c>
      <c r="M1067">
        <f>IF(OR(K1067="",K1067=A1067,A1067=""),"",K1067&amp;"|"&amp;L1067)</f>
        <v/>
      </c>
      <c r="N1067">
        <f>IF(M1067="","",IF(ISNUMBER(B1067),B1067,IFERROR(_xlfn.NUMBERVALUE(B1067,".",","),0)))</f>
        <v/>
      </c>
      <c r="O1067">
        <f>IF(M1067="","",IF(ISNUMBER(C1067),C1067,IFERROR(_xlfn.NUMBERVALUE(C1067,".",","),0)))</f>
        <v/>
      </c>
    </row>
    <row r="1068">
      <c r="K1068">
        <f>IF(OR(LEFT(B1068,9)="DOANH THU",LEFT(B1068,8)="SỐ LƯỢNG"),A1068,IF(A1068="","",K1067))</f>
        <v/>
      </c>
      <c r="L1068">
        <f>IF(A1068="","",IF(ISNUMBER(--LEFT(A1068,FIND(" - ",A1068&amp;" - ")-1)),LEFT(A1068,FIND(" - ",A1068&amp;" - ")-1),TRIM(A1068)))</f>
        <v/>
      </c>
      <c r="M1068">
        <f>IF(OR(K1068="",K1068=A1068,A1068=""),"",K1068&amp;"|"&amp;L1068)</f>
        <v/>
      </c>
      <c r="N1068">
        <f>IF(M1068="","",IF(ISNUMBER(B1068),B1068,IFERROR(_xlfn.NUMBERVALUE(B1068,".",","),0)))</f>
        <v/>
      </c>
      <c r="O1068">
        <f>IF(M1068="","",IF(ISNUMBER(C1068),C1068,IFERROR(_xlfn.NUMBERVALUE(C1068,".",","),0)))</f>
        <v/>
      </c>
    </row>
    <row r="1069">
      <c r="K1069">
        <f>IF(OR(LEFT(B1069,9)="DOANH THU",LEFT(B1069,8)="SỐ LƯỢNG"),A1069,IF(A1069="","",K1068))</f>
        <v/>
      </c>
      <c r="L1069">
        <f>IF(A1069="","",IF(ISNUMBER(--LEFT(A1069,FIND(" - ",A1069&amp;" - ")-1)),LEFT(A1069,FIND(" - ",A1069&amp;" - ")-1),TRIM(A1069)))</f>
        <v/>
      </c>
      <c r="M1069">
        <f>IF(OR(K1069="",K1069=A1069,A1069=""),"",K1069&amp;"|"&amp;L1069)</f>
        <v/>
      </c>
      <c r="N1069">
        <f>IF(M1069="","",IF(ISNUMBER(B1069),B1069,IFERROR(_xlfn.NUMBERVALUE(B1069,".",","),0)))</f>
        <v/>
      </c>
      <c r="O1069">
        <f>IF(M1069="","",IF(ISNUMBER(C1069),C1069,IFERROR(_xlfn.NUMBERVALUE(C1069,".",","),0)))</f>
        <v/>
      </c>
    </row>
    <row r="1070">
      <c r="K1070">
        <f>IF(OR(LEFT(B1070,9)="DOANH THU",LEFT(B1070,8)="SỐ LƯỢNG"),A1070,IF(A1070="","",K1069))</f>
        <v/>
      </c>
      <c r="L1070">
        <f>IF(A1070="","",IF(ISNUMBER(--LEFT(A1070,FIND(" - ",A1070&amp;" - ")-1)),LEFT(A1070,FIND(" - ",A1070&amp;" - ")-1),TRIM(A1070)))</f>
        <v/>
      </c>
      <c r="M1070">
        <f>IF(OR(K1070="",K1070=A1070,A1070=""),"",K1070&amp;"|"&amp;L1070)</f>
        <v/>
      </c>
      <c r="N1070">
        <f>IF(M1070="","",IF(ISNUMBER(B1070),B1070,IFERROR(_xlfn.NUMBERVALUE(B1070,".",","),0)))</f>
        <v/>
      </c>
      <c r="O1070">
        <f>IF(M1070="","",IF(ISNUMBER(C1070),C1070,IFERROR(_xlfn.NUMBERVALUE(C1070,".",","),0)))</f>
        <v/>
      </c>
    </row>
    <row r="1071">
      <c r="K1071">
        <f>IF(OR(LEFT(B1071,9)="DOANH THU",LEFT(B1071,8)="SỐ LƯỢNG"),A1071,IF(A1071="","",K1070))</f>
        <v/>
      </c>
      <c r="L1071">
        <f>IF(A1071="","",IF(ISNUMBER(--LEFT(A1071,FIND(" - ",A1071&amp;" - ")-1)),LEFT(A1071,FIND(" - ",A1071&amp;" - ")-1),TRIM(A1071)))</f>
        <v/>
      </c>
      <c r="M1071">
        <f>IF(OR(K1071="",K1071=A1071,A1071=""),"",K1071&amp;"|"&amp;L1071)</f>
        <v/>
      </c>
      <c r="N1071">
        <f>IF(M1071="","",IF(ISNUMBER(B1071),B1071,IFERROR(_xlfn.NUMBERVALUE(B1071,".",","),0)))</f>
        <v/>
      </c>
      <c r="O1071">
        <f>IF(M1071="","",IF(ISNUMBER(C1071),C1071,IFERROR(_xlfn.NUMBERVALUE(C1071,".",","),0)))</f>
        <v/>
      </c>
    </row>
    <row r="1072">
      <c r="K1072">
        <f>IF(OR(LEFT(B1072,9)="DOANH THU",LEFT(B1072,8)="SỐ LƯỢNG"),A1072,IF(A1072="","",K1071))</f>
        <v/>
      </c>
      <c r="L1072">
        <f>IF(A1072="","",IF(ISNUMBER(--LEFT(A1072,FIND(" - ",A1072&amp;" - ")-1)),LEFT(A1072,FIND(" - ",A1072&amp;" - ")-1),TRIM(A1072)))</f>
        <v/>
      </c>
      <c r="M1072">
        <f>IF(OR(K1072="",K1072=A1072,A1072=""),"",K1072&amp;"|"&amp;L1072)</f>
        <v/>
      </c>
      <c r="N1072">
        <f>IF(M1072="","",IF(ISNUMBER(B1072),B1072,IFERROR(_xlfn.NUMBERVALUE(B1072,".",","),0)))</f>
        <v/>
      </c>
      <c r="O1072">
        <f>IF(M1072="","",IF(ISNUMBER(C1072),C1072,IFERROR(_xlfn.NUMBERVALUE(C1072,".",","),0)))</f>
        <v/>
      </c>
    </row>
    <row r="1073">
      <c r="K1073">
        <f>IF(OR(LEFT(B1073,9)="DOANH THU",LEFT(B1073,8)="SỐ LƯỢNG"),A1073,IF(A1073="","",K1072))</f>
        <v/>
      </c>
      <c r="L1073">
        <f>IF(A1073="","",IF(ISNUMBER(--LEFT(A1073,FIND(" - ",A1073&amp;" - ")-1)),LEFT(A1073,FIND(" - ",A1073&amp;" - ")-1),TRIM(A1073)))</f>
        <v/>
      </c>
      <c r="M1073">
        <f>IF(OR(K1073="",K1073=A1073,A1073=""),"",K1073&amp;"|"&amp;L1073)</f>
        <v/>
      </c>
      <c r="N1073">
        <f>IF(M1073="","",IF(ISNUMBER(B1073),B1073,IFERROR(_xlfn.NUMBERVALUE(B1073,".",","),0)))</f>
        <v/>
      </c>
      <c r="O1073">
        <f>IF(M1073="","",IF(ISNUMBER(C1073),C1073,IFERROR(_xlfn.NUMBERVALUE(C1073,".",","),0)))</f>
        <v/>
      </c>
    </row>
    <row r="1074">
      <c r="K1074">
        <f>IF(OR(LEFT(B1074,9)="DOANH THU",LEFT(B1074,8)="SỐ LƯỢNG"),A1074,IF(A1074="","",K1073))</f>
        <v/>
      </c>
      <c r="L1074">
        <f>IF(A1074="","",IF(ISNUMBER(--LEFT(A1074,FIND(" - ",A1074&amp;" - ")-1)),LEFT(A1074,FIND(" - ",A1074&amp;" - ")-1),TRIM(A1074)))</f>
        <v/>
      </c>
      <c r="M1074">
        <f>IF(OR(K1074="",K1074=A1074,A1074=""),"",K1074&amp;"|"&amp;L1074)</f>
        <v/>
      </c>
      <c r="N1074">
        <f>IF(M1074="","",IF(ISNUMBER(B1074),B1074,IFERROR(_xlfn.NUMBERVALUE(B1074,".",","),0)))</f>
        <v/>
      </c>
      <c r="O1074">
        <f>IF(M1074="","",IF(ISNUMBER(C1074),C1074,IFERROR(_xlfn.NUMBERVALUE(C1074,".",","),0)))</f>
        <v/>
      </c>
    </row>
    <row r="1075">
      <c r="K1075">
        <f>IF(OR(LEFT(B1075,9)="DOANH THU",LEFT(B1075,8)="SỐ LƯỢNG"),A1075,IF(A1075="","",K1074))</f>
        <v/>
      </c>
      <c r="L1075">
        <f>IF(A1075="","",IF(ISNUMBER(--LEFT(A1075,FIND(" - ",A1075&amp;" - ")-1)),LEFT(A1075,FIND(" - ",A1075&amp;" - ")-1),TRIM(A1075)))</f>
        <v/>
      </c>
      <c r="M1075">
        <f>IF(OR(K1075="",K1075=A1075,A1075=""),"",K1075&amp;"|"&amp;L1075)</f>
        <v/>
      </c>
      <c r="N1075">
        <f>IF(M1075="","",IF(ISNUMBER(B1075),B1075,IFERROR(_xlfn.NUMBERVALUE(B1075,".",","),0)))</f>
        <v/>
      </c>
      <c r="O1075">
        <f>IF(M1075="","",IF(ISNUMBER(C1075),C1075,IFERROR(_xlfn.NUMBERVALUE(C1075,".",","),0)))</f>
        <v/>
      </c>
    </row>
    <row r="1076">
      <c r="K1076">
        <f>IF(OR(LEFT(B1076,9)="DOANH THU",LEFT(B1076,8)="SỐ LƯỢNG"),A1076,IF(A1076="","",K1075))</f>
        <v/>
      </c>
      <c r="L1076">
        <f>IF(A1076="","",IF(ISNUMBER(--LEFT(A1076,FIND(" - ",A1076&amp;" - ")-1)),LEFT(A1076,FIND(" - ",A1076&amp;" - ")-1),TRIM(A1076)))</f>
        <v/>
      </c>
      <c r="M1076">
        <f>IF(OR(K1076="",K1076=A1076,A1076=""),"",K1076&amp;"|"&amp;L1076)</f>
        <v/>
      </c>
      <c r="N1076">
        <f>IF(M1076="","",IF(ISNUMBER(B1076),B1076,IFERROR(_xlfn.NUMBERVALUE(B1076,".",","),0)))</f>
        <v/>
      </c>
      <c r="O1076">
        <f>IF(M1076="","",IF(ISNUMBER(C1076),C1076,IFERROR(_xlfn.NUMBERVALUE(C1076,".",","),0)))</f>
        <v/>
      </c>
    </row>
    <row r="1077">
      <c r="K1077">
        <f>IF(OR(LEFT(B1077,9)="DOANH THU",LEFT(B1077,8)="SỐ LƯỢNG"),A1077,IF(A1077="","",K1076))</f>
        <v/>
      </c>
      <c r="L1077">
        <f>IF(A1077="","",IF(ISNUMBER(--LEFT(A1077,FIND(" - ",A1077&amp;" - ")-1)),LEFT(A1077,FIND(" - ",A1077&amp;" - ")-1),TRIM(A1077)))</f>
        <v/>
      </c>
      <c r="M1077">
        <f>IF(OR(K1077="",K1077=A1077,A1077=""),"",K1077&amp;"|"&amp;L1077)</f>
        <v/>
      </c>
      <c r="N1077">
        <f>IF(M1077="","",IF(ISNUMBER(B1077),B1077,IFERROR(_xlfn.NUMBERVALUE(B1077,".",","),0)))</f>
        <v/>
      </c>
      <c r="O1077">
        <f>IF(M1077="","",IF(ISNUMBER(C1077),C1077,IFERROR(_xlfn.NUMBERVALUE(C1077,".",","),0)))</f>
        <v/>
      </c>
    </row>
    <row r="1078">
      <c r="K1078">
        <f>IF(OR(LEFT(B1078,9)="DOANH THU",LEFT(B1078,8)="SỐ LƯỢNG"),A1078,IF(A1078="","",K1077))</f>
        <v/>
      </c>
      <c r="L1078">
        <f>IF(A1078="","",IF(ISNUMBER(--LEFT(A1078,FIND(" - ",A1078&amp;" - ")-1)),LEFT(A1078,FIND(" - ",A1078&amp;" - ")-1),TRIM(A1078)))</f>
        <v/>
      </c>
      <c r="M1078">
        <f>IF(OR(K1078="",K1078=A1078,A1078=""),"",K1078&amp;"|"&amp;L1078)</f>
        <v/>
      </c>
      <c r="N1078">
        <f>IF(M1078="","",IF(ISNUMBER(B1078),B1078,IFERROR(_xlfn.NUMBERVALUE(B1078,".",","),0)))</f>
        <v/>
      </c>
      <c r="O1078">
        <f>IF(M1078="","",IF(ISNUMBER(C1078),C1078,IFERROR(_xlfn.NUMBERVALUE(C1078,".",","),0)))</f>
        <v/>
      </c>
    </row>
    <row r="1079">
      <c r="K1079">
        <f>IF(OR(LEFT(B1079,9)="DOANH THU",LEFT(B1079,8)="SỐ LƯỢNG"),A1079,IF(A1079="","",K1078))</f>
        <v/>
      </c>
      <c r="L1079">
        <f>IF(A1079="","",IF(ISNUMBER(--LEFT(A1079,FIND(" - ",A1079&amp;" - ")-1)),LEFT(A1079,FIND(" - ",A1079&amp;" - ")-1),TRIM(A1079)))</f>
        <v/>
      </c>
      <c r="M1079">
        <f>IF(OR(K1079="",K1079=A1079,A1079=""),"",K1079&amp;"|"&amp;L1079)</f>
        <v/>
      </c>
      <c r="N1079">
        <f>IF(M1079="","",IF(ISNUMBER(B1079),B1079,IFERROR(_xlfn.NUMBERVALUE(B1079,".",","),0)))</f>
        <v/>
      </c>
      <c r="O1079">
        <f>IF(M1079="","",IF(ISNUMBER(C1079),C1079,IFERROR(_xlfn.NUMBERVALUE(C1079,".",","),0)))</f>
        <v/>
      </c>
    </row>
    <row r="1080">
      <c r="K1080">
        <f>IF(OR(LEFT(B1080,9)="DOANH THU",LEFT(B1080,8)="SỐ LƯỢNG"),A1080,IF(A1080="","",K1079))</f>
        <v/>
      </c>
      <c r="L1080">
        <f>IF(A1080="","",IF(ISNUMBER(--LEFT(A1080,FIND(" - ",A1080&amp;" - ")-1)),LEFT(A1080,FIND(" - ",A1080&amp;" - ")-1),TRIM(A1080)))</f>
        <v/>
      </c>
      <c r="M1080">
        <f>IF(OR(K1080="",K1080=A1080,A1080=""),"",K1080&amp;"|"&amp;L1080)</f>
        <v/>
      </c>
      <c r="N1080">
        <f>IF(M1080="","",IF(ISNUMBER(B1080),B1080,IFERROR(_xlfn.NUMBERVALUE(B1080,".",","),0)))</f>
        <v/>
      </c>
      <c r="O1080">
        <f>IF(M1080="","",IF(ISNUMBER(C1080),C1080,IFERROR(_xlfn.NUMBERVALUE(C1080,".",","),0)))</f>
        <v/>
      </c>
    </row>
    <row r="1081">
      <c r="K1081">
        <f>IF(OR(LEFT(B1081,9)="DOANH THU",LEFT(B1081,8)="SỐ LƯỢNG"),A1081,IF(A1081="","",K1080))</f>
        <v/>
      </c>
      <c r="L1081">
        <f>IF(A1081="","",IF(ISNUMBER(--LEFT(A1081,FIND(" - ",A1081&amp;" - ")-1)),LEFT(A1081,FIND(" - ",A1081&amp;" - ")-1),TRIM(A1081)))</f>
        <v/>
      </c>
      <c r="M1081">
        <f>IF(OR(K1081="",K1081=A1081,A1081=""),"",K1081&amp;"|"&amp;L1081)</f>
        <v/>
      </c>
      <c r="N1081">
        <f>IF(M1081="","",IF(ISNUMBER(B1081),B1081,IFERROR(_xlfn.NUMBERVALUE(B1081,".",","),0)))</f>
        <v/>
      </c>
      <c r="O1081">
        <f>IF(M1081="","",IF(ISNUMBER(C1081),C1081,IFERROR(_xlfn.NUMBERVALUE(C1081,".",","),0)))</f>
        <v/>
      </c>
    </row>
    <row r="1082">
      <c r="K1082">
        <f>IF(OR(LEFT(B1082,9)="DOANH THU",LEFT(B1082,8)="SỐ LƯỢNG"),A1082,IF(A1082="","",K1081))</f>
        <v/>
      </c>
      <c r="L1082">
        <f>IF(A1082="","",IF(ISNUMBER(--LEFT(A1082,FIND(" - ",A1082&amp;" - ")-1)),LEFT(A1082,FIND(" - ",A1082&amp;" - ")-1),TRIM(A1082)))</f>
        <v/>
      </c>
      <c r="M1082">
        <f>IF(OR(K1082="",K1082=A1082,A1082=""),"",K1082&amp;"|"&amp;L1082)</f>
        <v/>
      </c>
      <c r="N1082">
        <f>IF(M1082="","",IF(ISNUMBER(B1082),B1082,IFERROR(_xlfn.NUMBERVALUE(B1082,".",","),0)))</f>
        <v/>
      </c>
      <c r="O1082">
        <f>IF(M1082="","",IF(ISNUMBER(C1082),C1082,IFERROR(_xlfn.NUMBERVALUE(C1082,".",","),0)))</f>
        <v/>
      </c>
    </row>
    <row r="1083">
      <c r="K1083">
        <f>IF(OR(LEFT(B1083,9)="DOANH THU",LEFT(B1083,8)="SỐ LƯỢNG"),A1083,IF(A1083="","",K1082))</f>
        <v/>
      </c>
      <c r="L1083">
        <f>IF(A1083="","",IF(ISNUMBER(--LEFT(A1083,FIND(" - ",A1083&amp;" - ")-1)),LEFT(A1083,FIND(" - ",A1083&amp;" - ")-1),TRIM(A1083)))</f>
        <v/>
      </c>
      <c r="M1083">
        <f>IF(OR(K1083="",K1083=A1083,A1083=""),"",K1083&amp;"|"&amp;L1083)</f>
        <v/>
      </c>
      <c r="N1083">
        <f>IF(M1083="","",IF(ISNUMBER(B1083),B1083,IFERROR(_xlfn.NUMBERVALUE(B1083,".",","),0)))</f>
        <v/>
      </c>
      <c r="O1083">
        <f>IF(M1083="","",IF(ISNUMBER(C1083),C1083,IFERROR(_xlfn.NUMBERVALUE(C1083,".",","),0)))</f>
        <v/>
      </c>
    </row>
    <row r="1084">
      <c r="K1084">
        <f>IF(OR(LEFT(B1084,9)="DOANH THU",LEFT(B1084,8)="SỐ LƯỢNG"),A1084,IF(A1084="","",K1083))</f>
        <v/>
      </c>
      <c r="L1084">
        <f>IF(A1084="","",IF(ISNUMBER(--LEFT(A1084,FIND(" - ",A1084&amp;" - ")-1)),LEFT(A1084,FIND(" - ",A1084&amp;" - ")-1),TRIM(A1084)))</f>
        <v/>
      </c>
      <c r="M1084">
        <f>IF(OR(K1084="",K1084=A1084,A1084=""),"",K1084&amp;"|"&amp;L1084)</f>
        <v/>
      </c>
      <c r="N1084">
        <f>IF(M1084="","",IF(ISNUMBER(B1084),B1084,IFERROR(_xlfn.NUMBERVALUE(B1084,".",","),0)))</f>
        <v/>
      </c>
      <c r="O1084">
        <f>IF(M1084="","",IF(ISNUMBER(C1084),C1084,IFERROR(_xlfn.NUMBERVALUE(C1084,".",","),0)))</f>
        <v/>
      </c>
    </row>
    <row r="1085">
      <c r="K1085">
        <f>IF(OR(LEFT(B1085,9)="DOANH THU",LEFT(B1085,8)="SỐ LƯỢNG"),A1085,IF(A1085="","",K1084))</f>
        <v/>
      </c>
      <c r="L1085">
        <f>IF(A1085="","",IF(ISNUMBER(--LEFT(A1085,FIND(" - ",A1085&amp;" - ")-1)),LEFT(A1085,FIND(" - ",A1085&amp;" - ")-1),TRIM(A1085)))</f>
        <v/>
      </c>
      <c r="M1085">
        <f>IF(OR(K1085="",K1085=A1085,A1085=""),"",K1085&amp;"|"&amp;L1085)</f>
        <v/>
      </c>
      <c r="N1085">
        <f>IF(M1085="","",IF(ISNUMBER(B1085),B1085,IFERROR(_xlfn.NUMBERVALUE(B1085,".",","),0)))</f>
        <v/>
      </c>
      <c r="O1085">
        <f>IF(M1085="","",IF(ISNUMBER(C1085),C1085,IFERROR(_xlfn.NUMBERVALUE(C1085,".",","),0)))</f>
        <v/>
      </c>
    </row>
    <row r="1086">
      <c r="K1086">
        <f>IF(OR(LEFT(B1086,9)="DOANH THU",LEFT(B1086,8)="SỐ LƯỢNG"),A1086,IF(A1086="","",K1085))</f>
        <v/>
      </c>
      <c r="L1086">
        <f>IF(A1086="","",IF(ISNUMBER(--LEFT(A1086,FIND(" - ",A1086&amp;" - ")-1)),LEFT(A1086,FIND(" - ",A1086&amp;" - ")-1),TRIM(A1086)))</f>
        <v/>
      </c>
      <c r="M1086">
        <f>IF(OR(K1086="",K1086=A1086,A1086=""),"",K1086&amp;"|"&amp;L1086)</f>
        <v/>
      </c>
      <c r="N1086">
        <f>IF(M1086="","",IF(ISNUMBER(B1086),B1086,IFERROR(_xlfn.NUMBERVALUE(B1086,".",","),0)))</f>
        <v/>
      </c>
      <c r="O1086">
        <f>IF(M1086="","",IF(ISNUMBER(C1086),C1086,IFERROR(_xlfn.NUMBERVALUE(C1086,".",","),0)))</f>
        <v/>
      </c>
    </row>
    <row r="1087">
      <c r="K1087">
        <f>IF(OR(LEFT(B1087,9)="DOANH THU",LEFT(B1087,8)="SỐ LƯỢNG"),A1087,IF(A1087="","",K1086))</f>
        <v/>
      </c>
      <c r="L1087">
        <f>IF(A1087="","",IF(ISNUMBER(--LEFT(A1087,FIND(" - ",A1087&amp;" - ")-1)),LEFT(A1087,FIND(" - ",A1087&amp;" - ")-1),TRIM(A1087)))</f>
        <v/>
      </c>
      <c r="M1087">
        <f>IF(OR(K1087="",K1087=A1087,A1087=""),"",K1087&amp;"|"&amp;L1087)</f>
        <v/>
      </c>
      <c r="N1087">
        <f>IF(M1087="","",IF(ISNUMBER(B1087),B1087,IFERROR(_xlfn.NUMBERVALUE(B1087,".",","),0)))</f>
        <v/>
      </c>
      <c r="O1087">
        <f>IF(M1087="","",IF(ISNUMBER(C1087),C1087,IFERROR(_xlfn.NUMBERVALUE(C1087,".",","),0)))</f>
        <v/>
      </c>
    </row>
    <row r="1088">
      <c r="K1088">
        <f>IF(OR(LEFT(B1088,9)="DOANH THU",LEFT(B1088,8)="SỐ LƯỢNG"),A1088,IF(A1088="","",K1087))</f>
        <v/>
      </c>
      <c r="L1088">
        <f>IF(A1088="","",IF(ISNUMBER(--LEFT(A1088,FIND(" - ",A1088&amp;" - ")-1)),LEFT(A1088,FIND(" - ",A1088&amp;" - ")-1),TRIM(A1088)))</f>
        <v/>
      </c>
      <c r="M1088">
        <f>IF(OR(K1088="",K1088=A1088,A1088=""),"",K1088&amp;"|"&amp;L1088)</f>
        <v/>
      </c>
      <c r="N1088">
        <f>IF(M1088="","",IF(ISNUMBER(B1088),B1088,IFERROR(_xlfn.NUMBERVALUE(B1088,".",","),0)))</f>
        <v/>
      </c>
      <c r="O1088">
        <f>IF(M1088="","",IF(ISNUMBER(C1088),C1088,IFERROR(_xlfn.NUMBERVALUE(C1088,".",","),0)))</f>
        <v/>
      </c>
    </row>
    <row r="1089">
      <c r="K1089">
        <f>IF(OR(LEFT(B1089,9)="DOANH THU",LEFT(B1089,8)="SỐ LƯỢNG"),A1089,IF(A1089="","",K1088))</f>
        <v/>
      </c>
      <c r="L1089">
        <f>IF(A1089="","",IF(ISNUMBER(--LEFT(A1089,FIND(" - ",A1089&amp;" - ")-1)),LEFT(A1089,FIND(" - ",A1089&amp;" - ")-1),TRIM(A1089)))</f>
        <v/>
      </c>
      <c r="M1089">
        <f>IF(OR(K1089="",K1089=A1089,A1089=""),"",K1089&amp;"|"&amp;L1089)</f>
        <v/>
      </c>
      <c r="N1089">
        <f>IF(M1089="","",IF(ISNUMBER(B1089),B1089,IFERROR(_xlfn.NUMBERVALUE(B1089,".",","),0)))</f>
        <v/>
      </c>
      <c r="O1089">
        <f>IF(M1089="","",IF(ISNUMBER(C1089),C1089,IFERROR(_xlfn.NUMBERVALUE(C1089,".",","),0)))</f>
        <v/>
      </c>
    </row>
    <row r="1090">
      <c r="K1090">
        <f>IF(OR(LEFT(B1090,9)="DOANH THU",LEFT(B1090,8)="SỐ LƯỢNG"),A1090,IF(A1090="","",K1089))</f>
        <v/>
      </c>
      <c r="L1090">
        <f>IF(A1090="","",IF(ISNUMBER(--LEFT(A1090,FIND(" - ",A1090&amp;" - ")-1)),LEFT(A1090,FIND(" - ",A1090&amp;" - ")-1),TRIM(A1090)))</f>
        <v/>
      </c>
      <c r="M1090">
        <f>IF(OR(K1090="",K1090=A1090,A1090=""),"",K1090&amp;"|"&amp;L1090)</f>
        <v/>
      </c>
      <c r="N1090">
        <f>IF(M1090="","",IF(ISNUMBER(B1090),B1090,IFERROR(_xlfn.NUMBERVALUE(B1090,".",","),0)))</f>
        <v/>
      </c>
      <c r="O1090">
        <f>IF(M1090="","",IF(ISNUMBER(C1090),C1090,IFERROR(_xlfn.NUMBERVALUE(C1090,".",","),0)))</f>
        <v/>
      </c>
    </row>
    <row r="1091">
      <c r="K1091">
        <f>IF(OR(LEFT(B1091,9)="DOANH THU",LEFT(B1091,8)="SỐ LƯỢNG"),A1091,IF(A1091="","",K1090))</f>
        <v/>
      </c>
      <c r="L1091">
        <f>IF(A1091="","",IF(ISNUMBER(--LEFT(A1091,FIND(" - ",A1091&amp;" - ")-1)),LEFT(A1091,FIND(" - ",A1091&amp;" - ")-1),TRIM(A1091)))</f>
        <v/>
      </c>
      <c r="M1091">
        <f>IF(OR(K1091="",K1091=A1091,A1091=""),"",K1091&amp;"|"&amp;L1091)</f>
        <v/>
      </c>
      <c r="N1091">
        <f>IF(M1091="","",IF(ISNUMBER(B1091),B1091,IFERROR(_xlfn.NUMBERVALUE(B1091,".",","),0)))</f>
        <v/>
      </c>
      <c r="O1091">
        <f>IF(M1091="","",IF(ISNUMBER(C1091),C1091,IFERROR(_xlfn.NUMBERVALUE(C1091,".",","),0)))</f>
        <v/>
      </c>
    </row>
    <row r="1092">
      <c r="K1092">
        <f>IF(OR(LEFT(B1092,9)="DOANH THU",LEFT(B1092,8)="SỐ LƯỢNG"),A1092,IF(A1092="","",K1091))</f>
        <v/>
      </c>
      <c r="L1092">
        <f>IF(A1092="","",IF(ISNUMBER(--LEFT(A1092,FIND(" - ",A1092&amp;" - ")-1)),LEFT(A1092,FIND(" - ",A1092&amp;" - ")-1),TRIM(A1092)))</f>
        <v/>
      </c>
      <c r="M1092">
        <f>IF(OR(K1092="",K1092=A1092,A1092=""),"",K1092&amp;"|"&amp;L1092)</f>
        <v/>
      </c>
      <c r="N1092">
        <f>IF(M1092="","",IF(ISNUMBER(B1092),B1092,IFERROR(_xlfn.NUMBERVALUE(B1092,".",","),0)))</f>
        <v/>
      </c>
      <c r="O1092">
        <f>IF(M1092="","",IF(ISNUMBER(C1092),C1092,IFERROR(_xlfn.NUMBERVALUE(C1092,".",","),0)))</f>
        <v/>
      </c>
    </row>
    <row r="1093">
      <c r="K1093">
        <f>IF(OR(LEFT(B1093,9)="DOANH THU",LEFT(B1093,8)="SỐ LƯỢNG"),A1093,IF(A1093="","",K1092))</f>
        <v/>
      </c>
      <c r="L1093">
        <f>IF(A1093="","",IF(ISNUMBER(--LEFT(A1093,FIND(" - ",A1093&amp;" - ")-1)),LEFT(A1093,FIND(" - ",A1093&amp;" - ")-1),TRIM(A1093)))</f>
        <v/>
      </c>
      <c r="M1093">
        <f>IF(OR(K1093="",K1093=A1093,A1093=""),"",K1093&amp;"|"&amp;L1093)</f>
        <v/>
      </c>
      <c r="N1093">
        <f>IF(M1093="","",IF(ISNUMBER(B1093),B1093,IFERROR(_xlfn.NUMBERVALUE(B1093,".",","),0)))</f>
        <v/>
      </c>
      <c r="O1093">
        <f>IF(M1093="","",IF(ISNUMBER(C1093),C1093,IFERROR(_xlfn.NUMBERVALUE(C1093,".",","),0)))</f>
        <v/>
      </c>
    </row>
    <row r="1094">
      <c r="K1094">
        <f>IF(OR(LEFT(B1094,9)="DOANH THU",LEFT(B1094,8)="SỐ LƯỢNG"),A1094,IF(A1094="","",K1093))</f>
        <v/>
      </c>
      <c r="L1094">
        <f>IF(A1094="","",IF(ISNUMBER(--LEFT(A1094,FIND(" - ",A1094&amp;" - ")-1)),LEFT(A1094,FIND(" - ",A1094&amp;" - ")-1),TRIM(A1094)))</f>
        <v/>
      </c>
      <c r="M1094">
        <f>IF(OR(K1094="",K1094=A1094,A1094=""),"",K1094&amp;"|"&amp;L1094)</f>
        <v/>
      </c>
      <c r="N1094">
        <f>IF(M1094="","",IF(ISNUMBER(B1094),B1094,IFERROR(_xlfn.NUMBERVALUE(B1094,".",","),0)))</f>
        <v/>
      </c>
      <c r="O1094">
        <f>IF(M1094="","",IF(ISNUMBER(C1094),C1094,IFERROR(_xlfn.NUMBERVALUE(C1094,".",","),0)))</f>
        <v/>
      </c>
    </row>
    <row r="1095">
      <c r="K1095">
        <f>IF(OR(LEFT(B1095,9)="DOANH THU",LEFT(B1095,8)="SỐ LƯỢNG"),A1095,IF(A1095="","",K1094))</f>
        <v/>
      </c>
      <c r="L1095">
        <f>IF(A1095="","",IF(ISNUMBER(--LEFT(A1095,FIND(" - ",A1095&amp;" - ")-1)),LEFT(A1095,FIND(" - ",A1095&amp;" - ")-1),TRIM(A1095)))</f>
        <v/>
      </c>
      <c r="M1095">
        <f>IF(OR(K1095="",K1095=A1095,A1095=""),"",K1095&amp;"|"&amp;L1095)</f>
        <v/>
      </c>
      <c r="N1095">
        <f>IF(M1095="","",IF(ISNUMBER(B1095),B1095,IFERROR(_xlfn.NUMBERVALUE(B1095,".",","),0)))</f>
        <v/>
      </c>
      <c r="O1095">
        <f>IF(M1095="","",IF(ISNUMBER(C1095),C1095,IFERROR(_xlfn.NUMBERVALUE(C1095,".",","),0)))</f>
        <v/>
      </c>
    </row>
    <row r="1096">
      <c r="K1096">
        <f>IF(OR(LEFT(B1096,9)="DOANH THU",LEFT(B1096,8)="SỐ LƯỢNG"),A1096,IF(A1096="","",K1095))</f>
        <v/>
      </c>
      <c r="L1096">
        <f>IF(A1096="","",IF(ISNUMBER(--LEFT(A1096,FIND(" - ",A1096&amp;" - ")-1)),LEFT(A1096,FIND(" - ",A1096&amp;" - ")-1),TRIM(A1096)))</f>
        <v/>
      </c>
      <c r="M1096">
        <f>IF(OR(K1096="",K1096=A1096,A1096=""),"",K1096&amp;"|"&amp;L1096)</f>
        <v/>
      </c>
      <c r="N1096">
        <f>IF(M1096="","",IF(ISNUMBER(B1096),B1096,IFERROR(_xlfn.NUMBERVALUE(B1096,".",","),0)))</f>
        <v/>
      </c>
      <c r="O1096">
        <f>IF(M1096="","",IF(ISNUMBER(C1096),C1096,IFERROR(_xlfn.NUMBERVALUE(C1096,".",","),0)))</f>
        <v/>
      </c>
    </row>
    <row r="1097">
      <c r="K1097">
        <f>IF(OR(LEFT(B1097,9)="DOANH THU",LEFT(B1097,8)="SỐ LƯỢNG"),A1097,IF(A1097="","",K1096))</f>
        <v/>
      </c>
      <c r="L1097">
        <f>IF(A1097="","",IF(ISNUMBER(--LEFT(A1097,FIND(" - ",A1097&amp;" - ")-1)),LEFT(A1097,FIND(" - ",A1097&amp;" - ")-1),TRIM(A1097)))</f>
        <v/>
      </c>
      <c r="M1097">
        <f>IF(OR(K1097="",K1097=A1097,A1097=""),"",K1097&amp;"|"&amp;L1097)</f>
        <v/>
      </c>
      <c r="N1097">
        <f>IF(M1097="","",IF(ISNUMBER(B1097),B1097,IFERROR(_xlfn.NUMBERVALUE(B1097,".",","),0)))</f>
        <v/>
      </c>
      <c r="O1097">
        <f>IF(M1097="","",IF(ISNUMBER(C1097),C1097,IFERROR(_xlfn.NUMBERVALUE(C1097,".",","),0)))</f>
        <v/>
      </c>
    </row>
    <row r="1098">
      <c r="K1098">
        <f>IF(OR(LEFT(B1098,9)="DOANH THU",LEFT(B1098,8)="SỐ LƯỢNG"),A1098,IF(A1098="","",K1097))</f>
        <v/>
      </c>
      <c r="L1098">
        <f>IF(A1098="","",IF(ISNUMBER(--LEFT(A1098,FIND(" - ",A1098&amp;" - ")-1)),LEFT(A1098,FIND(" - ",A1098&amp;" - ")-1),TRIM(A1098)))</f>
        <v/>
      </c>
      <c r="M1098">
        <f>IF(OR(K1098="",K1098=A1098,A1098=""),"",K1098&amp;"|"&amp;L1098)</f>
        <v/>
      </c>
      <c r="N1098">
        <f>IF(M1098="","",IF(ISNUMBER(B1098),B1098,IFERROR(_xlfn.NUMBERVALUE(B1098,".",","),0)))</f>
        <v/>
      </c>
      <c r="O1098">
        <f>IF(M1098="","",IF(ISNUMBER(C1098),C1098,IFERROR(_xlfn.NUMBERVALUE(C1098,".",","),0)))</f>
        <v/>
      </c>
    </row>
    <row r="1099">
      <c r="K1099">
        <f>IF(OR(LEFT(B1099,9)="DOANH THU",LEFT(B1099,8)="SỐ LƯỢNG"),A1099,IF(A1099="","",K1098))</f>
        <v/>
      </c>
      <c r="L1099">
        <f>IF(A1099="","",IF(ISNUMBER(--LEFT(A1099,FIND(" - ",A1099&amp;" - ")-1)),LEFT(A1099,FIND(" - ",A1099&amp;" - ")-1),TRIM(A1099)))</f>
        <v/>
      </c>
      <c r="M1099">
        <f>IF(OR(K1099="",K1099=A1099,A1099=""),"",K1099&amp;"|"&amp;L1099)</f>
        <v/>
      </c>
      <c r="N1099">
        <f>IF(M1099="","",IF(ISNUMBER(B1099),B1099,IFERROR(_xlfn.NUMBERVALUE(B1099,".",","),0)))</f>
        <v/>
      </c>
      <c r="O1099">
        <f>IF(M1099="","",IF(ISNUMBER(C1099),C1099,IFERROR(_xlfn.NUMBERVALUE(C1099,".",","),0)))</f>
        <v/>
      </c>
    </row>
    <row r="1100">
      <c r="K1100">
        <f>IF(OR(LEFT(B1100,9)="DOANH THU",LEFT(B1100,8)="SỐ LƯỢNG"),A1100,IF(A1100="","",K1099))</f>
        <v/>
      </c>
      <c r="L1100">
        <f>IF(A1100="","",IF(ISNUMBER(--LEFT(A1100,FIND(" - ",A1100&amp;" - ")-1)),LEFT(A1100,FIND(" - ",A1100&amp;" - ")-1),TRIM(A1100)))</f>
        <v/>
      </c>
      <c r="M1100">
        <f>IF(OR(K1100="",K1100=A1100,A1100=""),"",K1100&amp;"|"&amp;L1100)</f>
        <v/>
      </c>
      <c r="N1100">
        <f>IF(M1100="","",IF(ISNUMBER(B1100),B1100,IFERROR(_xlfn.NUMBERVALUE(B1100,".",","),0)))</f>
        <v/>
      </c>
      <c r="O1100">
        <f>IF(M1100="","",IF(ISNUMBER(C1100),C1100,IFERROR(_xlfn.NUMBERVALUE(C1100,".",","),0)))</f>
        <v/>
      </c>
    </row>
    <row r="1101">
      <c r="K1101">
        <f>IF(OR(LEFT(B1101,9)="DOANH THU",LEFT(B1101,8)="SỐ LƯỢNG"),A1101,IF(A1101="","",K1100))</f>
        <v/>
      </c>
      <c r="L1101">
        <f>IF(A1101="","",IF(ISNUMBER(--LEFT(A1101,FIND(" - ",A1101&amp;" - ")-1)),LEFT(A1101,FIND(" - ",A1101&amp;" - ")-1),TRIM(A1101)))</f>
        <v/>
      </c>
      <c r="M1101">
        <f>IF(OR(K1101="",K1101=A1101,A1101=""),"",K1101&amp;"|"&amp;L1101)</f>
        <v/>
      </c>
      <c r="N1101">
        <f>IF(M1101="","",IF(ISNUMBER(B1101),B1101,IFERROR(_xlfn.NUMBERVALUE(B1101,".",","),0)))</f>
        <v/>
      </c>
      <c r="O1101">
        <f>IF(M1101="","",IF(ISNUMBER(C1101),C1101,IFERROR(_xlfn.NUMBERVALUE(C1101,".",","),0)))</f>
        <v/>
      </c>
    </row>
    <row r="1102">
      <c r="K1102">
        <f>IF(OR(LEFT(B1102,9)="DOANH THU",LEFT(B1102,8)="SỐ LƯỢNG"),A1102,IF(A1102="","",K1101))</f>
        <v/>
      </c>
      <c r="L1102">
        <f>IF(A1102="","",IF(ISNUMBER(--LEFT(A1102,FIND(" - ",A1102&amp;" - ")-1)),LEFT(A1102,FIND(" - ",A1102&amp;" - ")-1),TRIM(A1102)))</f>
        <v/>
      </c>
      <c r="M1102">
        <f>IF(OR(K1102="",K1102=A1102,A1102=""),"",K1102&amp;"|"&amp;L1102)</f>
        <v/>
      </c>
      <c r="N1102">
        <f>IF(M1102="","",IF(ISNUMBER(B1102),B1102,IFERROR(_xlfn.NUMBERVALUE(B1102,".",","),0)))</f>
        <v/>
      </c>
      <c r="O1102">
        <f>IF(M1102="","",IF(ISNUMBER(C1102),C1102,IFERROR(_xlfn.NUMBERVALUE(C1102,".",","),0)))</f>
        <v/>
      </c>
    </row>
    <row r="1103">
      <c r="K1103">
        <f>IF(OR(LEFT(B1103,9)="DOANH THU",LEFT(B1103,8)="SỐ LƯỢNG"),A1103,IF(A1103="","",K1102))</f>
        <v/>
      </c>
      <c r="L1103">
        <f>IF(A1103="","",IF(ISNUMBER(--LEFT(A1103,FIND(" - ",A1103&amp;" - ")-1)),LEFT(A1103,FIND(" - ",A1103&amp;" - ")-1),TRIM(A1103)))</f>
        <v/>
      </c>
      <c r="M1103">
        <f>IF(OR(K1103="",K1103=A1103,A1103=""),"",K1103&amp;"|"&amp;L1103)</f>
        <v/>
      </c>
      <c r="N1103">
        <f>IF(M1103="","",IF(ISNUMBER(B1103),B1103,IFERROR(_xlfn.NUMBERVALUE(B1103,".",","),0)))</f>
        <v/>
      </c>
      <c r="O1103">
        <f>IF(M1103="","",IF(ISNUMBER(C1103),C1103,IFERROR(_xlfn.NUMBERVALUE(C1103,".",","),0)))</f>
        <v/>
      </c>
    </row>
    <row r="1104">
      <c r="K1104">
        <f>IF(OR(LEFT(B1104,9)="DOANH THU",LEFT(B1104,8)="SỐ LƯỢNG"),A1104,IF(A1104="","",K1103))</f>
        <v/>
      </c>
      <c r="L1104">
        <f>IF(A1104="","",IF(ISNUMBER(--LEFT(A1104,FIND(" - ",A1104&amp;" - ")-1)),LEFT(A1104,FIND(" - ",A1104&amp;" - ")-1),TRIM(A1104)))</f>
        <v/>
      </c>
      <c r="M1104">
        <f>IF(OR(K1104="",K1104=A1104,A1104=""),"",K1104&amp;"|"&amp;L1104)</f>
        <v/>
      </c>
      <c r="N1104">
        <f>IF(M1104="","",IF(ISNUMBER(B1104),B1104,IFERROR(_xlfn.NUMBERVALUE(B1104,".",","),0)))</f>
        <v/>
      </c>
      <c r="O1104">
        <f>IF(M1104="","",IF(ISNUMBER(C1104),C1104,IFERROR(_xlfn.NUMBERVALUE(C1104,".",","),0)))</f>
        <v/>
      </c>
    </row>
    <row r="1105">
      <c r="K1105">
        <f>IF(OR(LEFT(B1105,9)="DOANH THU",LEFT(B1105,8)="SỐ LƯỢNG"),A1105,IF(A1105="","",K1104))</f>
        <v/>
      </c>
      <c r="L1105">
        <f>IF(A1105="","",IF(ISNUMBER(--LEFT(A1105,FIND(" - ",A1105&amp;" - ")-1)),LEFT(A1105,FIND(" - ",A1105&amp;" - ")-1),TRIM(A1105)))</f>
        <v/>
      </c>
      <c r="M1105">
        <f>IF(OR(K1105="",K1105=A1105,A1105=""),"",K1105&amp;"|"&amp;L1105)</f>
        <v/>
      </c>
      <c r="N1105">
        <f>IF(M1105="","",IF(ISNUMBER(B1105),B1105,IFERROR(_xlfn.NUMBERVALUE(B1105,".",","),0)))</f>
        <v/>
      </c>
      <c r="O1105">
        <f>IF(M1105="","",IF(ISNUMBER(C1105),C1105,IFERROR(_xlfn.NUMBERVALUE(C1105,".",","),0)))</f>
        <v/>
      </c>
    </row>
    <row r="1106">
      <c r="K1106">
        <f>IF(OR(LEFT(B1106,9)="DOANH THU",LEFT(B1106,8)="SỐ LƯỢNG"),A1106,IF(A1106="","",K1105))</f>
        <v/>
      </c>
      <c r="L1106">
        <f>IF(A1106="","",IF(ISNUMBER(--LEFT(A1106,FIND(" - ",A1106&amp;" - ")-1)),LEFT(A1106,FIND(" - ",A1106&amp;" - ")-1),TRIM(A1106)))</f>
        <v/>
      </c>
      <c r="M1106">
        <f>IF(OR(K1106="",K1106=A1106,A1106=""),"",K1106&amp;"|"&amp;L1106)</f>
        <v/>
      </c>
      <c r="N1106">
        <f>IF(M1106="","",IF(ISNUMBER(B1106),B1106,IFERROR(_xlfn.NUMBERVALUE(B1106,".",","),0)))</f>
        <v/>
      </c>
      <c r="O1106">
        <f>IF(M1106="","",IF(ISNUMBER(C1106),C1106,IFERROR(_xlfn.NUMBERVALUE(C1106,".",","),0)))</f>
        <v/>
      </c>
    </row>
    <row r="1107">
      <c r="K1107">
        <f>IF(OR(LEFT(B1107,9)="DOANH THU",LEFT(B1107,8)="SỐ LƯỢNG"),A1107,IF(A1107="","",K1106))</f>
        <v/>
      </c>
      <c r="L1107">
        <f>IF(A1107="","",IF(ISNUMBER(--LEFT(A1107,FIND(" - ",A1107&amp;" - ")-1)),LEFT(A1107,FIND(" - ",A1107&amp;" - ")-1),TRIM(A1107)))</f>
        <v/>
      </c>
      <c r="M1107">
        <f>IF(OR(K1107="",K1107=A1107,A1107=""),"",K1107&amp;"|"&amp;L1107)</f>
        <v/>
      </c>
      <c r="N1107">
        <f>IF(M1107="","",IF(ISNUMBER(B1107),B1107,IFERROR(_xlfn.NUMBERVALUE(B1107,".",","),0)))</f>
        <v/>
      </c>
      <c r="O1107">
        <f>IF(M1107="","",IF(ISNUMBER(C1107),C1107,IFERROR(_xlfn.NUMBERVALUE(C1107,".",","),0)))</f>
        <v/>
      </c>
    </row>
    <row r="1108">
      <c r="K1108">
        <f>IF(OR(LEFT(B1108,9)="DOANH THU",LEFT(B1108,8)="SỐ LƯỢNG"),A1108,IF(A1108="","",K1107))</f>
        <v/>
      </c>
      <c r="L1108">
        <f>IF(A1108="","",IF(ISNUMBER(--LEFT(A1108,FIND(" - ",A1108&amp;" - ")-1)),LEFT(A1108,FIND(" - ",A1108&amp;" - ")-1),TRIM(A1108)))</f>
        <v/>
      </c>
      <c r="M1108">
        <f>IF(OR(K1108="",K1108=A1108,A1108=""),"",K1108&amp;"|"&amp;L1108)</f>
        <v/>
      </c>
      <c r="N1108">
        <f>IF(M1108="","",IF(ISNUMBER(B1108),B1108,IFERROR(_xlfn.NUMBERVALUE(B1108,".",","),0)))</f>
        <v/>
      </c>
      <c r="O1108">
        <f>IF(M1108="","",IF(ISNUMBER(C1108),C1108,IFERROR(_xlfn.NUMBERVALUE(C1108,".",","),0)))</f>
        <v/>
      </c>
    </row>
    <row r="1109">
      <c r="K1109">
        <f>IF(OR(LEFT(B1109,9)="DOANH THU",LEFT(B1109,8)="SỐ LƯỢNG"),A1109,IF(A1109="","",K1108))</f>
        <v/>
      </c>
      <c r="L1109">
        <f>IF(A1109="","",IF(ISNUMBER(--LEFT(A1109,FIND(" - ",A1109&amp;" - ")-1)),LEFT(A1109,FIND(" - ",A1109&amp;" - ")-1),TRIM(A1109)))</f>
        <v/>
      </c>
      <c r="M1109">
        <f>IF(OR(K1109="",K1109=A1109,A1109=""),"",K1109&amp;"|"&amp;L1109)</f>
        <v/>
      </c>
      <c r="N1109">
        <f>IF(M1109="","",IF(ISNUMBER(B1109),B1109,IFERROR(_xlfn.NUMBERVALUE(B1109,".",","),0)))</f>
        <v/>
      </c>
      <c r="O1109">
        <f>IF(M1109="","",IF(ISNUMBER(C1109),C1109,IFERROR(_xlfn.NUMBERVALUE(C1109,".",","),0)))</f>
        <v/>
      </c>
    </row>
    <row r="1110">
      <c r="K1110">
        <f>IF(OR(LEFT(B1110,9)="DOANH THU",LEFT(B1110,8)="SỐ LƯỢNG"),A1110,IF(A1110="","",K1109))</f>
        <v/>
      </c>
      <c r="L1110">
        <f>IF(A1110="","",IF(ISNUMBER(--LEFT(A1110,FIND(" - ",A1110&amp;" - ")-1)),LEFT(A1110,FIND(" - ",A1110&amp;" - ")-1),TRIM(A1110)))</f>
        <v/>
      </c>
      <c r="M1110">
        <f>IF(OR(K1110="",K1110=A1110,A1110=""),"",K1110&amp;"|"&amp;L1110)</f>
        <v/>
      </c>
      <c r="N1110">
        <f>IF(M1110="","",IF(ISNUMBER(B1110),B1110,IFERROR(_xlfn.NUMBERVALUE(B1110,".",","),0)))</f>
        <v/>
      </c>
      <c r="O1110">
        <f>IF(M1110="","",IF(ISNUMBER(C1110),C1110,IFERROR(_xlfn.NUMBERVALUE(C1110,".",","),0)))</f>
        <v/>
      </c>
    </row>
    <row r="1111">
      <c r="K1111">
        <f>IF(OR(LEFT(B1111,9)="DOANH THU",LEFT(B1111,8)="SỐ LƯỢNG"),A1111,IF(A1111="","",K1110))</f>
        <v/>
      </c>
      <c r="L1111">
        <f>IF(A1111="","",IF(ISNUMBER(--LEFT(A1111,FIND(" - ",A1111&amp;" - ")-1)),LEFT(A1111,FIND(" - ",A1111&amp;" - ")-1),TRIM(A1111)))</f>
        <v/>
      </c>
      <c r="M1111">
        <f>IF(OR(K1111="",K1111=A1111,A1111=""),"",K1111&amp;"|"&amp;L1111)</f>
        <v/>
      </c>
      <c r="N1111">
        <f>IF(M1111="","",IF(ISNUMBER(B1111),B1111,IFERROR(_xlfn.NUMBERVALUE(B1111,".",","),0)))</f>
        <v/>
      </c>
      <c r="O1111">
        <f>IF(M1111="","",IF(ISNUMBER(C1111),C1111,IFERROR(_xlfn.NUMBERVALUE(C1111,".",","),0)))</f>
        <v/>
      </c>
    </row>
    <row r="1112">
      <c r="K1112">
        <f>IF(OR(LEFT(B1112,9)="DOANH THU",LEFT(B1112,8)="SỐ LƯỢNG"),A1112,IF(A1112="","",K1111))</f>
        <v/>
      </c>
      <c r="L1112">
        <f>IF(A1112="","",IF(ISNUMBER(--LEFT(A1112,FIND(" - ",A1112&amp;" - ")-1)),LEFT(A1112,FIND(" - ",A1112&amp;" - ")-1),TRIM(A1112)))</f>
        <v/>
      </c>
      <c r="M1112">
        <f>IF(OR(K1112="",K1112=A1112,A1112=""),"",K1112&amp;"|"&amp;L1112)</f>
        <v/>
      </c>
      <c r="N1112">
        <f>IF(M1112="","",IF(ISNUMBER(B1112),B1112,IFERROR(_xlfn.NUMBERVALUE(B1112,".",","),0)))</f>
        <v/>
      </c>
      <c r="O1112">
        <f>IF(M1112="","",IF(ISNUMBER(C1112),C1112,IFERROR(_xlfn.NUMBERVALUE(C1112,".",","),0)))</f>
        <v/>
      </c>
    </row>
    <row r="1113">
      <c r="K1113">
        <f>IF(OR(LEFT(B1113,9)="DOANH THU",LEFT(B1113,8)="SỐ LƯỢNG"),A1113,IF(A1113="","",K1112))</f>
        <v/>
      </c>
      <c r="L1113">
        <f>IF(A1113="","",IF(ISNUMBER(--LEFT(A1113,FIND(" - ",A1113&amp;" - ")-1)),LEFT(A1113,FIND(" - ",A1113&amp;" - ")-1),TRIM(A1113)))</f>
        <v/>
      </c>
      <c r="M1113">
        <f>IF(OR(K1113="",K1113=A1113,A1113=""),"",K1113&amp;"|"&amp;L1113)</f>
        <v/>
      </c>
      <c r="N1113">
        <f>IF(M1113="","",IF(ISNUMBER(B1113),B1113,IFERROR(_xlfn.NUMBERVALUE(B1113,".",","),0)))</f>
        <v/>
      </c>
      <c r="O1113">
        <f>IF(M1113="","",IF(ISNUMBER(C1113),C1113,IFERROR(_xlfn.NUMBERVALUE(C1113,".",","),0)))</f>
        <v/>
      </c>
    </row>
    <row r="1114">
      <c r="K1114">
        <f>IF(OR(LEFT(B1114,9)="DOANH THU",LEFT(B1114,8)="SỐ LƯỢNG"),A1114,IF(A1114="","",K1113))</f>
        <v/>
      </c>
      <c r="L1114">
        <f>IF(A1114="","",IF(ISNUMBER(--LEFT(A1114,FIND(" - ",A1114&amp;" - ")-1)),LEFT(A1114,FIND(" - ",A1114&amp;" - ")-1),TRIM(A1114)))</f>
        <v/>
      </c>
      <c r="M1114">
        <f>IF(OR(K1114="",K1114=A1114,A1114=""),"",K1114&amp;"|"&amp;L1114)</f>
        <v/>
      </c>
      <c r="N1114">
        <f>IF(M1114="","",IF(ISNUMBER(B1114),B1114,IFERROR(_xlfn.NUMBERVALUE(B1114,".",","),0)))</f>
        <v/>
      </c>
      <c r="O1114">
        <f>IF(M1114="","",IF(ISNUMBER(C1114),C1114,IFERROR(_xlfn.NUMBERVALUE(C1114,".",","),0)))</f>
        <v/>
      </c>
    </row>
    <row r="1115">
      <c r="K1115">
        <f>IF(OR(LEFT(B1115,9)="DOANH THU",LEFT(B1115,8)="SỐ LƯỢNG"),A1115,IF(A1115="","",K1114))</f>
        <v/>
      </c>
      <c r="L1115">
        <f>IF(A1115="","",IF(ISNUMBER(--LEFT(A1115,FIND(" - ",A1115&amp;" - ")-1)),LEFT(A1115,FIND(" - ",A1115&amp;" - ")-1),TRIM(A1115)))</f>
        <v/>
      </c>
      <c r="M1115">
        <f>IF(OR(K1115="",K1115=A1115,A1115=""),"",K1115&amp;"|"&amp;L1115)</f>
        <v/>
      </c>
      <c r="N1115">
        <f>IF(M1115="","",IF(ISNUMBER(B1115),B1115,IFERROR(_xlfn.NUMBERVALUE(B1115,".",","),0)))</f>
        <v/>
      </c>
      <c r="O1115">
        <f>IF(M1115="","",IF(ISNUMBER(C1115),C1115,IFERROR(_xlfn.NUMBERVALUE(C1115,".",","),0)))</f>
        <v/>
      </c>
    </row>
    <row r="1116">
      <c r="K1116">
        <f>IF(OR(LEFT(B1116,9)="DOANH THU",LEFT(B1116,8)="SỐ LƯỢNG"),A1116,IF(A1116="","",K1115))</f>
        <v/>
      </c>
      <c r="L1116">
        <f>IF(A1116="","",IF(ISNUMBER(--LEFT(A1116,FIND(" - ",A1116&amp;" - ")-1)),LEFT(A1116,FIND(" - ",A1116&amp;" - ")-1),TRIM(A1116)))</f>
        <v/>
      </c>
      <c r="M1116">
        <f>IF(OR(K1116="",K1116=A1116,A1116=""),"",K1116&amp;"|"&amp;L1116)</f>
        <v/>
      </c>
      <c r="N1116">
        <f>IF(M1116="","",IF(ISNUMBER(B1116),B1116,IFERROR(_xlfn.NUMBERVALUE(B1116,".",","),0)))</f>
        <v/>
      </c>
      <c r="O1116">
        <f>IF(M1116="","",IF(ISNUMBER(C1116),C1116,IFERROR(_xlfn.NUMBERVALUE(C1116,".",","),0)))</f>
        <v/>
      </c>
    </row>
    <row r="1117">
      <c r="K1117">
        <f>IF(OR(LEFT(B1117,9)="DOANH THU",LEFT(B1117,8)="SỐ LƯỢNG"),A1117,IF(A1117="","",K1116))</f>
        <v/>
      </c>
      <c r="L1117">
        <f>IF(A1117="","",IF(ISNUMBER(--LEFT(A1117,FIND(" - ",A1117&amp;" - ")-1)),LEFT(A1117,FIND(" - ",A1117&amp;" - ")-1),TRIM(A1117)))</f>
        <v/>
      </c>
      <c r="M1117">
        <f>IF(OR(K1117="",K1117=A1117,A1117=""),"",K1117&amp;"|"&amp;L1117)</f>
        <v/>
      </c>
      <c r="N1117">
        <f>IF(M1117="","",IF(ISNUMBER(B1117),B1117,IFERROR(_xlfn.NUMBERVALUE(B1117,".",","),0)))</f>
        <v/>
      </c>
      <c r="O1117">
        <f>IF(M1117="","",IF(ISNUMBER(C1117),C1117,IFERROR(_xlfn.NUMBERVALUE(C1117,".",","),0)))</f>
        <v/>
      </c>
    </row>
    <row r="1118">
      <c r="K1118">
        <f>IF(OR(LEFT(B1118,9)="DOANH THU",LEFT(B1118,8)="SỐ LƯỢNG"),A1118,IF(A1118="","",K1117))</f>
        <v/>
      </c>
      <c r="L1118">
        <f>IF(A1118="","",IF(ISNUMBER(--LEFT(A1118,FIND(" - ",A1118&amp;" - ")-1)),LEFT(A1118,FIND(" - ",A1118&amp;" - ")-1),TRIM(A1118)))</f>
        <v/>
      </c>
      <c r="M1118">
        <f>IF(OR(K1118="",K1118=A1118,A1118=""),"",K1118&amp;"|"&amp;L1118)</f>
        <v/>
      </c>
      <c r="N1118">
        <f>IF(M1118="","",IF(ISNUMBER(B1118),B1118,IFERROR(_xlfn.NUMBERVALUE(B1118,".",","),0)))</f>
        <v/>
      </c>
      <c r="O1118">
        <f>IF(M1118="","",IF(ISNUMBER(C1118),C1118,IFERROR(_xlfn.NUMBERVALUE(C1118,".",","),0)))</f>
        <v/>
      </c>
    </row>
    <row r="1119">
      <c r="K1119">
        <f>IF(OR(LEFT(B1119,9)="DOANH THU",LEFT(B1119,8)="SỐ LƯỢNG"),A1119,IF(A1119="","",K1118))</f>
        <v/>
      </c>
      <c r="L1119">
        <f>IF(A1119="","",IF(ISNUMBER(--LEFT(A1119,FIND(" - ",A1119&amp;" - ")-1)),LEFT(A1119,FIND(" - ",A1119&amp;" - ")-1),TRIM(A1119)))</f>
        <v/>
      </c>
      <c r="M1119">
        <f>IF(OR(K1119="",K1119=A1119,A1119=""),"",K1119&amp;"|"&amp;L1119)</f>
        <v/>
      </c>
      <c r="N1119">
        <f>IF(M1119="","",IF(ISNUMBER(B1119),B1119,IFERROR(_xlfn.NUMBERVALUE(B1119,".",","),0)))</f>
        <v/>
      </c>
      <c r="O1119">
        <f>IF(M1119="","",IF(ISNUMBER(C1119),C1119,IFERROR(_xlfn.NUMBERVALUE(C1119,".",","),0)))</f>
        <v/>
      </c>
    </row>
    <row r="1120">
      <c r="K1120">
        <f>IF(OR(LEFT(B1120,9)="DOANH THU",LEFT(B1120,8)="SỐ LƯỢNG"),A1120,IF(A1120="","",K1119))</f>
        <v/>
      </c>
      <c r="L1120">
        <f>IF(A1120="","",IF(ISNUMBER(--LEFT(A1120,FIND(" - ",A1120&amp;" - ")-1)),LEFT(A1120,FIND(" - ",A1120&amp;" - ")-1),TRIM(A1120)))</f>
        <v/>
      </c>
      <c r="M1120">
        <f>IF(OR(K1120="",K1120=A1120,A1120=""),"",K1120&amp;"|"&amp;L1120)</f>
        <v/>
      </c>
      <c r="N1120">
        <f>IF(M1120="","",IF(ISNUMBER(B1120),B1120,IFERROR(_xlfn.NUMBERVALUE(B1120,".",","),0)))</f>
        <v/>
      </c>
      <c r="O1120">
        <f>IF(M1120="","",IF(ISNUMBER(C1120),C1120,IFERROR(_xlfn.NUMBERVALUE(C1120,".",","),0)))</f>
        <v/>
      </c>
    </row>
    <row r="1121">
      <c r="K1121">
        <f>IF(OR(LEFT(B1121,9)="DOANH THU",LEFT(B1121,8)="SỐ LƯỢNG"),A1121,IF(A1121="","",K1120))</f>
        <v/>
      </c>
      <c r="L1121">
        <f>IF(A1121="","",IF(ISNUMBER(--LEFT(A1121,FIND(" - ",A1121&amp;" - ")-1)),LEFT(A1121,FIND(" - ",A1121&amp;" - ")-1),TRIM(A1121)))</f>
        <v/>
      </c>
      <c r="M1121">
        <f>IF(OR(K1121="",K1121=A1121,A1121=""),"",K1121&amp;"|"&amp;L1121)</f>
        <v/>
      </c>
      <c r="N1121">
        <f>IF(M1121="","",IF(ISNUMBER(B1121),B1121,IFERROR(_xlfn.NUMBERVALUE(B1121,".",","),0)))</f>
        <v/>
      </c>
      <c r="O1121">
        <f>IF(M1121="","",IF(ISNUMBER(C1121),C1121,IFERROR(_xlfn.NUMBERVALUE(C1121,".",","),0)))</f>
        <v/>
      </c>
    </row>
    <row r="1122">
      <c r="K1122">
        <f>IF(OR(LEFT(B1122,9)="DOANH THU",LEFT(B1122,8)="SỐ LƯỢNG"),A1122,IF(A1122="","",K1121))</f>
        <v/>
      </c>
      <c r="L1122">
        <f>IF(A1122="","",IF(ISNUMBER(--LEFT(A1122,FIND(" - ",A1122&amp;" - ")-1)),LEFT(A1122,FIND(" - ",A1122&amp;" - ")-1),TRIM(A1122)))</f>
        <v/>
      </c>
      <c r="M1122">
        <f>IF(OR(K1122="",K1122=A1122,A1122=""),"",K1122&amp;"|"&amp;L1122)</f>
        <v/>
      </c>
      <c r="N1122">
        <f>IF(M1122="","",IF(ISNUMBER(B1122),B1122,IFERROR(_xlfn.NUMBERVALUE(B1122,".",","),0)))</f>
        <v/>
      </c>
      <c r="O1122">
        <f>IF(M1122="","",IF(ISNUMBER(C1122),C1122,IFERROR(_xlfn.NUMBERVALUE(C1122,".",","),0)))</f>
        <v/>
      </c>
    </row>
    <row r="1123">
      <c r="K1123">
        <f>IF(OR(LEFT(B1123,9)="DOANH THU",LEFT(B1123,8)="SỐ LƯỢNG"),A1123,IF(A1123="","",K1122))</f>
        <v/>
      </c>
      <c r="L1123">
        <f>IF(A1123="","",IF(ISNUMBER(--LEFT(A1123,FIND(" - ",A1123&amp;" - ")-1)),LEFT(A1123,FIND(" - ",A1123&amp;" - ")-1),TRIM(A1123)))</f>
        <v/>
      </c>
      <c r="M1123">
        <f>IF(OR(K1123="",K1123=A1123,A1123=""),"",K1123&amp;"|"&amp;L1123)</f>
        <v/>
      </c>
      <c r="N1123">
        <f>IF(M1123="","",IF(ISNUMBER(B1123),B1123,IFERROR(_xlfn.NUMBERVALUE(B1123,".",","),0)))</f>
        <v/>
      </c>
      <c r="O1123">
        <f>IF(M1123="","",IF(ISNUMBER(C1123),C1123,IFERROR(_xlfn.NUMBERVALUE(C1123,".",","),0)))</f>
        <v/>
      </c>
    </row>
    <row r="1124">
      <c r="K1124">
        <f>IF(OR(LEFT(B1124,9)="DOANH THU",LEFT(B1124,8)="SỐ LƯỢNG"),A1124,IF(A1124="","",K1123))</f>
        <v/>
      </c>
      <c r="L1124">
        <f>IF(A1124="","",IF(ISNUMBER(--LEFT(A1124,FIND(" - ",A1124&amp;" - ")-1)),LEFT(A1124,FIND(" - ",A1124&amp;" - ")-1),TRIM(A1124)))</f>
        <v/>
      </c>
      <c r="M1124">
        <f>IF(OR(K1124="",K1124=A1124,A1124=""),"",K1124&amp;"|"&amp;L1124)</f>
        <v/>
      </c>
      <c r="N1124">
        <f>IF(M1124="","",IF(ISNUMBER(B1124),B1124,IFERROR(_xlfn.NUMBERVALUE(B1124,".",","),0)))</f>
        <v/>
      </c>
      <c r="O1124">
        <f>IF(M1124="","",IF(ISNUMBER(C1124),C1124,IFERROR(_xlfn.NUMBERVALUE(C1124,".",","),0)))</f>
        <v/>
      </c>
    </row>
    <row r="1125">
      <c r="K1125">
        <f>IF(OR(LEFT(B1125,9)="DOANH THU",LEFT(B1125,8)="SỐ LƯỢNG"),A1125,IF(A1125="","",K1124))</f>
        <v/>
      </c>
      <c r="L1125">
        <f>IF(A1125="","",IF(ISNUMBER(--LEFT(A1125,FIND(" - ",A1125&amp;" - ")-1)),LEFT(A1125,FIND(" - ",A1125&amp;" - ")-1),TRIM(A1125)))</f>
        <v/>
      </c>
      <c r="M1125">
        <f>IF(OR(K1125="",K1125=A1125,A1125=""),"",K1125&amp;"|"&amp;L1125)</f>
        <v/>
      </c>
      <c r="N1125">
        <f>IF(M1125="","",IF(ISNUMBER(B1125),B1125,IFERROR(_xlfn.NUMBERVALUE(B1125,".",","),0)))</f>
        <v/>
      </c>
      <c r="O1125">
        <f>IF(M1125="","",IF(ISNUMBER(C1125),C1125,IFERROR(_xlfn.NUMBERVALUE(C1125,".",","),0)))</f>
        <v/>
      </c>
    </row>
    <row r="1126">
      <c r="K1126">
        <f>IF(OR(LEFT(B1126,9)="DOANH THU",LEFT(B1126,8)="SỐ LƯỢNG"),A1126,IF(A1126="","",K1125))</f>
        <v/>
      </c>
      <c r="L1126">
        <f>IF(A1126="","",IF(ISNUMBER(--LEFT(A1126,FIND(" - ",A1126&amp;" - ")-1)),LEFT(A1126,FIND(" - ",A1126&amp;" - ")-1),TRIM(A1126)))</f>
        <v/>
      </c>
      <c r="M1126">
        <f>IF(OR(K1126="",K1126=A1126,A1126=""),"",K1126&amp;"|"&amp;L1126)</f>
        <v/>
      </c>
      <c r="N1126">
        <f>IF(M1126="","",IF(ISNUMBER(B1126),B1126,IFERROR(_xlfn.NUMBERVALUE(B1126,".",","),0)))</f>
        <v/>
      </c>
      <c r="O1126">
        <f>IF(M1126="","",IF(ISNUMBER(C1126),C1126,IFERROR(_xlfn.NUMBERVALUE(C1126,".",","),0)))</f>
        <v/>
      </c>
    </row>
    <row r="1127">
      <c r="K1127">
        <f>IF(OR(LEFT(B1127,9)="DOANH THU",LEFT(B1127,8)="SỐ LƯỢNG"),A1127,IF(A1127="","",K1126))</f>
        <v/>
      </c>
      <c r="L1127">
        <f>IF(A1127="","",IF(ISNUMBER(--LEFT(A1127,FIND(" - ",A1127&amp;" - ")-1)),LEFT(A1127,FIND(" - ",A1127&amp;" - ")-1),TRIM(A1127)))</f>
        <v/>
      </c>
      <c r="M1127">
        <f>IF(OR(K1127="",K1127=A1127,A1127=""),"",K1127&amp;"|"&amp;L1127)</f>
        <v/>
      </c>
      <c r="N1127">
        <f>IF(M1127="","",IF(ISNUMBER(B1127),B1127,IFERROR(_xlfn.NUMBERVALUE(B1127,".",","),0)))</f>
        <v/>
      </c>
      <c r="O1127">
        <f>IF(M1127="","",IF(ISNUMBER(C1127),C1127,IFERROR(_xlfn.NUMBERVALUE(C1127,".",","),0)))</f>
        <v/>
      </c>
    </row>
    <row r="1128">
      <c r="K1128">
        <f>IF(OR(LEFT(B1128,9)="DOANH THU",LEFT(B1128,8)="SỐ LƯỢNG"),A1128,IF(A1128="","",K1127))</f>
        <v/>
      </c>
      <c r="L1128">
        <f>IF(A1128="","",IF(ISNUMBER(--LEFT(A1128,FIND(" - ",A1128&amp;" - ")-1)),LEFT(A1128,FIND(" - ",A1128&amp;" - ")-1),TRIM(A1128)))</f>
        <v/>
      </c>
      <c r="M1128">
        <f>IF(OR(K1128="",K1128=A1128,A1128=""),"",K1128&amp;"|"&amp;L1128)</f>
        <v/>
      </c>
      <c r="N1128">
        <f>IF(M1128="","",IF(ISNUMBER(B1128),B1128,IFERROR(_xlfn.NUMBERVALUE(B1128,".",","),0)))</f>
        <v/>
      </c>
      <c r="O1128">
        <f>IF(M1128="","",IF(ISNUMBER(C1128),C1128,IFERROR(_xlfn.NUMBERVALUE(C1128,".",","),0)))</f>
        <v/>
      </c>
    </row>
    <row r="1129">
      <c r="K1129">
        <f>IF(OR(LEFT(B1129,9)="DOANH THU",LEFT(B1129,8)="SỐ LƯỢNG"),A1129,IF(A1129="","",K1128))</f>
        <v/>
      </c>
      <c r="L1129">
        <f>IF(A1129="","",IF(ISNUMBER(--LEFT(A1129,FIND(" - ",A1129&amp;" - ")-1)),LEFT(A1129,FIND(" - ",A1129&amp;" - ")-1),TRIM(A1129)))</f>
        <v/>
      </c>
      <c r="M1129">
        <f>IF(OR(K1129="",K1129=A1129,A1129=""),"",K1129&amp;"|"&amp;L1129)</f>
        <v/>
      </c>
      <c r="N1129">
        <f>IF(M1129="","",IF(ISNUMBER(B1129),B1129,IFERROR(_xlfn.NUMBERVALUE(B1129,".",","),0)))</f>
        <v/>
      </c>
      <c r="O1129">
        <f>IF(M1129="","",IF(ISNUMBER(C1129),C1129,IFERROR(_xlfn.NUMBERVALUE(C1129,".",","),0)))</f>
        <v/>
      </c>
    </row>
    <row r="1130">
      <c r="K1130">
        <f>IF(OR(LEFT(B1130,9)="DOANH THU",LEFT(B1130,8)="SỐ LƯỢNG"),A1130,IF(A1130="","",K1129))</f>
        <v/>
      </c>
      <c r="L1130">
        <f>IF(A1130="","",IF(ISNUMBER(--LEFT(A1130,FIND(" - ",A1130&amp;" - ")-1)),LEFT(A1130,FIND(" - ",A1130&amp;" - ")-1),TRIM(A1130)))</f>
        <v/>
      </c>
      <c r="M1130">
        <f>IF(OR(K1130="",K1130=A1130,A1130=""),"",K1130&amp;"|"&amp;L1130)</f>
        <v/>
      </c>
      <c r="N1130">
        <f>IF(M1130="","",IF(ISNUMBER(B1130),B1130,IFERROR(_xlfn.NUMBERVALUE(B1130,".",","),0)))</f>
        <v/>
      </c>
      <c r="O1130">
        <f>IF(M1130="","",IF(ISNUMBER(C1130),C1130,IFERROR(_xlfn.NUMBERVALUE(C1130,".",","),0)))</f>
        <v/>
      </c>
    </row>
    <row r="1131">
      <c r="K1131">
        <f>IF(OR(LEFT(B1131,9)="DOANH THU",LEFT(B1131,8)="SỐ LƯỢNG"),A1131,IF(A1131="","",K1130))</f>
        <v/>
      </c>
      <c r="L1131">
        <f>IF(A1131="","",IF(ISNUMBER(--LEFT(A1131,FIND(" - ",A1131&amp;" - ")-1)),LEFT(A1131,FIND(" - ",A1131&amp;" - ")-1),TRIM(A1131)))</f>
        <v/>
      </c>
      <c r="M1131">
        <f>IF(OR(K1131="",K1131=A1131,A1131=""),"",K1131&amp;"|"&amp;L1131)</f>
        <v/>
      </c>
      <c r="N1131">
        <f>IF(M1131="","",IF(ISNUMBER(B1131),B1131,IFERROR(_xlfn.NUMBERVALUE(B1131,".",","),0)))</f>
        <v/>
      </c>
      <c r="O1131">
        <f>IF(M1131="","",IF(ISNUMBER(C1131),C1131,IFERROR(_xlfn.NUMBERVALUE(C1131,".",","),0)))</f>
        <v/>
      </c>
    </row>
    <row r="1132">
      <c r="K1132">
        <f>IF(OR(LEFT(B1132,9)="DOANH THU",LEFT(B1132,8)="SỐ LƯỢNG"),A1132,IF(A1132="","",K1131))</f>
        <v/>
      </c>
      <c r="L1132">
        <f>IF(A1132="","",IF(ISNUMBER(--LEFT(A1132,FIND(" - ",A1132&amp;" - ")-1)),LEFT(A1132,FIND(" - ",A1132&amp;" - ")-1),TRIM(A1132)))</f>
        <v/>
      </c>
      <c r="M1132">
        <f>IF(OR(K1132="",K1132=A1132,A1132=""),"",K1132&amp;"|"&amp;L1132)</f>
        <v/>
      </c>
      <c r="N1132">
        <f>IF(M1132="","",IF(ISNUMBER(B1132),B1132,IFERROR(_xlfn.NUMBERVALUE(B1132,".",","),0)))</f>
        <v/>
      </c>
      <c r="O1132">
        <f>IF(M1132="","",IF(ISNUMBER(C1132),C1132,IFERROR(_xlfn.NUMBERVALUE(C1132,".",","),0)))</f>
        <v/>
      </c>
    </row>
    <row r="1133">
      <c r="K1133">
        <f>IF(OR(LEFT(B1133,9)="DOANH THU",LEFT(B1133,8)="SỐ LƯỢNG"),A1133,IF(A1133="","",K1132))</f>
        <v/>
      </c>
      <c r="L1133">
        <f>IF(A1133="","",IF(ISNUMBER(--LEFT(A1133,FIND(" - ",A1133&amp;" - ")-1)),LEFT(A1133,FIND(" - ",A1133&amp;" - ")-1),TRIM(A1133)))</f>
        <v/>
      </c>
      <c r="M1133">
        <f>IF(OR(K1133="",K1133=A1133,A1133=""),"",K1133&amp;"|"&amp;L1133)</f>
        <v/>
      </c>
      <c r="N1133">
        <f>IF(M1133="","",IF(ISNUMBER(B1133),B1133,IFERROR(_xlfn.NUMBERVALUE(B1133,".",","),0)))</f>
        <v/>
      </c>
      <c r="O1133">
        <f>IF(M1133="","",IF(ISNUMBER(C1133),C1133,IFERROR(_xlfn.NUMBERVALUE(C1133,".",","),0)))</f>
        <v/>
      </c>
    </row>
    <row r="1134">
      <c r="K1134">
        <f>IF(OR(LEFT(B1134,9)="DOANH THU",LEFT(B1134,8)="SỐ LƯỢNG"),A1134,IF(A1134="","",K1133))</f>
        <v/>
      </c>
      <c r="L1134">
        <f>IF(A1134="","",IF(ISNUMBER(--LEFT(A1134,FIND(" - ",A1134&amp;" - ")-1)),LEFT(A1134,FIND(" - ",A1134&amp;" - ")-1),TRIM(A1134)))</f>
        <v/>
      </c>
      <c r="M1134">
        <f>IF(OR(K1134="",K1134=A1134,A1134=""),"",K1134&amp;"|"&amp;L1134)</f>
        <v/>
      </c>
      <c r="N1134">
        <f>IF(M1134="","",IF(ISNUMBER(B1134),B1134,IFERROR(_xlfn.NUMBERVALUE(B1134,".",","),0)))</f>
        <v/>
      </c>
      <c r="O1134">
        <f>IF(M1134="","",IF(ISNUMBER(C1134),C1134,IFERROR(_xlfn.NUMBERVALUE(C1134,".",","),0)))</f>
        <v/>
      </c>
    </row>
    <row r="1135">
      <c r="K1135">
        <f>IF(OR(LEFT(B1135,9)="DOANH THU",LEFT(B1135,8)="SỐ LƯỢNG"),A1135,IF(A1135="","",K1134))</f>
        <v/>
      </c>
      <c r="L1135">
        <f>IF(A1135="","",IF(ISNUMBER(--LEFT(A1135,FIND(" - ",A1135&amp;" - ")-1)),LEFT(A1135,FIND(" - ",A1135&amp;" - ")-1),TRIM(A1135)))</f>
        <v/>
      </c>
      <c r="M1135">
        <f>IF(OR(K1135="",K1135=A1135,A1135=""),"",K1135&amp;"|"&amp;L1135)</f>
        <v/>
      </c>
      <c r="N1135">
        <f>IF(M1135="","",IF(ISNUMBER(B1135),B1135,IFERROR(_xlfn.NUMBERVALUE(B1135,".",","),0)))</f>
        <v/>
      </c>
      <c r="O1135">
        <f>IF(M1135="","",IF(ISNUMBER(C1135),C1135,IFERROR(_xlfn.NUMBERVALUE(C1135,".",","),0)))</f>
        <v/>
      </c>
    </row>
    <row r="1136">
      <c r="K1136">
        <f>IF(OR(LEFT(B1136,9)="DOANH THU",LEFT(B1136,8)="SỐ LƯỢNG"),A1136,IF(A1136="","",K1135))</f>
        <v/>
      </c>
      <c r="L1136">
        <f>IF(A1136="","",IF(ISNUMBER(--LEFT(A1136,FIND(" - ",A1136&amp;" - ")-1)),LEFT(A1136,FIND(" - ",A1136&amp;" - ")-1),TRIM(A1136)))</f>
        <v/>
      </c>
      <c r="M1136">
        <f>IF(OR(K1136="",K1136=A1136,A1136=""),"",K1136&amp;"|"&amp;L1136)</f>
        <v/>
      </c>
      <c r="N1136">
        <f>IF(M1136="","",IF(ISNUMBER(B1136),B1136,IFERROR(_xlfn.NUMBERVALUE(B1136,".",","),0)))</f>
        <v/>
      </c>
      <c r="O1136">
        <f>IF(M1136="","",IF(ISNUMBER(C1136),C1136,IFERROR(_xlfn.NUMBERVALUE(C1136,".",","),0)))</f>
        <v/>
      </c>
    </row>
    <row r="1137">
      <c r="K1137">
        <f>IF(OR(LEFT(B1137,9)="DOANH THU",LEFT(B1137,8)="SỐ LƯỢNG"),A1137,IF(A1137="","",K1136))</f>
        <v/>
      </c>
      <c r="L1137">
        <f>IF(A1137="","",IF(ISNUMBER(--LEFT(A1137,FIND(" - ",A1137&amp;" - ")-1)),LEFT(A1137,FIND(" - ",A1137&amp;" - ")-1),TRIM(A1137)))</f>
        <v/>
      </c>
      <c r="M1137">
        <f>IF(OR(K1137="",K1137=A1137,A1137=""),"",K1137&amp;"|"&amp;L1137)</f>
        <v/>
      </c>
      <c r="N1137">
        <f>IF(M1137="","",IF(ISNUMBER(B1137),B1137,IFERROR(_xlfn.NUMBERVALUE(B1137,".",","),0)))</f>
        <v/>
      </c>
      <c r="O1137">
        <f>IF(M1137="","",IF(ISNUMBER(C1137),C1137,IFERROR(_xlfn.NUMBERVALUE(C1137,".",","),0)))</f>
        <v/>
      </c>
    </row>
    <row r="1138">
      <c r="K1138">
        <f>IF(OR(LEFT(B1138,9)="DOANH THU",LEFT(B1138,8)="SỐ LƯỢNG"),A1138,IF(A1138="","",K1137))</f>
        <v/>
      </c>
      <c r="L1138">
        <f>IF(A1138="","",IF(ISNUMBER(--LEFT(A1138,FIND(" - ",A1138&amp;" - ")-1)),LEFT(A1138,FIND(" - ",A1138&amp;" - ")-1),TRIM(A1138)))</f>
        <v/>
      </c>
      <c r="M1138">
        <f>IF(OR(K1138="",K1138=A1138,A1138=""),"",K1138&amp;"|"&amp;L1138)</f>
        <v/>
      </c>
      <c r="N1138">
        <f>IF(M1138="","",IF(ISNUMBER(B1138),B1138,IFERROR(_xlfn.NUMBERVALUE(B1138,".",","),0)))</f>
        <v/>
      </c>
      <c r="O1138">
        <f>IF(M1138="","",IF(ISNUMBER(C1138),C1138,IFERROR(_xlfn.NUMBERVALUE(C1138,".",","),0)))</f>
        <v/>
      </c>
    </row>
    <row r="1139">
      <c r="K1139">
        <f>IF(OR(LEFT(B1139,9)="DOANH THU",LEFT(B1139,8)="SỐ LƯỢNG"),A1139,IF(A1139="","",K1138))</f>
        <v/>
      </c>
      <c r="L1139">
        <f>IF(A1139="","",IF(ISNUMBER(--LEFT(A1139,FIND(" - ",A1139&amp;" - ")-1)),LEFT(A1139,FIND(" - ",A1139&amp;" - ")-1),TRIM(A1139)))</f>
        <v/>
      </c>
      <c r="M1139">
        <f>IF(OR(K1139="",K1139=A1139,A1139=""),"",K1139&amp;"|"&amp;L1139)</f>
        <v/>
      </c>
      <c r="N1139">
        <f>IF(M1139="","",IF(ISNUMBER(B1139),B1139,IFERROR(_xlfn.NUMBERVALUE(B1139,".",","),0)))</f>
        <v/>
      </c>
      <c r="O1139">
        <f>IF(M1139="","",IF(ISNUMBER(C1139),C1139,IFERROR(_xlfn.NUMBERVALUE(C1139,".",","),0)))</f>
        <v/>
      </c>
    </row>
    <row r="1140">
      <c r="K1140">
        <f>IF(OR(LEFT(B1140,9)="DOANH THU",LEFT(B1140,8)="SỐ LƯỢNG"),A1140,IF(A1140="","",K1139))</f>
        <v/>
      </c>
      <c r="L1140">
        <f>IF(A1140="","",IF(ISNUMBER(--LEFT(A1140,FIND(" - ",A1140&amp;" - ")-1)),LEFT(A1140,FIND(" - ",A1140&amp;" - ")-1),TRIM(A1140)))</f>
        <v/>
      </c>
      <c r="M1140">
        <f>IF(OR(K1140="",K1140=A1140,A1140=""),"",K1140&amp;"|"&amp;L1140)</f>
        <v/>
      </c>
      <c r="N1140">
        <f>IF(M1140="","",IF(ISNUMBER(B1140),B1140,IFERROR(_xlfn.NUMBERVALUE(B1140,".",","),0)))</f>
        <v/>
      </c>
      <c r="O1140">
        <f>IF(M1140="","",IF(ISNUMBER(C1140),C1140,IFERROR(_xlfn.NUMBERVALUE(C1140,".",","),0)))</f>
        <v/>
      </c>
    </row>
    <row r="1141">
      <c r="K1141">
        <f>IF(OR(LEFT(B1141,9)="DOANH THU",LEFT(B1141,8)="SỐ LƯỢNG"),A1141,IF(A1141="","",K1140))</f>
        <v/>
      </c>
      <c r="L1141">
        <f>IF(A1141="","",IF(ISNUMBER(--LEFT(A1141,FIND(" - ",A1141&amp;" - ")-1)),LEFT(A1141,FIND(" - ",A1141&amp;" - ")-1),TRIM(A1141)))</f>
        <v/>
      </c>
      <c r="M1141">
        <f>IF(OR(K1141="",K1141=A1141,A1141=""),"",K1141&amp;"|"&amp;L1141)</f>
        <v/>
      </c>
      <c r="N1141">
        <f>IF(M1141="","",IF(ISNUMBER(B1141),B1141,IFERROR(_xlfn.NUMBERVALUE(B1141,".",","),0)))</f>
        <v/>
      </c>
      <c r="O1141">
        <f>IF(M1141="","",IF(ISNUMBER(C1141),C1141,IFERROR(_xlfn.NUMBERVALUE(C1141,".",","),0)))</f>
        <v/>
      </c>
    </row>
    <row r="1142">
      <c r="K1142">
        <f>IF(OR(LEFT(B1142,9)="DOANH THU",LEFT(B1142,8)="SỐ LƯỢNG"),A1142,IF(A1142="","",K1141))</f>
        <v/>
      </c>
      <c r="L1142">
        <f>IF(A1142="","",IF(ISNUMBER(--LEFT(A1142,FIND(" - ",A1142&amp;" - ")-1)),LEFT(A1142,FIND(" - ",A1142&amp;" - ")-1),TRIM(A1142)))</f>
        <v/>
      </c>
      <c r="M1142">
        <f>IF(OR(K1142="",K1142=A1142,A1142=""),"",K1142&amp;"|"&amp;L1142)</f>
        <v/>
      </c>
      <c r="N1142">
        <f>IF(M1142="","",IF(ISNUMBER(B1142),B1142,IFERROR(_xlfn.NUMBERVALUE(B1142,".",","),0)))</f>
        <v/>
      </c>
      <c r="O1142">
        <f>IF(M1142="","",IF(ISNUMBER(C1142),C1142,IFERROR(_xlfn.NUMBERVALUE(C1142,".",","),0)))</f>
        <v/>
      </c>
    </row>
    <row r="1143">
      <c r="K1143">
        <f>IF(OR(LEFT(B1143,9)="DOANH THU",LEFT(B1143,8)="SỐ LƯỢNG"),A1143,IF(A1143="","",K1142))</f>
        <v/>
      </c>
      <c r="L1143">
        <f>IF(A1143="","",IF(ISNUMBER(--LEFT(A1143,FIND(" - ",A1143&amp;" - ")-1)),LEFT(A1143,FIND(" - ",A1143&amp;" - ")-1),TRIM(A1143)))</f>
        <v/>
      </c>
      <c r="M1143">
        <f>IF(OR(K1143="",K1143=A1143,A1143=""),"",K1143&amp;"|"&amp;L1143)</f>
        <v/>
      </c>
      <c r="N1143">
        <f>IF(M1143="","",IF(ISNUMBER(B1143),B1143,IFERROR(_xlfn.NUMBERVALUE(B1143,".",","),0)))</f>
        <v/>
      </c>
      <c r="O1143">
        <f>IF(M1143="","",IF(ISNUMBER(C1143),C1143,IFERROR(_xlfn.NUMBERVALUE(C1143,".",","),0)))</f>
        <v/>
      </c>
    </row>
    <row r="1144">
      <c r="K1144">
        <f>IF(OR(LEFT(B1144,9)="DOANH THU",LEFT(B1144,8)="SỐ LƯỢNG"),A1144,IF(A1144="","",K1143))</f>
        <v/>
      </c>
      <c r="L1144">
        <f>IF(A1144="","",IF(ISNUMBER(--LEFT(A1144,FIND(" - ",A1144&amp;" - ")-1)),LEFT(A1144,FIND(" - ",A1144&amp;" - ")-1),TRIM(A1144)))</f>
        <v/>
      </c>
      <c r="M1144">
        <f>IF(OR(K1144="",K1144=A1144,A1144=""),"",K1144&amp;"|"&amp;L1144)</f>
        <v/>
      </c>
      <c r="N1144">
        <f>IF(M1144="","",IF(ISNUMBER(B1144),B1144,IFERROR(_xlfn.NUMBERVALUE(B1144,".",","),0)))</f>
        <v/>
      </c>
      <c r="O1144">
        <f>IF(M1144="","",IF(ISNUMBER(C1144),C1144,IFERROR(_xlfn.NUMBERVALUE(C1144,".",","),0)))</f>
        <v/>
      </c>
    </row>
    <row r="1145">
      <c r="K1145">
        <f>IF(OR(LEFT(B1145,9)="DOANH THU",LEFT(B1145,8)="SỐ LƯỢNG"),A1145,IF(A1145="","",K1144))</f>
        <v/>
      </c>
      <c r="L1145">
        <f>IF(A1145="","",IF(ISNUMBER(--LEFT(A1145,FIND(" - ",A1145&amp;" - ")-1)),LEFT(A1145,FIND(" - ",A1145&amp;" - ")-1),TRIM(A1145)))</f>
        <v/>
      </c>
      <c r="M1145">
        <f>IF(OR(K1145="",K1145=A1145,A1145=""),"",K1145&amp;"|"&amp;L1145)</f>
        <v/>
      </c>
      <c r="N1145">
        <f>IF(M1145="","",IF(ISNUMBER(B1145),B1145,IFERROR(_xlfn.NUMBERVALUE(B1145,".",","),0)))</f>
        <v/>
      </c>
      <c r="O1145">
        <f>IF(M1145="","",IF(ISNUMBER(C1145),C1145,IFERROR(_xlfn.NUMBERVALUE(C1145,".",","),0)))</f>
        <v/>
      </c>
    </row>
    <row r="1146">
      <c r="K1146">
        <f>IF(OR(LEFT(B1146,9)="DOANH THU",LEFT(B1146,8)="SỐ LƯỢNG"),A1146,IF(A1146="","",K1145))</f>
        <v/>
      </c>
      <c r="L1146">
        <f>IF(A1146="","",IF(ISNUMBER(--LEFT(A1146,FIND(" - ",A1146&amp;" - ")-1)),LEFT(A1146,FIND(" - ",A1146&amp;" - ")-1),TRIM(A1146)))</f>
        <v/>
      </c>
      <c r="M1146">
        <f>IF(OR(K1146="",K1146=A1146,A1146=""),"",K1146&amp;"|"&amp;L1146)</f>
        <v/>
      </c>
      <c r="N1146">
        <f>IF(M1146="","",IF(ISNUMBER(B1146),B1146,IFERROR(_xlfn.NUMBERVALUE(B1146,".",","),0)))</f>
        <v/>
      </c>
      <c r="O1146">
        <f>IF(M1146="","",IF(ISNUMBER(C1146),C1146,IFERROR(_xlfn.NUMBERVALUE(C1146,".",","),0)))</f>
        <v/>
      </c>
    </row>
    <row r="1147">
      <c r="K1147">
        <f>IF(OR(LEFT(B1147,9)="DOANH THU",LEFT(B1147,8)="SỐ LƯỢNG"),A1147,IF(A1147="","",K1146))</f>
        <v/>
      </c>
      <c r="L1147">
        <f>IF(A1147="","",IF(ISNUMBER(--LEFT(A1147,FIND(" - ",A1147&amp;" - ")-1)),LEFT(A1147,FIND(" - ",A1147&amp;" - ")-1),TRIM(A1147)))</f>
        <v/>
      </c>
      <c r="M1147">
        <f>IF(OR(K1147="",K1147=A1147,A1147=""),"",K1147&amp;"|"&amp;L1147)</f>
        <v/>
      </c>
      <c r="N1147">
        <f>IF(M1147="","",IF(ISNUMBER(B1147),B1147,IFERROR(_xlfn.NUMBERVALUE(B1147,".",","),0)))</f>
        <v/>
      </c>
      <c r="O1147">
        <f>IF(M1147="","",IF(ISNUMBER(C1147),C1147,IFERROR(_xlfn.NUMBERVALUE(C1147,".",","),0)))</f>
        <v/>
      </c>
    </row>
    <row r="1148">
      <c r="K1148">
        <f>IF(OR(LEFT(B1148,9)="DOANH THU",LEFT(B1148,8)="SỐ LƯỢNG"),A1148,IF(A1148="","",K1147))</f>
        <v/>
      </c>
      <c r="L1148">
        <f>IF(A1148="","",IF(ISNUMBER(--LEFT(A1148,FIND(" - ",A1148&amp;" - ")-1)),LEFT(A1148,FIND(" - ",A1148&amp;" - ")-1),TRIM(A1148)))</f>
        <v/>
      </c>
      <c r="M1148">
        <f>IF(OR(K1148="",K1148=A1148,A1148=""),"",K1148&amp;"|"&amp;L1148)</f>
        <v/>
      </c>
      <c r="N1148">
        <f>IF(M1148="","",IF(ISNUMBER(B1148),B1148,IFERROR(_xlfn.NUMBERVALUE(B1148,".",","),0)))</f>
        <v/>
      </c>
      <c r="O1148">
        <f>IF(M1148="","",IF(ISNUMBER(C1148),C1148,IFERROR(_xlfn.NUMBERVALUE(C1148,".",","),0)))</f>
        <v/>
      </c>
    </row>
    <row r="1149">
      <c r="K1149">
        <f>IF(OR(LEFT(B1149,9)="DOANH THU",LEFT(B1149,8)="SỐ LƯỢNG"),A1149,IF(A1149="","",K1148))</f>
        <v/>
      </c>
      <c r="L1149">
        <f>IF(A1149="","",IF(ISNUMBER(--LEFT(A1149,FIND(" - ",A1149&amp;" - ")-1)),LEFT(A1149,FIND(" - ",A1149&amp;" - ")-1),TRIM(A1149)))</f>
        <v/>
      </c>
      <c r="M1149">
        <f>IF(OR(K1149="",K1149=A1149,A1149=""),"",K1149&amp;"|"&amp;L1149)</f>
        <v/>
      </c>
      <c r="N1149">
        <f>IF(M1149="","",IF(ISNUMBER(B1149),B1149,IFERROR(_xlfn.NUMBERVALUE(B1149,".",","),0)))</f>
        <v/>
      </c>
      <c r="O1149">
        <f>IF(M1149="","",IF(ISNUMBER(C1149),C1149,IFERROR(_xlfn.NUMBERVALUE(C1149,".",","),0)))</f>
        <v/>
      </c>
    </row>
    <row r="1150">
      <c r="K1150">
        <f>IF(OR(LEFT(B1150,9)="DOANH THU",LEFT(B1150,8)="SỐ LƯỢNG"),A1150,IF(A1150="","",K1149))</f>
        <v/>
      </c>
      <c r="L1150">
        <f>IF(A1150="","",IF(ISNUMBER(--LEFT(A1150,FIND(" - ",A1150&amp;" - ")-1)),LEFT(A1150,FIND(" - ",A1150&amp;" - ")-1),TRIM(A1150)))</f>
        <v/>
      </c>
      <c r="M1150">
        <f>IF(OR(K1150="",K1150=A1150,A1150=""),"",K1150&amp;"|"&amp;L1150)</f>
        <v/>
      </c>
      <c r="N1150">
        <f>IF(M1150="","",IF(ISNUMBER(B1150),B1150,IFERROR(_xlfn.NUMBERVALUE(B1150,".",","),0)))</f>
        <v/>
      </c>
      <c r="O1150">
        <f>IF(M1150="","",IF(ISNUMBER(C1150),C1150,IFERROR(_xlfn.NUMBERVALUE(C1150,".",","),0)))</f>
        <v/>
      </c>
    </row>
    <row r="1151">
      <c r="K1151">
        <f>IF(OR(LEFT(B1151,9)="DOANH THU",LEFT(B1151,8)="SỐ LƯỢNG"),A1151,IF(A1151="","",K1150))</f>
        <v/>
      </c>
      <c r="L1151">
        <f>IF(A1151="","",IF(ISNUMBER(--LEFT(A1151,FIND(" - ",A1151&amp;" - ")-1)),LEFT(A1151,FIND(" - ",A1151&amp;" - ")-1),TRIM(A1151)))</f>
        <v/>
      </c>
      <c r="M1151">
        <f>IF(OR(K1151="",K1151=A1151,A1151=""),"",K1151&amp;"|"&amp;L1151)</f>
        <v/>
      </c>
      <c r="N1151">
        <f>IF(M1151="","",IF(ISNUMBER(B1151),B1151,IFERROR(_xlfn.NUMBERVALUE(B1151,".",","),0)))</f>
        <v/>
      </c>
      <c r="O1151">
        <f>IF(M1151="","",IF(ISNUMBER(C1151),C1151,IFERROR(_xlfn.NUMBERVALUE(C1151,".",","),0)))</f>
        <v/>
      </c>
    </row>
    <row r="1152">
      <c r="K1152">
        <f>IF(OR(LEFT(B1152,9)="DOANH THU",LEFT(B1152,8)="SỐ LƯỢNG"),A1152,IF(A1152="","",K1151))</f>
        <v/>
      </c>
      <c r="L1152">
        <f>IF(A1152="","",IF(ISNUMBER(--LEFT(A1152,FIND(" - ",A1152&amp;" - ")-1)),LEFT(A1152,FIND(" - ",A1152&amp;" - ")-1),TRIM(A1152)))</f>
        <v/>
      </c>
      <c r="M1152">
        <f>IF(OR(K1152="",K1152=A1152,A1152=""),"",K1152&amp;"|"&amp;L1152)</f>
        <v/>
      </c>
      <c r="N1152">
        <f>IF(M1152="","",IF(ISNUMBER(B1152),B1152,IFERROR(_xlfn.NUMBERVALUE(B1152,".",","),0)))</f>
        <v/>
      </c>
      <c r="O1152">
        <f>IF(M1152="","",IF(ISNUMBER(C1152),C1152,IFERROR(_xlfn.NUMBERVALUE(C1152,".",","),0)))</f>
        <v/>
      </c>
    </row>
    <row r="1153">
      <c r="K1153">
        <f>IF(OR(LEFT(B1153,9)="DOANH THU",LEFT(B1153,8)="SỐ LƯỢNG"),A1153,IF(A1153="","",K1152))</f>
        <v/>
      </c>
      <c r="L1153">
        <f>IF(A1153="","",IF(ISNUMBER(--LEFT(A1153,FIND(" - ",A1153&amp;" - ")-1)),LEFT(A1153,FIND(" - ",A1153&amp;" - ")-1),TRIM(A1153)))</f>
        <v/>
      </c>
      <c r="M1153">
        <f>IF(OR(K1153="",K1153=A1153,A1153=""),"",K1153&amp;"|"&amp;L1153)</f>
        <v/>
      </c>
      <c r="N1153">
        <f>IF(M1153="","",IF(ISNUMBER(B1153),B1153,IFERROR(_xlfn.NUMBERVALUE(B1153,".",","),0)))</f>
        <v/>
      </c>
      <c r="O1153">
        <f>IF(M1153="","",IF(ISNUMBER(C1153),C1153,IFERROR(_xlfn.NUMBERVALUE(C1153,".",","),0)))</f>
        <v/>
      </c>
    </row>
    <row r="1154">
      <c r="K1154">
        <f>IF(OR(LEFT(B1154,9)="DOANH THU",LEFT(B1154,8)="SỐ LƯỢNG"),A1154,IF(A1154="","",K1153))</f>
        <v/>
      </c>
      <c r="L1154">
        <f>IF(A1154="","",IF(ISNUMBER(--LEFT(A1154,FIND(" - ",A1154&amp;" - ")-1)),LEFT(A1154,FIND(" - ",A1154&amp;" - ")-1),TRIM(A1154)))</f>
        <v/>
      </c>
      <c r="M1154">
        <f>IF(OR(K1154="",K1154=A1154,A1154=""),"",K1154&amp;"|"&amp;L1154)</f>
        <v/>
      </c>
      <c r="N1154">
        <f>IF(M1154="","",IF(ISNUMBER(B1154),B1154,IFERROR(_xlfn.NUMBERVALUE(B1154,".",","),0)))</f>
        <v/>
      </c>
      <c r="O1154">
        <f>IF(M1154="","",IF(ISNUMBER(C1154),C1154,IFERROR(_xlfn.NUMBERVALUE(C1154,".",","),0)))</f>
        <v/>
      </c>
    </row>
    <row r="1155">
      <c r="K1155">
        <f>IF(OR(LEFT(B1155,9)="DOANH THU",LEFT(B1155,8)="SỐ LƯỢNG"),A1155,IF(A1155="","",K1154))</f>
        <v/>
      </c>
      <c r="L1155">
        <f>IF(A1155="","",IF(ISNUMBER(--LEFT(A1155,FIND(" - ",A1155&amp;" - ")-1)),LEFT(A1155,FIND(" - ",A1155&amp;" - ")-1),TRIM(A1155)))</f>
        <v/>
      </c>
      <c r="M1155">
        <f>IF(OR(K1155="",K1155=A1155,A1155=""),"",K1155&amp;"|"&amp;L1155)</f>
        <v/>
      </c>
      <c r="N1155">
        <f>IF(M1155="","",IF(ISNUMBER(B1155),B1155,IFERROR(_xlfn.NUMBERVALUE(B1155,".",","),0)))</f>
        <v/>
      </c>
      <c r="O1155">
        <f>IF(M1155="","",IF(ISNUMBER(C1155),C1155,IFERROR(_xlfn.NUMBERVALUE(C1155,".",","),0)))</f>
        <v/>
      </c>
    </row>
    <row r="1156">
      <c r="K1156">
        <f>IF(OR(LEFT(B1156,9)="DOANH THU",LEFT(B1156,8)="SỐ LƯỢNG"),A1156,IF(A1156="","",K1155))</f>
        <v/>
      </c>
      <c r="L1156">
        <f>IF(A1156="","",IF(ISNUMBER(--LEFT(A1156,FIND(" - ",A1156&amp;" - ")-1)),LEFT(A1156,FIND(" - ",A1156&amp;" - ")-1),TRIM(A1156)))</f>
        <v/>
      </c>
      <c r="M1156">
        <f>IF(OR(K1156="",K1156=A1156,A1156=""),"",K1156&amp;"|"&amp;L1156)</f>
        <v/>
      </c>
      <c r="N1156">
        <f>IF(M1156="","",IF(ISNUMBER(B1156),B1156,IFERROR(_xlfn.NUMBERVALUE(B1156,".",","),0)))</f>
        <v/>
      </c>
      <c r="O1156">
        <f>IF(M1156="","",IF(ISNUMBER(C1156),C1156,IFERROR(_xlfn.NUMBERVALUE(C1156,".",","),0)))</f>
        <v/>
      </c>
    </row>
    <row r="1157">
      <c r="K1157">
        <f>IF(OR(LEFT(B1157,9)="DOANH THU",LEFT(B1157,8)="SỐ LƯỢNG"),A1157,IF(A1157="","",K1156))</f>
        <v/>
      </c>
      <c r="L1157">
        <f>IF(A1157="","",IF(ISNUMBER(--LEFT(A1157,FIND(" - ",A1157&amp;" - ")-1)),LEFT(A1157,FIND(" - ",A1157&amp;" - ")-1),TRIM(A1157)))</f>
        <v/>
      </c>
      <c r="M1157">
        <f>IF(OR(K1157="",K1157=A1157,A1157=""),"",K1157&amp;"|"&amp;L1157)</f>
        <v/>
      </c>
      <c r="N1157">
        <f>IF(M1157="","",IF(ISNUMBER(B1157),B1157,IFERROR(_xlfn.NUMBERVALUE(B1157,".",","),0)))</f>
        <v/>
      </c>
      <c r="O1157">
        <f>IF(M1157="","",IF(ISNUMBER(C1157),C1157,IFERROR(_xlfn.NUMBERVALUE(C1157,".",","),0)))</f>
        <v/>
      </c>
    </row>
    <row r="1158">
      <c r="K1158">
        <f>IF(OR(LEFT(B1158,9)="DOANH THU",LEFT(B1158,8)="SỐ LƯỢNG"),A1158,IF(A1158="","",K1157))</f>
        <v/>
      </c>
      <c r="L1158">
        <f>IF(A1158="","",IF(ISNUMBER(--LEFT(A1158,FIND(" - ",A1158&amp;" - ")-1)),LEFT(A1158,FIND(" - ",A1158&amp;" - ")-1),TRIM(A1158)))</f>
        <v/>
      </c>
      <c r="M1158">
        <f>IF(OR(K1158="",K1158=A1158,A1158=""),"",K1158&amp;"|"&amp;L1158)</f>
        <v/>
      </c>
      <c r="N1158">
        <f>IF(M1158="","",IF(ISNUMBER(B1158),B1158,IFERROR(_xlfn.NUMBERVALUE(B1158,".",","),0)))</f>
        <v/>
      </c>
      <c r="O1158">
        <f>IF(M1158="","",IF(ISNUMBER(C1158),C1158,IFERROR(_xlfn.NUMBERVALUE(C1158,".",","),0)))</f>
        <v/>
      </c>
    </row>
    <row r="1159">
      <c r="K1159">
        <f>IF(OR(LEFT(B1159,9)="DOANH THU",LEFT(B1159,8)="SỐ LƯỢNG"),A1159,IF(A1159="","",K1158))</f>
        <v/>
      </c>
      <c r="L1159">
        <f>IF(A1159="","",IF(ISNUMBER(--LEFT(A1159,FIND(" - ",A1159&amp;" - ")-1)),LEFT(A1159,FIND(" - ",A1159&amp;" - ")-1),TRIM(A1159)))</f>
        <v/>
      </c>
      <c r="M1159">
        <f>IF(OR(K1159="",K1159=A1159,A1159=""),"",K1159&amp;"|"&amp;L1159)</f>
        <v/>
      </c>
      <c r="N1159">
        <f>IF(M1159="","",IF(ISNUMBER(B1159),B1159,IFERROR(_xlfn.NUMBERVALUE(B1159,".",","),0)))</f>
        <v/>
      </c>
      <c r="O1159">
        <f>IF(M1159="","",IF(ISNUMBER(C1159),C1159,IFERROR(_xlfn.NUMBERVALUE(C1159,".",","),0)))</f>
        <v/>
      </c>
    </row>
    <row r="1160">
      <c r="K1160">
        <f>IF(OR(LEFT(B1160,9)="DOANH THU",LEFT(B1160,8)="SỐ LƯỢNG"),A1160,IF(A1160="","",K1159))</f>
        <v/>
      </c>
      <c r="L1160">
        <f>IF(A1160="","",IF(ISNUMBER(--LEFT(A1160,FIND(" - ",A1160&amp;" - ")-1)),LEFT(A1160,FIND(" - ",A1160&amp;" - ")-1),TRIM(A1160)))</f>
        <v/>
      </c>
      <c r="M1160">
        <f>IF(OR(K1160="",K1160=A1160,A1160=""),"",K1160&amp;"|"&amp;L1160)</f>
        <v/>
      </c>
      <c r="N1160">
        <f>IF(M1160="","",IF(ISNUMBER(B1160),B1160,IFERROR(_xlfn.NUMBERVALUE(B1160,".",","),0)))</f>
        <v/>
      </c>
      <c r="O1160">
        <f>IF(M1160="","",IF(ISNUMBER(C1160),C1160,IFERROR(_xlfn.NUMBERVALUE(C1160,".",","),0)))</f>
        <v/>
      </c>
    </row>
    <row r="1161">
      <c r="K1161">
        <f>IF(OR(LEFT(B1161,9)="DOANH THU",LEFT(B1161,8)="SỐ LƯỢNG"),A1161,IF(A1161="","",K1160))</f>
        <v/>
      </c>
      <c r="L1161">
        <f>IF(A1161="","",IF(ISNUMBER(--LEFT(A1161,FIND(" - ",A1161&amp;" - ")-1)),LEFT(A1161,FIND(" - ",A1161&amp;" - ")-1),TRIM(A1161)))</f>
        <v/>
      </c>
      <c r="M1161">
        <f>IF(OR(K1161="",K1161=A1161,A1161=""),"",K1161&amp;"|"&amp;L1161)</f>
        <v/>
      </c>
      <c r="N1161">
        <f>IF(M1161="","",IF(ISNUMBER(B1161),B1161,IFERROR(_xlfn.NUMBERVALUE(B1161,".",","),0)))</f>
        <v/>
      </c>
      <c r="O1161">
        <f>IF(M1161="","",IF(ISNUMBER(C1161),C1161,IFERROR(_xlfn.NUMBERVALUE(C1161,".",","),0)))</f>
        <v/>
      </c>
    </row>
    <row r="1162">
      <c r="K1162">
        <f>IF(OR(LEFT(B1162,9)="DOANH THU",LEFT(B1162,8)="SỐ LƯỢNG"),A1162,IF(A1162="","",K1161))</f>
        <v/>
      </c>
      <c r="L1162">
        <f>IF(A1162="","",IF(ISNUMBER(--LEFT(A1162,FIND(" - ",A1162&amp;" - ")-1)),LEFT(A1162,FIND(" - ",A1162&amp;" - ")-1),TRIM(A1162)))</f>
        <v/>
      </c>
      <c r="M1162">
        <f>IF(OR(K1162="",K1162=A1162,A1162=""),"",K1162&amp;"|"&amp;L1162)</f>
        <v/>
      </c>
      <c r="N1162">
        <f>IF(M1162="","",IF(ISNUMBER(B1162),B1162,IFERROR(_xlfn.NUMBERVALUE(B1162,".",","),0)))</f>
        <v/>
      </c>
      <c r="O1162">
        <f>IF(M1162="","",IF(ISNUMBER(C1162),C1162,IFERROR(_xlfn.NUMBERVALUE(C1162,".",","),0)))</f>
        <v/>
      </c>
    </row>
    <row r="1163">
      <c r="K1163">
        <f>IF(OR(LEFT(B1163,9)="DOANH THU",LEFT(B1163,8)="SỐ LƯỢNG"),A1163,IF(A1163="","",K1162))</f>
        <v/>
      </c>
      <c r="L1163">
        <f>IF(A1163="","",IF(ISNUMBER(--LEFT(A1163,FIND(" - ",A1163&amp;" - ")-1)),LEFT(A1163,FIND(" - ",A1163&amp;" - ")-1),TRIM(A1163)))</f>
        <v/>
      </c>
      <c r="M1163">
        <f>IF(OR(K1163="",K1163=A1163,A1163=""),"",K1163&amp;"|"&amp;L1163)</f>
        <v/>
      </c>
      <c r="N1163">
        <f>IF(M1163="","",IF(ISNUMBER(B1163),B1163,IFERROR(_xlfn.NUMBERVALUE(B1163,".",","),0)))</f>
        <v/>
      </c>
      <c r="O1163">
        <f>IF(M1163="","",IF(ISNUMBER(C1163),C1163,IFERROR(_xlfn.NUMBERVALUE(C1163,".",","),0)))</f>
        <v/>
      </c>
    </row>
    <row r="1164">
      <c r="K1164">
        <f>IF(OR(LEFT(B1164,9)="DOANH THU",LEFT(B1164,8)="SỐ LƯỢNG"),A1164,IF(A1164="","",K1163))</f>
        <v/>
      </c>
      <c r="L1164">
        <f>IF(A1164="","",IF(ISNUMBER(--LEFT(A1164,FIND(" - ",A1164&amp;" - ")-1)),LEFT(A1164,FIND(" - ",A1164&amp;" - ")-1),TRIM(A1164)))</f>
        <v/>
      </c>
      <c r="M1164">
        <f>IF(OR(K1164="",K1164=A1164,A1164=""),"",K1164&amp;"|"&amp;L1164)</f>
        <v/>
      </c>
      <c r="N1164">
        <f>IF(M1164="","",IF(ISNUMBER(B1164),B1164,IFERROR(_xlfn.NUMBERVALUE(B1164,".",","),0)))</f>
        <v/>
      </c>
      <c r="O1164">
        <f>IF(M1164="","",IF(ISNUMBER(C1164),C1164,IFERROR(_xlfn.NUMBERVALUE(C1164,".",","),0)))</f>
        <v/>
      </c>
    </row>
    <row r="1165">
      <c r="K1165">
        <f>IF(OR(LEFT(B1165,9)="DOANH THU",LEFT(B1165,8)="SỐ LƯỢNG"),A1165,IF(A1165="","",K1164))</f>
        <v/>
      </c>
      <c r="L1165">
        <f>IF(A1165="","",IF(ISNUMBER(--LEFT(A1165,FIND(" - ",A1165&amp;" - ")-1)),LEFT(A1165,FIND(" - ",A1165&amp;" - ")-1),TRIM(A1165)))</f>
        <v/>
      </c>
      <c r="M1165">
        <f>IF(OR(K1165="",K1165=A1165,A1165=""),"",K1165&amp;"|"&amp;L1165)</f>
        <v/>
      </c>
      <c r="N1165">
        <f>IF(M1165="","",IF(ISNUMBER(B1165),B1165,IFERROR(_xlfn.NUMBERVALUE(B1165,".",","),0)))</f>
        <v/>
      </c>
      <c r="O1165">
        <f>IF(M1165="","",IF(ISNUMBER(C1165),C1165,IFERROR(_xlfn.NUMBERVALUE(C1165,".",","),0)))</f>
        <v/>
      </c>
    </row>
    <row r="1166">
      <c r="K1166">
        <f>IF(OR(LEFT(B1166,9)="DOANH THU",LEFT(B1166,8)="SỐ LƯỢNG"),A1166,IF(A1166="","",K1165))</f>
        <v/>
      </c>
      <c r="L1166">
        <f>IF(A1166="","",IF(ISNUMBER(--LEFT(A1166,FIND(" - ",A1166&amp;" - ")-1)),LEFT(A1166,FIND(" - ",A1166&amp;" - ")-1),TRIM(A1166)))</f>
        <v/>
      </c>
      <c r="M1166">
        <f>IF(OR(K1166="",K1166=A1166,A1166=""),"",K1166&amp;"|"&amp;L1166)</f>
        <v/>
      </c>
      <c r="N1166">
        <f>IF(M1166="","",IF(ISNUMBER(B1166),B1166,IFERROR(_xlfn.NUMBERVALUE(B1166,".",","),0)))</f>
        <v/>
      </c>
      <c r="O1166">
        <f>IF(M1166="","",IF(ISNUMBER(C1166),C1166,IFERROR(_xlfn.NUMBERVALUE(C1166,".",","),0)))</f>
        <v/>
      </c>
    </row>
    <row r="1167">
      <c r="K1167">
        <f>IF(OR(LEFT(B1167,9)="DOANH THU",LEFT(B1167,8)="SỐ LƯỢNG"),A1167,IF(A1167="","",K1166))</f>
        <v/>
      </c>
      <c r="L1167">
        <f>IF(A1167="","",IF(ISNUMBER(--LEFT(A1167,FIND(" - ",A1167&amp;" - ")-1)),LEFT(A1167,FIND(" - ",A1167&amp;" - ")-1),TRIM(A1167)))</f>
        <v/>
      </c>
      <c r="M1167">
        <f>IF(OR(K1167="",K1167=A1167,A1167=""),"",K1167&amp;"|"&amp;L1167)</f>
        <v/>
      </c>
      <c r="N1167">
        <f>IF(M1167="","",IF(ISNUMBER(B1167),B1167,IFERROR(_xlfn.NUMBERVALUE(B1167,".",","),0)))</f>
        <v/>
      </c>
      <c r="O1167">
        <f>IF(M1167="","",IF(ISNUMBER(C1167),C1167,IFERROR(_xlfn.NUMBERVALUE(C1167,".",","),0)))</f>
        <v/>
      </c>
    </row>
    <row r="1168">
      <c r="K1168">
        <f>IF(OR(LEFT(B1168,9)="DOANH THU",LEFT(B1168,8)="SỐ LƯỢNG"),A1168,IF(A1168="","",K1167))</f>
        <v/>
      </c>
      <c r="L1168">
        <f>IF(A1168="","",IF(ISNUMBER(--LEFT(A1168,FIND(" - ",A1168&amp;" - ")-1)),LEFT(A1168,FIND(" - ",A1168&amp;" - ")-1),TRIM(A1168)))</f>
        <v/>
      </c>
      <c r="M1168">
        <f>IF(OR(K1168="",K1168=A1168,A1168=""),"",K1168&amp;"|"&amp;L1168)</f>
        <v/>
      </c>
      <c r="N1168">
        <f>IF(M1168="","",IF(ISNUMBER(B1168),B1168,IFERROR(_xlfn.NUMBERVALUE(B1168,".",","),0)))</f>
        <v/>
      </c>
      <c r="O1168">
        <f>IF(M1168="","",IF(ISNUMBER(C1168),C1168,IFERROR(_xlfn.NUMBERVALUE(C1168,".",","),0)))</f>
        <v/>
      </c>
    </row>
    <row r="1169">
      <c r="K1169">
        <f>IF(OR(LEFT(B1169,9)="DOANH THU",LEFT(B1169,8)="SỐ LƯỢNG"),A1169,IF(A1169="","",K1168))</f>
        <v/>
      </c>
      <c r="L1169">
        <f>IF(A1169="","",IF(ISNUMBER(--LEFT(A1169,FIND(" - ",A1169&amp;" - ")-1)),LEFT(A1169,FIND(" - ",A1169&amp;" - ")-1),TRIM(A1169)))</f>
        <v/>
      </c>
      <c r="M1169">
        <f>IF(OR(K1169="",K1169=A1169,A1169=""),"",K1169&amp;"|"&amp;L1169)</f>
        <v/>
      </c>
      <c r="N1169">
        <f>IF(M1169="","",IF(ISNUMBER(B1169),B1169,IFERROR(_xlfn.NUMBERVALUE(B1169,".",","),0)))</f>
        <v/>
      </c>
      <c r="O1169">
        <f>IF(M1169="","",IF(ISNUMBER(C1169),C1169,IFERROR(_xlfn.NUMBERVALUE(C1169,".",","),0)))</f>
        <v/>
      </c>
    </row>
    <row r="1170">
      <c r="K1170">
        <f>IF(OR(LEFT(B1170,9)="DOANH THU",LEFT(B1170,8)="SỐ LƯỢNG"),A1170,IF(A1170="","",K1169))</f>
        <v/>
      </c>
      <c r="L1170">
        <f>IF(A1170="","",IF(ISNUMBER(--LEFT(A1170,FIND(" - ",A1170&amp;" - ")-1)),LEFT(A1170,FIND(" - ",A1170&amp;" - ")-1),TRIM(A1170)))</f>
        <v/>
      </c>
      <c r="M1170">
        <f>IF(OR(K1170="",K1170=A1170,A1170=""),"",K1170&amp;"|"&amp;L1170)</f>
        <v/>
      </c>
      <c r="N1170">
        <f>IF(M1170="","",IF(ISNUMBER(B1170),B1170,IFERROR(_xlfn.NUMBERVALUE(B1170,".",","),0)))</f>
        <v/>
      </c>
      <c r="O1170">
        <f>IF(M1170="","",IF(ISNUMBER(C1170),C1170,IFERROR(_xlfn.NUMBERVALUE(C1170,".",","),0)))</f>
        <v/>
      </c>
    </row>
    <row r="1171">
      <c r="K1171">
        <f>IF(OR(LEFT(B1171,9)="DOANH THU",LEFT(B1171,8)="SỐ LƯỢNG"),A1171,IF(A1171="","",K1170))</f>
        <v/>
      </c>
      <c r="L1171">
        <f>IF(A1171="","",IF(ISNUMBER(--LEFT(A1171,FIND(" - ",A1171&amp;" - ")-1)),LEFT(A1171,FIND(" - ",A1171&amp;" - ")-1),TRIM(A1171)))</f>
        <v/>
      </c>
      <c r="M1171">
        <f>IF(OR(K1171="",K1171=A1171,A1171=""),"",K1171&amp;"|"&amp;L1171)</f>
        <v/>
      </c>
      <c r="N1171">
        <f>IF(M1171="","",IF(ISNUMBER(B1171),B1171,IFERROR(_xlfn.NUMBERVALUE(B1171,".",","),0)))</f>
        <v/>
      </c>
      <c r="O1171">
        <f>IF(M1171="","",IF(ISNUMBER(C1171),C1171,IFERROR(_xlfn.NUMBERVALUE(C1171,".",","),0)))</f>
        <v/>
      </c>
    </row>
    <row r="1172">
      <c r="K1172">
        <f>IF(OR(LEFT(B1172,9)="DOANH THU",LEFT(B1172,8)="SỐ LƯỢNG"),A1172,IF(A1172="","",K1171))</f>
        <v/>
      </c>
      <c r="L1172">
        <f>IF(A1172="","",IF(ISNUMBER(--LEFT(A1172,FIND(" - ",A1172&amp;" - ")-1)),LEFT(A1172,FIND(" - ",A1172&amp;" - ")-1),TRIM(A1172)))</f>
        <v/>
      </c>
      <c r="M1172">
        <f>IF(OR(K1172="",K1172=A1172,A1172=""),"",K1172&amp;"|"&amp;L1172)</f>
        <v/>
      </c>
      <c r="N1172">
        <f>IF(M1172="","",IF(ISNUMBER(B1172),B1172,IFERROR(_xlfn.NUMBERVALUE(B1172,".",","),0)))</f>
        <v/>
      </c>
      <c r="O1172">
        <f>IF(M1172="","",IF(ISNUMBER(C1172),C1172,IFERROR(_xlfn.NUMBERVALUE(C1172,".",","),0)))</f>
        <v/>
      </c>
    </row>
    <row r="1173">
      <c r="K1173">
        <f>IF(OR(LEFT(B1173,9)="DOANH THU",LEFT(B1173,8)="SỐ LƯỢNG"),A1173,IF(A1173="","",K1172))</f>
        <v/>
      </c>
      <c r="L1173">
        <f>IF(A1173="","",IF(ISNUMBER(--LEFT(A1173,FIND(" - ",A1173&amp;" - ")-1)),LEFT(A1173,FIND(" - ",A1173&amp;" - ")-1),TRIM(A1173)))</f>
        <v/>
      </c>
      <c r="M1173">
        <f>IF(OR(K1173="",K1173=A1173,A1173=""),"",K1173&amp;"|"&amp;L1173)</f>
        <v/>
      </c>
      <c r="N1173">
        <f>IF(M1173="","",IF(ISNUMBER(B1173),B1173,IFERROR(_xlfn.NUMBERVALUE(B1173,".",","),0)))</f>
        <v/>
      </c>
      <c r="O1173">
        <f>IF(M1173="","",IF(ISNUMBER(C1173),C1173,IFERROR(_xlfn.NUMBERVALUE(C1173,".",","),0)))</f>
        <v/>
      </c>
    </row>
    <row r="1174">
      <c r="K1174">
        <f>IF(OR(LEFT(B1174,9)="DOANH THU",LEFT(B1174,8)="SỐ LƯỢNG"),A1174,IF(A1174="","",K1173))</f>
        <v/>
      </c>
      <c r="L1174">
        <f>IF(A1174="","",IF(ISNUMBER(--LEFT(A1174,FIND(" - ",A1174&amp;" - ")-1)),LEFT(A1174,FIND(" - ",A1174&amp;" - ")-1),TRIM(A1174)))</f>
        <v/>
      </c>
      <c r="M1174">
        <f>IF(OR(K1174="",K1174=A1174,A1174=""),"",K1174&amp;"|"&amp;L1174)</f>
        <v/>
      </c>
      <c r="N1174">
        <f>IF(M1174="","",IF(ISNUMBER(B1174),B1174,IFERROR(_xlfn.NUMBERVALUE(B1174,".",","),0)))</f>
        <v/>
      </c>
      <c r="O1174">
        <f>IF(M1174="","",IF(ISNUMBER(C1174),C1174,IFERROR(_xlfn.NUMBERVALUE(C1174,".",","),0)))</f>
        <v/>
      </c>
    </row>
    <row r="1175">
      <c r="K1175">
        <f>IF(OR(LEFT(B1175,9)="DOANH THU",LEFT(B1175,8)="SỐ LƯỢNG"),A1175,IF(A1175="","",K1174))</f>
        <v/>
      </c>
      <c r="L1175">
        <f>IF(A1175="","",IF(ISNUMBER(--LEFT(A1175,FIND(" - ",A1175&amp;" - ")-1)),LEFT(A1175,FIND(" - ",A1175&amp;" - ")-1),TRIM(A1175)))</f>
        <v/>
      </c>
      <c r="M1175">
        <f>IF(OR(K1175="",K1175=A1175,A1175=""),"",K1175&amp;"|"&amp;L1175)</f>
        <v/>
      </c>
      <c r="N1175">
        <f>IF(M1175="","",IF(ISNUMBER(B1175),B1175,IFERROR(_xlfn.NUMBERVALUE(B1175,".",","),0)))</f>
        <v/>
      </c>
      <c r="O1175">
        <f>IF(M1175="","",IF(ISNUMBER(C1175),C1175,IFERROR(_xlfn.NUMBERVALUE(C1175,".",","),0)))</f>
        <v/>
      </c>
    </row>
    <row r="1176">
      <c r="K1176">
        <f>IF(OR(LEFT(B1176,9)="DOANH THU",LEFT(B1176,8)="SỐ LƯỢNG"),A1176,IF(A1176="","",K1175))</f>
        <v/>
      </c>
      <c r="L1176">
        <f>IF(A1176="","",IF(ISNUMBER(--LEFT(A1176,FIND(" - ",A1176&amp;" - ")-1)),LEFT(A1176,FIND(" - ",A1176&amp;" - ")-1),TRIM(A1176)))</f>
        <v/>
      </c>
      <c r="M1176">
        <f>IF(OR(K1176="",K1176=A1176,A1176=""),"",K1176&amp;"|"&amp;L1176)</f>
        <v/>
      </c>
      <c r="N1176">
        <f>IF(M1176="","",IF(ISNUMBER(B1176),B1176,IFERROR(_xlfn.NUMBERVALUE(B1176,".",","),0)))</f>
        <v/>
      </c>
      <c r="O1176">
        <f>IF(M1176="","",IF(ISNUMBER(C1176),C1176,IFERROR(_xlfn.NUMBERVALUE(C1176,".",","),0)))</f>
        <v/>
      </c>
    </row>
    <row r="1177">
      <c r="K1177">
        <f>IF(OR(LEFT(B1177,9)="DOANH THU",LEFT(B1177,8)="SỐ LƯỢNG"),A1177,IF(A1177="","",K1176))</f>
        <v/>
      </c>
      <c r="L1177">
        <f>IF(A1177="","",IF(ISNUMBER(--LEFT(A1177,FIND(" - ",A1177&amp;" - ")-1)),LEFT(A1177,FIND(" - ",A1177&amp;" - ")-1),TRIM(A1177)))</f>
        <v/>
      </c>
      <c r="M1177">
        <f>IF(OR(K1177="",K1177=A1177,A1177=""),"",K1177&amp;"|"&amp;L1177)</f>
        <v/>
      </c>
      <c r="N1177">
        <f>IF(M1177="","",IF(ISNUMBER(B1177),B1177,IFERROR(_xlfn.NUMBERVALUE(B1177,".",","),0)))</f>
        <v/>
      </c>
      <c r="O1177">
        <f>IF(M1177="","",IF(ISNUMBER(C1177),C1177,IFERROR(_xlfn.NUMBERVALUE(C1177,".",","),0)))</f>
        <v/>
      </c>
    </row>
    <row r="1178">
      <c r="K1178">
        <f>IF(OR(LEFT(B1178,9)="DOANH THU",LEFT(B1178,8)="SỐ LƯỢNG"),A1178,IF(A1178="","",K1177))</f>
        <v/>
      </c>
      <c r="L1178">
        <f>IF(A1178="","",IF(ISNUMBER(--LEFT(A1178,FIND(" - ",A1178&amp;" - ")-1)),LEFT(A1178,FIND(" - ",A1178&amp;" - ")-1),TRIM(A1178)))</f>
        <v/>
      </c>
      <c r="M1178">
        <f>IF(OR(K1178="",K1178=A1178,A1178=""),"",K1178&amp;"|"&amp;L1178)</f>
        <v/>
      </c>
      <c r="N1178">
        <f>IF(M1178="","",IF(ISNUMBER(B1178),B1178,IFERROR(_xlfn.NUMBERVALUE(B1178,".",","),0)))</f>
        <v/>
      </c>
      <c r="O1178">
        <f>IF(M1178="","",IF(ISNUMBER(C1178),C1178,IFERROR(_xlfn.NUMBERVALUE(C1178,".",","),0)))</f>
        <v/>
      </c>
    </row>
    <row r="1179">
      <c r="K1179">
        <f>IF(OR(LEFT(B1179,9)="DOANH THU",LEFT(B1179,8)="SỐ LƯỢNG"),A1179,IF(A1179="","",K1178))</f>
        <v/>
      </c>
      <c r="L1179">
        <f>IF(A1179="","",IF(ISNUMBER(--LEFT(A1179,FIND(" - ",A1179&amp;" - ")-1)),LEFT(A1179,FIND(" - ",A1179&amp;" - ")-1),TRIM(A1179)))</f>
        <v/>
      </c>
      <c r="M1179">
        <f>IF(OR(K1179="",K1179=A1179,A1179=""),"",K1179&amp;"|"&amp;L1179)</f>
        <v/>
      </c>
      <c r="N1179">
        <f>IF(M1179="","",IF(ISNUMBER(B1179),B1179,IFERROR(_xlfn.NUMBERVALUE(B1179,".",","),0)))</f>
        <v/>
      </c>
      <c r="O1179">
        <f>IF(M1179="","",IF(ISNUMBER(C1179),C1179,IFERROR(_xlfn.NUMBERVALUE(C1179,".",","),0)))</f>
        <v/>
      </c>
    </row>
    <row r="1180">
      <c r="K1180">
        <f>IF(OR(LEFT(B1180,9)="DOANH THU",LEFT(B1180,8)="SỐ LƯỢNG"),A1180,IF(A1180="","",K1179))</f>
        <v/>
      </c>
      <c r="L1180">
        <f>IF(A1180="","",IF(ISNUMBER(--LEFT(A1180,FIND(" - ",A1180&amp;" - ")-1)),LEFT(A1180,FIND(" - ",A1180&amp;" - ")-1),TRIM(A1180)))</f>
        <v/>
      </c>
      <c r="M1180">
        <f>IF(OR(K1180="",K1180=A1180,A1180=""),"",K1180&amp;"|"&amp;L1180)</f>
        <v/>
      </c>
      <c r="N1180">
        <f>IF(M1180="","",IF(ISNUMBER(B1180),B1180,IFERROR(_xlfn.NUMBERVALUE(B1180,".",","),0)))</f>
        <v/>
      </c>
      <c r="O1180">
        <f>IF(M1180="","",IF(ISNUMBER(C1180),C1180,IFERROR(_xlfn.NUMBERVALUE(C1180,".",","),0)))</f>
        <v/>
      </c>
    </row>
    <row r="1181">
      <c r="K1181">
        <f>IF(OR(LEFT(B1181,9)="DOANH THU",LEFT(B1181,8)="SỐ LƯỢNG"),A1181,IF(A1181="","",K1180))</f>
        <v/>
      </c>
      <c r="L1181">
        <f>IF(A1181="","",IF(ISNUMBER(--LEFT(A1181,FIND(" - ",A1181&amp;" - ")-1)),LEFT(A1181,FIND(" - ",A1181&amp;" - ")-1),TRIM(A1181)))</f>
        <v/>
      </c>
      <c r="M1181">
        <f>IF(OR(K1181="",K1181=A1181,A1181=""),"",K1181&amp;"|"&amp;L1181)</f>
        <v/>
      </c>
      <c r="N1181">
        <f>IF(M1181="","",IF(ISNUMBER(B1181),B1181,IFERROR(_xlfn.NUMBERVALUE(B1181,".",","),0)))</f>
        <v/>
      </c>
      <c r="O1181">
        <f>IF(M1181="","",IF(ISNUMBER(C1181),C1181,IFERROR(_xlfn.NUMBERVALUE(C1181,".",","),0)))</f>
        <v/>
      </c>
    </row>
    <row r="1182">
      <c r="K1182">
        <f>IF(OR(LEFT(B1182,9)="DOANH THU",LEFT(B1182,8)="SỐ LƯỢNG"),A1182,IF(A1182="","",K1181))</f>
        <v/>
      </c>
      <c r="L1182">
        <f>IF(A1182="","",IF(ISNUMBER(--LEFT(A1182,FIND(" - ",A1182&amp;" - ")-1)),LEFT(A1182,FIND(" - ",A1182&amp;" - ")-1),TRIM(A1182)))</f>
        <v/>
      </c>
      <c r="M1182">
        <f>IF(OR(K1182="",K1182=A1182,A1182=""),"",K1182&amp;"|"&amp;L1182)</f>
        <v/>
      </c>
      <c r="N1182">
        <f>IF(M1182="","",IF(ISNUMBER(B1182),B1182,IFERROR(_xlfn.NUMBERVALUE(B1182,".",","),0)))</f>
        <v/>
      </c>
      <c r="O1182">
        <f>IF(M1182="","",IF(ISNUMBER(C1182),C1182,IFERROR(_xlfn.NUMBERVALUE(C1182,".",","),0)))</f>
        <v/>
      </c>
    </row>
    <row r="1183">
      <c r="K1183">
        <f>IF(OR(LEFT(B1183,9)="DOANH THU",LEFT(B1183,8)="SỐ LƯỢNG"),A1183,IF(A1183="","",K1182))</f>
        <v/>
      </c>
      <c r="L1183">
        <f>IF(A1183="","",IF(ISNUMBER(--LEFT(A1183,FIND(" - ",A1183&amp;" - ")-1)),LEFT(A1183,FIND(" - ",A1183&amp;" - ")-1),TRIM(A1183)))</f>
        <v/>
      </c>
      <c r="M1183">
        <f>IF(OR(K1183="",K1183=A1183,A1183=""),"",K1183&amp;"|"&amp;L1183)</f>
        <v/>
      </c>
      <c r="N1183">
        <f>IF(M1183="","",IF(ISNUMBER(B1183),B1183,IFERROR(_xlfn.NUMBERVALUE(B1183,".",","),0)))</f>
        <v/>
      </c>
      <c r="O1183">
        <f>IF(M1183="","",IF(ISNUMBER(C1183),C1183,IFERROR(_xlfn.NUMBERVALUE(C1183,".",","),0)))</f>
        <v/>
      </c>
    </row>
    <row r="1184">
      <c r="K1184">
        <f>IF(OR(LEFT(B1184,9)="DOANH THU",LEFT(B1184,8)="SỐ LƯỢNG"),A1184,IF(A1184="","",K1183))</f>
        <v/>
      </c>
      <c r="L1184">
        <f>IF(A1184="","",IF(ISNUMBER(--LEFT(A1184,FIND(" - ",A1184&amp;" - ")-1)),LEFT(A1184,FIND(" - ",A1184&amp;" - ")-1),TRIM(A1184)))</f>
        <v/>
      </c>
      <c r="M1184">
        <f>IF(OR(K1184="",K1184=A1184,A1184=""),"",K1184&amp;"|"&amp;L1184)</f>
        <v/>
      </c>
      <c r="N1184">
        <f>IF(M1184="","",IF(ISNUMBER(B1184),B1184,IFERROR(_xlfn.NUMBERVALUE(B1184,".",","),0)))</f>
        <v/>
      </c>
      <c r="O1184">
        <f>IF(M1184="","",IF(ISNUMBER(C1184),C1184,IFERROR(_xlfn.NUMBERVALUE(C1184,".",","),0)))</f>
        <v/>
      </c>
    </row>
    <row r="1185">
      <c r="K1185">
        <f>IF(OR(LEFT(B1185,9)="DOANH THU",LEFT(B1185,8)="SỐ LƯỢNG"),A1185,IF(A1185="","",K1184))</f>
        <v/>
      </c>
      <c r="L1185">
        <f>IF(A1185="","",IF(ISNUMBER(--LEFT(A1185,FIND(" - ",A1185&amp;" - ")-1)),LEFT(A1185,FIND(" - ",A1185&amp;" - ")-1),TRIM(A1185)))</f>
        <v/>
      </c>
      <c r="M1185">
        <f>IF(OR(K1185="",K1185=A1185,A1185=""),"",K1185&amp;"|"&amp;L1185)</f>
        <v/>
      </c>
      <c r="N1185">
        <f>IF(M1185="","",IF(ISNUMBER(B1185),B1185,IFERROR(_xlfn.NUMBERVALUE(B1185,".",","),0)))</f>
        <v/>
      </c>
      <c r="O1185">
        <f>IF(M1185="","",IF(ISNUMBER(C1185),C1185,IFERROR(_xlfn.NUMBERVALUE(C1185,".",","),0)))</f>
        <v/>
      </c>
    </row>
    <row r="1186">
      <c r="K1186">
        <f>IF(OR(LEFT(B1186,9)="DOANH THU",LEFT(B1186,8)="SỐ LƯỢNG"),A1186,IF(A1186="","",K1185))</f>
        <v/>
      </c>
      <c r="L1186">
        <f>IF(A1186="","",IF(ISNUMBER(--LEFT(A1186,FIND(" - ",A1186&amp;" - ")-1)),LEFT(A1186,FIND(" - ",A1186&amp;" - ")-1),TRIM(A1186)))</f>
        <v/>
      </c>
      <c r="M1186">
        <f>IF(OR(K1186="",K1186=A1186,A1186=""),"",K1186&amp;"|"&amp;L1186)</f>
        <v/>
      </c>
      <c r="N1186">
        <f>IF(M1186="","",IF(ISNUMBER(B1186),B1186,IFERROR(_xlfn.NUMBERVALUE(B1186,".",","),0)))</f>
        <v/>
      </c>
      <c r="O1186">
        <f>IF(M1186="","",IF(ISNUMBER(C1186),C1186,IFERROR(_xlfn.NUMBERVALUE(C1186,".",","),0)))</f>
        <v/>
      </c>
    </row>
    <row r="1187">
      <c r="K1187">
        <f>IF(OR(LEFT(B1187,9)="DOANH THU",LEFT(B1187,8)="SỐ LƯỢNG"),A1187,IF(A1187="","",K1186))</f>
        <v/>
      </c>
      <c r="L1187">
        <f>IF(A1187="","",IF(ISNUMBER(--LEFT(A1187,FIND(" - ",A1187&amp;" - ")-1)),LEFT(A1187,FIND(" - ",A1187&amp;" - ")-1),TRIM(A1187)))</f>
        <v/>
      </c>
      <c r="M1187">
        <f>IF(OR(K1187="",K1187=A1187,A1187=""),"",K1187&amp;"|"&amp;L1187)</f>
        <v/>
      </c>
      <c r="N1187">
        <f>IF(M1187="","",IF(ISNUMBER(B1187),B1187,IFERROR(_xlfn.NUMBERVALUE(B1187,".",","),0)))</f>
        <v/>
      </c>
      <c r="O1187">
        <f>IF(M1187="","",IF(ISNUMBER(C1187),C1187,IFERROR(_xlfn.NUMBERVALUE(C1187,".",","),0)))</f>
        <v/>
      </c>
    </row>
    <row r="1188">
      <c r="K1188">
        <f>IF(OR(LEFT(B1188,9)="DOANH THU",LEFT(B1188,8)="SỐ LƯỢNG"),A1188,IF(A1188="","",K1187))</f>
        <v/>
      </c>
      <c r="L1188">
        <f>IF(A1188="","",IF(ISNUMBER(--LEFT(A1188,FIND(" - ",A1188&amp;" - ")-1)),LEFT(A1188,FIND(" - ",A1188&amp;" - ")-1),TRIM(A1188)))</f>
        <v/>
      </c>
      <c r="M1188">
        <f>IF(OR(K1188="",K1188=A1188,A1188=""),"",K1188&amp;"|"&amp;L1188)</f>
        <v/>
      </c>
      <c r="N1188">
        <f>IF(M1188="","",IF(ISNUMBER(B1188),B1188,IFERROR(_xlfn.NUMBERVALUE(B1188,".",","),0)))</f>
        <v/>
      </c>
      <c r="O1188">
        <f>IF(M1188="","",IF(ISNUMBER(C1188),C1188,IFERROR(_xlfn.NUMBERVALUE(C1188,".",","),0)))</f>
        <v/>
      </c>
    </row>
    <row r="1189">
      <c r="K1189">
        <f>IF(OR(LEFT(B1189,9)="DOANH THU",LEFT(B1189,8)="SỐ LƯỢNG"),A1189,IF(A1189="","",K1188))</f>
        <v/>
      </c>
      <c r="L1189">
        <f>IF(A1189="","",IF(ISNUMBER(--LEFT(A1189,FIND(" - ",A1189&amp;" - ")-1)),LEFT(A1189,FIND(" - ",A1189&amp;" - ")-1),TRIM(A1189)))</f>
        <v/>
      </c>
      <c r="M1189">
        <f>IF(OR(K1189="",K1189=A1189,A1189=""),"",K1189&amp;"|"&amp;L1189)</f>
        <v/>
      </c>
      <c r="N1189">
        <f>IF(M1189="","",IF(ISNUMBER(B1189),B1189,IFERROR(_xlfn.NUMBERVALUE(B1189,".",","),0)))</f>
        <v/>
      </c>
      <c r="O1189">
        <f>IF(M1189="","",IF(ISNUMBER(C1189),C1189,IFERROR(_xlfn.NUMBERVALUE(C1189,".",","),0)))</f>
        <v/>
      </c>
    </row>
    <row r="1190">
      <c r="K1190">
        <f>IF(OR(LEFT(B1190,9)="DOANH THU",LEFT(B1190,8)="SỐ LƯỢNG"),A1190,IF(A1190="","",K1189))</f>
        <v/>
      </c>
      <c r="L1190">
        <f>IF(A1190="","",IF(ISNUMBER(--LEFT(A1190,FIND(" - ",A1190&amp;" - ")-1)),LEFT(A1190,FIND(" - ",A1190&amp;" - ")-1),TRIM(A1190)))</f>
        <v/>
      </c>
      <c r="M1190">
        <f>IF(OR(K1190="",K1190=A1190,A1190=""),"",K1190&amp;"|"&amp;L1190)</f>
        <v/>
      </c>
      <c r="N1190">
        <f>IF(M1190="","",IF(ISNUMBER(B1190),B1190,IFERROR(_xlfn.NUMBERVALUE(B1190,".",","),0)))</f>
        <v/>
      </c>
      <c r="O1190">
        <f>IF(M1190="","",IF(ISNUMBER(C1190),C1190,IFERROR(_xlfn.NUMBERVALUE(C1190,".",","),0)))</f>
        <v/>
      </c>
    </row>
    <row r="1191">
      <c r="K1191">
        <f>IF(OR(LEFT(B1191,9)="DOANH THU",LEFT(B1191,8)="SỐ LƯỢNG"),A1191,IF(A1191="","",K1190))</f>
        <v/>
      </c>
      <c r="L1191">
        <f>IF(A1191="","",IF(ISNUMBER(--LEFT(A1191,FIND(" - ",A1191&amp;" - ")-1)),LEFT(A1191,FIND(" - ",A1191&amp;" - ")-1),TRIM(A1191)))</f>
        <v/>
      </c>
      <c r="M1191">
        <f>IF(OR(K1191="",K1191=A1191,A1191=""),"",K1191&amp;"|"&amp;L1191)</f>
        <v/>
      </c>
      <c r="N1191">
        <f>IF(M1191="","",IF(ISNUMBER(B1191),B1191,IFERROR(_xlfn.NUMBERVALUE(B1191,".",","),0)))</f>
        <v/>
      </c>
      <c r="O1191">
        <f>IF(M1191="","",IF(ISNUMBER(C1191),C1191,IFERROR(_xlfn.NUMBERVALUE(C1191,".",","),0)))</f>
        <v/>
      </c>
    </row>
    <row r="1192">
      <c r="K1192">
        <f>IF(OR(LEFT(B1192,9)="DOANH THU",LEFT(B1192,8)="SỐ LƯỢNG"),A1192,IF(A1192="","",K1191))</f>
        <v/>
      </c>
      <c r="L1192">
        <f>IF(A1192="","",IF(ISNUMBER(--LEFT(A1192,FIND(" - ",A1192&amp;" - ")-1)),LEFT(A1192,FIND(" - ",A1192&amp;" - ")-1),TRIM(A1192)))</f>
        <v/>
      </c>
      <c r="M1192">
        <f>IF(OR(K1192="",K1192=A1192,A1192=""),"",K1192&amp;"|"&amp;L1192)</f>
        <v/>
      </c>
      <c r="N1192">
        <f>IF(M1192="","",IF(ISNUMBER(B1192),B1192,IFERROR(_xlfn.NUMBERVALUE(B1192,".",","),0)))</f>
        <v/>
      </c>
      <c r="O1192">
        <f>IF(M1192="","",IF(ISNUMBER(C1192),C1192,IFERROR(_xlfn.NUMBERVALUE(C1192,".",","),0)))</f>
        <v/>
      </c>
    </row>
    <row r="1193">
      <c r="K1193">
        <f>IF(OR(LEFT(B1193,9)="DOANH THU",LEFT(B1193,8)="SỐ LƯỢNG"),A1193,IF(A1193="","",K1192))</f>
        <v/>
      </c>
      <c r="L1193">
        <f>IF(A1193="","",IF(ISNUMBER(--LEFT(A1193,FIND(" - ",A1193&amp;" - ")-1)),LEFT(A1193,FIND(" - ",A1193&amp;" - ")-1),TRIM(A1193)))</f>
        <v/>
      </c>
      <c r="M1193">
        <f>IF(OR(K1193="",K1193=A1193,A1193=""),"",K1193&amp;"|"&amp;L1193)</f>
        <v/>
      </c>
      <c r="N1193">
        <f>IF(M1193="","",IF(ISNUMBER(B1193),B1193,IFERROR(_xlfn.NUMBERVALUE(B1193,".",","),0)))</f>
        <v/>
      </c>
      <c r="O1193">
        <f>IF(M1193="","",IF(ISNUMBER(C1193),C1193,IFERROR(_xlfn.NUMBERVALUE(C1193,".",","),0)))</f>
        <v/>
      </c>
    </row>
    <row r="1194">
      <c r="K1194">
        <f>IF(OR(LEFT(B1194,9)="DOANH THU",LEFT(B1194,8)="SỐ LƯỢNG"),A1194,IF(A1194="","",K1193))</f>
        <v/>
      </c>
      <c r="L1194">
        <f>IF(A1194="","",IF(ISNUMBER(--LEFT(A1194,FIND(" - ",A1194&amp;" - ")-1)),LEFT(A1194,FIND(" - ",A1194&amp;" - ")-1),TRIM(A1194)))</f>
        <v/>
      </c>
      <c r="M1194">
        <f>IF(OR(K1194="",K1194=A1194,A1194=""),"",K1194&amp;"|"&amp;L1194)</f>
        <v/>
      </c>
      <c r="N1194">
        <f>IF(M1194="","",IF(ISNUMBER(B1194),B1194,IFERROR(_xlfn.NUMBERVALUE(B1194,".",","),0)))</f>
        <v/>
      </c>
      <c r="O1194">
        <f>IF(M1194="","",IF(ISNUMBER(C1194),C1194,IFERROR(_xlfn.NUMBERVALUE(C1194,".",","),0)))</f>
        <v/>
      </c>
    </row>
    <row r="1195">
      <c r="K1195">
        <f>IF(OR(LEFT(B1195,9)="DOANH THU",LEFT(B1195,8)="SỐ LƯỢNG"),A1195,IF(A1195="","",K1194))</f>
        <v/>
      </c>
      <c r="L1195">
        <f>IF(A1195="","",IF(ISNUMBER(--LEFT(A1195,FIND(" - ",A1195&amp;" - ")-1)),LEFT(A1195,FIND(" - ",A1195&amp;" - ")-1),TRIM(A1195)))</f>
        <v/>
      </c>
      <c r="M1195">
        <f>IF(OR(K1195="",K1195=A1195,A1195=""),"",K1195&amp;"|"&amp;L1195)</f>
        <v/>
      </c>
      <c r="N1195">
        <f>IF(M1195="","",IF(ISNUMBER(B1195),B1195,IFERROR(_xlfn.NUMBERVALUE(B1195,".",","),0)))</f>
        <v/>
      </c>
      <c r="O1195">
        <f>IF(M1195="","",IF(ISNUMBER(C1195),C1195,IFERROR(_xlfn.NUMBERVALUE(C1195,".",","),0)))</f>
        <v/>
      </c>
    </row>
    <row r="1196">
      <c r="K1196">
        <f>IF(OR(LEFT(B1196,9)="DOANH THU",LEFT(B1196,8)="SỐ LƯỢNG"),A1196,IF(A1196="","",K1195))</f>
        <v/>
      </c>
      <c r="L1196">
        <f>IF(A1196="","",IF(ISNUMBER(--LEFT(A1196,FIND(" - ",A1196&amp;" - ")-1)),LEFT(A1196,FIND(" - ",A1196&amp;" - ")-1),TRIM(A1196)))</f>
        <v/>
      </c>
      <c r="M1196">
        <f>IF(OR(K1196="",K1196=A1196,A1196=""),"",K1196&amp;"|"&amp;L1196)</f>
        <v/>
      </c>
      <c r="N1196">
        <f>IF(M1196="","",IF(ISNUMBER(B1196),B1196,IFERROR(_xlfn.NUMBERVALUE(B1196,".",","),0)))</f>
        <v/>
      </c>
      <c r="O1196">
        <f>IF(M1196="","",IF(ISNUMBER(C1196),C1196,IFERROR(_xlfn.NUMBERVALUE(C1196,".",","),0)))</f>
        <v/>
      </c>
    </row>
    <row r="1197">
      <c r="K1197">
        <f>IF(OR(LEFT(B1197,9)="DOANH THU",LEFT(B1197,8)="SỐ LƯỢNG"),A1197,IF(A1197="","",K1196))</f>
        <v/>
      </c>
      <c r="L1197">
        <f>IF(A1197="","",IF(ISNUMBER(--LEFT(A1197,FIND(" - ",A1197&amp;" - ")-1)),LEFT(A1197,FIND(" - ",A1197&amp;" - ")-1),TRIM(A1197)))</f>
        <v/>
      </c>
      <c r="M1197">
        <f>IF(OR(K1197="",K1197=A1197,A1197=""),"",K1197&amp;"|"&amp;L1197)</f>
        <v/>
      </c>
      <c r="N1197">
        <f>IF(M1197="","",IF(ISNUMBER(B1197),B1197,IFERROR(_xlfn.NUMBERVALUE(B1197,".",","),0)))</f>
        <v/>
      </c>
      <c r="O1197">
        <f>IF(M1197="","",IF(ISNUMBER(C1197),C1197,IFERROR(_xlfn.NUMBERVALUE(C1197,".",","),0)))</f>
        <v/>
      </c>
    </row>
    <row r="1198">
      <c r="K1198">
        <f>IF(OR(LEFT(B1198,9)="DOANH THU",LEFT(B1198,8)="SỐ LƯỢNG"),A1198,IF(A1198="","",K1197))</f>
        <v/>
      </c>
      <c r="L1198">
        <f>IF(A1198="","",IF(ISNUMBER(--LEFT(A1198,FIND(" - ",A1198&amp;" - ")-1)),LEFT(A1198,FIND(" - ",A1198&amp;" - ")-1),TRIM(A1198)))</f>
        <v/>
      </c>
      <c r="M1198">
        <f>IF(OR(K1198="",K1198=A1198,A1198=""),"",K1198&amp;"|"&amp;L1198)</f>
        <v/>
      </c>
      <c r="N1198">
        <f>IF(M1198="","",IF(ISNUMBER(B1198),B1198,IFERROR(_xlfn.NUMBERVALUE(B1198,".",","),0)))</f>
        <v/>
      </c>
      <c r="O1198">
        <f>IF(M1198="","",IF(ISNUMBER(C1198),C1198,IFERROR(_xlfn.NUMBERVALUE(C1198,".",","),0)))</f>
        <v/>
      </c>
    </row>
    <row r="1199">
      <c r="K1199">
        <f>IF(OR(LEFT(B1199,9)="DOANH THU",LEFT(B1199,8)="SỐ LƯỢNG"),A1199,IF(A1199="","",K1198))</f>
        <v/>
      </c>
      <c r="L1199">
        <f>IF(A1199="","",IF(ISNUMBER(--LEFT(A1199,FIND(" - ",A1199&amp;" - ")-1)),LEFT(A1199,FIND(" - ",A1199&amp;" - ")-1),TRIM(A1199)))</f>
        <v/>
      </c>
      <c r="M1199">
        <f>IF(OR(K1199="",K1199=A1199,A1199=""),"",K1199&amp;"|"&amp;L1199)</f>
        <v/>
      </c>
      <c r="N1199">
        <f>IF(M1199="","",IF(ISNUMBER(B1199),B1199,IFERROR(_xlfn.NUMBERVALUE(B1199,".",","),0)))</f>
        <v/>
      </c>
      <c r="O1199">
        <f>IF(M1199="","",IF(ISNUMBER(C1199),C1199,IFERROR(_xlfn.NUMBERVALUE(C1199,".",","),0)))</f>
        <v/>
      </c>
    </row>
    <row r="1200">
      <c r="K1200">
        <f>IF(OR(LEFT(B1200,9)="DOANH THU",LEFT(B1200,8)="SỐ LƯỢNG"),A1200,IF(A1200="","",K1199))</f>
        <v/>
      </c>
      <c r="L1200">
        <f>IF(A1200="","",IF(ISNUMBER(--LEFT(A1200,FIND(" - ",A1200&amp;" - ")-1)),LEFT(A1200,FIND(" - ",A1200&amp;" - ")-1),TRIM(A1200)))</f>
        <v/>
      </c>
      <c r="M1200">
        <f>IF(OR(K1200="",K1200=A1200,A1200=""),"",K1200&amp;"|"&amp;L1200)</f>
        <v/>
      </c>
      <c r="N1200">
        <f>IF(M1200="","",IF(ISNUMBER(B1200),B1200,IFERROR(_xlfn.NUMBERVALUE(B1200,".",","),0)))</f>
        <v/>
      </c>
      <c r="O1200">
        <f>IF(M1200="","",IF(ISNUMBER(C1200),C1200,IFERROR(_xlfn.NUMBERVALUE(C1200,".",","),0)))</f>
        <v/>
      </c>
    </row>
    <row r="1201">
      <c r="K1201">
        <f>IF(OR(LEFT(B1201,9)="DOANH THU",LEFT(B1201,8)="SỐ LƯỢNG"),A1201,IF(A1201="","",K1200))</f>
        <v/>
      </c>
      <c r="L1201">
        <f>IF(A1201="","",IF(ISNUMBER(--LEFT(A1201,FIND(" - ",A1201&amp;" - ")-1)),LEFT(A1201,FIND(" - ",A1201&amp;" - ")-1),TRIM(A1201)))</f>
        <v/>
      </c>
      <c r="M1201">
        <f>IF(OR(K1201="",K1201=A1201,A1201=""),"",K1201&amp;"|"&amp;L1201)</f>
        <v/>
      </c>
      <c r="N1201">
        <f>IF(M1201="","",IF(ISNUMBER(B1201),B1201,IFERROR(_xlfn.NUMBERVALUE(B1201,".",","),0)))</f>
        <v/>
      </c>
      <c r="O1201">
        <f>IF(M1201="","",IF(ISNUMBER(C1201),C1201,IFERROR(_xlfn.NUMBERVALUE(C1201,".",","),0)))</f>
        <v/>
      </c>
    </row>
    <row r="1202">
      <c r="K1202">
        <f>IF(OR(LEFT(B1202,9)="DOANH THU",LEFT(B1202,8)="SỐ LƯỢNG"),A1202,IF(A1202="","",K1201))</f>
        <v/>
      </c>
      <c r="L1202">
        <f>IF(A1202="","",IF(ISNUMBER(--LEFT(A1202,FIND(" - ",A1202&amp;" - ")-1)),LEFT(A1202,FIND(" - ",A1202&amp;" - ")-1),TRIM(A1202)))</f>
        <v/>
      </c>
      <c r="M1202">
        <f>IF(OR(K1202="",K1202=A1202,A1202=""),"",K1202&amp;"|"&amp;L1202)</f>
        <v/>
      </c>
      <c r="N1202">
        <f>IF(M1202="","",IF(ISNUMBER(B1202),B1202,IFERROR(_xlfn.NUMBERVALUE(B1202,".",","),0)))</f>
        <v/>
      </c>
      <c r="O1202">
        <f>IF(M1202="","",IF(ISNUMBER(C1202),C1202,IFERROR(_xlfn.NUMBERVALUE(C1202,".",","),0)))</f>
        <v/>
      </c>
    </row>
    <row r="1203">
      <c r="K1203">
        <f>IF(OR(LEFT(B1203,9)="DOANH THU",LEFT(B1203,8)="SỐ LƯỢNG"),A1203,IF(A1203="","",K1202))</f>
        <v/>
      </c>
      <c r="L1203">
        <f>IF(A1203="","",IF(ISNUMBER(--LEFT(A1203,FIND(" - ",A1203&amp;" - ")-1)),LEFT(A1203,FIND(" - ",A1203&amp;" - ")-1),TRIM(A1203)))</f>
        <v/>
      </c>
      <c r="M1203">
        <f>IF(OR(K1203="",K1203=A1203,A1203=""),"",K1203&amp;"|"&amp;L1203)</f>
        <v/>
      </c>
      <c r="N1203">
        <f>IF(M1203="","",IF(ISNUMBER(B1203),B1203,IFERROR(_xlfn.NUMBERVALUE(B1203,".",","),0)))</f>
        <v/>
      </c>
      <c r="O1203">
        <f>IF(M1203="","",IF(ISNUMBER(C1203),C1203,IFERROR(_xlfn.NUMBERVALUE(C1203,".",","),0)))</f>
        <v/>
      </c>
    </row>
    <row r="1204">
      <c r="K1204">
        <f>IF(OR(LEFT(B1204,9)="DOANH THU",LEFT(B1204,8)="SỐ LƯỢNG"),A1204,IF(A1204="","",K1203))</f>
        <v/>
      </c>
      <c r="L1204">
        <f>IF(A1204="","",IF(ISNUMBER(--LEFT(A1204,FIND(" - ",A1204&amp;" - ")-1)),LEFT(A1204,FIND(" - ",A1204&amp;" - ")-1),TRIM(A1204)))</f>
        <v/>
      </c>
      <c r="M1204">
        <f>IF(OR(K1204="",K1204=A1204,A1204=""),"",K1204&amp;"|"&amp;L1204)</f>
        <v/>
      </c>
      <c r="N1204">
        <f>IF(M1204="","",IF(ISNUMBER(B1204),B1204,IFERROR(_xlfn.NUMBERVALUE(B1204,".",","),0)))</f>
        <v/>
      </c>
      <c r="O1204">
        <f>IF(M1204="","",IF(ISNUMBER(C1204),C1204,IFERROR(_xlfn.NUMBERVALUE(C1204,".",","),0)))</f>
        <v/>
      </c>
    </row>
    <row r="1205">
      <c r="K1205">
        <f>IF(OR(LEFT(B1205,9)="DOANH THU",LEFT(B1205,8)="SỐ LƯỢNG"),A1205,IF(A1205="","",K1204))</f>
        <v/>
      </c>
      <c r="L1205">
        <f>IF(A1205="","",IF(ISNUMBER(--LEFT(A1205,FIND(" - ",A1205&amp;" - ")-1)),LEFT(A1205,FIND(" - ",A1205&amp;" - ")-1),TRIM(A1205)))</f>
        <v/>
      </c>
      <c r="M1205">
        <f>IF(OR(K1205="",K1205=A1205,A1205=""),"",K1205&amp;"|"&amp;L1205)</f>
        <v/>
      </c>
      <c r="N1205">
        <f>IF(M1205="","",IF(ISNUMBER(B1205),B1205,IFERROR(_xlfn.NUMBERVALUE(B1205,".",","),0)))</f>
        <v/>
      </c>
      <c r="O1205">
        <f>IF(M1205="","",IF(ISNUMBER(C1205),C1205,IFERROR(_xlfn.NUMBERVALUE(C1205,".",","),0)))</f>
        <v/>
      </c>
    </row>
    <row r="1206">
      <c r="K1206">
        <f>IF(OR(LEFT(B1206,9)="DOANH THU",LEFT(B1206,8)="SỐ LƯỢNG"),A1206,IF(A1206="","",K1205))</f>
        <v/>
      </c>
      <c r="L1206">
        <f>IF(A1206="","",IF(ISNUMBER(--LEFT(A1206,FIND(" - ",A1206&amp;" - ")-1)),LEFT(A1206,FIND(" - ",A1206&amp;" - ")-1),TRIM(A1206)))</f>
        <v/>
      </c>
      <c r="M1206">
        <f>IF(OR(K1206="",K1206=A1206,A1206=""),"",K1206&amp;"|"&amp;L1206)</f>
        <v/>
      </c>
      <c r="N1206">
        <f>IF(M1206="","",IF(ISNUMBER(B1206),B1206,IFERROR(_xlfn.NUMBERVALUE(B1206,".",","),0)))</f>
        <v/>
      </c>
      <c r="O1206">
        <f>IF(M1206="","",IF(ISNUMBER(C1206),C1206,IFERROR(_xlfn.NUMBERVALUE(C1206,".",","),0)))</f>
        <v/>
      </c>
    </row>
    <row r="1207">
      <c r="K1207">
        <f>IF(OR(LEFT(B1207,9)="DOANH THU",LEFT(B1207,8)="SỐ LƯỢNG"),A1207,IF(A1207="","",K1206))</f>
        <v/>
      </c>
      <c r="L1207">
        <f>IF(A1207="","",IF(ISNUMBER(--LEFT(A1207,FIND(" - ",A1207&amp;" - ")-1)),LEFT(A1207,FIND(" - ",A1207&amp;" - ")-1),TRIM(A1207)))</f>
        <v/>
      </c>
      <c r="M1207">
        <f>IF(OR(K1207="",K1207=A1207,A1207=""),"",K1207&amp;"|"&amp;L1207)</f>
        <v/>
      </c>
      <c r="N1207">
        <f>IF(M1207="","",IF(ISNUMBER(B1207),B1207,IFERROR(_xlfn.NUMBERVALUE(B1207,".",","),0)))</f>
        <v/>
      </c>
      <c r="O1207">
        <f>IF(M1207="","",IF(ISNUMBER(C1207),C1207,IFERROR(_xlfn.NUMBERVALUE(C1207,".",","),0)))</f>
        <v/>
      </c>
    </row>
    <row r="1208">
      <c r="K1208">
        <f>IF(OR(LEFT(B1208,9)="DOANH THU",LEFT(B1208,8)="SỐ LƯỢNG"),A1208,IF(A1208="","",K1207))</f>
        <v/>
      </c>
      <c r="L1208">
        <f>IF(A1208="","",IF(ISNUMBER(--LEFT(A1208,FIND(" - ",A1208&amp;" - ")-1)),LEFT(A1208,FIND(" - ",A1208&amp;" - ")-1),TRIM(A1208)))</f>
        <v/>
      </c>
      <c r="M1208">
        <f>IF(OR(K1208="",K1208=A1208,A1208=""),"",K1208&amp;"|"&amp;L1208)</f>
        <v/>
      </c>
      <c r="N1208">
        <f>IF(M1208="","",IF(ISNUMBER(B1208),B1208,IFERROR(_xlfn.NUMBERVALUE(B1208,".",","),0)))</f>
        <v/>
      </c>
      <c r="O1208">
        <f>IF(M1208="","",IF(ISNUMBER(C1208),C1208,IFERROR(_xlfn.NUMBERVALUE(C1208,".",","),0)))</f>
        <v/>
      </c>
    </row>
    <row r="1209">
      <c r="K1209">
        <f>IF(OR(LEFT(B1209,9)="DOANH THU",LEFT(B1209,8)="SỐ LƯỢNG"),A1209,IF(A1209="","",K1208))</f>
        <v/>
      </c>
      <c r="L1209">
        <f>IF(A1209="","",IF(ISNUMBER(--LEFT(A1209,FIND(" - ",A1209&amp;" - ")-1)),LEFT(A1209,FIND(" - ",A1209&amp;" - ")-1),TRIM(A1209)))</f>
        <v/>
      </c>
      <c r="M1209">
        <f>IF(OR(K1209="",K1209=A1209,A1209=""),"",K1209&amp;"|"&amp;L1209)</f>
        <v/>
      </c>
      <c r="N1209">
        <f>IF(M1209="","",IF(ISNUMBER(B1209),B1209,IFERROR(_xlfn.NUMBERVALUE(B1209,".",","),0)))</f>
        <v/>
      </c>
      <c r="O1209">
        <f>IF(M1209="","",IF(ISNUMBER(C1209),C1209,IFERROR(_xlfn.NUMBERVALUE(C1209,".",","),0)))</f>
        <v/>
      </c>
    </row>
    <row r="1210">
      <c r="K1210">
        <f>IF(OR(LEFT(B1210,9)="DOANH THU",LEFT(B1210,8)="SỐ LƯỢNG"),A1210,IF(A1210="","",K1209))</f>
        <v/>
      </c>
      <c r="L1210">
        <f>IF(A1210="","",IF(ISNUMBER(--LEFT(A1210,FIND(" - ",A1210&amp;" - ")-1)),LEFT(A1210,FIND(" - ",A1210&amp;" - ")-1),TRIM(A1210)))</f>
        <v/>
      </c>
      <c r="M1210">
        <f>IF(OR(K1210="",K1210=A1210,A1210=""),"",K1210&amp;"|"&amp;L1210)</f>
        <v/>
      </c>
      <c r="N1210">
        <f>IF(M1210="","",IF(ISNUMBER(B1210),B1210,IFERROR(_xlfn.NUMBERVALUE(B1210,".",","),0)))</f>
        <v/>
      </c>
      <c r="O1210">
        <f>IF(M1210="","",IF(ISNUMBER(C1210),C1210,IFERROR(_xlfn.NUMBERVALUE(C1210,".",","),0)))</f>
        <v/>
      </c>
    </row>
    <row r="1211">
      <c r="K1211">
        <f>IF(OR(LEFT(B1211,9)="DOANH THU",LEFT(B1211,8)="SỐ LƯỢNG"),A1211,IF(A1211="","",K1210))</f>
        <v/>
      </c>
      <c r="L1211">
        <f>IF(A1211="","",IF(ISNUMBER(--LEFT(A1211,FIND(" - ",A1211&amp;" - ")-1)),LEFT(A1211,FIND(" - ",A1211&amp;" - ")-1),TRIM(A1211)))</f>
        <v/>
      </c>
      <c r="M1211">
        <f>IF(OR(K1211="",K1211=A1211,A1211=""),"",K1211&amp;"|"&amp;L1211)</f>
        <v/>
      </c>
      <c r="N1211">
        <f>IF(M1211="","",IF(ISNUMBER(B1211),B1211,IFERROR(_xlfn.NUMBERVALUE(B1211,".",","),0)))</f>
        <v/>
      </c>
      <c r="O1211">
        <f>IF(M1211="","",IF(ISNUMBER(C1211),C1211,IFERROR(_xlfn.NUMBERVALUE(C1211,".",","),0)))</f>
        <v/>
      </c>
    </row>
    <row r="1212">
      <c r="K1212">
        <f>IF(OR(LEFT(B1212,9)="DOANH THU",LEFT(B1212,8)="SỐ LƯỢNG"),A1212,IF(A1212="","",K1211))</f>
        <v/>
      </c>
      <c r="L1212">
        <f>IF(A1212="","",IF(ISNUMBER(--LEFT(A1212,FIND(" - ",A1212&amp;" - ")-1)),LEFT(A1212,FIND(" - ",A1212&amp;" - ")-1),TRIM(A1212)))</f>
        <v/>
      </c>
      <c r="M1212">
        <f>IF(OR(K1212="",K1212=A1212,A1212=""),"",K1212&amp;"|"&amp;L1212)</f>
        <v/>
      </c>
      <c r="N1212">
        <f>IF(M1212="","",IF(ISNUMBER(B1212),B1212,IFERROR(_xlfn.NUMBERVALUE(B1212,".",","),0)))</f>
        <v/>
      </c>
      <c r="O1212">
        <f>IF(M1212="","",IF(ISNUMBER(C1212),C1212,IFERROR(_xlfn.NUMBERVALUE(C1212,".",","),0)))</f>
        <v/>
      </c>
    </row>
    <row r="1213">
      <c r="K1213">
        <f>IF(OR(LEFT(B1213,9)="DOANH THU",LEFT(B1213,8)="SỐ LƯỢNG"),A1213,IF(A1213="","",K1212))</f>
        <v/>
      </c>
      <c r="L1213">
        <f>IF(A1213="","",IF(ISNUMBER(--LEFT(A1213,FIND(" - ",A1213&amp;" - ")-1)),LEFT(A1213,FIND(" - ",A1213&amp;" - ")-1),TRIM(A1213)))</f>
        <v/>
      </c>
      <c r="M1213">
        <f>IF(OR(K1213="",K1213=A1213,A1213=""),"",K1213&amp;"|"&amp;L1213)</f>
        <v/>
      </c>
      <c r="N1213">
        <f>IF(M1213="","",IF(ISNUMBER(B1213),B1213,IFERROR(_xlfn.NUMBERVALUE(B1213,".",","),0)))</f>
        <v/>
      </c>
      <c r="O1213">
        <f>IF(M1213="","",IF(ISNUMBER(C1213),C1213,IFERROR(_xlfn.NUMBERVALUE(C1213,".",","),0)))</f>
        <v/>
      </c>
    </row>
    <row r="1214">
      <c r="K1214">
        <f>IF(OR(LEFT(B1214,9)="DOANH THU",LEFT(B1214,8)="SỐ LƯỢNG"),A1214,IF(A1214="","",K1213))</f>
        <v/>
      </c>
      <c r="L1214">
        <f>IF(A1214="","",IF(ISNUMBER(--LEFT(A1214,FIND(" - ",A1214&amp;" - ")-1)),LEFT(A1214,FIND(" - ",A1214&amp;" - ")-1),TRIM(A1214)))</f>
        <v/>
      </c>
      <c r="M1214">
        <f>IF(OR(K1214="",K1214=A1214,A1214=""),"",K1214&amp;"|"&amp;L1214)</f>
        <v/>
      </c>
      <c r="N1214">
        <f>IF(M1214="","",IF(ISNUMBER(B1214),B1214,IFERROR(_xlfn.NUMBERVALUE(B1214,".",","),0)))</f>
        <v/>
      </c>
      <c r="O1214">
        <f>IF(M1214="","",IF(ISNUMBER(C1214),C1214,IFERROR(_xlfn.NUMBERVALUE(C1214,".",","),0)))</f>
        <v/>
      </c>
    </row>
    <row r="1215">
      <c r="K1215">
        <f>IF(OR(LEFT(B1215,9)="DOANH THU",LEFT(B1215,8)="SỐ LƯỢNG"),A1215,IF(A1215="","",K1214))</f>
        <v/>
      </c>
      <c r="L1215">
        <f>IF(A1215="","",IF(ISNUMBER(--LEFT(A1215,FIND(" - ",A1215&amp;" - ")-1)),LEFT(A1215,FIND(" - ",A1215&amp;" - ")-1),TRIM(A1215)))</f>
        <v/>
      </c>
      <c r="M1215">
        <f>IF(OR(K1215="",K1215=A1215,A1215=""),"",K1215&amp;"|"&amp;L1215)</f>
        <v/>
      </c>
      <c r="N1215">
        <f>IF(M1215="","",IF(ISNUMBER(B1215),B1215,IFERROR(_xlfn.NUMBERVALUE(B1215,".",","),0)))</f>
        <v/>
      </c>
      <c r="O1215">
        <f>IF(M1215="","",IF(ISNUMBER(C1215),C1215,IFERROR(_xlfn.NUMBERVALUE(C1215,".",","),0)))</f>
        <v/>
      </c>
    </row>
    <row r="1216">
      <c r="K1216">
        <f>IF(OR(LEFT(B1216,9)="DOANH THU",LEFT(B1216,8)="SỐ LƯỢNG"),A1216,IF(A1216="","",K1215))</f>
        <v/>
      </c>
      <c r="L1216">
        <f>IF(A1216="","",IF(ISNUMBER(--LEFT(A1216,FIND(" - ",A1216&amp;" - ")-1)),LEFT(A1216,FIND(" - ",A1216&amp;" - ")-1),TRIM(A1216)))</f>
        <v/>
      </c>
      <c r="M1216">
        <f>IF(OR(K1216="",K1216=A1216,A1216=""),"",K1216&amp;"|"&amp;L1216)</f>
        <v/>
      </c>
      <c r="N1216">
        <f>IF(M1216="","",IF(ISNUMBER(B1216),B1216,IFERROR(_xlfn.NUMBERVALUE(B1216,".",","),0)))</f>
        <v/>
      </c>
      <c r="O1216">
        <f>IF(M1216="","",IF(ISNUMBER(C1216),C1216,IFERROR(_xlfn.NUMBERVALUE(C1216,".",","),0)))</f>
        <v/>
      </c>
    </row>
    <row r="1217">
      <c r="K1217">
        <f>IF(OR(LEFT(B1217,9)="DOANH THU",LEFT(B1217,8)="SỐ LƯỢNG"),A1217,IF(A1217="","",K1216))</f>
        <v/>
      </c>
      <c r="L1217">
        <f>IF(A1217="","",IF(ISNUMBER(--LEFT(A1217,FIND(" - ",A1217&amp;" - ")-1)),LEFT(A1217,FIND(" - ",A1217&amp;" - ")-1),TRIM(A1217)))</f>
        <v/>
      </c>
      <c r="M1217">
        <f>IF(OR(K1217="",K1217=A1217,A1217=""),"",K1217&amp;"|"&amp;L1217)</f>
        <v/>
      </c>
      <c r="N1217">
        <f>IF(M1217="","",IF(ISNUMBER(B1217),B1217,IFERROR(_xlfn.NUMBERVALUE(B1217,".",","),0)))</f>
        <v/>
      </c>
      <c r="O1217">
        <f>IF(M1217="","",IF(ISNUMBER(C1217),C1217,IFERROR(_xlfn.NUMBERVALUE(C1217,".",","),0)))</f>
        <v/>
      </c>
    </row>
    <row r="1218">
      <c r="K1218">
        <f>IF(OR(LEFT(B1218,9)="DOANH THU",LEFT(B1218,8)="SỐ LƯỢNG"),A1218,IF(A1218="","",K1217))</f>
        <v/>
      </c>
      <c r="L1218">
        <f>IF(A1218="","",IF(ISNUMBER(--LEFT(A1218,FIND(" - ",A1218&amp;" - ")-1)),LEFT(A1218,FIND(" - ",A1218&amp;" - ")-1),TRIM(A1218)))</f>
        <v/>
      </c>
      <c r="M1218">
        <f>IF(OR(K1218="",K1218=A1218,A1218=""),"",K1218&amp;"|"&amp;L1218)</f>
        <v/>
      </c>
      <c r="N1218">
        <f>IF(M1218="","",IF(ISNUMBER(B1218),B1218,IFERROR(_xlfn.NUMBERVALUE(B1218,".",","),0)))</f>
        <v/>
      </c>
      <c r="O1218">
        <f>IF(M1218="","",IF(ISNUMBER(C1218),C1218,IFERROR(_xlfn.NUMBERVALUE(C1218,".",","),0)))</f>
        <v/>
      </c>
    </row>
    <row r="1219">
      <c r="K1219">
        <f>IF(OR(LEFT(B1219,9)="DOANH THU",LEFT(B1219,8)="SỐ LƯỢNG"),A1219,IF(A1219="","",K1218))</f>
        <v/>
      </c>
      <c r="L1219">
        <f>IF(A1219="","",IF(ISNUMBER(--LEFT(A1219,FIND(" - ",A1219&amp;" - ")-1)),LEFT(A1219,FIND(" - ",A1219&amp;" - ")-1),TRIM(A1219)))</f>
        <v/>
      </c>
      <c r="M1219">
        <f>IF(OR(K1219="",K1219=A1219,A1219=""),"",K1219&amp;"|"&amp;L1219)</f>
        <v/>
      </c>
      <c r="N1219">
        <f>IF(M1219="","",IF(ISNUMBER(B1219),B1219,IFERROR(_xlfn.NUMBERVALUE(B1219,".",","),0)))</f>
        <v/>
      </c>
      <c r="O1219">
        <f>IF(M1219="","",IF(ISNUMBER(C1219),C1219,IFERROR(_xlfn.NUMBERVALUE(C1219,".",","),0)))</f>
        <v/>
      </c>
    </row>
    <row r="1220">
      <c r="K1220">
        <f>IF(OR(LEFT(B1220,9)="DOANH THU",LEFT(B1220,8)="SỐ LƯỢNG"),A1220,IF(A1220="","",K1219))</f>
        <v/>
      </c>
      <c r="L1220">
        <f>IF(A1220="","",IF(ISNUMBER(--LEFT(A1220,FIND(" - ",A1220&amp;" - ")-1)),LEFT(A1220,FIND(" - ",A1220&amp;" - ")-1),TRIM(A1220)))</f>
        <v/>
      </c>
      <c r="M1220">
        <f>IF(OR(K1220="",K1220=A1220,A1220=""),"",K1220&amp;"|"&amp;L1220)</f>
        <v/>
      </c>
      <c r="N1220">
        <f>IF(M1220="","",IF(ISNUMBER(B1220),B1220,IFERROR(_xlfn.NUMBERVALUE(B1220,".",","),0)))</f>
        <v/>
      </c>
      <c r="O1220">
        <f>IF(M1220="","",IF(ISNUMBER(C1220),C1220,IFERROR(_xlfn.NUMBERVALUE(C1220,".",","),0)))</f>
        <v/>
      </c>
    </row>
    <row r="1221">
      <c r="K1221">
        <f>IF(OR(LEFT(B1221,9)="DOANH THU",LEFT(B1221,8)="SỐ LƯỢNG"),A1221,IF(A1221="","",K1220))</f>
        <v/>
      </c>
      <c r="L1221">
        <f>IF(A1221="","",IF(ISNUMBER(--LEFT(A1221,FIND(" - ",A1221&amp;" - ")-1)),LEFT(A1221,FIND(" - ",A1221&amp;" - ")-1),TRIM(A1221)))</f>
        <v/>
      </c>
      <c r="M1221">
        <f>IF(OR(K1221="",K1221=A1221,A1221=""),"",K1221&amp;"|"&amp;L1221)</f>
        <v/>
      </c>
      <c r="N1221">
        <f>IF(M1221="","",IF(ISNUMBER(B1221),B1221,IFERROR(_xlfn.NUMBERVALUE(B1221,".",","),0)))</f>
        <v/>
      </c>
      <c r="O1221">
        <f>IF(M1221="","",IF(ISNUMBER(C1221),C1221,IFERROR(_xlfn.NUMBERVALUE(C1221,".",","),0)))</f>
        <v/>
      </c>
    </row>
    <row r="1222">
      <c r="K1222">
        <f>IF(OR(LEFT(B1222,9)="DOANH THU",LEFT(B1222,8)="SỐ LƯỢNG"),A1222,IF(A1222="","",K1221))</f>
        <v/>
      </c>
      <c r="L1222">
        <f>IF(A1222="","",IF(ISNUMBER(--LEFT(A1222,FIND(" - ",A1222&amp;" - ")-1)),LEFT(A1222,FIND(" - ",A1222&amp;" - ")-1),TRIM(A1222)))</f>
        <v/>
      </c>
      <c r="M1222">
        <f>IF(OR(K1222="",K1222=A1222,A1222=""),"",K1222&amp;"|"&amp;L1222)</f>
        <v/>
      </c>
      <c r="N1222">
        <f>IF(M1222="","",IF(ISNUMBER(B1222),B1222,IFERROR(_xlfn.NUMBERVALUE(B1222,".",","),0)))</f>
        <v/>
      </c>
      <c r="O1222">
        <f>IF(M1222="","",IF(ISNUMBER(C1222),C1222,IFERROR(_xlfn.NUMBERVALUE(C1222,".",","),0)))</f>
        <v/>
      </c>
    </row>
    <row r="1223">
      <c r="K1223">
        <f>IF(OR(LEFT(B1223,9)="DOANH THU",LEFT(B1223,8)="SỐ LƯỢNG"),A1223,IF(A1223="","",K1222))</f>
        <v/>
      </c>
      <c r="L1223">
        <f>IF(A1223="","",IF(ISNUMBER(--LEFT(A1223,FIND(" - ",A1223&amp;" - ")-1)),LEFT(A1223,FIND(" - ",A1223&amp;" - ")-1),TRIM(A1223)))</f>
        <v/>
      </c>
      <c r="M1223">
        <f>IF(OR(K1223="",K1223=A1223,A1223=""),"",K1223&amp;"|"&amp;L1223)</f>
        <v/>
      </c>
      <c r="N1223">
        <f>IF(M1223="","",IF(ISNUMBER(B1223),B1223,IFERROR(_xlfn.NUMBERVALUE(B1223,".",","),0)))</f>
        <v/>
      </c>
      <c r="O1223">
        <f>IF(M1223="","",IF(ISNUMBER(C1223),C1223,IFERROR(_xlfn.NUMBERVALUE(C1223,".",","),0)))</f>
        <v/>
      </c>
    </row>
    <row r="1224">
      <c r="K1224">
        <f>IF(OR(LEFT(B1224,9)="DOANH THU",LEFT(B1224,8)="SỐ LƯỢNG"),A1224,IF(A1224="","",K1223))</f>
        <v/>
      </c>
      <c r="L1224">
        <f>IF(A1224="","",IF(ISNUMBER(--LEFT(A1224,FIND(" - ",A1224&amp;" - ")-1)),LEFT(A1224,FIND(" - ",A1224&amp;" - ")-1),TRIM(A1224)))</f>
        <v/>
      </c>
      <c r="M1224">
        <f>IF(OR(K1224="",K1224=A1224,A1224=""),"",K1224&amp;"|"&amp;L1224)</f>
        <v/>
      </c>
      <c r="N1224">
        <f>IF(M1224="","",IF(ISNUMBER(B1224),B1224,IFERROR(_xlfn.NUMBERVALUE(B1224,".",","),0)))</f>
        <v/>
      </c>
      <c r="O1224">
        <f>IF(M1224="","",IF(ISNUMBER(C1224),C1224,IFERROR(_xlfn.NUMBERVALUE(C1224,".",","),0)))</f>
        <v/>
      </c>
    </row>
    <row r="1225">
      <c r="K1225">
        <f>IF(OR(LEFT(B1225,9)="DOANH THU",LEFT(B1225,8)="SỐ LƯỢNG"),A1225,IF(A1225="","",K1224))</f>
        <v/>
      </c>
      <c r="L1225">
        <f>IF(A1225="","",IF(ISNUMBER(--LEFT(A1225,FIND(" - ",A1225&amp;" - ")-1)),LEFT(A1225,FIND(" - ",A1225&amp;" - ")-1),TRIM(A1225)))</f>
        <v/>
      </c>
      <c r="M1225">
        <f>IF(OR(K1225="",K1225=A1225,A1225=""),"",K1225&amp;"|"&amp;L1225)</f>
        <v/>
      </c>
      <c r="N1225">
        <f>IF(M1225="","",IF(ISNUMBER(B1225),B1225,IFERROR(_xlfn.NUMBERVALUE(B1225,".",","),0)))</f>
        <v/>
      </c>
      <c r="O1225">
        <f>IF(M1225="","",IF(ISNUMBER(C1225),C1225,IFERROR(_xlfn.NUMBERVALUE(C1225,".",","),0)))</f>
        <v/>
      </c>
    </row>
    <row r="1226">
      <c r="K1226">
        <f>IF(OR(LEFT(B1226,9)="DOANH THU",LEFT(B1226,8)="SỐ LƯỢNG"),A1226,IF(A1226="","",K1225))</f>
        <v/>
      </c>
      <c r="L1226">
        <f>IF(A1226="","",IF(ISNUMBER(--LEFT(A1226,FIND(" - ",A1226&amp;" - ")-1)),LEFT(A1226,FIND(" - ",A1226&amp;" - ")-1),TRIM(A1226)))</f>
        <v/>
      </c>
      <c r="M1226">
        <f>IF(OR(K1226="",K1226=A1226,A1226=""),"",K1226&amp;"|"&amp;L1226)</f>
        <v/>
      </c>
      <c r="N1226">
        <f>IF(M1226="","",IF(ISNUMBER(B1226),B1226,IFERROR(_xlfn.NUMBERVALUE(B1226,".",","),0)))</f>
        <v/>
      </c>
      <c r="O1226">
        <f>IF(M1226="","",IF(ISNUMBER(C1226),C1226,IFERROR(_xlfn.NUMBERVALUE(C1226,".",","),0)))</f>
        <v/>
      </c>
    </row>
    <row r="1227">
      <c r="K1227">
        <f>IF(OR(LEFT(B1227,9)="DOANH THU",LEFT(B1227,8)="SỐ LƯỢNG"),A1227,IF(A1227="","",K1226))</f>
        <v/>
      </c>
      <c r="L1227">
        <f>IF(A1227="","",IF(ISNUMBER(--LEFT(A1227,FIND(" - ",A1227&amp;" - ")-1)),LEFT(A1227,FIND(" - ",A1227&amp;" - ")-1),TRIM(A1227)))</f>
        <v/>
      </c>
      <c r="M1227">
        <f>IF(OR(K1227="",K1227=A1227,A1227=""),"",K1227&amp;"|"&amp;L1227)</f>
        <v/>
      </c>
      <c r="N1227">
        <f>IF(M1227="","",IF(ISNUMBER(B1227),B1227,IFERROR(_xlfn.NUMBERVALUE(B1227,".",","),0)))</f>
        <v/>
      </c>
      <c r="O1227">
        <f>IF(M1227="","",IF(ISNUMBER(C1227),C1227,IFERROR(_xlfn.NUMBERVALUE(C1227,".",","),0)))</f>
        <v/>
      </c>
    </row>
    <row r="1228">
      <c r="K1228">
        <f>IF(OR(LEFT(B1228,9)="DOANH THU",LEFT(B1228,8)="SỐ LƯỢNG"),A1228,IF(A1228="","",K1227))</f>
        <v/>
      </c>
      <c r="L1228">
        <f>IF(A1228="","",IF(ISNUMBER(--LEFT(A1228,FIND(" - ",A1228&amp;" - ")-1)),LEFT(A1228,FIND(" - ",A1228&amp;" - ")-1),TRIM(A1228)))</f>
        <v/>
      </c>
      <c r="M1228">
        <f>IF(OR(K1228="",K1228=A1228,A1228=""),"",K1228&amp;"|"&amp;L1228)</f>
        <v/>
      </c>
      <c r="N1228">
        <f>IF(M1228="","",IF(ISNUMBER(B1228),B1228,IFERROR(_xlfn.NUMBERVALUE(B1228,".",","),0)))</f>
        <v/>
      </c>
      <c r="O1228">
        <f>IF(M1228="","",IF(ISNUMBER(C1228),C1228,IFERROR(_xlfn.NUMBERVALUE(C1228,".",","),0)))</f>
        <v/>
      </c>
    </row>
    <row r="1229">
      <c r="K1229">
        <f>IF(OR(LEFT(B1229,9)="DOANH THU",LEFT(B1229,8)="SỐ LƯỢNG"),A1229,IF(A1229="","",K1228))</f>
        <v/>
      </c>
      <c r="L1229">
        <f>IF(A1229="","",IF(ISNUMBER(--LEFT(A1229,FIND(" - ",A1229&amp;" - ")-1)),LEFT(A1229,FIND(" - ",A1229&amp;" - ")-1),TRIM(A1229)))</f>
        <v/>
      </c>
      <c r="M1229">
        <f>IF(OR(K1229="",K1229=A1229,A1229=""),"",K1229&amp;"|"&amp;L1229)</f>
        <v/>
      </c>
      <c r="N1229">
        <f>IF(M1229="","",IF(ISNUMBER(B1229),B1229,IFERROR(_xlfn.NUMBERVALUE(B1229,".",","),0)))</f>
        <v/>
      </c>
      <c r="O1229">
        <f>IF(M1229="","",IF(ISNUMBER(C1229),C1229,IFERROR(_xlfn.NUMBERVALUE(C1229,".",","),0)))</f>
        <v/>
      </c>
    </row>
    <row r="1230">
      <c r="K1230">
        <f>IF(OR(LEFT(B1230,9)="DOANH THU",LEFT(B1230,8)="SỐ LƯỢNG"),A1230,IF(A1230="","",K1229))</f>
        <v/>
      </c>
      <c r="L1230">
        <f>IF(A1230="","",IF(ISNUMBER(--LEFT(A1230,FIND(" - ",A1230&amp;" - ")-1)),LEFT(A1230,FIND(" - ",A1230&amp;" - ")-1),TRIM(A1230)))</f>
        <v/>
      </c>
      <c r="M1230">
        <f>IF(OR(K1230="",K1230=A1230,A1230=""),"",K1230&amp;"|"&amp;L1230)</f>
        <v/>
      </c>
      <c r="N1230">
        <f>IF(M1230="","",IF(ISNUMBER(B1230),B1230,IFERROR(_xlfn.NUMBERVALUE(B1230,".",","),0)))</f>
        <v/>
      </c>
      <c r="O1230">
        <f>IF(M1230="","",IF(ISNUMBER(C1230),C1230,IFERROR(_xlfn.NUMBERVALUE(C1230,".",","),0)))</f>
        <v/>
      </c>
    </row>
    <row r="1231">
      <c r="K1231">
        <f>IF(OR(LEFT(B1231,9)="DOANH THU",LEFT(B1231,8)="SỐ LƯỢNG"),A1231,IF(A1231="","",K1230))</f>
        <v/>
      </c>
      <c r="L1231">
        <f>IF(A1231="","",IF(ISNUMBER(--LEFT(A1231,FIND(" - ",A1231&amp;" - ")-1)),LEFT(A1231,FIND(" - ",A1231&amp;" - ")-1),TRIM(A1231)))</f>
        <v/>
      </c>
      <c r="M1231">
        <f>IF(OR(K1231="",K1231=A1231,A1231=""),"",K1231&amp;"|"&amp;L1231)</f>
        <v/>
      </c>
      <c r="N1231">
        <f>IF(M1231="","",IF(ISNUMBER(B1231),B1231,IFERROR(_xlfn.NUMBERVALUE(B1231,".",","),0)))</f>
        <v/>
      </c>
      <c r="O1231">
        <f>IF(M1231="","",IF(ISNUMBER(C1231),C1231,IFERROR(_xlfn.NUMBERVALUE(C1231,".",","),0)))</f>
        <v/>
      </c>
    </row>
    <row r="1232">
      <c r="K1232">
        <f>IF(OR(LEFT(B1232,9)="DOANH THU",LEFT(B1232,8)="SỐ LƯỢNG"),A1232,IF(A1232="","",K1231))</f>
        <v/>
      </c>
      <c r="L1232">
        <f>IF(A1232="","",IF(ISNUMBER(--LEFT(A1232,FIND(" - ",A1232&amp;" - ")-1)),LEFT(A1232,FIND(" - ",A1232&amp;" - ")-1),TRIM(A1232)))</f>
        <v/>
      </c>
      <c r="M1232">
        <f>IF(OR(K1232="",K1232=A1232,A1232=""),"",K1232&amp;"|"&amp;L1232)</f>
        <v/>
      </c>
      <c r="N1232">
        <f>IF(M1232="","",IF(ISNUMBER(B1232),B1232,IFERROR(_xlfn.NUMBERVALUE(B1232,".",","),0)))</f>
        <v/>
      </c>
      <c r="O1232">
        <f>IF(M1232="","",IF(ISNUMBER(C1232),C1232,IFERROR(_xlfn.NUMBERVALUE(C1232,".",","),0)))</f>
        <v/>
      </c>
    </row>
    <row r="1233">
      <c r="K1233">
        <f>IF(OR(LEFT(B1233,9)="DOANH THU",LEFT(B1233,8)="SỐ LƯỢNG"),A1233,IF(A1233="","",K1232))</f>
        <v/>
      </c>
      <c r="L1233">
        <f>IF(A1233="","",IF(ISNUMBER(--LEFT(A1233,FIND(" - ",A1233&amp;" - ")-1)),LEFT(A1233,FIND(" - ",A1233&amp;" - ")-1),TRIM(A1233)))</f>
        <v/>
      </c>
      <c r="M1233">
        <f>IF(OR(K1233="",K1233=A1233,A1233=""),"",K1233&amp;"|"&amp;L1233)</f>
        <v/>
      </c>
      <c r="N1233">
        <f>IF(M1233="","",IF(ISNUMBER(B1233),B1233,IFERROR(_xlfn.NUMBERVALUE(B1233,".",","),0)))</f>
        <v/>
      </c>
      <c r="O1233">
        <f>IF(M1233="","",IF(ISNUMBER(C1233),C1233,IFERROR(_xlfn.NUMBERVALUE(C1233,".",","),0)))</f>
        <v/>
      </c>
    </row>
    <row r="1234">
      <c r="K1234">
        <f>IF(OR(LEFT(B1234,9)="DOANH THU",LEFT(B1234,8)="SỐ LƯỢNG"),A1234,IF(A1234="","",K1233))</f>
        <v/>
      </c>
      <c r="L1234">
        <f>IF(A1234="","",IF(ISNUMBER(--LEFT(A1234,FIND(" - ",A1234&amp;" - ")-1)),LEFT(A1234,FIND(" - ",A1234&amp;" - ")-1),TRIM(A1234)))</f>
        <v/>
      </c>
      <c r="M1234">
        <f>IF(OR(K1234="",K1234=A1234,A1234=""),"",K1234&amp;"|"&amp;L1234)</f>
        <v/>
      </c>
      <c r="N1234">
        <f>IF(M1234="","",IF(ISNUMBER(B1234),B1234,IFERROR(_xlfn.NUMBERVALUE(B1234,".",","),0)))</f>
        <v/>
      </c>
      <c r="O1234">
        <f>IF(M1234="","",IF(ISNUMBER(C1234),C1234,IFERROR(_xlfn.NUMBERVALUE(C1234,".",","),0)))</f>
        <v/>
      </c>
    </row>
    <row r="1235">
      <c r="K1235">
        <f>IF(OR(LEFT(B1235,9)="DOANH THU",LEFT(B1235,8)="SỐ LƯỢNG"),A1235,IF(A1235="","",K1234))</f>
        <v/>
      </c>
      <c r="L1235">
        <f>IF(A1235="","",IF(ISNUMBER(--LEFT(A1235,FIND(" - ",A1235&amp;" - ")-1)),LEFT(A1235,FIND(" - ",A1235&amp;" - ")-1),TRIM(A1235)))</f>
        <v/>
      </c>
      <c r="M1235">
        <f>IF(OR(K1235="",K1235=A1235,A1235=""),"",K1235&amp;"|"&amp;L1235)</f>
        <v/>
      </c>
      <c r="N1235">
        <f>IF(M1235="","",IF(ISNUMBER(B1235),B1235,IFERROR(_xlfn.NUMBERVALUE(B1235,".",","),0)))</f>
        <v/>
      </c>
      <c r="O1235">
        <f>IF(M1235="","",IF(ISNUMBER(C1235),C1235,IFERROR(_xlfn.NUMBERVALUE(C1235,".",","),0)))</f>
        <v/>
      </c>
    </row>
    <row r="1236">
      <c r="K1236">
        <f>IF(OR(LEFT(B1236,9)="DOANH THU",LEFT(B1236,8)="SỐ LƯỢNG"),A1236,IF(A1236="","",K1235))</f>
        <v/>
      </c>
      <c r="L1236">
        <f>IF(A1236="","",IF(ISNUMBER(--LEFT(A1236,FIND(" - ",A1236&amp;" - ")-1)),LEFT(A1236,FIND(" - ",A1236&amp;" - ")-1),TRIM(A1236)))</f>
        <v/>
      </c>
      <c r="M1236">
        <f>IF(OR(K1236="",K1236=A1236,A1236=""),"",K1236&amp;"|"&amp;L1236)</f>
        <v/>
      </c>
      <c r="N1236">
        <f>IF(M1236="","",IF(ISNUMBER(B1236),B1236,IFERROR(_xlfn.NUMBERVALUE(B1236,".",","),0)))</f>
        <v/>
      </c>
      <c r="O1236">
        <f>IF(M1236="","",IF(ISNUMBER(C1236),C1236,IFERROR(_xlfn.NUMBERVALUE(C1236,".",","),0)))</f>
        <v/>
      </c>
    </row>
    <row r="1237">
      <c r="K1237">
        <f>IF(OR(LEFT(B1237,9)="DOANH THU",LEFT(B1237,8)="SỐ LƯỢNG"),A1237,IF(A1237="","",K1236))</f>
        <v/>
      </c>
      <c r="L1237">
        <f>IF(A1237="","",IF(ISNUMBER(--LEFT(A1237,FIND(" - ",A1237&amp;" - ")-1)),LEFT(A1237,FIND(" - ",A1237&amp;" - ")-1),TRIM(A1237)))</f>
        <v/>
      </c>
      <c r="M1237">
        <f>IF(OR(K1237="",K1237=A1237,A1237=""),"",K1237&amp;"|"&amp;L1237)</f>
        <v/>
      </c>
      <c r="N1237">
        <f>IF(M1237="","",IF(ISNUMBER(B1237),B1237,IFERROR(_xlfn.NUMBERVALUE(B1237,".",","),0)))</f>
        <v/>
      </c>
      <c r="O1237">
        <f>IF(M1237="","",IF(ISNUMBER(C1237),C1237,IFERROR(_xlfn.NUMBERVALUE(C1237,".",","),0)))</f>
        <v/>
      </c>
    </row>
    <row r="1238">
      <c r="K1238">
        <f>IF(OR(LEFT(B1238,9)="DOANH THU",LEFT(B1238,8)="SỐ LƯỢNG"),A1238,IF(A1238="","",K1237))</f>
        <v/>
      </c>
      <c r="L1238">
        <f>IF(A1238="","",IF(ISNUMBER(--LEFT(A1238,FIND(" - ",A1238&amp;" - ")-1)),LEFT(A1238,FIND(" - ",A1238&amp;" - ")-1),TRIM(A1238)))</f>
        <v/>
      </c>
      <c r="M1238">
        <f>IF(OR(K1238="",K1238=A1238,A1238=""),"",K1238&amp;"|"&amp;L1238)</f>
        <v/>
      </c>
      <c r="N1238">
        <f>IF(M1238="","",IF(ISNUMBER(B1238),B1238,IFERROR(_xlfn.NUMBERVALUE(B1238,".",","),0)))</f>
        <v/>
      </c>
      <c r="O1238">
        <f>IF(M1238="","",IF(ISNUMBER(C1238),C1238,IFERROR(_xlfn.NUMBERVALUE(C1238,".",","),0)))</f>
        <v/>
      </c>
    </row>
    <row r="1239">
      <c r="K1239">
        <f>IF(OR(LEFT(B1239,9)="DOANH THU",LEFT(B1239,8)="SỐ LƯỢNG"),A1239,IF(A1239="","",K1238))</f>
        <v/>
      </c>
      <c r="L1239">
        <f>IF(A1239="","",IF(ISNUMBER(--LEFT(A1239,FIND(" - ",A1239&amp;" - ")-1)),LEFT(A1239,FIND(" - ",A1239&amp;" - ")-1),TRIM(A1239)))</f>
        <v/>
      </c>
      <c r="M1239">
        <f>IF(OR(K1239="",K1239=A1239,A1239=""),"",K1239&amp;"|"&amp;L1239)</f>
        <v/>
      </c>
      <c r="N1239">
        <f>IF(M1239="","",IF(ISNUMBER(B1239),B1239,IFERROR(_xlfn.NUMBERVALUE(B1239,".",","),0)))</f>
        <v/>
      </c>
      <c r="O1239">
        <f>IF(M1239="","",IF(ISNUMBER(C1239),C1239,IFERROR(_xlfn.NUMBERVALUE(C1239,".",","),0)))</f>
        <v/>
      </c>
    </row>
    <row r="1240">
      <c r="K1240">
        <f>IF(OR(LEFT(B1240,9)="DOANH THU",LEFT(B1240,8)="SỐ LƯỢNG"),A1240,IF(A1240="","",K1239))</f>
        <v/>
      </c>
      <c r="L1240">
        <f>IF(A1240="","",IF(ISNUMBER(--LEFT(A1240,FIND(" - ",A1240&amp;" - ")-1)),LEFT(A1240,FIND(" - ",A1240&amp;" - ")-1),TRIM(A1240)))</f>
        <v/>
      </c>
      <c r="M1240">
        <f>IF(OR(K1240="",K1240=A1240,A1240=""),"",K1240&amp;"|"&amp;L1240)</f>
        <v/>
      </c>
      <c r="N1240">
        <f>IF(M1240="","",IF(ISNUMBER(B1240),B1240,IFERROR(_xlfn.NUMBERVALUE(B1240,".",","),0)))</f>
        <v/>
      </c>
      <c r="O1240">
        <f>IF(M1240="","",IF(ISNUMBER(C1240),C1240,IFERROR(_xlfn.NUMBERVALUE(C1240,".",","),0)))</f>
        <v/>
      </c>
    </row>
    <row r="1241">
      <c r="K1241">
        <f>IF(OR(LEFT(B1241,9)="DOANH THU",LEFT(B1241,8)="SỐ LƯỢNG"),A1241,IF(A1241="","",K1240))</f>
        <v/>
      </c>
      <c r="L1241">
        <f>IF(A1241="","",IF(ISNUMBER(--LEFT(A1241,FIND(" - ",A1241&amp;" - ")-1)),LEFT(A1241,FIND(" - ",A1241&amp;" - ")-1),TRIM(A1241)))</f>
        <v/>
      </c>
      <c r="M1241">
        <f>IF(OR(K1241="",K1241=A1241,A1241=""),"",K1241&amp;"|"&amp;L1241)</f>
        <v/>
      </c>
      <c r="N1241">
        <f>IF(M1241="","",IF(ISNUMBER(B1241),B1241,IFERROR(_xlfn.NUMBERVALUE(B1241,".",","),0)))</f>
        <v/>
      </c>
      <c r="O1241">
        <f>IF(M1241="","",IF(ISNUMBER(C1241),C1241,IFERROR(_xlfn.NUMBERVALUE(C1241,".",","),0)))</f>
        <v/>
      </c>
    </row>
    <row r="1242">
      <c r="K1242">
        <f>IF(OR(LEFT(B1242,9)="DOANH THU",LEFT(B1242,8)="SỐ LƯỢNG"),A1242,IF(A1242="","",K1241))</f>
        <v/>
      </c>
      <c r="L1242">
        <f>IF(A1242="","",IF(ISNUMBER(--LEFT(A1242,FIND(" - ",A1242&amp;" - ")-1)),LEFT(A1242,FIND(" - ",A1242&amp;" - ")-1),TRIM(A1242)))</f>
        <v/>
      </c>
      <c r="M1242">
        <f>IF(OR(K1242="",K1242=A1242,A1242=""),"",K1242&amp;"|"&amp;L1242)</f>
        <v/>
      </c>
      <c r="N1242">
        <f>IF(M1242="","",IF(ISNUMBER(B1242),B1242,IFERROR(_xlfn.NUMBERVALUE(B1242,".",","),0)))</f>
        <v/>
      </c>
      <c r="O1242">
        <f>IF(M1242="","",IF(ISNUMBER(C1242),C1242,IFERROR(_xlfn.NUMBERVALUE(C1242,".",","),0)))</f>
        <v/>
      </c>
    </row>
    <row r="1243">
      <c r="K1243">
        <f>IF(OR(LEFT(B1243,9)="DOANH THU",LEFT(B1243,8)="SỐ LƯỢNG"),A1243,IF(A1243="","",K1242))</f>
        <v/>
      </c>
      <c r="L1243">
        <f>IF(A1243="","",IF(ISNUMBER(--LEFT(A1243,FIND(" - ",A1243&amp;" - ")-1)),LEFT(A1243,FIND(" - ",A1243&amp;" - ")-1),TRIM(A1243)))</f>
        <v/>
      </c>
      <c r="M1243">
        <f>IF(OR(K1243="",K1243=A1243,A1243=""),"",K1243&amp;"|"&amp;L1243)</f>
        <v/>
      </c>
      <c r="N1243">
        <f>IF(M1243="","",IF(ISNUMBER(B1243),B1243,IFERROR(_xlfn.NUMBERVALUE(B1243,".",","),0)))</f>
        <v/>
      </c>
      <c r="O1243">
        <f>IF(M1243="","",IF(ISNUMBER(C1243),C1243,IFERROR(_xlfn.NUMBERVALUE(C1243,".",","),0)))</f>
        <v/>
      </c>
    </row>
    <row r="1244">
      <c r="K1244">
        <f>IF(OR(LEFT(B1244,9)="DOANH THU",LEFT(B1244,8)="SỐ LƯỢNG"),A1244,IF(A1244="","",K1243))</f>
        <v/>
      </c>
      <c r="L1244">
        <f>IF(A1244="","",IF(ISNUMBER(--LEFT(A1244,FIND(" - ",A1244&amp;" - ")-1)),LEFT(A1244,FIND(" - ",A1244&amp;" - ")-1),TRIM(A1244)))</f>
        <v/>
      </c>
      <c r="M1244">
        <f>IF(OR(K1244="",K1244=A1244,A1244=""),"",K1244&amp;"|"&amp;L1244)</f>
        <v/>
      </c>
      <c r="N1244">
        <f>IF(M1244="","",IF(ISNUMBER(B1244),B1244,IFERROR(_xlfn.NUMBERVALUE(B1244,".",","),0)))</f>
        <v/>
      </c>
      <c r="O1244">
        <f>IF(M1244="","",IF(ISNUMBER(C1244),C1244,IFERROR(_xlfn.NUMBERVALUE(C1244,".",","),0)))</f>
        <v/>
      </c>
    </row>
    <row r="1245">
      <c r="K1245">
        <f>IF(OR(LEFT(B1245,9)="DOANH THU",LEFT(B1245,8)="SỐ LƯỢNG"),A1245,IF(A1245="","",K1244))</f>
        <v/>
      </c>
      <c r="L1245">
        <f>IF(A1245="","",IF(ISNUMBER(--LEFT(A1245,FIND(" - ",A1245&amp;" - ")-1)),LEFT(A1245,FIND(" - ",A1245&amp;" - ")-1),TRIM(A1245)))</f>
        <v/>
      </c>
      <c r="M1245">
        <f>IF(OR(K1245="",K1245=A1245,A1245=""),"",K1245&amp;"|"&amp;L1245)</f>
        <v/>
      </c>
      <c r="N1245">
        <f>IF(M1245="","",IF(ISNUMBER(B1245),B1245,IFERROR(_xlfn.NUMBERVALUE(B1245,".",","),0)))</f>
        <v/>
      </c>
      <c r="O1245">
        <f>IF(M1245="","",IF(ISNUMBER(C1245),C1245,IFERROR(_xlfn.NUMBERVALUE(C1245,".",","),0)))</f>
        <v/>
      </c>
    </row>
    <row r="1246">
      <c r="K1246">
        <f>IF(OR(LEFT(B1246,9)="DOANH THU",LEFT(B1246,8)="SỐ LƯỢNG"),A1246,IF(A1246="","",K1245))</f>
        <v/>
      </c>
      <c r="L1246">
        <f>IF(A1246="","",IF(ISNUMBER(--LEFT(A1246,FIND(" - ",A1246&amp;" - ")-1)),LEFT(A1246,FIND(" - ",A1246&amp;" - ")-1),TRIM(A1246)))</f>
        <v/>
      </c>
      <c r="M1246">
        <f>IF(OR(K1246="",K1246=A1246,A1246=""),"",K1246&amp;"|"&amp;L1246)</f>
        <v/>
      </c>
      <c r="N1246">
        <f>IF(M1246="","",IF(ISNUMBER(B1246),B1246,IFERROR(_xlfn.NUMBERVALUE(B1246,".",","),0)))</f>
        <v/>
      </c>
      <c r="O1246">
        <f>IF(M1246="","",IF(ISNUMBER(C1246),C1246,IFERROR(_xlfn.NUMBERVALUE(C1246,".",","),0)))</f>
        <v/>
      </c>
    </row>
    <row r="1247">
      <c r="K1247">
        <f>IF(OR(LEFT(B1247,9)="DOANH THU",LEFT(B1247,8)="SỐ LƯỢNG"),A1247,IF(A1247="","",K1246))</f>
        <v/>
      </c>
      <c r="L1247">
        <f>IF(A1247="","",IF(ISNUMBER(--LEFT(A1247,FIND(" - ",A1247&amp;" - ")-1)),LEFT(A1247,FIND(" - ",A1247&amp;" - ")-1),TRIM(A1247)))</f>
        <v/>
      </c>
      <c r="M1247">
        <f>IF(OR(K1247="",K1247=A1247,A1247=""),"",K1247&amp;"|"&amp;L1247)</f>
        <v/>
      </c>
      <c r="N1247">
        <f>IF(M1247="","",IF(ISNUMBER(B1247),B1247,IFERROR(_xlfn.NUMBERVALUE(B1247,".",","),0)))</f>
        <v/>
      </c>
      <c r="O1247">
        <f>IF(M1247="","",IF(ISNUMBER(C1247),C1247,IFERROR(_xlfn.NUMBERVALUE(C1247,".",","),0)))</f>
        <v/>
      </c>
    </row>
    <row r="1248">
      <c r="K1248">
        <f>IF(OR(LEFT(B1248,9)="DOANH THU",LEFT(B1248,8)="SỐ LƯỢNG"),A1248,IF(A1248="","",K1247))</f>
        <v/>
      </c>
      <c r="L1248">
        <f>IF(A1248="","",IF(ISNUMBER(--LEFT(A1248,FIND(" - ",A1248&amp;" - ")-1)),LEFT(A1248,FIND(" - ",A1248&amp;" - ")-1),TRIM(A1248)))</f>
        <v/>
      </c>
      <c r="M1248">
        <f>IF(OR(K1248="",K1248=A1248,A1248=""),"",K1248&amp;"|"&amp;L1248)</f>
        <v/>
      </c>
      <c r="N1248">
        <f>IF(M1248="","",IF(ISNUMBER(B1248),B1248,IFERROR(_xlfn.NUMBERVALUE(B1248,".",","),0)))</f>
        <v/>
      </c>
      <c r="O1248">
        <f>IF(M1248="","",IF(ISNUMBER(C1248),C1248,IFERROR(_xlfn.NUMBERVALUE(C1248,".",","),0)))</f>
        <v/>
      </c>
    </row>
    <row r="1249">
      <c r="K1249">
        <f>IF(OR(LEFT(B1249,9)="DOANH THU",LEFT(B1249,8)="SỐ LƯỢNG"),A1249,IF(A1249="","",K1248))</f>
        <v/>
      </c>
      <c r="L1249">
        <f>IF(A1249="","",IF(ISNUMBER(--LEFT(A1249,FIND(" - ",A1249&amp;" - ")-1)),LEFT(A1249,FIND(" - ",A1249&amp;" - ")-1),TRIM(A1249)))</f>
        <v/>
      </c>
      <c r="M1249">
        <f>IF(OR(K1249="",K1249=A1249,A1249=""),"",K1249&amp;"|"&amp;L1249)</f>
        <v/>
      </c>
      <c r="N1249">
        <f>IF(M1249="","",IF(ISNUMBER(B1249),B1249,IFERROR(_xlfn.NUMBERVALUE(B1249,".",","),0)))</f>
        <v/>
      </c>
      <c r="O1249">
        <f>IF(M1249="","",IF(ISNUMBER(C1249),C1249,IFERROR(_xlfn.NUMBERVALUE(C1249,".",","),0)))</f>
        <v/>
      </c>
    </row>
    <row r="1250">
      <c r="K1250">
        <f>IF(OR(LEFT(B1250,9)="DOANH THU",LEFT(B1250,8)="SỐ LƯỢNG"),A1250,IF(A1250="","",K1249))</f>
        <v/>
      </c>
      <c r="L1250">
        <f>IF(A1250="","",IF(ISNUMBER(--LEFT(A1250,FIND(" - ",A1250&amp;" - ")-1)),LEFT(A1250,FIND(" - ",A1250&amp;" - ")-1),TRIM(A1250)))</f>
        <v/>
      </c>
      <c r="M1250">
        <f>IF(OR(K1250="",K1250=A1250,A1250=""),"",K1250&amp;"|"&amp;L1250)</f>
        <v/>
      </c>
      <c r="N1250">
        <f>IF(M1250="","",IF(ISNUMBER(B1250),B1250,IFERROR(_xlfn.NUMBERVALUE(B1250,".",","),0)))</f>
        <v/>
      </c>
      <c r="O1250">
        <f>IF(M1250="","",IF(ISNUMBER(C1250),C1250,IFERROR(_xlfn.NUMBERVALUE(C1250,".",","),0)))</f>
        <v/>
      </c>
    </row>
    <row r="1251">
      <c r="K1251">
        <f>IF(OR(LEFT(B1251,9)="DOANH THU",LEFT(B1251,8)="SỐ LƯỢNG"),A1251,IF(A1251="","",K1250))</f>
        <v/>
      </c>
      <c r="L1251">
        <f>IF(A1251="","",IF(ISNUMBER(--LEFT(A1251,FIND(" - ",A1251&amp;" - ")-1)),LEFT(A1251,FIND(" - ",A1251&amp;" - ")-1),TRIM(A1251)))</f>
        <v/>
      </c>
      <c r="M1251">
        <f>IF(OR(K1251="",K1251=A1251,A1251=""),"",K1251&amp;"|"&amp;L1251)</f>
        <v/>
      </c>
      <c r="N1251">
        <f>IF(M1251="","",IF(ISNUMBER(B1251),B1251,IFERROR(_xlfn.NUMBERVALUE(B1251,".",","),0)))</f>
        <v/>
      </c>
      <c r="O1251">
        <f>IF(M1251="","",IF(ISNUMBER(C1251),C1251,IFERROR(_xlfn.NUMBERVALUE(C1251,".",","),0)))</f>
        <v/>
      </c>
    </row>
    <row r="1252">
      <c r="K1252">
        <f>IF(OR(LEFT(B1252,9)="DOANH THU",LEFT(B1252,8)="SỐ LƯỢNG"),A1252,IF(A1252="","",K1251))</f>
        <v/>
      </c>
      <c r="L1252">
        <f>IF(A1252="","",IF(ISNUMBER(--LEFT(A1252,FIND(" - ",A1252&amp;" - ")-1)),LEFT(A1252,FIND(" - ",A1252&amp;" - ")-1),TRIM(A1252)))</f>
        <v/>
      </c>
      <c r="M1252">
        <f>IF(OR(K1252="",K1252=A1252,A1252=""),"",K1252&amp;"|"&amp;L1252)</f>
        <v/>
      </c>
      <c r="N1252">
        <f>IF(M1252="","",IF(ISNUMBER(B1252),B1252,IFERROR(_xlfn.NUMBERVALUE(B1252,".",","),0)))</f>
        <v/>
      </c>
      <c r="O1252">
        <f>IF(M1252="","",IF(ISNUMBER(C1252),C1252,IFERROR(_xlfn.NUMBERVALUE(C1252,".",","),0)))</f>
        <v/>
      </c>
    </row>
    <row r="1253">
      <c r="K1253">
        <f>IF(OR(LEFT(B1253,9)="DOANH THU",LEFT(B1253,8)="SỐ LƯỢNG"),A1253,IF(A1253="","",K1252))</f>
        <v/>
      </c>
      <c r="L1253">
        <f>IF(A1253="","",IF(ISNUMBER(--LEFT(A1253,FIND(" - ",A1253&amp;" - ")-1)),LEFT(A1253,FIND(" - ",A1253&amp;" - ")-1),TRIM(A1253)))</f>
        <v/>
      </c>
      <c r="M1253">
        <f>IF(OR(K1253="",K1253=A1253,A1253=""),"",K1253&amp;"|"&amp;L1253)</f>
        <v/>
      </c>
      <c r="N1253">
        <f>IF(M1253="","",IF(ISNUMBER(B1253),B1253,IFERROR(_xlfn.NUMBERVALUE(B1253,".",","),0)))</f>
        <v/>
      </c>
      <c r="O1253">
        <f>IF(M1253="","",IF(ISNUMBER(C1253),C1253,IFERROR(_xlfn.NUMBERVALUE(C1253,".",","),0)))</f>
        <v/>
      </c>
    </row>
    <row r="1254">
      <c r="K1254">
        <f>IF(OR(LEFT(B1254,9)="DOANH THU",LEFT(B1254,8)="SỐ LƯỢNG"),A1254,IF(A1254="","",K1253))</f>
        <v/>
      </c>
      <c r="L1254">
        <f>IF(A1254="","",IF(ISNUMBER(--LEFT(A1254,FIND(" - ",A1254&amp;" - ")-1)),LEFT(A1254,FIND(" - ",A1254&amp;" - ")-1),TRIM(A1254)))</f>
        <v/>
      </c>
      <c r="M1254">
        <f>IF(OR(K1254="",K1254=A1254,A1254=""),"",K1254&amp;"|"&amp;L1254)</f>
        <v/>
      </c>
      <c r="N1254">
        <f>IF(M1254="","",IF(ISNUMBER(B1254),B1254,IFERROR(_xlfn.NUMBERVALUE(B1254,".",","),0)))</f>
        <v/>
      </c>
      <c r="O1254">
        <f>IF(M1254="","",IF(ISNUMBER(C1254),C1254,IFERROR(_xlfn.NUMBERVALUE(C1254,".",","),0)))</f>
        <v/>
      </c>
    </row>
    <row r="1255">
      <c r="K1255">
        <f>IF(OR(LEFT(B1255,9)="DOANH THU",LEFT(B1255,8)="SỐ LƯỢNG"),A1255,IF(A1255="","",K1254))</f>
        <v/>
      </c>
      <c r="L1255">
        <f>IF(A1255="","",IF(ISNUMBER(--LEFT(A1255,FIND(" - ",A1255&amp;" - ")-1)),LEFT(A1255,FIND(" - ",A1255&amp;" - ")-1),TRIM(A1255)))</f>
        <v/>
      </c>
      <c r="M1255">
        <f>IF(OR(K1255="",K1255=A1255,A1255=""),"",K1255&amp;"|"&amp;L1255)</f>
        <v/>
      </c>
      <c r="N1255">
        <f>IF(M1255="","",IF(ISNUMBER(B1255),B1255,IFERROR(_xlfn.NUMBERVALUE(B1255,".",","),0)))</f>
        <v/>
      </c>
      <c r="O1255">
        <f>IF(M1255="","",IF(ISNUMBER(C1255),C1255,IFERROR(_xlfn.NUMBERVALUE(C1255,".",","),0)))</f>
        <v/>
      </c>
    </row>
    <row r="1256">
      <c r="K1256">
        <f>IF(OR(LEFT(B1256,9)="DOANH THU",LEFT(B1256,8)="SỐ LƯỢNG"),A1256,IF(A1256="","",K1255))</f>
        <v/>
      </c>
      <c r="L1256">
        <f>IF(A1256="","",IF(ISNUMBER(--LEFT(A1256,FIND(" - ",A1256&amp;" - ")-1)),LEFT(A1256,FIND(" - ",A1256&amp;" - ")-1),TRIM(A1256)))</f>
        <v/>
      </c>
      <c r="M1256">
        <f>IF(OR(K1256="",K1256=A1256,A1256=""),"",K1256&amp;"|"&amp;L1256)</f>
        <v/>
      </c>
      <c r="N1256">
        <f>IF(M1256="","",IF(ISNUMBER(B1256),B1256,IFERROR(_xlfn.NUMBERVALUE(B1256,".",","),0)))</f>
        <v/>
      </c>
      <c r="O1256">
        <f>IF(M1256="","",IF(ISNUMBER(C1256),C1256,IFERROR(_xlfn.NUMBERVALUE(C1256,".",","),0)))</f>
        <v/>
      </c>
    </row>
    <row r="1257">
      <c r="K1257">
        <f>IF(OR(LEFT(B1257,9)="DOANH THU",LEFT(B1257,8)="SỐ LƯỢNG"),A1257,IF(A1257="","",K1256))</f>
        <v/>
      </c>
      <c r="L1257">
        <f>IF(A1257="","",IF(ISNUMBER(--LEFT(A1257,FIND(" - ",A1257&amp;" - ")-1)),LEFT(A1257,FIND(" - ",A1257&amp;" - ")-1),TRIM(A1257)))</f>
        <v/>
      </c>
      <c r="M1257">
        <f>IF(OR(K1257="",K1257=A1257,A1257=""),"",K1257&amp;"|"&amp;L1257)</f>
        <v/>
      </c>
      <c r="N1257">
        <f>IF(M1257="","",IF(ISNUMBER(B1257),B1257,IFERROR(_xlfn.NUMBERVALUE(B1257,".",","),0)))</f>
        <v/>
      </c>
      <c r="O1257">
        <f>IF(M1257="","",IF(ISNUMBER(C1257),C1257,IFERROR(_xlfn.NUMBERVALUE(C1257,".",","),0)))</f>
        <v/>
      </c>
    </row>
    <row r="1258">
      <c r="K1258">
        <f>IF(OR(LEFT(B1258,9)="DOANH THU",LEFT(B1258,8)="SỐ LƯỢNG"),A1258,IF(A1258="","",K1257))</f>
        <v/>
      </c>
      <c r="L1258">
        <f>IF(A1258="","",IF(ISNUMBER(--LEFT(A1258,FIND(" - ",A1258&amp;" - ")-1)),LEFT(A1258,FIND(" - ",A1258&amp;" - ")-1),TRIM(A1258)))</f>
        <v/>
      </c>
      <c r="M1258">
        <f>IF(OR(K1258="",K1258=A1258,A1258=""),"",K1258&amp;"|"&amp;L1258)</f>
        <v/>
      </c>
      <c r="N1258">
        <f>IF(M1258="","",IF(ISNUMBER(B1258),B1258,IFERROR(_xlfn.NUMBERVALUE(B1258,".",","),0)))</f>
        <v/>
      </c>
      <c r="O1258">
        <f>IF(M1258="","",IF(ISNUMBER(C1258),C1258,IFERROR(_xlfn.NUMBERVALUE(C1258,".",","),0)))</f>
        <v/>
      </c>
    </row>
    <row r="1259">
      <c r="K1259">
        <f>IF(OR(LEFT(B1259,9)="DOANH THU",LEFT(B1259,8)="SỐ LƯỢNG"),A1259,IF(A1259="","",K1258))</f>
        <v/>
      </c>
      <c r="L1259">
        <f>IF(A1259="","",IF(ISNUMBER(--LEFT(A1259,FIND(" - ",A1259&amp;" - ")-1)),LEFT(A1259,FIND(" - ",A1259&amp;" - ")-1),TRIM(A1259)))</f>
        <v/>
      </c>
      <c r="M1259">
        <f>IF(OR(K1259="",K1259=A1259,A1259=""),"",K1259&amp;"|"&amp;L1259)</f>
        <v/>
      </c>
      <c r="N1259">
        <f>IF(M1259="","",IF(ISNUMBER(B1259),B1259,IFERROR(_xlfn.NUMBERVALUE(B1259,".",","),0)))</f>
        <v/>
      </c>
      <c r="O1259">
        <f>IF(M1259="","",IF(ISNUMBER(C1259),C1259,IFERROR(_xlfn.NUMBERVALUE(C1259,".",","),0)))</f>
        <v/>
      </c>
    </row>
    <row r="1260">
      <c r="K1260">
        <f>IF(OR(LEFT(B1260,9)="DOANH THU",LEFT(B1260,8)="SỐ LƯỢNG"),A1260,IF(A1260="","",K1259))</f>
        <v/>
      </c>
      <c r="L1260">
        <f>IF(A1260="","",IF(ISNUMBER(--LEFT(A1260,FIND(" - ",A1260&amp;" - ")-1)),LEFT(A1260,FIND(" - ",A1260&amp;" - ")-1),TRIM(A1260)))</f>
        <v/>
      </c>
      <c r="M1260">
        <f>IF(OR(K1260="",K1260=A1260,A1260=""),"",K1260&amp;"|"&amp;L1260)</f>
        <v/>
      </c>
      <c r="N1260">
        <f>IF(M1260="","",IF(ISNUMBER(B1260),B1260,IFERROR(_xlfn.NUMBERVALUE(B1260,".",","),0)))</f>
        <v/>
      </c>
      <c r="O1260">
        <f>IF(M1260="","",IF(ISNUMBER(C1260),C1260,IFERROR(_xlfn.NUMBERVALUE(C1260,".",","),0)))</f>
        <v/>
      </c>
    </row>
    <row r="1261">
      <c r="K1261">
        <f>IF(OR(LEFT(B1261,9)="DOANH THU",LEFT(B1261,8)="SỐ LƯỢNG"),A1261,IF(A1261="","",K1260))</f>
        <v/>
      </c>
      <c r="L1261">
        <f>IF(A1261="","",IF(ISNUMBER(--LEFT(A1261,FIND(" - ",A1261&amp;" - ")-1)),LEFT(A1261,FIND(" - ",A1261&amp;" - ")-1),TRIM(A1261)))</f>
        <v/>
      </c>
      <c r="M1261">
        <f>IF(OR(K1261="",K1261=A1261,A1261=""),"",K1261&amp;"|"&amp;L1261)</f>
        <v/>
      </c>
      <c r="N1261">
        <f>IF(M1261="","",IF(ISNUMBER(B1261),B1261,IFERROR(_xlfn.NUMBERVALUE(B1261,".",","),0)))</f>
        <v/>
      </c>
      <c r="O1261">
        <f>IF(M1261="","",IF(ISNUMBER(C1261),C1261,IFERROR(_xlfn.NUMBERVALUE(C1261,".",","),0)))</f>
        <v/>
      </c>
    </row>
    <row r="1262">
      <c r="K1262">
        <f>IF(OR(LEFT(B1262,9)="DOANH THU",LEFT(B1262,8)="SỐ LƯỢNG"),A1262,IF(A1262="","",K1261))</f>
        <v/>
      </c>
      <c r="L1262">
        <f>IF(A1262="","",IF(ISNUMBER(--LEFT(A1262,FIND(" - ",A1262&amp;" - ")-1)),LEFT(A1262,FIND(" - ",A1262&amp;" - ")-1),TRIM(A1262)))</f>
        <v/>
      </c>
      <c r="M1262">
        <f>IF(OR(K1262="",K1262=A1262,A1262=""),"",K1262&amp;"|"&amp;L1262)</f>
        <v/>
      </c>
      <c r="N1262">
        <f>IF(M1262="","",IF(ISNUMBER(B1262),B1262,IFERROR(_xlfn.NUMBERVALUE(B1262,".",","),0)))</f>
        <v/>
      </c>
      <c r="O1262">
        <f>IF(M1262="","",IF(ISNUMBER(C1262),C1262,IFERROR(_xlfn.NUMBERVALUE(C1262,".",","),0)))</f>
        <v/>
      </c>
    </row>
    <row r="1263">
      <c r="K1263">
        <f>IF(OR(LEFT(B1263,9)="DOANH THU",LEFT(B1263,8)="SỐ LƯỢNG"),A1263,IF(A1263="","",K1262))</f>
        <v/>
      </c>
      <c r="L1263">
        <f>IF(A1263="","",IF(ISNUMBER(--LEFT(A1263,FIND(" - ",A1263&amp;" - ")-1)),LEFT(A1263,FIND(" - ",A1263&amp;" - ")-1),TRIM(A1263)))</f>
        <v/>
      </c>
      <c r="M1263">
        <f>IF(OR(K1263="",K1263=A1263,A1263=""),"",K1263&amp;"|"&amp;L1263)</f>
        <v/>
      </c>
      <c r="N1263">
        <f>IF(M1263="","",IF(ISNUMBER(B1263),B1263,IFERROR(_xlfn.NUMBERVALUE(B1263,".",","),0)))</f>
        <v/>
      </c>
      <c r="O1263">
        <f>IF(M1263="","",IF(ISNUMBER(C1263),C1263,IFERROR(_xlfn.NUMBERVALUE(C1263,".",","),0)))</f>
        <v/>
      </c>
    </row>
    <row r="1264">
      <c r="K1264">
        <f>IF(OR(LEFT(B1264,9)="DOANH THU",LEFT(B1264,8)="SỐ LƯỢNG"),A1264,IF(A1264="","",K1263))</f>
        <v/>
      </c>
      <c r="L1264">
        <f>IF(A1264="","",IF(ISNUMBER(--LEFT(A1264,FIND(" - ",A1264&amp;" - ")-1)),LEFT(A1264,FIND(" - ",A1264&amp;" - ")-1),TRIM(A1264)))</f>
        <v/>
      </c>
      <c r="M1264">
        <f>IF(OR(K1264="",K1264=A1264,A1264=""),"",K1264&amp;"|"&amp;L1264)</f>
        <v/>
      </c>
      <c r="N1264">
        <f>IF(M1264="","",IF(ISNUMBER(B1264),B1264,IFERROR(_xlfn.NUMBERVALUE(B1264,".",","),0)))</f>
        <v/>
      </c>
      <c r="O1264">
        <f>IF(M1264="","",IF(ISNUMBER(C1264),C1264,IFERROR(_xlfn.NUMBERVALUE(C1264,".",","),0)))</f>
        <v/>
      </c>
    </row>
    <row r="1265">
      <c r="K1265">
        <f>IF(OR(LEFT(B1265,9)="DOANH THU",LEFT(B1265,8)="SỐ LƯỢNG"),A1265,IF(A1265="","",K1264))</f>
        <v/>
      </c>
      <c r="L1265">
        <f>IF(A1265="","",IF(ISNUMBER(--LEFT(A1265,FIND(" - ",A1265&amp;" - ")-1)),LEFT(A1265,FIND(" - ",A1265&amp;" - ")-1),TRIM(A1265)))</f>
        <v/>
      </c>
      <c r="M1265">
        <f>IF(OR(K1265="",K1265=A1265,A1265=""),"",K1265&amp;"|"&amp;L1265)</f>
        <v/>
      </c>
      <c r="N1265">
        <f>IF(M1265="","",IF(ISNUMBER(B1265),B1265,IFERROR(_xlfn.NUMBERVALUE(B1265,".",","),0)))</f>
        <v/>
      </c>
      <c r="O1265">
        <f>IF(M1265="","",IF(ISNUMBER(C1265),C1265,IFERROR(_xlfn.NUMBERVALUE(C1265,".",","),0)))</f>
        <v/>
      </c>
    </row>
    <row r="1266">
      <c r="K1266">
        <f>IF(OR(LEFT(B1266,9)="DOANH THU",LEFT(B1266,8)="SỐ LƯỢNG"),A1266,IF(A1266="","",K1265))</f>
        <v/>
      </c>
      <c r="L1266">
        <f>IF(A1266="","",IF(ISNUMBER(--LEFT(A1266,FIND(" - ",A1266&amp;" - ")-1)),LEFT(A1266,FIND(" - ",A1266&amp;" - ")-1),TRIM(A1266)))</f>
        <v/>
      </c>
      <c r="M1266">
        <f>IF(OR(K1266="",K1266=A1266,A1266=""),"",K1266&amp;"|"&amp;L1266)</f>
        <v/>
      </c>
      <c r="N1266">
        <f>IF(M1266="","",IF(ISNUMBER(B1266),B1266,IFERROR(_xlfn.NUMBERVALUE(B1266,".",","),0)))</f>
        <v/>
      </c>
      <c r="O1266">
        <f>IF(M1266="","",IF(ISNUMBER(C1266),C1266,IFERROR(_xlfn.NUMBERVALUE(C1266,".",","),0)))</f>
        <v/>
      </c>
    </row>
    <row r="1267">
      <c r="K1267">
        <f>IF(OR(LEFT(B1267,9)="DOANH THU",LEFT(B1267,8)="SỐ LƯỢNG"),A1267,IF(A1267="","",K1266))</f>
        <v/>
      </c>
      <c r="L1267">
        <f>IF(A1267="","",IF(ISNUMBER(--LEFT(A1267,FIND(" - ",A1267&amp;" - ")-1)),LEFT(A1267,FIND(" - ",A1267&amp;" - ")-1),TRIM(A1267)))</f>
        <v/>
      </c>
      <c r="M1267">
        <f>IF(OR(K1267="",K1267=A1267,A1267=""),"",K1267&amp;"|"&amp;L1267)</f>
        <v/>
      </c>
      <c r="N1267">
        <f>IF(M1267="","",IF(ISNUMBER(B1267),B1267,IFERROR(_xlfn.NUMBERVALUE(B1267,".",","),0)))</f>
        <v/>
      </c>
      <c r="O1267">
        <f>IF(M1267="","",IF(ISNUMBER(C1267),C1267,IFERROR(_xlfn.NUMBERVALUE(C1267,".",","),0)))</f>
        <v/>
      </c>
    </row>
    <row r="1268">
      <c r="K1268">
        <f>IF(OR(LEFT(B1268,9)="DOANH THU",LEFT(B1268,8)="SỐ LƯỢNG"),A1268,IF(A1268="","",K1267))</f>
        <v/>
      </c>
      <c r="L1268">
        <f>IF(A1268="","",IF(ISNUMBER(--LEFT(A1268,FIND(" - ",A1268&amp;" - ")-1)),LEFT(A1268,FIND(" - ",A1268&amp;" - ")-1),TRIM(A1268)))</f>
        <v/>
      </c>
      <c r="M1268">
        <f>IF(OR(K1268="",K1268=A1268,A1268=""),"",K1268&amp;"|"&amp;L1268)</f>
        <v/>
      </c>
      <c r="N1268">
        <f>IF(M1268="","",IF(ISNUMBER(B1268),B1268,IFERROR(_xlfn.NUMBERVALUE(B1268,".",","),0)))</f>
        <v/>
      </c>
      <c r="O1268">
        <f>IF(M1268="","",IF(ISNUMBER(C1268),C1268,IFERROR(_xlfn.NUMBERVALUE(C1268,".",","),0)))</f>
        <v/>
      </c>
    </row>
    <row r="1269">
      <c r="K1269">
        <f>IF(OR(LEFT(B1269,9)="DOANH THU",LEFT(B1269,8)="SỐ LƯỢNG"),A1269,IF(A1269="","",K1268))</f>
        <v/>
      </c>
      <c r="L1269">
        <f>IF(A1269="","",IF(ISNUMBER(--LEFT(A1269,FIND(" - ",A1269&amp;" - ")-1)),LEFT(A1269,FIND(" - ",A1269&amp;" - ")-1),TRIM(A1269)))</f>
        <v/>
      </c>
      <c r="M1269">
        <f>IF(OR(K1269="",K1269=A1269,A1269=""),"",K1269&amp;"|"&amp;L1269)</f>
        <v/>
      </c>
      <c r="N1269">
        <f>IF(M1269="","",IF(ISNUMBER(B1269),B1269,IFERROR(_xlfn.NUMBERVALUE(B1269,".",","),0)))</f>
        <v/>
      </c>
      <c r="O1269">
        <f>IF(M1269="","",IF(ISNUMBER(C1269),C1269,IFERROR(_xlfn.NUMBERVALUE(C1269,".",","),0)))</f>
        <v/>
      </c>
    </row>
    <row r="1270">
      <c r="K1270">
        <f>IF(OR(LEFT(B1270,9)="DOANH THU",LEFT(B1270,8)="SỐ LƯỢNG"),A1270,IF(A1270="","",K1269))</f>
        <v/>
      </c>
      <c r="L1270">
        <f>IF(A1270="","",IF(ISNUMBER(--LEFT(A1270,FIND(" - ",A1270&amp;" - ")-1)),LEFT(A1270,FIND(" - ",A1270&amp;" - ")-1),TRIM(A1270)))</f>
        <v/>
      </c>
      <c r="M1270">
        <f>IF(OR(K1270="",K1270=A1270,A1270=""),"",K1270&amp;"|"&amp;L1270)</f>
        <v/>
      </c>
      <c r="N1270">
        <f>IF(M1270="","",IF(ISNUMBER(B1270),B1270,IFERROR(_xlfn.NUMBERVALUE(B1270,".",","),0)))</f>
        <v/>
      </c>
      <c r="O1270">
        <f>IF(M1270="","",IF(ISNUMBER(C1270),C1270,IFERROR(_xlfn.NUMBERVALUE(C1270,".",","),0)))</f>
        <v/>
      </c>
    </row>
    <row r="1271">
      <c r="K1271">
        <f>IF(OR(LEFT(B1271,9)="DOANH THU",LEFT(B1271,8)="SỐ LƯỢNG"),A1271,IF(A1271="","",K1270))</f>
        <v/>
      </c>
      <c r="L1271">
        <f>IF(A1271="","",IF(ISNUMBER(--LEFT(A1271,FIND(" - ",A1271&amp;" - ")-1)),LEFT(A1271,FIND(" - ",A1271&amp;" - ")-1),TRIM(A1271)))</f>
        <v/>
      </c>
      <c r="M1271">
        <f>IF(OR(K1271="",K1271=A1271,A1271=""),"",K1271&amp;"|"&amp;L1271)</f>
        <v/>
      </c>
      <c r="N1271">
        <f>IF(M1271="","",IF(ISNUMBER(B1271),B1271,IFERROR(_xlfn.NUMBERVALUE(B1271,".",","),0)))</f>
        <v/>
      </c>
      <c r="O1271">
        <f>IF(M1271="","",IF(ISNUMBER(C1271),C1271,IFERROR(_xlfn.NUMBERVALUE(C1271,".",","),0)))</f>
        <v/>
      </c>
    </row>
    <row r="1272">
      <c r="K1272">
        <f>IF(OR(LEFT(B1272,9)="DOANH THU",LEFT(B1272,8)="SỐ LƯỢNG"),A1272,IF(A1272="","",K1271))</f>
        <v/>
      </c>
      <c r="L1272">
        <f>IF(A1272="","",IF(ISNUMBER(--LEFT(A1272,FIND(" - ",A1272&amp;" - ")-1)),LEFT(A1272,FIND(" - ",A1272&amp;" - ")-1),TRIM(A1272)))</f>
        <v/>
      </c>
      <c r="M1272">
        <f>IF(OR(K1272="",K1272=A1272,A1272=""),"",K1272&amp;"|"&amp;L1272)</f>
        <v/>
      </c>
      <c r="N1272">
        <f>IF(M1272="","",IF(ISNUMBER(B1272),B1272,IFERROR(_xlfn.NUMBERVALUE(B1272,".",","),0)))</f>
        <v/>
      </c>
      <c r="O1272">
        <f>IF(M1272="","",IF(ISNUMBER(C1272),C1272,IFERROR(_xlfn.NUMBERVALUE(C1272,".",","),0)))</f>
        <v/>
      </c>
    </row>
    <row r="1273">
      <c r="K1273">
        <f>IF(OR(LEFT(B1273,9)="DOANH THU",LEFT(B1273,8)="SỐ LƯỢNG"),A1273,IF(A1273="","",K1272))</f>
        <v/>
      </c>
      <c r="L1273">
        <f>IF(A1273="","",IF(ISNUMBER(--LEFT(A1273,FIND(" - ",A1273&amp;" - ")-1)),LEFT(A1273,FIND(" - ",A1273&amp;" - ")-1),TRIM(A1273)))</f>
        <v/>
      </c>
      <c r="M1273">
        <f>IF(OR(K1273="",K1273=A1273,A1273=""),"",K1273&amp;"|"&amp;L1273)</f>
        <v/>
      </c>
      <c r="N1273">
        <f>IF(M1273="","",IF(ISNUMBER(B1273),B1273,IFERROR(_xlfn.NUMBERVALUE(B1273,".",","),0)))</f>
        <v/>
      </c>
      <c r="O1273">
        <f>IF(M1273="","",IF(ISNUMBER(C1273),C1273,IFERROR(_xlfn.NUMBERVALUE(C1273,".",","),0)))</f>
        <v/>
      </c>
    </row>
    <row r="1274">
      <c r="K1274">
        <f>IF(OR(LEFT(B1274,9)="DOANH THU",LEFT(B1274,8)="SỐ LƯỢNG"),A1274,IF(A1274="","",K1273))</f>
        <v/>
      </c>
      <c r="L1274">
        <f>IF(A1274="","",IF(ISNUMBER(--LEFT(A1274,FIND(" - ",A1274&amp;" - ")-1)),LEFT(A1274,FIND(" - ",A1274&amp;" - ")-1),TRIM(A1274)))</f>
        <v/>
      </c>
      <c r="M1274">
        <f>IF(OR(K1274="",K1274=A1274,A1274=""),"",K1274&amp;"|"&amp;L1274)</f>
        <v/>
      </c>
      <c r="N1274">
        <f>IF(M1274="","",IF(ISNUMBER(B1274),B1274,IFERROR(_xlfn.NUMBERVALUE(B1274,".",","),0)))</f>
        <v/>
      </c>
      <c r="O1274">
        <f>IF(M1274="","",IF(ISNUMBER(C1274),C1274,IFERROR(_xlfn.NUMBERVALUE(C1274,".",","),0)))</f>
        <v/>
      </c>
    </row>
    <row r="1275">
      <c r="K1275">
        <f>IF(OR(LEFT(B1275,9)="DOANH THU",LEFT(B1275,8)="SỐ LƯỢNG"),A1275,IF(A1275="","",K1274))</f>
        <v/>
      </c>
      <c r="L1275">
        <f>IF(A1275="","",IF(ISNUMBER(--LEFT(A1275,FIND(" - ",A1275&amp;" - ")-1)),LEFT(A1275,FIND(" - ",A1275&amp;" - ")-1),TRIM(A1275)))</f>
        <v/>
      </c>
      <c r="M1275">
        <f>IF(OR(K1275="",K1275=A1275,A1275=""),"",K1275&amp;"|"&amp;L1275)</f>
        <v/>
      </c>
      <c r="N1275">
        <f>IF(M1275="","",IF(ISNUMBER(B1275),B1275,IFERROR(_xlfn.NUMBERVALUE(B1275,".",","),0)))</f>
        <v/>
      </c>
      <c r="O1275">
        <f>IF(M1275="","",IF(ISNUMBER(C1275),C1275,IFERROR(_xlfn.NUMBERVALUE(C1275,".",","),0)))</f>
        <v/>
      </c>
    </row>
    <row r="1276">
      <c r="K1276">
        <f>IF(OR(LEFT(B1276,9)="DOANH THU",LEFT(B1276,8)="SỐ LƯỢNG"),A1276,IF(A1276="","",K1275))</f>
        <v/>
      </c>
      <c r="L1276">
        <f>IF(A1276="","",IF(ISNUMBER(--LEFT(A1276,FIND(" - ",A1276&amp;" - ")-1)),LEFT(A1276,FIND(" - ",A1276&amp;" - ")-1),TRIM(A1276)))</f>
        <v/>
      </c>
      <c r="M1276">
        <f>IF(OR(K1276="",K1276=A1276,A1276=""),"",K1276&amp;"|"&amp;L1276)</f>
        <v/>
      </c>
      <c r="N1276">
        <f>IF(M1276="","",IF(ISNUMBER(B1276),B1276,IFERROR(_xlfn.NUMBERVALUE(B1276,".",","),0)))</f>
        <v/>
      </c>
      <c r="O1276">
        <f>IF(M1276="","",IF(ISNUMBER(C1276),C1276,IFERROR(_xlfn.NUMBERVALUE(C1276,".",","),0)))</f>
        <v/>
      </c>
    </row>
    <row r="1277">
      <c r="K1277">
        <f>IF(OR(LEFT(B1277,9)="DOANH THU",LEFT(B1277,8)="SỐ LƯỢNG"),A1277,IF(A1277="","",K1276))</f>
        <v/>
      </c>
      <c r="L1277">
        <f>IF(A1277="","",IF(ISNUMBER(--LEFT(A1277,FIND(" - ",A1277&amp;" - ")-1)),LEFT(A1277,FIND(" - ",A1277&amp;" - ")-1),TRIM(A1277)))</f>
        <v/>
      </c>
      <c r="M1277">
        <f>IF(OR(K1277="",K1277=A1277,A1277=""),"",K1277&amp;"|"&amp;L1277)</f>
        <v/>
      </c>
      <c r="N1277">
        <f>IF(M1277="","",IF(ISNUMBER(B1277),B1277,IFERROR(_xlfn.NUMBERVALUE(B1277,".",","),0)))</f>
        <v/>
      </c>
      <c r="O1277">
        <f>IF(M1277="","",IF(ISNUMBER(C1277),C1277,IFERROR(_xlfn.NUMBERVALUE(C1277,".",","),0)))</f>
        <v/>
      </c>
    </row>
    <row r="1278">
      <c r="K1278">
        <f>IF(OR(LEFT(B1278,9)="DOANH THU",LEFT(B1278,8)="SỐ LƯỢNG"),A1278,IF(A1278="","",K1277))</f>
        <v/>
      </c>
      <c r="L1278">
        <f>IF(A1278="","",IF(ISNUMBER(--LEFT(A1278,FIND(" - ",A1278&amp;" - ")-1)),LEFT(A1278,FIND(" - ",A1278&amp;" - ")-1),TRIM(A1278)))</f>
        <v/>
      </c>
      <c r="M1278">
        <f>IF(OR(K1278="",K1278=A1278,A1278=""),"",K1278&amp;"|"&amp;L1278)</f>
        <v/>
      </c>
      <c r="N1278">
        <f>IF(M1278="","",IF(ISNUMBER(B1278),B1278,IFERROR(_xlfn.NUMBERVALUE(B1278,".",","),0)))</f>
        <v/>
      </c>
      <c r="O1278">
        <f>IF(M1278="","",IF(ISNUMBER(C1278),C1278,IFERROR(_xlfn.NUMBERVALUE(C1278,".",","),0)))</f>
        <v/>
      </c>
    </row>
    <row r="1279">
      <c r="K1279">
        <f>IF(OR(LEFT(B1279,9)="DOANH THU",LEFT(B1279,8)="SỐ LƯỢNG"),A1279,IF(A1279="","",K1278))</f>
        <v/>
      </c>
      <c r="L1279">
        <f>IF(A1279="","",IF(ISNUMBER(--LEFT(A1279,FIND(" - ",A1279&amp;" - ")-1)),LEFT(A1279,FIND(" - ",A1279&amp;" - ")-1),TRIM(A1279)))</f>
        <v/>
      </c>
      <c r="M1279">
        <f>IF(OR(K1279="",K1279=A1279,A1279=""),"",K1279&amp;"|"&amp;L1279)</f>
        <v/>
      </c>
      <c r="N1279">
        <f>IF(M1279="","",IF(ISNUMBER(B1279),B1279,IFERROR(_xlfn.NUMBERVALUE(B1279,".",","),0)))</f>
        <v/>
      </c>
      <c r="O1279">
        <f>IF(M1279="","",IF(ISNUMBER(C1279),C1279,IFERROR(_xlfn.NUMBERVALUE(C1279,".",","),0)))</f>
        <v/>
      </c>
    </row>
    <row r="1280">
      <c r="K1280">
        <f>IF(OR(LEFT(B1280,9)="DOANH THU",LEFT(B1280,8)="SỐ LƯỢNG"),A1280,IF(A1280="","",K1279))</f>
        <v/>
      </c>
      <c r="L1280">
        <f>IF(A1280="","",IF(ISNUMBER(--LEFT(A1280,FIND(" - ",A1280&amp;" - ")-1)),LEFT(A1280,FIND(" - ",A1280&amp;" - ")-1),TRIM(A1280)))</f>
        <v/>
      </c>
      <c r="M1280">
        <f>IF(OR(K1280="",K1280=A1280,A1280=""),"",K1280&amp;"|"&amp;L1280)</f>
        <v/>
      </c>
      <c r="N1280">
        <f>IF(M1280="","",IF(ISNUMBER(B1280),B1280,IFERROR(_xlfn.NUMBERVALUE(B1280,".",","),0)))</f>
        <v/>
      </c>
      <c r="O1280">
        <f>IF(M1280="","",IF(ISNUMBER(C1280),C1280,IFERROR(_xlfn.NUMBERVALUE(C1280,".",","),0)))</f>
        <v/>
      </c>
    </row>
    <row r="1281">
      <c r="K1281">
        <f>IF(OR(LEFT(B1281,9)="DOANH THU",LEFT(B1281,8)="SỐ LƯỢNG"),A1281,IF(A1281="","",K1280))</f>
        <v/>
      </c>
      <c r="L1281">
        <f>IF(A1281="","",IF(ISNUMBER(--LEFT(A1281,FIND(" - ",A1281&amp;" - ")-1)),LEFT(A1281,FIND(" - ",A1281&amp;" - ")-1),TRIM(A1281)))</f>
        <v/>
      </c>
      <c r="M1281">
        <f>IF(OR(K1281="",K1281=A1281,A1281=""),"",K1281&amp;"|"&amp;L1281)</f>
        <v/>
      </c>
      <c r="N1281">
        <f>IF(M1281="","",IF(ISNUMBER(B1281),B1281,IFERROR(_xlfn.NUMBERVALUE(B1281,".",","),0)))</f>
        <v/>
      </c>
      <c r="O1281">
        <f>IF(M1281="","",IF(ISNUMBER(C1281),C1281,IFERROR(_xlfn.NUMBERVALUE(C1281,".",","),0)))</f>
        <v/>
      </c>
    </row>
    <row r="1282">
      <c r="K1282">
        <f>IF(OR(LEFT(B1282,9)="DOANH THU",LEFT(B1282,8)="SỐ LƯỢNG"),A1282,IF(A1282="","",K1281))</f>
        <v/>
      </c>
      <c r="L1282">
        <f>IF(A1282="","",IF(ISNUMBER(--LEFT(A1282,FIND(" - ",A1282&amp;" - ")-1)),LEFT(A1282,FIND(" - ",A1282&amp;" - ")-1),TRIM(A1282)))</f>
        <v/>
      </c>
      <c r="M1282">
        <f>IF(OR(K1282="",K1282=A1282,A1282=""),"",K1282&amp;"|"&amp;L1282)</f>
        <v/>
      </c>
      <c r="N1282">
        <f>IF(M1282="","",IF(ISNUMBER(B1282),B1282,IFERROR(_xlfn.NUMBERVALUE(B1282,".",","),0)))</f>
        <v/>
      </c>
      <c r="O1282">
        <f>IF(M1282="","",IF(ISNUMBER(C1282),C1282,IFERROR(_xlfn.NUMBERVALUE(C1282,".",","),0)))</f>
        <v/>
      </c>
    </row>
    <row r="1283">
      <c r="K1283">
        <f>IF(OR(LEFT(B1283,9)="DOANH THU",LEFT(B1283,8)="SỐ LƯỢNG"),A1283,IF(A1283="","",K1282))</f>
        <v/>
      </c>
      <c r="L1283">
        <f>IF(A1283="","",IF(ISNUMBER(--LEFT(A1283,FIND(" - ",A1283&amp;" - ")-1)),LEFT(A1283,FIND(" - ",A1283&amp;" - ")-1),TRIM(A1283)))</f>
        <v/>
      </c>
      <c r="M1283">
        <f>IF(OR(K1283="",K1283=A1283,A1283=""),"",K1283&amp;"|"&amp;L1283)</f>
        <v/>
      </c>
      <c r="N1283">
        <f>IF(M1283="","",IF(ISNUMBER(B1283),B1283,IFERROR(_xlfn.NUMBERVALUE(B1283,".",","),0)))</f>
        <v/>
      </c>
      <c r="O1283">
        <f>IF(M1283="","",IF(ISNUMBER(C1283),C1283,IFERROR(_xlfn.NUMBERVALUE(C1283,".",","),0)))</f>
        <v/>
      </c>
    </row>
    <row r="1284">
      <c r="K1284">
        <f>IF(OR(LEFT(B1284,9)="DOANH THU",LEFT(B1284,8)="SỐ LƯỢNG"),A1284,IF(A1284="","",K1283))</f>
        <v/>
      </c>
      <c r="L1284">
        <f>IF(A1284="","",IF(ISNUMBER(--LEFT(A1284,FIND(" - ",A1284&amp;" - ")-1)),LEFT(A1284,FIND(" - ",A1284&amp;" - ")-1),TRIM(A1284)))</f>
        <v/>
      </c>
      <c r="M1284">
        <f>IF(OR(K1284="",K1284=A1284,A1284=""),"",K1284&amp;"|"&amp;L1284)</f>
        <v/>
      </c>
      <c r="N1284">
        <f>IF(M1284="","",IF(ISNUMBER(B1284),B1284,IFERROR(_xlfn.NUMBERVALUE(B1284,".",","),0)))</f>
        <v/>
      </c>
      <c r="O1284">
        <f>IF(M1284="","",IF(ISNUMBER(C1284),C1284,IFERROR(_xlfn.NUMBERVALUE(C1284,".",","),0)))</f>
        <v/>
      </c>
    </row>
    <row r="1285">
      <c r="K1285">
        <f>IF(OR(LEFT(B1285,9)="DOANH THU",LEFT(B1285,8)="SỐ LƯỢNG"),A1285,IF(A1285="","",K1284))</f>
        <v/>
      </c>
      <c r="L1285">
        <f>IF(A1285="","",IF(ISNUMBER(--LEFT(A1285,FIND(" - ",A1285&amp;" - ")-1)),LEFT(A1285,FIND(" - ",A1285&amp;" - ")-1),TRIM(A1285)))</f>
        <v/>
      </c>
      <c r="M1285">
        <f>IF(OR(K1285="",K1285=A1285,A1285=""),"",K1285&amp;"|"&amp;L1285)</f>
        <v/>
      </c>
      <c r="N1285">
        <f>IF(M1285="","",IF(ISNUMBER(B1285),B1285,IFERROR(_xlfn.NUMBERVALUE(B1285,".",","),0)))</f>
        <v/>
      </c>
      <c r="O1285">
        <f>IF(M1285="","",IF(ISNUMBER(C1285),C1285,IFERROR(_xlfn.NUMBERVALUE(C1285,".",","),0)))</f>
        <v/>
      </c>
    </row>
    <row r="1286">
      <c r="K1286">
        <f>IF(OR(LEFT(B1286,9)="DOANH THU",LEFT(B1286,8)="SỐ LƯỢNG"),A1286,IF(A1286="","",K1285))</f>
        <v/>
      </c>
      <c r="L1286">
        <f>IF(A1286="","",IF(ISNUMBER(--LEFT(A1286,FIND(" - ",A1286&amp;" - ")-1)),LEFT(A1286,FIND(" - ",A1286&amp;" - ")-1),TRIM(A1286)))</f>
        <v/>
      </c>
      <c r="M1286">
        <f>IF(OR(K1286="",K1286=A1286,A1286=""),"",K1286&amp;"|"&amp;L1286)</f>
        <v/>
      </c>
      <c r="N1286">
        <f>IF(M1286="","",IF(ISNUMBER(B1286),B1286,IFERROR(_xlfn.NUMBERVALUE(B1286,".",","),0)))</f>
        <v/>
      </c>
      <c r="O1286">
        <f>IF(M1286="","",IF(ISNUMBER(C1286),C1286,IFERROR(_xlfn.NUMBERVALUE(C1286,".",","),0)))</f>
        <v/>
      </c>
    </row>
    <row r="1287">
      <c r="K1287">
        <f>IF(OR(LEFT(B1287,9)="DOANH THU",LEFT(B1287,8)="SỐ LƯỢNG"),A1287,IF(A1287="","",K1286))</f>
        <v/>
      </c>
      <c r="L1287">
        <f>IF(A1287="","",IF(ISNUMBER(--LEFT(A1287,FIND(" - ",A1287&amp;" - ")-1)),LEFT(A1287,FIND(" - ",A1287&amp;" - ")-1),TRIM(A1287)))</f>
        <v/>
      </c>
      <c r="M1287">
        <f>IF(OR(K1287="",K1287=A1287,A1287=""),"",K1287&amp;"|"&amp;L1287)</f>
        <v/>
      </c>
      <c r="N1287">
        <f>IF(M1287="","",IF(ISNUMBER(B1287),B1287,IFERROR(_xlfn.NUMBERVALUE(B1287,".",","),0)))</f>
        <v/>
      </c>
      <c r="O1287">
        <f>IF(M1287="","",IF(ISNUMBER(C1287),C1287,IFERROR(_xlfn.NUMBERVALUE(C1287,".",","),0)))</f>
        <v/>
      </c>
    </row>
    <row r="1288">
      <c r="K1288">
        <f>IF(OR(LEFT(B1288,9)="DOANH THU",LEFT(B1288,8)="SỐ LƯỢNG"),A1288,IF(A1288="","",K1287))</f>
        <v/>
      </c>
      <c r="L1288">
        <f>IF(A1288="","",IF(ISNUMBER(--LEFT(A1288,FIND(" - ",A1288&amp;" - ")-1)),LEFT(A1288,FIND(" - ",A1288&amp;" - ")-1),TRIM(A1288)))</f>
        <v/>
      </c>
      <c r="M1288">
        <f>IF(OR(K1288="",K1288=A1288,A1288=""),"",K1288&amp;"|"&amp;L1288)</f>
        <v/>
      </c>
      <c r="N1288">
        <f>IF(M1288="","",IF(ISNUMBER(B1288),B1288,IFERROR(_xlfn.NUMBERVALUE(B1288,".",","),0)))</f>
        <v/>
      </c>
      <c r="O1288">
        <f>IF(M1288="","",IF(ISNUMBER(C1288),C1288,IFERROR(_xlfn.NUMBERVALUE(C1288,".",","),0)))</f>
        <v/>
      </c>
    </row>
    <row r="1289">
      <c r="K1289">
        <f>IF(OR(LEFT(B1289,9)="DOANH THU",LEFT(B1289,8)="SỐ LƯỢNG"),A1289,IF(A1289="","",K1288))</f>
        <v/>
      </c>
      <c r="L1289">
        <f>IF(A1289="","",IF(ISNUMBER(--LEFT(A1289,FIND(" - ",A1289&amp;" - ")-1)),LEFT(A1289,FIND(" - ",A1289&amp;" - ")-1),TRIM(A1289)))</f>
        <v/>
      </c>
      <c r="M1289">
        <f>IF(OR(K1289="",K1289=A1289,A1289=""),"",K1289&amp;"|"&amp;L1289)</f>
        <v/>
      </c>
      <c r="N1289">
        <f>IF(M1289="","",IF(ISNUMBER(B1289),B1289,IFERROR(_xlfn.NUMBERVALUE(B1289,".",","),0)))</f>
        <v/>
      </c>
      <c r="O1289">
        <f>IF(M1289="","",IF(ISNUMBER(C1289),C1289,IFERROR(_xlfn.NUMBERVALUE(C1289,".",","),0)))</f>
        <v/>
      </c>
    </row>
    <row r="1290">
      <c r="K1290">
        <f>IF(OR(LEFT(B1290,9)="DOANH THU",LEFT(B1290,8)="SỐ LƯỢNG"),A1290,IF(A1290="","",K1289))</f>
        <v/>
      </c>
      <c r="L1290">
        <f>IF(A1290="","",IF(ISNUMBER(--LEFT(A1290,FIND(" - ",A1290&amp;" - ")-1)),LEFT(A1290,FIND(" - ",A1290&amp;" - ")-1),TRIM(A1290)))</f>
        <v/>
      </c>
      <c r="M1290">
        <f>IF(OR(K1290="",K1290=A1290,A1290=""),"",K1290&amp;"|"&amp;L1290)</f>
        <v/>
      </c>
      <c r="N1290">
        <f>IF(M1290="","",IF(ISNUMBER(B1290),B1290,IFERROR(_xlfn.NUMBERVALUE(B1290,".",","),0)))</f>
        <v/>
      </c>
      <c r="O1290">
        <f>IF(M1290="","",IF(ISNUMBER(C1290),C1290,IFERROR(_xlfn.NUMBERVALUE(C1290,".",","),0)))</f>
        <v/>
      </c>
    </row>
    <row r="1291">
      <c r="K1291">
        <f>IF(OR(LEFT(B1291,9)="DOANH THU",LEFT(B1291,8)="SỐ LƯỢNG"),A1291,IF(A1291="","",K1290))</f>
        <v/>
      </c>
      <c r="L1291">
        <f>IF(A1291="","",IF(ISNUMBER(--LEFT(A1291,FIND(" - ",A1291&amp;" - ")-1)),LEFT(A1291,FIND(" - ",A1291&amp;" - ")-1),TRIM(A1291)))</f>
        <v/>
      </c>
      <c r="M1291">
        <f>IF(OR(K1291="",K1291=A1291,A1291=""),"",K1291&amp;"|"&amp;L1291)</f>
        <v/>
      </c>
      <c r="N1291">
        <f>IF(M1291="","",IF(ISNUMBER(B1291),B1291,IFERROR(_xlfn.NUMBERVALUE(B1291,".",","),0)))</f>
        <v/>
      </c>
      <c r="O1291">
        <f>IF(M1291="","",IF(ISNUMBER(C1291),C1291,IFERROR(_xlfn.NUMBERVALUE(C1291,".",","),0)))</f>
        <v/>
      </c>
    </row>
    <row r="1292">
      <c r="K1292">
        <f>IF(OR(LEFT(B1292,9)="DOANH THU",LEFT(B1292,8)="SỐ LƯỢNG"),A1292,IF(A1292="","",K1291))</f>
        <v/>
      </c>
      <c r="L1292">
        <f>IF(A1292="","",IF(ISNUMBER(--LEFT(A1292,FIND(" - ",A1292&amp;" - ")-1)),LEFT(A1292,FIND(" - ",A1292&amp;" - ")-1),TRIM(A1292)))</f>
        <v/>
      </c>
      <c r="M1292">
        <f>IF(OR(K1292="",K1292=A1292,A1292=""),"",K1292&amp;"|"&amp;L1292)</f>
        <v/>
      </c>
      <c r="N1292">
        <f>IF(M1292="","",IF(ISNUMBER(B1292),B1292,IFERROR(_xlfn.NUMBERVALUE(B1292,".",","),0)))</f>
        <v/>
      </c>
      <c r="O1292">
        <f>IF(M1292="","",IF(ISNUMBER(C1292),C1292,IFERROR(_xlfn.NUMBERVALUE(C1292,".",","),0)))</f>
        <v/>
      </c>
    </row>
    <row r="1293">
      <c r="K1293">
        <f>IF(OR(LEFT(B1293,9)="DOANH THU",LEFT(B1293,8)="SỐ LƯỢNG"),A1293,IF(A1293="","",K1292))</f>
        <v/>
      </c>
      <c r="L1293">
        <f>IF(A1293="","",IF(ISNUMBER(--LEFT(A1293,FIND(" - ",A1293&amp;" - ")-1)),LEFT(A1293,FIND(" - ",A1293&amp;" - ")-1),TRIM(A1293)))</f>
        <v/>
      </c>
      <c r="M1293">
        <f>IF(OR(K1293="",K1293=A1293,A1293=""),"",K1293&amp;"|"&amp;L1293)</f>
        <v/>
      </c>
      <c r="N1293">
        <f>IF(M1293="","",IF(ISNUMBER(B1293),B1293,IFERROR(_xlfn.NUMBERVALUE(B1293,".",","),0)))</f>
        <v/>
      </c>
      <c r="O1293">
        <f>IF(M1293="","",IF(ISNUMBER(C1293),C1293,IFERROR(_xlfn.NUMBERVALUE(C1293,".",","),0)))</f>
        <v/>
      </c>
    </row>
    <row r="1294">
      <c r="K1294">
        <f>IF(OR(LEFT(B1294,9)="DOANH THU",LEFT(B1294,8)="SỐ LƯỢNG"),A1294,IF(A1294="","",K1293))</f>
        <v/>
      </c>
      <c r="L1294">
        <f>IF(A1294="","",IF(ISNUMBER(--LEFT(A1294,FIND(" - ",A1294&amp;" - ")-1)),LEFT(A1294,FIND(" - ",A1294&amp;" - ")-1),TRIM(A1294)))</f>
        <v/>
      </c>
      <c r="M1294">
        <f>IF(OR(K1294="",K1294=A1294,A1294=""),"",K1294&amp;"|"&amp;L1294)</f>
        <v/>
      </c>
      <c r="N1294">
        <f>IF(M1294="","",IF(ISNUMBER(B1294),B1294,IFERROR(_xlfn.NUMBERVALUE(B1294,".",","),0)))</f>
        <v/>
      </c>
      <c r="O1294">
        <f>IF(M1294="","",IF(ISNUMBER(C1294),C1294,IFERROR(_xlfn.NUMBERVALUE(C1294,".",","),0)))</f>
        <v/>
      </c>
    </row>
    <row r="1295">
      <c r="K1295">
        <f>IF(OR(LEFT(B1295,9)="DOANH THU",LEFT(B1295,8)="SỐ LƯỢNG"),A1295,IF(A1295="","",K1294))</f>
        <v/>
      </c>
      <c r="L1295">
        <f>IF(A1295="","",IF(ISNUMBER(--LEFT(A1295,FIND(" - ",A1295&amp;" - ")-1)),LEFT(A1295,FIND(" - ",A1295&amp;" - ")-1),TRIM(A1295)))</f>
        <v/>
      </c>
      <c r="M1295">
        <f>IF(OR(K1295="",K1295=A1295,A1295=""),"",K1295&amp;"|"&amp;L1295)</f>
        <v/>
      </c>
      <c r="N1295">
        <f>IF(M1295="","",IF(ISNUMBER(B1295),B1295,IFERROR(_xlfn.NUMBERVALUE(B1295,".",","),0)))</f>
        <v/>
      </c>
      <c r="O1295">
        <f>IF(M1295="","",IF(ISNUMBER(C1295),C1295,IFERROR(_xlfn.NUMBERVALUE(C1295,".",","),0)))</f>
        <v/>
      </c>
    </row>
    <row r="1296">
      <c r="K1296">
        <f>IF(OR(LEFT(B1296,9)="DOANH THU",LEFT(B1296,8)="SỐ LƯỢNG"),A1296,IF(A1296="","",K1295))</f>
        <v/>
      </c>
      <c r="L1296">
        <f>IF(A1296="","",IF(ISNUMBER(--LEFT(A1296,FIND(" - ",A1296&amp;" - ")-1)),LEFT(A1296,FIND(" - ",A1296&amp;" - ")-1),TRIM(A1296)))</f>
        <v/>
      </c>
      <c r="M1296">
        <f>IF(OR(K1296="",K1296=A1296,A1296=""),"",K1296&amp;"|"&amp;L1296)</f>
        <v/>
      </c>
      <c r="N1296">
        <f>IF(M1296="","",IF(ISNUMBER(B1296),B1296,IFERROR(_xlfn.NUMBERVALUE(B1296,".",","),0)))</f>
        <v/>
      </c>
      <c r="O1296">
        <f>IF(M1296="","",IF(ISNUMBER(C1296),C1296,IFERROR(_xlfn.NUMBERVALUE(C1296,".",","),0)))</f>
        <v/>
      </c>
    </row>
    <row r="1297">
      <c r="K1297">
        <f>IF(OR(LEFT(B1297,9)="DOANH THU",LEFT(B1297,8)="SỐ LƯỢNG"),A1297,IF(A1297="","",K1296))</f>
        <v/>
      </c>
      <c r="L1297">
        <f>IF(A1297="","",IF(ISNUMBER(--LEFT(A1297,FIND(" - ",A1297&amp;" - ")-1)),LEFT(A1297,FIND(" - ",A1297&amp;" - ")-1),TRIM(A1297)))</f>
        <v/>
      </c>
      <c r="M1297">
        <f>IF(OR(K1297="",K1297=A1297,A1297=""),"",K1297&amp;"|"&amp;L1297)</f>
        <v/>
      </c>
      <c r="N1297">
        <f>IF(M1297="","",IF(ISNUMBER(B1297),B1297,IFERROR(_xlfn.NUMBERVALUE(B1297,".",","),0)))</f>
        <v/>
      </c>
      <c r="O1297">
        <f>IF(M1297="","",IF(ISNUMBER(C1297),C1297,IFERROR(_xlfn.NUMBERVALUE(C1297,".",","),0)))</f>
        <v/>
      </c>
    </row>
    <row r="1298">
      <c r="K1298">
        <f>IF(OR(LEFT(B1298,9)="DOANH THU",LEFT(B1298,8)="SỐ LƯỢNG"),A1298,IF(A1298="","",K1297))</f>
        <v/>
      </c>
      <c r="L1298">
        <f>IF(A1298="","",IF(ISNUMBER(--LEFT(A1298,FIND(" - ",A1298&amp;" - ")-1)),LEFT(A1298,FIND(" - ",A1298&amp;" - ")-1),TRIM(A1298)))</f>
        <v/>
      </c>
      <c r="M1298">
        <f>IF(OR(K1298="",K1298=A1298,A1298=""),"",K1298&amp;"|"&amp;L1298)</f>
        <v/>
      </c>
      <c r="N1298">
        <f>IF(M1298="","",IF(ISNUMBER(B1298),B1298,IFERROR(_xlfn.NUMBERVALUE(B1298,".",","),0)))</f>
        <v/>
      </c>
      <c r="O1298">
        <f>IF(M1298="","",IF(ISNUMBER(C1298),C1298,IFERROR(_xlfn.NUMBERVALUE(C1298,".",","),0)))</f>
        <v/>
      </c>
    </row>
    <row r="1299">
      <c r="K1299">
        <f>IF(OR(LEFT(B1299,9)="DOANH THU",LEFT(B1299,8)="SỐ LƯỢNG"),A1299,IF(A1299="","",K1298))</f>
        <v/>
      </c>
      <c r="L1299">
        <f>IF(A1299="","",IF(ISNUMBER(--LEFT(A1299,FIND(" - ",A1299&amp;" - ")-1)),LEFT(A1299,FIND(" - ",A1299&amp;" - ")-1),TRIM(A1299)))</f>
        <v/>
      </c>
      <c r="M1299">
        <f>IF(OR(K1299="",K1299=A1299,A1299=""),"",K1299&amp;"|"&amp;L1299)</f>
        <v/>
      </c>
      <c r="N1299">
        <f>IF(M1299="","",IF(ISNUMBER(B1299),B1299,IFERROR(_xlfn.NUMBERVALUE(B1299,".",","),0)))</f>
        <v/>
      </c>
      <c r="O1299">
        <f>IF(M1299="","",IF(ISNUMBER(C1299),C1299,IFERROR(_xlfn.NUMBERVALUE(C1299,".",","),0)))</f>
        <v/>
      </c>
    </row>
    <row r="1300">
      <c r="K1300">
        <f>IF(OR(LEFT(B1300,9)="DOANH THU",LEFT(B1300,8)="SỐ LƯỢNG"),A1300,IF(A1300="","",K1299))</f>
        <v/>
      </c>
      <c r="L1300">
        <f>IF(A1300="","",IF(ISNUMBER(--LEFT(A1300,FIND(" - ",A1300&amp;" - ")-1)),LEFT(A1300,FIND(" - ",A1300&amp;" - ")-1),TRIM(A1300)))</f>
        <v/>
      </c>
      <c r="M1300">
        <f>IF(OR(K1300="",K1300=A1300,A1300=""),"",K1300&amp;"|"&amp;L1300)</f>
        <v/>
      </c>
      <c r="N1300">
        <f>IF(M1300="","",IF(ISNUMBER(B1300),B1300,IFERROR(_xlfn.NUMBERVALUE(B1300,".",","),0)))</f>
        <v/>
      </c>
      <c r="O1300">
        <f>IF(M1300="","",IF(ISNUMBER(C1300),C1300,IFERROR(_xlfn.NUMBERVALUE(C1300,".",","),0)))</f>
        <v/>
      </c>
    </row>
    <row r="1301">
      <c r="K1301">
        <f>IF(OR(LEFT(B1301,9)="DOANH THU",LEFT(B1301,8)="SỐ LƯỢNG"),A1301,IF(A1301="","",K1300))</f>
        <v/>
      </c>
      <c r="L1301">
        <f>IF(A1301="","",IF(ISNUMBER(--LEFT(A1301,FIND(" - ",A1301&amp;" - ")-1)),LEFT(A1301,FIND(" - ",A1301&amp;" - ")-1),TRIM(A1301)))</f>
        <v/>
      </c>
      <c r="M1301">
        <f>IF(OR(K1301="",K1301=A1301,A1301=""),"",K1301&amp;"|"&amp;L1301)</f>
        <v/>
      </c>
      <c r="N1301">
        <f>IF(M1301="","",IF(ISNUMBER(B1301),B1301,IFERROR(_xlfn.NUMBERVALUE(B1301,".",","),0)))</f>
        <v/>
      </c>
      <c r="O1301">
        <f>IF(M1301="","",IF(ISNUMBER(C1301),C1301,IFERROR(_xlfn.NUMBERVALUE(C1301,".",","),0)))</f>
        <v/>
      </c>
    </row>
    <row r="1302">
      <c r="K1302">
        <f>IF(OR(LEFT(B1302,9)="DOANH THU",LEFT(B1302,8)="SỐ LƯỢNG"),A1302,IF(A1302="","",K1301))</f>
        <v/>
      </c>
      <c r="L1302">
        <f>IF(A1302="","",IF(ISNUMBER(--LEFT(A1302,FIND(" - ",A1302&amp;" - ")-1)),LEFT(A1302,FIND(" - ",A1302&amp;" - ")-1),TRIM(A1302)))</f>
        <v/>
      </c>
      <c r="M1302">
        <f>IF(OR(K1302="",K1302=A1302,A1302=""),"",K1302&amp;"|"&amp;L1302)</f>
        <v/>
      </c>
      <c r="N1302">
        <f>IF(M1302="","",IF(ISNUMBER(B1302),B1302,IFERROR(_xlfn.NUMBERVALUE(B1302,".",","),0)))</f>
        <v/>
      </c>
      <c r="O1302">
        <f>IF(M1302="","",IF(ISNUMBER(C1302),C1302,IFERROR(_xlfn.NUMBERVALUE(C1302,".",","),0)))</f>
        <v/>
      </c>
    </row>
    <row r="1303">
      <c r="K1303">
        <f>IF(OR(LEFT(B1303,9)="DOANH THU",LEFT(B1303,8)="SỐ LƯỢNG"),A1303,IF(A1303="","",K1302))</f>
        <v/>
      </c>
      <c r="L1303">
        <f>IF(A1303="","",IF(ISNUMBER(--LEFT(A1303,FIND(" - ",A1303&amp;" - ")-1)),LEFT(A1303,FIND(" - ",A1303&amp;" - ")-1),TRIM(A1303)))</f>
        <v/>
      </c>
      <c r="M1303">
        <f>IF(OR(K1303="",K1303=A1303,A1303=""),"",K1303&amp;"|"&amp;L1303)</f>
        <v/>
      </c>
      <c r="N1303">
        <f>IF(M1303="","",IF(ISNUMBER(B1303),B1303,IFERROR(_xlfn.NUMBERVALUE(B1303,".",","),0)))</f>
        <v/>
      </c>
      <c r="O1303">
        <f>IF(M1303="","",IF(ISNUMBER(C1303),C1303,IFERROR(_xlfn.NUMBERVALUE(C1303,".",","),0)))</f>
        <v/>
      </c>
    </row>
    <row r="1304">
      <c r="K1304">
        <f>IF(OR(LEFT(B1304,9)="DOANH THU",LEFT(B1304,8)="SỐ LƯỢNG"),A1304,IF(A1304="","",K1303))</f>
        <v/>
      </c>
      <c r="L1304">
        <f>IF(A1304="","",IF(ISNUMBER(--LEFT(A1304,FIND(" - ",A1304&amp;" - ")-1)),LEFT(A1304,FIND(" - ",A1304&amp;" - ")-1),TRIM(A1304)))</f>
        <v/>
      </c>
      <c r="M1304">
        <f>IF(OR(K1304="",K1304=A1304,A1304=""),"",K1304&amp;"|"&amp;L1304)</f>
        <v/>
      </c>
      <c r="N1304">
        <f>IF(M1304="","",IF(ISNUMBER(B1304),B1304,IFERROR(_xlfn.NUMBERVALUE(B1304,".",","),0)))</f>
        <v/>
      </c>
      <c r="O1304">
        <f>IF(M1304="","",IF(ISNUMBER(C1304),C1304,IFERROR(_xlfn.NUMBERVALUE(C1304,".",","),0)))</f>
        <v/>
      </c>
    </row>
    <row r="1305">
      <c r="K1305">
        <f>IF(OR(LEFT(B1305,9)="DOANH THU",LEFT(B1305,8)="SỐ LƯỢNG"),A1305,IF(A1305="","",K1304))</f>
        <v/>
      </c>
      <c r="L1305">
        <f>IF(A1305="","",IF(ISNUMBER(--LEFT(A1305,FIND(" - ",A1305&amp;" - ")-1)),LEFT(A1305,FIND(" - ",A1305&amp;" - ")-1),TRIM(A1305)))</f>
        <v/>
      </c>
      <c r="M1305">
        <f>IF(OR(K1305="",K1305=A1305,A1305=""),"",K1305&amp;"|"&amp;L1305)</f>
        <v/>
      </c>
      <c r="N1305">
        <f>IF(M1305="","",IF(ISNUMBER(B1305),B1305,IFERROR(_xlfn.NUMBERVALUE(B1305,".",","),0)))</f>
        <v/>
      </c>
      <c r="O1305">
        <f>IF(M1305="","",IF(ISNUMBER(C1305),C1305,IFERROR(_xlfn.NUMBERVALUE(C1305,".",","),0)))</f>
        <v/>
      </c>
    </row>
    <row r="1306">
      <c r="K1306">
        <f>IF(OR(LEFT(B1306,9)="DOANH THU",LEFT(B1306,8)="SỐ LƯỢNG"),A1306,IF(A1306="","",K1305))</f>
        <v/>
      </c>
      <c r="L1306">
        <f>IF(A1306="","",IF(ISNUMBER(--LEFT(A1306,FIND(" - ",A1306&amp;" - ")-1)),LEFT(A1306,FIND(" - ",A1306&amp;" - ")-1),TRIM(A1306)))</f>
        <v/>
      </c>
      <c r="M1306">
        <f>IF(OR(K1306="",K1306=A1306,A1306=""),"",K1306&amp;"|"&amp;L1306)</f>
        <v/>
      </c>
      <c r="N1306">
        <f>IF(M1306="","",IF(ISNUMBER(B1306),B1306,IFERROR(_xlfn.NUMBERVALUE(B1306,".",","),0)))</f>
        <v/>
      </c>
      <c r="O1306">
        <f>IF(M1306="","",IF(ISNUMBER(C1306),C1306,IFERROR(_xlfn.NUMBERVALUE(C1306,".",","),0)))</f>
        <v/>
      </c>
    </row>
    <row r="1307">
      <c r="K1307">
        <f>IF(OR(LEFT(B1307,9)="DOANH THU",LEFT(B1307,8)="SỐ LƯỢNG"),A1307,IF(A1307="","",K1306))</f>
        <v/>
      </c>
      <c r="L1307">
        <f>IF(A1307="","",IF(ISNUMBER(--LEFT(A1307,FIND(" - ",A1307&amp;" - ")-1)),LEFT(A1307,FIND(" - ",A1307&amp;" - ")-1),TRIM(A1307)))</f>
        <v/>
      </c>
      <c r="M1307">
        <f>IF(OR(K1307="",K1307=A1307,A1307=""),"",K1307&amp;"|"&amp;L1307)</f>
        <v/>
      </c>
      <c r="N1307">
        <f>IF(M1307="","",IF(ISNUMBER(B1307),B1307,IFERROR(_xlfn.NUMBERVALUE(B1307,".",","),0)))</f>
        <v/>
      </c>
      <c r="O1307">
        <f>IF(M1307="","",IF(ISNUMBER(C1307),C1307,IFERROR(_xlfn.NUMBERVALUE(C1307,".",","),0)))</f>
        <v/>
      </c>
    </row>
    <row r="1308">
      <c r="K1308">
        <f>IF(OR(LEFT(B1308,9)="DOANH THU",LEFT(B1308,8)="SỐ LƯỢNG"),A1308,IF(A1308="","",K1307))</f>
        <v/>
      </c>
      <c r="L1308">
        <f>IF(A1308="","",IF(ISNUMBER(--LEFT(A1308,FIND(" - ",A1308&amp;" - ")-1)),LEFT(A1308,FIND(" - ",A1308&amp;" - ")-1),TRIM(A1308)))</f>
        <v/>
      </c>
      <c r="M1308">
        <f>IF(OR(K1308="",K1308=A1308,A1308=""),"",K1308&amp;"|"&amp;L1308)</f>
        <v/>
      </c>
      <c r="N1308">
        <f>IF(M1308="","",IF(ISNUMBER(B1308),B1308,IFERROR(_xlfn.NUMBERVALUE(B1308,".",","),0)))</f>
        <v/>
      </c>
      <c r="O1308">
        <f>IF(M1308="","",IF(ISNUMBER(C1308),C1308,IFERROR(_xlfn.NUMBERVALUE(C1308,".",","),0)))</f>
        <v/>
      </c>
    </row>
    <row r="1309">
      <c r="K1309">
        <f>IF(OR(LEFT(B1309,9)="DOANH THU",LEFT(B1309,8)="SỐ LƯỢNG"),A1309,IF(A1309="","",K1308))</f>
        <v/>
      </c>
      <c r="L1309">
        <f>IF(A1309="","",IF(ISNUMBER(--LEFT(A1309,FIND(" - ",A1309&amp;" - ")-1)),LEFT(A1309,FIND(" - ",A1309&amp;" - ")-1),TRIM(A1309)))</f>
        <v/>
      </c>
      <c r="M1309">
        <f>IF(OR(K1309="",K1309=A1309,A1309=""),"",K1309&amp;"|"&amp;L1309)</f>
        <v/>
      </c>
      <c r="N1309">
        <f>IF(M1309="","",IF(ISNUMBER(B1309),B1309,IFERROR(_xlfn.NUMBERVALUE(B1309,".",","),0)))</f>
        <v/>
      </c>
      <c r="O1309">
        <f>IF(M1309="","",IF(ISNUMBER(C1309),C1309,IFERROR(_xlfn.NUMBERVALUE(C1309,".",","),0)))</f>
        <v/>
      </c>
    </row>
    <row r="1310">
      <c r="K1310">
        <f>IF(OR(LEFT(B1310,9)="DOANH THU",LEFT(B1310,8)="SỐ LƯỢNG"),A1310,IF(A1310="","",K1309))</f>
        <v/>
      </c>
      <c r="L1310">
        <f>IF(A1310="","",IF(ISNUMBER(--LEFT(A1310,FIND(" - ",A1310&amp;" - ")-1)),LEFT(A1310,FIND(" - ",A1310&amp;" - ")-1),TRIM(A1310)))</f>
        <v/>
      </c>
      <c r="M1310">
        <f>IF(OR(K1310="",K1310=A1310,A1310=""),"",K1310&amp;"|"&amp;L1310)</f>
        <v/>
      </c>
      <c r="N1310">
        <f>IF(M1310="","",IF(ISNUMBER(B1310),B1310,IFERROR(_xlfn.NUMBERVALUE(B1310,".",","),0)))</f>
        <v/>
      </c>
      <c r="O1310">
        <f>IF(M1310="","",IF(ISNUMBER(C1310),C1310,IFERROR(_xlfn.NUMBERVALUE(C1310,".",","),0)))</f>
        <v/>
      </c>
    </row>
    <row r="1311">
      <c r="K1311">
        <f>IF(OR(LEFT(B1311,9)="DOANH THU",LEFT(B1311,8)="SỐ LƯỢNG"),A1311,IF(A1311="","",K1310))</f>
        <v/>
      </c>
      <c r="L1311">
        <f>IF(A1311="","",IF(ISNUMBER(--LEFT(A1311,FIND(" - ",A1311&amp;" - ")-1)),LEFT(A1311,FIND(" - ",A1311&amp;" - ")-1),TRIM(A1311)))</f>
        <v/>
      </c>
      <c r="M1311">
        <f>IF(OR(K1311="",K1311=A1311,A1311=""),"",K1311&amp;"|"&amp;L1311)</f>
        <v/>
      </c>
      <c r="N1311">
        <f>IF(M1311="","",IF(ISNUMBER(B1311),B1311,IFERROR(_xlfn.NUMBERVALUE(B1311,".",","),0)))</f>
        <v/>
      </c>
      <c r="O1311">
        <f>IF(M1311="","",IF(ISNUMBER(C1311),C1311,IFERROR(_xlfn.NUMBERVALUE(C1311,".",","),0)))</f>
        <v/>
      </c>
    </row>
    <row r="1312">
      <c r="K1312">
        <f>IF(OR(LEFT(B1312,9)="DOANH THU",LEFT(B1312,8)="SỐ LƯỢNG"),A1312,IF(A1312="","",K1311))</f>
        <v/>
      </c>
      <c r="L1312">
        <f>IF(A1312="","",IF(ISNUMBER(--LEFT(A1312,FIND(" - ",A1312&amp;" - ")-1)),LEFT(A1312,FIND(" - ",A1312&amp;" - ")-1),TRIM(A1312)))</f>
        <v/>
      </c>
      <c r="M1312">
        <f>IF(OR(K1312="",K1312=A1312,A1312=""),"",K1312&amp;"|"&amp;L1312)</f>
        <v/>
      </c>
      <c r="N1312">
        <f>IF(M1312="","",IF(ISNUMBER(B1312),B1312,IFERROR(_xlfn.NUMBERVALUE(B1312,".",","),0)))</f>
        <v/>
      </c>
      <c r="O1312">
        <f>IF(M1312="","",IF(ISNUMBER(C1312),C1312,IFERROR(_xlfn.NUMBERVALUE(C1312,".",","),0)))</f>
        <v/>
      </c>
    </row>
    <row r="1313">
      <c r="K1313">
        <f>IF(OR(LEFT(B1313,9)="DOANH THU",LEFT(B1313,8)="SỐ LƯỢNG"),A1313,IF(A1313="","",K1312))</f>
        <v/>
      </c>
      <c r="L1313">
        <f>IF(A1313="","",IF(ISNUMBER(--LEFT(A1313,FIND(" - ",A1313&amp;" - ")-1)),LEFT(A1313,FIND(" - ",A1313&amp;" - ")-1),TRIM(A1313)))</f>
        <v/>
      </c>
      <c r="M1313">
        <f>IF(OR(K1313="",K1313=A1313,A1313=""),"",K1313&amp;"|"&amp;L1313)</f>
        <v/>
      </c>
      <c r="N1313">
        <f>IF(M1313="","",IF(ISNUMBER(B1313),B1313,IFERROR(_xlfn.NUMBERVALUE(B1313,".",","),0)))</f>
        <v/>
      </c>
      <c r="O1313">
        <f>IF(M1313="","",IF(ISNUMBER(C1313),C1313,IFERROR(_xlfn.NUMBERVALUE(C1313,".",","),0)))</f>
        <v/>
      </c>
    </row>
    <row r="1314">
      <c r="K1314">
        <f>IF(OR(LEFT(B1314,9)="DOANH THU",LEFT(B1314,8)="SỐ LƯỢNG"),A1314,IF(A1314="","",K1313))</f>
        <v/>
      </c>
      <c r="L1314">
        <f>IF(A1314="","",IF(ISNUMBER(--LEFT(A1314,FIND(" - ",A1314&amp;" - ")-1)),LEFT(A1314,FIND(" - ",A1314&amp;" - ")-1),TRIM(A1314)))</f>
        <v/>
      </c>
      <c r="M1314">
        <f>IF(OR(K1314="",K1314=A1314,A1314=""),"",K1314&amp;"|"&amp;L1314)</f>
        <v/>
      </c>
      <c r="N1314">
        <f>IF(M1314="","",IF(ISNUMBER(B1314),B1314,IFERROR(_xlfn.NUMBERVALUE(B1314,".",","),0)))</f>
        <v/>
      </c>
      <c r="O1314">
        <f>IF(M1314="","",IF(ISNUMBER(C1314),C1314,IFERROR(_xlfn.NUMBERVALUE(C1314,".",","),0)))</f>
        <v/>
      </c>
    </row>
    <row r="1315">
      <c r="K1315">
        <f>IF(OR(LEFT(B1315,9)="DOANH THU",LEFT(B1315,8)="SỐ LƯỢNG"),A1315,IF(A1315="","",K1314))</f>
        <v/>
      </c>
      <c r="L1315">
        <f>IF(A1315="","",IF(ISNUMBER(--LEFT(A1315,FIND(" - ",A1315&amp;" - ")-1)),LEFT(A1315,FIND(" - ",A1315&amp;" - ")-1),TRIM(A1315)))</f>
        <v/>
      </c>
      <c r="M1315">
        <f>IF(OR(K1315="",K1315=A1315,A1315=""),"",K1315&amp;"|"&amp;L1315)</f>
        <v/>
      </c>
      <c r="N1315">
        <f>IF(M1315="","",IF(ISNUMBER(B1315),B1315,IFERROR(_xlfn.NUMBERVALUE(B1315,".",","),0)))</f>
        <v/>
      </c>
      <c r="O1315">
        <f>IF(M1315="","",IF(ISNUMBER(C1315),C1315,IFERROR(_xlfn.NUMBERVALUE(C1315,".",","),0)))</f>
        <v/>
      </c>
    </row>
    <row r="1316">
      <c r="K1316">
        <f>IF(OR(LEFT(B1316,9)="DOANH THU",LEFT(B1316,8)="SỐ LƯỢNG"),A1316,IF(A1316="","",K1315))</f>
        <v/>
      </c>
      <c r="L1316">
        <f>IF(A1316="","",IF(ISNUMBER(--LEFT(A1316,FIND(" - ",A1316&amp;" - ")-1)),LEFT(A1316,FIND(" - ",A1316&amp;" - ")-1),TRIM(A1316)))</f>
        <v/>
      </c>
      <c r="M1316">
        <f>IF(OR(K1316="",K1316=A1316,A1316=""),"",K1316&amp;"|"&amp;L1316)</f>
        <v/>
      </c>
      <c r="N1316">
        <f>IF(M1316="","",IF(ISNUMBER(B1316),B1316,IFERROR(_xlfn.NUMBERVALUE(B1316,".",","),0)))</f>
        <v/>
      </c>
      <c r="O1316">
        <f>IF(M1316="","",IF(ISNUMBER(C1316),C1316,IFERROR(_xlfn.NUMBERVALUE(C1316,".",","),0)))</f>
        <v/>
      </c>
    </row>
    <row r="1317">
      <c r="K1317">
        <f>IF(OR(LEFT(B1317,9)="DOANH THU",LEFT(B1317,8)="SỐ LƯỢNG"),A1317,IF(A1317="","",K1316))</f>
        <v/>
      </c>
      <c r="L1317">
        <f>IF(A1317="","",IF(ISNUMBER(--LEFT(A1317,FIND(" - ",A1317&amp;" - ")-1)),LEFT(A1317,FIND(" - ",A1317&amp;" - ")-1),TRIM(A1317)))</f>
        <v/>
      </c>
      <c r="M1317">
        <f>IF(OR(K1317="",K1317=A1317,A1317=""),"",K1317&amp;"|"&amp;L1317)</f>
        <v/>
      </c>
      <c r="N1317">
        <f>IF(M1317="","",IF(ISNUMBER(B1317),B1317,IFERROR(_xlfn.NUMBERVALUE(B1317,".",","),0)))</f>
        <v/>
      </c>
      <c r="O1317">
        <f>IF(M1317="","",IF(ISNUMBER(C1317),C1317,IFERROR(_xlfn.NUMBERVALUE(C1317,".",","),0)))</f>
        <v/>
      </c>
    </row>
    <row r="1318">
      <c r="K1318">
        <f>IF(OR(LEFT(B1318,9)="DOANH THU",LEFT(B1318,8)="SỐ LƯỢNG"),A1318,IF(A1318="","",K1317))</f>
        <v/>
      </c>
      <c r="L1318">
        <f>IF(A1318="","",IF(ISNUMBER(--LEFT(A1318,FIND(" - ",A1318&amp;" - ")-1)),LEFT(A1318,FIND(" - ",A1318&amp;" - ")-1),TRIM(A1318)))</f>
        <v/>
      </c>
      <c r="M1318">
        <f>IF(OR(K1318="",K1318=A1318,A1318=""),"",K1318&amp;"|"&amp;L1318)</f>
        <v/>
      </c>
      <c r="N1318">
        <f>IF(M1318="","",IF(ISNUMBER(B1318),B1318,IFERROR(_xlfn.NUMBERVALUE(B1318,".",","),0)))</f>
        <v/>
      </c>
      <c r="O1318">
        <f>IF(M1318="","",IF(ISNUMBER(C1318),C1318,IFERROR(_xlfn.NUMBERVALUE(C1318,".",","),0)))</f>
        <v/>
      </c>
    </row>
    <row r="1319">
      <c r="K1319">
        <f>IF(OR(LEFT(B1319,9)="DOANH THU",LEFT(B1319,8)="SỐ LƯỢNG"),A1319,IF(A1319="","",K1318))</f>
        <v/>
      </c>
      <c r="L1319">
        <f>IF(A1319="","",IF(ISNUMBER(--LEFT(A1319,FIND(" - ",A1319&amp;" - ")-1)),LEFT(A1319,FIND(" - ",A1319&amp;" - ")-1),TRIM(A1319)))</f>
        <v/>
      </c>
      <c r="M1319">
        <f>IF(OR(K1319="",K1319=A1319,A1319=""),"",K1319&amp;"|"&amp;L1319)</f>
        <v/>
      </c>
      <c r="N1319">
        <f>IF(M1319="","",IF(ISNUMBER(B1319),B1319,IFERROR(_xlfn.NUMBERVALUE(B1319,".",","),0)))</f>
        <v/>
      </c>
      <c r="O1319">
        <f>IF(M1319="","",IF(ISNUMBER(C1319),C1319,IFERROR(_xlfn.NUMBERVALUE(C1319,".",","),0)))</f>
        <v/>
      </c>
    </row>
    <row r="1320">
      <c r="K1320">
        <f>IF(OR(LEFT(B1320,9)="DOANH THU",LEFT(B1320,8)="SỐ LƯỢNG"),A1320,IF(A1320="","",K1319))</f>
        <v/>
      </c>
      <c r="L1320">
        <f>IF(A1320="","",IF(ISNUMBER(--LEFT(A1320,FIND(" - ",A1320&amp;" - ")-1)),LEFT(A1320,FIND(" - ",A1320&amp;" - ")-1),TRIM(A1320)))</f>
        <v/>
      </c>
      <c r="M1320">
        <f>IF(OR(K1320="",K1320=A1320,A1320=""),"",K1320&amp;"|"&amp;L1320)</f>
        <v/>
      </c>
      <c r="N1320">
        <f>IF(M1320="","",IF(ISNUMBER(B1320),B1320,IFERROR(_xlfn.NUMBERVALUE(B1320,".",","),0)))</f>
        <v/>
      </c>
      <c r="O1320">
        <f>IF(M1320="","",IF(ISNUMBER(C1320),C1320,IFERROR(_xlfn.NUMBERVALUE(C1320,".",","),0)))</f>
        <v/>
      </c>
    </row>
    <row r="1321">
      <c r="K1321">
        <f>IF(OR(LEFT(B1321,9)="DOANH THU",LEFT(B1321,8)="SỐ LƯỢNG"),A1321,IF(A1321="","",K1320))</f>
        <v/>
      </c>
      <c r="L1321">
        <f>IF(A1321="","",IF(ISNUMBER(--LEFT(A1321,FIND(" - ",A1321&amp;" - ")-1)),LEFT(A1321,FIND(" - ",A1321&amp;" - ")-1),TRIM(A1321)))</f>
        <v/>
      </c>
      <c r="M1321">
        <f>IF(OR(K1321="",K1321=A1321,A1321=""),"",K1321&amp;"|"&amp;L1321)</f>
        <v/>
      </c>
      <c r="N1321">
        <f>IF(M1321="","",IF(ISNUMBER(B1321),B1321,IFERROR(_xlfn.NUMBERVALUE(B1321,".",","),0)))</f>
        <v/>
      </c>
      <c r="O1321">
        <f>IF(M1321="","",IF(ISNUMBER(C1321),C1321,IFERROR(_xlfn.NUMBERVALUE(C1321,".",","),0)))</f>
        <v/>
      </c>
    </row>
    <row r="1322">
      <c r="K1322">
        <f>IF(OR(LEFT(B1322,9)="DOANH THU",LEFT(B1322,8)="SỐ LƯỢNG"),A1322,IF(A1322="","",K1321))</f>
        <v/>
      </c>
      <c r="L1322">
        <f>IF(A1322="","",IF(ISNUMBER(--LEFT(A1322,FIND(" - ",A1322&amp;" - ")-1)),LEFT(A1322,FIND(" - ",A1322&amp;" - ")-1),TRIM(A1322)))</f>
        <v/>
      </c>
      <c r="M1322">
        <f>IF(OR(K1322="",K1322=A1322,A1322=""),"",K1322&amp;"|"&amp;L1322)</f>
        <v/>
      </c>
      <c r="N1322">
        <f>IF(M1322="","",IF(ISNUMBER(B1322),B1322,IFERROR(_xlfn.NUMBERVALUE(B1322,".",","),0)))</f>
        <v/>
      </c>
      <c r="O1322">
        <f>IF(M1322="","",IF(ISNUMBER(C1322),C1322,IFERROR(_xlfn.NUMBERVALUE(C1322,".",","),0)))</f>
        <v/>
      </c>
    </row>
    <row r="1323">
      <c r="K1323">
        <f>IF(OR(LEFT(B1323,9)="DOANH THU",LEFT(B1323,8)="SỐ LƯỢNG"),A1323,IF(A1323="","",K1322))</f>
        <v/>
      </c>
      <c r="L1323">
        <f>IF(A1323="","",IF(ISNUMBER(--LEFT(A1323,FIND(" - ",A1323&amp;" - ")-1)),LEFT(A1323,FIND(" - ",A1323&amp;" - ")-1),TRIM(A1323)))</f>
        <v/>
      </c>
      <c r="M1323">
        <f>IF(OR(K1323="",K1323=A1323,A1323=""),"",K1323&amp;"|"&amp;L1323)</f>
        <v/>
      </c>
      <c r="N1323">
        <f>IF(M1323="","",IF(ISNUMBER(B1323),B1323,IFERROR(_xlfn.NUMBERVALUE(B1323,".",","),0)))</f>
        <v/>
      </c>
      <c r="O1323">
        <f>IF(M1323="","",IF(ISNUMBER(C1323),C1323,IFERROR(_xlfn.NUMBERVALUE(C1323,".",","),0)))</f>
        <v/>
      </c>
    </row>
    <row r="1324">
      <c r="K1324">
        <f>IF(OR(LEFT(B1324,9)="DOANH THU",LEFT(B1324,8)="SỐ LƯỢNG"),A1324,IF(A1324="","",K1323))</f>
        <v/>
      </c>
      <c r="L1324">
        <f>IF(A1324="","",IF(ISNUMBER(--LEFT(A1324,FIND(" - ",A1324&amp;" - ")-1)),LEFT(A1324,FIND(" - ",A1324&amp;" - ")-1),TRIM(A1324)))</f>
        <v/>
      </c>
      <c r="M1324">
        <f>IF(OR(K1324="",K1324=A1324,A1324=""),"",K1324&amp;"|"&amp;L1324)</f>
        <v/>
      </c>
      <c r="N1324">
        <f>IF(M1324="","",IF(ISNUMBER(B1324),B1324,IFERROR(_xlfn.NUMBERVALUE(B1324,".",","),0)))</f>
        <v/>
      </c>
      <c r="O1324">
        <f>IF(M1324="","",IF(ISNUMBER(C1324),C1324,IFERROR(_xlfn.NUMBERVALUE(C1324,".",","),0)))</f>
        <v/>
      </c>
    </row>
    <row r="1325">
      <c r="K1325">
        <f>IF(OR(LEFT(B1325,9)="DOANH THU",LEFT(B1325,8)="SỐ LƯỢNG"),A1325,IF(A1325="","",K1324))</f>
        <v/>
      </c>
      <c r="L1325">
        <f>IF(A1325="","",IF(ISNUMBER(--LEFT(A1325,FIND(" - ",A1325&amp;" - ")-1)),LEFT(A1325,FIND(" - ",A1325&amp;" - ")-1),TRIM(A1325)))</f>
        <v/>
      </c>
      <c r="M1325">
        <f>IF(OR(K1325="",K1325=A1325,A1325=""),"",K1325&amp;"|"&amp;L1325)</f>
        <v/>
      </c>
      <c r="N1325">
        <f>IF(M1325="","",IF(ISNUMBER(B1325),B1325,IFERROR(_xlfn.NUMBERVALUE(B1325,".",","),0)))</f>
        <v/>
      </c>
      <c r="O1325">
        <f>IF(M1325="","",IF(ISNUMBER(C1325),C1325,IFERROR(_xlfn.NUMBERVALUE(C1325,".",","),0)))</f>
        <v/>
      </c>
    </row>
    <row r="1326">
      <c r="K1326">
        <f>IF(OR(LEFT(B1326,9)="DOANH THU",LEFT(B1326,8)="SỐ LƯỢNG"),A1326,IF(A1326="","",K1325))</f>
        <v/>
      </c>
      <c r="L1326">
        <f>IF(A1326="","",IF(ISNUMBER(--LEFT(A1326,FIND(" - ",A1326&amp;" - ")-1)),LEFT(A1326,FIND(" - ",A1326&amp;" - ")-1),TRIM(A1326)))</f>
        <v/>
      </c>
      <c r="M1326">
        <f>IF(OR(K1326="",K1326=A1326,A1326=""),"",K1326&amp;"|"&amp;L1326)</f>
        <v/>
      </c>
      <c r="N1326">
        <f>IF(M1326="","",IF(ISNUMBER(B1326),B1326,IFERROR(_xlfn.NUMBERVALUE(B1326,".",","),0)))</f>
        <v/>
      </c>
      <c r="O1326">
        <f>IF(M1326="","",IF(ISNUMBER(C1326),C1326,IFERROR(_xlfn.NUMBERVALUE(C1326,".",","),0)))</f>
        <v/>
      </c>
    </row>
    <row r="1327">
      <c r="K1327">
        <f>IF(OR(LEFT(B1327,9)="DOANH THU",LEFT(B1327,8)="SỐ LƯỢNG"),A1327,IF(A1327="","",K1326))</f>
        <v/>
      </c>
      <c r="L1327">
        <f>IF(A1327="","",IF(ISNUMBER(--LEFT(A1327,FIND(" - ",A1327&amp;" - ")-1)),LEFT(A1327,FIND(" - ",A1327&amp;" - ")-1),TRIM(A1327)))</f>
        <v/>
      </c>
      <c r="M1327">
        <f>IF(OR(K1327="",K1327=A1327,A1327=""),"",K1327&amp;"|"&amp;L1327)</f>
        <v/>
      </c>
      <c r="N1327">
        <f>IF(M1327="","",IF(ISNUMBER(B1327),B1327,IFERROR(_xlfn.NUMBERVALUE(B1327,".",","),0)))</f>
        <v/>
      </c>
      <c r="O1327">
        <f>IF(M1327="","",IF(ISNUMBER(C1327),C1327,IFERROR(_xlfn.NUMBERVALUE(C1327,".",","),0)))</f>
        <v/>
      </c>
    </row>
    <row r="1328">
      <c r="K1328">
        <f>IF(OR(LEFT(B1328,9)="DOANH THU",LEFT(B1328,8)="SỐ LƯỢNG"),A1328,IF(A1328="","",K1327))</f>
        <v/>
      </c>
      <c r="L1328">
        <f>IF(A1328="","",IF(ISNUMBER(--LEFT(A1328,FIND(" - ",A1328&amp;" - ")-1)),LEFT(A1328,FIND(" - ",A1328&amp;" - ")-1),TRIM(A1328)))</f>
        <v/>
      </c>
      <c r="M1328">
        <f>IF(OR(K1328="",K1328=A1328,A1328=""),"",K1328&amp;"|"&amp;L1328)</f>
        <v/>
      </c>
      <c r="N1328">
        <f>IF(M1328="","",IF(ISNUMBER(B1328),B1328,IFERROR(_xlfn.NUMBERVALUE(B1328,".",","),0)))</f>
        <v/>
      </c>
      <c r="O1328">
        <f>IF(M1328="","",IF(ISNUMBER(C1328),C1328,IFERROR(_xlfn.NUMBERVALUE(C1328,".",","),0)))</f>
        <v/>
      </c>
    </row>
    <row r="1329">
      <c r="K1329">
        <f>IF(OR(LEFT(B1329,9)="DOANH THU",LEFT(B1329,8)="SỐ LƯỢNG"),A1329,IF(A1329="","",K1328))</f>
        <v/>
      </c>
      <c r="L1329">
        <f>IF(A1329="","",IF(ISNUMBER(--LEFT(A1329,FIND(" - ",A1329&amp;" - ")-1)),LEFT(A1329,FIND(" - ",A1329&amp;" - ")-1),TRIM(A1329)))</f>
        <v/>
      </c>
      <c r="M1329">
        <f>IF(OR(K1329="",K1329=A1329,A1329=""),"",K1329&amp;"|"&amp;L1329)</f>
        <v/>
      </c>
      <c r="N1329">
        <f>IF(M1329="","",IF(ISNUMBER(B1329),B1329,IFERROR(_xlfn.NUMBERVALUE(B1329,".",","),0)))</f>
        <v/>
      </c>
      <c r="O1329">
        <f>IF(M1329="","",IF(ISNUMBER(C1329),C1329,IFERROR(_xlfn.NUMBERVALUE(C1329,".",","),0)))</f>
        <v/>
      </c>
    </row>
    <row r="1330">
      <c r="K1330">
        <f>IF(OR(LEFT(B1330,9)="DOANH THU",LEFT(B1330,8)="SỐ LƯỢNG"),A1330,IF(A1330="","",K1329))</f>
        <v/>
      </c>
      <c r="L1330">
        <f>IF(A1330="","",IF(ISNUMBER(--LEFT(A1330,FIND(" - ",A1330&amp;" - ")-1)),LEFT(A1330,FIND(" - ",A1330&amp;" - ")-1),TRIM(A1330)))</f>
        <v/>
      </c>
      <c r="M1330">
        <f>IF(OR(K1330="",K1330=A1330,A1330=""),"",K1330&amp;"|"&amp;L1330)</f>
        <v/>
      </c>
      <c r="N1330">
        <f>IF(M1330="","",IF(ISNUMBER(B1330),B1330,IFERROR(_xlfn.NUMBERVALUE(B1330,".",","),0)))</f>
        <v/>
      </c>
      <c r="O1330">
        <f>IF(M1330="","",IF(ISNUMBER(C1330),C1330,IFERROR(_xlfn.NUMBERVALUE(C1330,".",","),0)))</f>
        <v/>
      </c>
    </row>
    <row r="1331">
      <c r="K1331">
        <f>IF(OR(LEFT(B1331,9)="DOANH THU",LEFT(B1331,8)="SỐ LƯỢNG"),A1331,IF(A1331="","",K1330))</f>
        <v/>
      </c>
      <c r="L1331">
        <f>IF(A1331="","",IF(ISNUMBER(--LEFT(A1331,FIND(" - ",A1331&amp;" - ")-1)),LEFT(A1331,FIND(" - ",A1331&amp;" - ")-1),TRIM(A1331)))</f>
        <v/>
      </c>
      <c r="M1331">
        <f>IF(OR(K1331="",K1331=A1331,A1331=""),"",K1331&amp;"|"&amp;L1331)</f>
        <v/>
      </c>
      <c r="N1331">
        <f>IF(M1331="","",IF(ISNUMBER(B1331),B1331,IFERROR(_xlfn.NUMBERVALUE(B1331,".",","),0)))</f>
        <v/>
      </c>
      <c r="O1331">
        <f>IF(M1331="","",IF(ISNUMBER(C1331),C1331,IFERROR(_xlfn.NUMBERVALUE(C1331,".",","),0)))</f>
        <v/>
      </c>
    </row>
    <row r="1332">
      <c r="K1332">
        <f>IF(OR(LEFT(B1332,9)="DOANH THU",LEFT(B1332,8)="SỐ LƯỢNG"),A1332,IF(A1332="","",K1331))</f>
        <v/>
      </c>
      <c r="L1332">
        <f>IF(A1332="","",IF(ISNUMBER(--LEFT(A1332,FIND(" - ",A1332&amp;" - ")-1)),LEFT(A1332,FIND(" - ",A1332&amp;" - ")-1),TRIM(A1332)))</f>
        <v/>
      </c>
      <c r="M1332">
        <f>IF(OR(K1332="",K1332=A1332,A1332=""),"",K1332&amp;"|"&amp;L1332)</f>
        <v/>
      </c>
      <c r="N1332">
        <f>IF(M1332="","",IF(ISNUMBER(B1332),B1332,IFERROR(_xlfn.NUMBERVALUE(B1332,".",","),0)))</f>
        <v/>
      </c>
      <c r="O1332">
        <f>IF(M1332="","",IF(ISNUMBER(C1332),C1332,IFERROR(_xlfn.NUMBERVALUE(C1332,".",","),0)))</f>
        <v/>
      </c>
    </row>
    <row r="1333">
      <c r="K1333">
        <f>IF(OR(LEFT(B1333,9)="DOANH THU",LEFT(B1333,8)="SỐ LƯỢNG"),A1333,IF(A1333="","",K1332))</f>
        <v/>
      </c>
      <c r="L1333">
        <f>IF(A1333="","",IF(ISNUMBER(--LEFT(A1333,FIND(" - ",A1333&amp;" - ")-1)),LEFT(A1333,FIND(" - ",A1333&amp;" - ")-1),TRIM(A1333)))</f>
        <v/>
      </c>
      <c r="M1333">
        <f>IF(OR(K1333="",K1333=A1333,A1333=""),"",K1333&amp;"|"&amp;L1333)</f>
        <v/>
      </c>
      <c r="N1333">
        <f>IF(M1333="","",IF(ISNUMBER(B1333),B1333,IFERROR(_xlfn.NUMBERVALUE(B1333,".",","),0)))</f>
        <v/>
      </c>
      <c r="O1333">
        <f>IF(M1333="","",IF(ISNUMBER(C1333),C1333,IFERROR(_xlfn.NUMBERVALUE(C1333,".",","),0)))</f>
        <v/>
      </c>
    </row>
    <row r="1334">
      <c r="K1334">
        <f>IF(OR(LEFT(B1334,9)="DOANH THU",LEFT(B1334,8)="SỐ LƯỢNG"),A1334,IF(A1334="","",K1333))</f>
        <v/>
      </c>
      <c r="L1334">
        <f>IF(A1334="","",IF(ISNUMBER(--LEFT(A1334,FIND(" - ",A1334&amp;" - ")-1)),LEFT(A1334,FIND(" - ",A1334&amp;" - ")-1),TRIM(A1334)))</f>
        <v/>
      </c>
      <c r="M1334">
        <f>IF(OR(K1334="",K1334=A1334,A1334=""),"",K1334&amp;"|"&amp;L1334)</f>
        <v/>
      </c>
      <c r="N1334">
        <f>IF(M1334="","",IF(ISNUMBER(B1334),B1334,IFERROR(_xlfn.NUMBERVALUE(B1334,".",","),0)))</f>
        <v/>
      </c>
      <c r="O1334">
        <f>IF(M1334="","",IF(ISNUMBER(C1334),C1334,IFERROR(_xlfn.NUMBERVALUE(C1334,".",","),0)))</f>
        <v/>
      </c>
    </row>
    <row r="1335">
      <c r="K1335">
        <f>IF(OR(LEFT(B1335,9)="DOANH THU",LEFT(B1335,8)="SỐ LƯỢNG"),A1335,IF(A1335="","",K1334))</f>
        <v/>
      </c>
      <c r="L1335">
        <f>IF(A1335="","",IF(ISNUMBER(--LEFT(A1335,FIND(" - ",A1335&amp;" - ")-1)),LEFT(A1335,FIND(" - ",A1335&amp;" - ")-1),TRIM(A1335)))</f>
        <v/>
      </c>
      <c r="M1335">
        <f>IF(OR(K1335="",K1335=A1335,A1335=""),"",K1335&amp;"|"&amp;L1335)</f>
        <v/>
      </c>
      <c r="N1335">
        <f>IF(M1335="","",IF(ISNUMBER(B1335),B1335,IFERROR(_xlfn.NUMBERVALUE(B1335,".",","),0)))</f>
        <v/>
      </c>
      <c r="O1335">
        <f>IF(M1335="","",IF(ISNUMBER(C1335),C1335,IFERROR(_xlfn.NUMBERVALUE(C1335,".",","),0)))</f>
        <v/>
      </c>
    </row>
    <row r="1336">
      <c r="K1336">
        <f>IF(OR(LEFT(B1336,9)="DOANH THU",LEFT(B1336,8)="SỐ LƯỢNG"),A1336,IF(A1336="","",K1335))</f>
        <v/>
      </c>
      <c r="L1336">
        <f>IF(A1336="","",IF(ISNUMBER(--LEFT(A1336,FIND(" - ",A1336&amp;" - ")-1)),LEFT(A1336,FIND(" - ",A1336&amp;" - ")-1),TRIM(A1336)))</f>
        <v/>
      </c>
      <c r="M1336">
        <f>IF(OR(K1336="",K1336=A1336,A1336=""),"",K1336&amp;"|"&amp;L1336)</f>
        <v/>
      </c>
      <c r="N1336">
        <f>IF(M1336="","",IF(ISNUMBER(B1336),B1336,IFERROR(_xlfn.NUMBERVALUE(B1336,".",","),0)))</f>
        <v/>
      </c>
      <c r="O1336">
        <f>IF(M1336="","",IF(ISNUMBER(C1336),C1336,IFERROR(_xlfn.NUMBERVALUE(C1336,".",","),0)))</f>
        <v/>
      </c>
    </row>
    <row r="1337">
      <c r="K1337">
        <f>IF(OR(LEFT(B1337,9)="DOANH THU",LEFT(B1337,8)="SỐ LƯỢNG"),A1337,IF(A1337="","",K1336))</f>
        <v/>
      </c>
      <c r="L1337">
        <f>IF(A1337="","",IF(ISNUMBER(--LEFT(A1337,FIND(" - ",A1337&amp;" - ")-1)),LEFT(A1337,FIND(" - ",A1337&amp;" - ")-1),TRIM(A1337)))</f>
        <v/>
      </c>
      <c r="M1337">
        <f>IF(OR(K1337="",K1337=A1337,A1337=""),"",K1337&amp;"|"&amp;L1337)</f>
        <v/>
      </c>
      <c r="N1337">
        <f>IF(M1337="","",IF(ISNUMBER(B1337),B1337,IFERROR(_xlfn.NUMBERVALUE(B1337,".",","),0)))</f>
        <v/>
      </c>
      <c r="O1337">
        <f>IF(M1337="","",IF(ISNUMBER(C1337),C1337,IFERROR(_xlfn.NUMBERVALUE(C1337,".",","),0)))</f>
        <v/>
      </c>
    </row>
    <row r="1338">
      <c r="K1338">
        <f>IF(OR(LEFT(B1338,9)="DOANH THU",LEFT(B1338,8)="SỐ LƯỢNG"),A1338,IF(A1338="","",K1337))</f>
        <v/>
      </c>
      <c r="L1338">
        <f>IF(A1338="","",IF(ISNUMBER(--LEFT(A1338,FIND(" - ",A1338&amp;" - ")-1)),LEFT(A1338,FIND(" - ",A1338&amp;" - ")-1),TRIM(A1338)))</f>
        <v/>
      </c>
      <c r="M1338">
        <f>IF(OR(K1338="",K1338=A1338,A1338=""),"",K1338&amp;"|"&amp;L1338)</f>
        <v/>
      </c>
      <c r="N1338">
        <f>IF(M1338="","",IF(ISNUMBER(B1338),B1338,IFERROR(_xlfn.NUMBERVALUE(B1338,".",","),0)))</f>
        <v/>
      </c>
      <c r="O1338">
        <f>IF(M1338="","",IF(ISNUMBER(C1338),C1338,IFERROR(_xlfn.NUMBERVALUE(C1338,".",","),0)))</f>
        <v/>
      </c>
    </row>
    <row r="1339">
      <c r="K1339">
        <f>IF(OR(LEFT(B1339,9)="DOANH THU",LEFT(B1339,8)="SỐ LƯỢNG"),A1339,IF(A1339="","",K1338))</f>
        <v/>
      </c>
      <c r="L1339">
        <f>IF(A1339="","",IF(ISNUMBER(--LEFT(A1339,FIND(" - ",A1339&amp;" - ")-1)),LEFT(A1339,FIND(" - ",A1339&amp;" - ")-1),TRIM(A1339)))</f>
        <v/>
      </c>
      <c r="M1339">
        <f>IF(OR(K1339="",K1339=A1339,A1339=""),"",K1339&amp;"|"&amp;L1339)</f>
        <v/>
      </c>
      <c r="N1339">
        <f>IF(M1339="","",IF(ISNUMBER(B1339),B1339,IFERROR(_xlfn.NUMBERVALUE(B1339,".",","),0)))</f>
        <v/>
      </c>
      <c r="O1339">
        <f>IF(M1339="","",IF(ISNUMBER(C1339),C1339,IFERROR(_xlfn.NUMBERVALUE(C1339,".",","),0)))</f>
        <v/>
      </c>
    </row>
    <row r="1340">
      <c r="K1340">
        <f>IF(OR(LEFT(B1340,9)="DOANH THU",LEFT(B1340,8)="SỐ LƯỢNG"),A1340,IF(A1340="","",K1339))</f>
        <v/>
      </c>
      <c r="L1340">
        <f>IF(A1340="","",IF(ISNUMBER(--LEFT(A1340,FIND(" - ",A1340&amp;" - ")-1)),LEFT(A1340,FIND(" - ",A1340&amp;" - ")-1),TRIM(A1340)))</f>
        <v/>
      </c>
      <c r="M1340">
        <f>IF(OR(K1340="",K1340=A1340,A1340=""),"",K1340&amp;"|"&amp;L1340)</f>
        <v/>
      </c>
      <c r="N1340">
        <f>IF(M1340="","",IF(ISNUMBER(B1340),B1340,IFERROR(_xlfn.NUMBERVALUE(B1340,".",","),0)))</f>
        <v/>
      </c>
      <c r="O1340">
        <f>IF(M1340="","",IF(ISNUMBER(C1340),C1340,IFERROR(_xlfn.NUMBERVALUE(C1340,".",","),0)))</f>
        <v/>
      </c>
    </row>
    <row r="1341">
      <c r="K1341">
        <f>IF(OR(LEFT(B1341,9)="DOANH THU",LEFT(B1341,8)="SỐ LƯỢNG"),A1341,IF(A1341="","",K1340))</f>
        <v/>
      </c>
      <c r="L1341">
        <f>IF(A1341="","",IF(ISNUMBER(--LEFT(A1341,FIND(" - ",A1341&amp;" - ")-1)),LEFT(A1341,FIND(" - ",A1341&amp;" - ")-1),TRIM(A1341)))</f>
        <v/>
      </c>
      <c r="M1341">
        <f>IF(OR(K1341="",K1341=A1341,A1341=""),"",K1341&amp;"|"&amp;L1341)</f>
        <v/>
      </c>
      <c r="N1341">
        <f>IF(M1341="","",IF(ISNUMBER(B1341),B1341,IFERROR(_xlfn.NUMBERVALUE(B1341,".",","),0)))</f>
        <v/>
      </c>
      <c r="O1341">
        <f>IF(M1341="","",IF(ISNUMBER(C1341),C1341,IFERROR(_xlfn.NUMBERVALUE(C1341,".",","),0)))</f>
        <v/>
      </c>
    </row>
    <row r="1342">
      <c r="K1342">
        <f>IF(OR(LEFT(B1342,9)="DOANH THU",LEFT(B1342,8)="SỐ LƯỢNG"),A1342,IF(A1342="","",K1341))</f>
        <v/>
      </c>
      <c r="L1342">
        <f>IF(A1342="","",IF(ISNUMBER(--LEFT(A1342,FIND(" - ",A1342&amp;" - ")-1)),LEFT(A1342,FIND(" - ",A1342&amp;" - ")-1),TRIM(A1342)))</f>
        <v/>
      </c>
      <c r="M1342">
        <f>IF(OR(K1342="",K1342=A1342,A1342=""),"",K1342&amp;"|"&amp;L1342)</f>
        <v/>
      </c>
      <c r="N1342">
        <f>IF(M1342="","",IF(ISNUMBER(B1342),B1342,IFERROR(_xlfn.NUMBERVALUE(B1342,".",","),0)))</f>
        <v/>
      </c>
      <c r="O1342">
        <f>IF(M1342="","",IF(ISNUMBER(C1342),C1342,IFERROR(_xlfn.NUMBERVALUE(C1342,".",","),0)))</f>
        <v/>
      </c>
    </row>
    <row r="1343">
      <c r="K1343">
        <f>IF(OR(LEFT(B1343,9)="DOANH THU",LEFT(B1343,8)="SỐ LƯỢNG"),A1343,IF(A1343="","",K1342))</f>
        <v/>
      </c>
      <c r="L1343">
        <f>IF(A1343="","",IF(ISNUMBER(--LEFT(A1343,FIND(" - ",A1343&amp;" - ")-1)),LEFT(A1343,FIND(" - ",A1343&amp;" - ")-1),TRIM(A1343)))</f>
        <v/>
      </c>
      <c r="M1343">
        <f>IF(OR(K1343="",K1343=A1343,A1343=""),"",K1343&amp;"|"&amp;L1343)</f>
        <v/>
      </c>
      <c r="N1343">
        <f>IF(M1343="","",IF(ISNUMBER(B1343),B1343,IFERROR(_xlfn.NUMBERVALUE(B1343,".",","),0)))</f>
        <v/>
      </c>
      <c r="O1343">
        <f>IF(M1343="","",IF(ISNUMBER(C1343),C1343,IFERROR(_xlfn.NUMBERVALUE(C1343,".",","),0)))</f>
        <v/>
      </c>
    </row>
    <row r="1344">
      <c r="K1344">
        <f>IF(OR(LEFT(B1344,9)="DOANH THU",LEFT(B1344,8)="SỐ LƯỢNG"),A1344,IF(A1344="","",K1343))</f>
        <v/>
      </c>
      <c r="L1344">
        <f>IF(A1344="","",IF(ISNUMBER(--LEFT(A1344,FIND(" - ",A1344&amp;" - ")-1)),LEFT(A1344,FIND(" - ",A1344&amp;" - ")-1),TRIM(A1344)))</f>
        <v/>
      </c>
      <c r="M1344">
        <f>IF(OR(K1344="",K1344=A1344,A1344=""),"",K1344&amp;"|"&amp;L1344)</f>
        <v/>
      </c>
      <c r="N1344">
        <f>IF(M1344="","",IF(ISNUMBER(B1344),B1344,IFERROR(_xlfn.NUMBERVALUE(B1344,".",","),0)))</f>
        <v/>
      </c>
      <c r="O1344">
        <f>IF(M1344="","",IF(ISNUMBER(C1344),C1344,IFERROR(_xlfn.NUMBERVALUE(C1344,".",","),0)))</f>
        <v/>
      </c>
    </row>
    <row r="1345">
      <c r="K1345">
        <f>IF(OR(LEFT(B1345,9)="DOANH THU",LEFT(B1345,8)="SỐ LƯỢNG"),A1345,IF(A1345="","",K1344))</f>
        <v/>
      </c>
      <c r="L1345">
        <f>IF(A1345="","",IF(ISNUMBER(--LEFT(A1345,FIND(" - ",A1345&amp;" - ")-1)),LEFT(A1345,FIND(" - ",A1345&amp;" - ")-1),TRIM(A1345)))</f>
        <v/>
      </c>
      <c r="M1345">
        <f>IF(OR(K1345="",K1345=A1345,A1345=""),"",K1345&amp;"|"&amp;L1345)</f>
        <v/>
      </c>
      <c r="N1345">
        <f>IF(M1345="","",IF(ISNUMBER(B1345),B1345,IFERROR(_xlfn.NUMBERVALUE(B1345,".",","),0)))</f>
        <v/>
      </c>
      <c r="O1345">
        <f>IF(M1345="","",IF(ISNUMBER(C1345),C1345,IFERROR(_xlfn.NUMBERVALUE(C1345,".",","),0)))</f>
        <v/>
      </c>
    </row>
    <row r="1346">
      <c r="K1346">
        <f>IF(OR(LEFT(B1346,9)="DOANH THU",LEFT(B1346,8)="SỐ LƯỢNG"),A1346,IF(A1346="","",K1345))</f>
        <v/>
      </c>
      <c r="L1346">
        <f>IF(A1346="","",IF(ISNUMBER(--LEFT(A1346,FIND(" - ",A1346&amp;" - ")-1)),LEFT(A1346,FIND(" - ",A1346&amp;" - ")-1),TRIM(A1346)))</f>
        <v/>
      </c>
      <c r="M1346">
        <f>IF(OR(K1346="",K1346=A1346,A1346=""),"",K1346&amp;"|"&amp;L1346)</f>
        <v/>
      </c>
      <c r="N1346">
        <f>IF(M1346="","",IF(ISNUMBER(B1346),B1346,IFERROR(_xlfn.NUMBERVALUE(B1346,".",","),0)))</f>
        <v/>
      </c>
      <c r="O1346">
        <f>IF(M1346="","",IF(ISNUMBER(C1346),C1346,IFERROR(_xlfn.NUMBERVALUE(C1346,".",","),0)))</f>
        <v/>
      </c>
    </row>
    <row r="1347">
      <c r="K1347">
        <f>IF(OR(LEFT(B1347,9)="DOANH THU",LEFT(B1347,8)="SỐ LƯỢNG"),A1347,IF(A1347="","",K1346))</f>
        <v/>
      </c>
      <c r="L1347">
        <f>IF(A1347="","",IF(ISNUMBER(--LEFT(A1347,FIND(" - ",A1347&amp;" - ")-1)),LEFT(A1347,FIND(" - ",A1347&amp;" - ")-1),TRIM(A1347)))</f>
        <v/>
      </c>
      <c r="M1347">
        <f>IF(OR(K1347="",K1347=A1347,A1347=""),"",K1347&amp;"|"&amp;L1347)</f>
        <v/>
      </c>
      <c r="N1347">
        <f>IF(M1347="","",IF(ISNUMBER(B1347),B1347,IFERROR(_xlfn.NUMBERVALUE(B1347,".",","),0)))</f>
        <v/>
      </c>
      <c r="O1347">
        <f>IF(M1347="","",IF(ISNUMBER(C1347),C1347,IFERROR(_xlfn.NUMBERVALUE(C1347,".",","),0)))</f>
        <v/>
      </c>
    </row>
    <row r="1348">
      <c r="K1348">
        <f>IF(OR(LEFT(B1348,9)="DOANH THU",LEFT(B1348,8)="SỐ LƯỢNG"),A1348,IF(A1348="","",K1347))</f>
        <v/>
      </c>
      <c r="L1348">
        <f>IF(A1348="","",IF(ISNUMBER(--LEFT(A1348,FIND(" - ",A1348&amp;" - ")-1)),LEFT(A1348,FIND(" - ",A1348&amp;" - ")-1),TRIM(A1348)))</f>
        <v/>
      </c>
      <c r="M1348">
        <f>IF(OR(K1348="",K1348=A1348,A1348=""),"",K1348&amp;"|"&amp;L1348)</f>
        <v/>
      </c>
      <c r="N1348">
        <f>IF(M1348="","",IF(ISNUMBER(B1348),B1348,IFERROR(_xlfn.NUMBERVALUE(B1348,".",","),0)))</f>
        <v/>
      </c>
      <c r="O1348">
        <f>IF(M1348="","",IF(ISNUMBER(C1348),C1348,IFERROR(_xlfn.NUMBERVALUE(C1348,".",","),0)))</f>
        <v/>
      </c>
    </row>
    <row r="1349">
      <c r="K1349">
        <f>IF(OR(LEFT(B1349,9)="DOANH THU",LEFT(B1349,8)="SỐ LƯỢNG"),A1349,IF(A1349="","",K1348))</f>
        <v/>
      </c>
      <c r="L1349">
        <f>IF(A1349="","",IF(ISNUMBER(--LEFT(A1349,FIND(" - ",A1349&amp;" - ")-1)),LEFT(A1349,FIND(" - ",A1349&amp;" - ")-1),TRIM(A1349)))</f>
        <v/>
      </c>
      <c r="M1349">
        <f>IF(OR(K1349="",K1349=A1349,A1349=""),"",K1349&amp;"|"&amp;L1349)</f>
        <v/>
      </c>
      <c r="N1349">
        <f>IF(M1349="","",IF(ISNUMBER(B1349),B1349,IFERROR(_xlfn.NUMBERVALUE(B1349,".",","),0)))</f>
        <v/>
      </c>
      <c r="O1349">
        <f>IF(M1349="","",IF(ISNUMBER(C1349),C1349,IFERROR(_xlfn.NUMBERVALUE(C1349,".",","),0)))</f>
        <v/>
      </c>
    </row>
    <row r="1350">
      <c r="K1350">
        <f>IF(OR(LEFT(B1350,9)="DOANH THU",LEFT(B1350,8)="SỐ LƯỢNG"),A1350,IF(A1350="","",K1349))</f>
        <v/>
      </c>
      <c r="L1350">
        <f>IF(A1350="","",IF(ISNUMBER(--LEFT(A1350,FIND(" - ",A1350&amp;" - ")-1)),LEFT(A1350,FIND(" - ",A1350&amp;" - ")-1),TRIM(A1350)))</f>
        <v/>
      </c>
      <c r="M1350">
        <f>IF(OR(K1350="",K1350=A1350,A1350=""),"",K1350&amp;"|"&amp;L1350)</f>
        <v/>
      </c>
      <c r="N1350">
        <f>IF(M1350="","",IF(ISNUMBER(B1350),B1350,IFERROR(_xlfn.NUMBERVALUE(B1350,".",","),0)))</f>
        <v/>
      </c>
      <c r="O1350">
        <f>IF(M1350="","",IF(ISNUMBER(C1350),C1350,IFERROR(_xlfn.NUMBERVALUE(C1350,".",","),0)))</f>
        <v/>
      </c>
    </row>
    <row r="1351">
      <c r="K1351">
        <f>IF(OR(LEFT(B1351,9)="DOANH THU",LEFT(B1351,8)="SỐ LƯỢNG"),A1351,IF(A1351="","",K1350))</f>
        <v/>
      </c>
      <c r="L1351">
        <f>IF(A1351="","",IF(ISNUMBER(--LEFT(A1351,FIND(" - ",A1351&amp;" - ")-1)),LEFT(A1351,FIND(" - ",A1351&amp;" - ")-1),TRIM(A1351)))</f>
        <v/>
      </c>
      <c r="M1351">
        <f>IF(OR(K1351="",K1351=A1351,A1351=""),"",K1351&amp;"|"&amp;L1351)</f>
        <v/>
      </c>
      <c r="N1351">
        <f>IF(M1351="","",IF(ISNUMBER(B1351),B1351,IFERROR(_xlfn.NUMBERVALUE(B1351,".",","),0)))</f>
        <v/>
      </c>
      <c r="O1351">
        <f>IF(M1351="","",IF(ISNUMBER(C1351),C1351,IFERROR(_xlfn.NUMBERVALUE(C1351,".",","),0)))</f>
        <v/>
      </c>
    </row>
    <row r="1352">
      <c r="K1352">
        <f>IF(OR(LEFT(B1352,9)="DOANH THU",LEFT(B1352,8)="SỐ LƯỢNG"),A1352,IF(A1352="","",K1351))</f>
        <v/>
      </c>
      <c r="L1352">
        <f>IF(A1352="","",IF(ISNUMBER(--LEFT(A1352,FIND(" - ",A1352&amp;" - ")-1)),LEFT(A1352,FIND(" - ",A1352&amp;" - ")-1),TRIM(A1352)))</f>
        <v/>
      </c>
      <c r="M1352">
        <f>IF(OR(K1352="",K1352=A1352,A1352=""),"",K1352&amp;"|"&amp;L1352)</f>
        <v/>
      </c>
      <c r="N1352">
        <f>IF(M1352="","",IF(ISNUMBER(B1352),B1352,IFERROR(_xlfn.NUMBERVALUE(B1352,".",","),0)))</f>
        <v/>
      </c>
      <c r="O1352">
        <f>IF(M1352="","",IF(ISNUMBER(C1352),C1352,IFERROR(_xlfn.NUMBERVALUE(C1352,".",","),0)))</f>
        <v/>
      </c>
    </row>
    <row r="1353">
      <c r="K1353">
        <f>IF(OR(LEFT(B1353,9)="DOANH THU",LEFT(B1353,8)="SỐ LƯỢNG"),A1353,IF(A1353="","",K1352))</f>
        <v/>
      </c>
      <c r="L1353">
        <f>IF(A1353="","",IF(ISNUMBER(--LEFT(A1353,FIND(" - ",A1353&amp;" - ")-1)),LEFT(A1353,FIND(" - ",A1353&amp;" - ")-1),TRIM(A1353)))</f>
        <v/>
      </c>
      <c r="M1353">
        <f>IF(OR(K1353="",K1353=A1353,A1353=""),"",K1353&amp;"|"&amp;L1353)</f>
        <v/>
      </c>
      <c r="N1353">
        <f>IF(M1353="","",IF(ISNUMBER(B1353),B1353,IFERROR(_xlfn.NUMBERVALUE(B1353,".",","),0)))</f>
        <v/>
      </c>
      <c r="O1353">
        <f>IF(M1353="","",IF(ISNUMBER(C1353),C1353,IFERROR(_xlfn.NUMBERVALUE(C1353,".",","),0)))</f>
        <v/>
      </c>
    </row>
    <row r="1354">
      <c r="K1354">
        <f>IF(OR(LEFT(B1354,9)="DOANH THU",LEFT(B1354,8)="SỐ LƯỢNG"),A1354,IF(A1354="","",K1353))</f>
        <v/>
      </c>
      <c r="L1354">
        <f>IF(A1354="","",IF(ISNUMBER(--LEFT(A1354,FIND(" - ",A1354&amp;" - ")-1)),LEFT(A1354,FIND(" - ",A1354&amp;" - ")-1),TRIM(A1354)))</f>
        <v/>
      </c>
      <c r="M1354">
        <f>IF(OR(K1354="",K1354=A1354,A1354=""),"",K1354&amp;"|"&amp;L1354)</f>
        <v/>
      </c>
      <c r="N1354">
        <f>IF(M1354="","",IF(ISNUMBER(B1354),B1354,IFERROR(_xlfn.NUMBERVALUE(B1354,".",","),0)))</f>
        <v/>
      </c>
      <c r="O1354">
        <f>IF(M1354="","",IF(ISNUMBER(C1354),C1354,IFERROR(_xlfn.NUMBERVALUE(C1354,".",","),0)))</f>
        <v/>
      </c>
    </row>
    <row r="1355">
      <c r="K1355">
        <f>IF(OR(LEFT(B1355,9)="DOANH THU",LEFT(B1355,8)="SỐ LƯỢNG"),A1355,IF(A1355="","",K1354))</f>
        <v/>
      </c>
      <c r="L1355">
        <f>IF(A1355="","",IF(ISNUMBER(--LEFT(A1355,FIND(" - ",A1355&amp;" - ")-1)),LEFT(A1355,FIND(" - ",A1355&amp;" - ")-1),TRIM(A1355)))</f>
        <v/>
      </c>
      <c r="M1355">
        <f>IF(OR(K1355="",K1355=A1355,A1355=""),"",K1355&amp;"|"&amp;L1355)</f>
        <v/>
      </c>
      <c r="N1355">
        <f>IF(M1355="","",IF(ISNUMBER(B1355),B1355,IFERROR(_xlfn.NUMBERVALUE(B1355,".",","),0)))</f>
        <v/>
      </c>
      <c r="O1355">
        <f>IF(M1355="","",IF(ISNUMBER(C1355),C1355,IFERROR(_xlfn.NUMBERVALUE(C1355,".",","),0)))</f>
        <v/>
      </c>
    </row>
    <row r="1356">
      <c r="K1356">
        <f>IF(OR(LEFT(B1356,9)="DOANH THU",LEFT(B1356,8)="SỐ LƯỢNG"),A1356,IF(A1356="","",K1355))</f>
        <v/>
      </c>
      <c r="L1356">
        <f>IF(A1356="","",IF(ISNUMBER(--LEFT(A1356,FIND(" - ",A1356&amp;" - ")-1)),LEFT(A1356,FIND(" - ",A1356&amp;" - ")-1),TRIM(A1356)))</f>
        <v/>
      </c>
      <c r="M1356">
        <f>IF(OR(K1356="",K1356=A1356,A1356=""),"",K1356&amp;"|"&amp;L1356)</f>
        <v/>
      </c>
      <c r="N1356">
        <f>IF(M1356="","",IF(ISNUMBER(B1356),B1356,IFERROR(_xlfn.NUMBERVALUE(B1356,".",","),0)))</f>
        <v/>
      </c>
      <c r="O1356">
        <f>IF(M1356="","",IF(ISNUMBER(C1356),C1356,IFERROR(_xlfn.NUMBERVALUE(C1356,".",","),0)))</f>
        <v/>
      </c>
    </row>
    <row r="1357">
      <c r="K1357">
        <f>IF(OR(LEFT(B1357,9)="DOANH THU",LEFT(B1357,8)="SỐ LƯỢNG"),A1357,IF(A1357="","",K1356))</f>
        <v/>
      </c>
      <c r="L1357">
        <f>IF(A1357="","",IF(ISNUMBER(--LEFT(A1357,FIND(" - ",A1357&amp;" - ")-1)),LEFT(A1357,FIND(" - ",A1357&amp;" - ")-1),TRIM(A1357)))</f>
        <v/>
      </c>
      <c r="M1357">
        <f>IF(OR(K1357="",K1357=A1357,A1357=""),"",K1357&amp;"|"&amp;L1357)</f>
        <v/>
      </c>
      <c r="N1357">
        <f>IF(M1357="","",IF(ISNUMBER(B1357),B1357,IFERROR(_xlfn.NUMBERVALUE(B1357,".",","),0)))</f>
        <v/>
      </c>
      <c r="O1357">
        <f>IF(M1357="","",IF(ISNUMBER(C1357),C1357,IFERROR(_xlfn.NUMBERVALUE(C1357,".",","),0)))</f>
        <v/>
      </c>
    </row>
    <row r="1358">
      <c r="K1358">
        <f>IF(OR(LEFT(B1358,9)="DOANH THU",LEFT(B1358,8)="SỐ LƯỢNG"),A1358,IF(A1358="","",K1357))</f>
        <v/>
      </c>
      <c r="L1358">
        <f>IF(A1358="","",IF(ISNUMBER(--LEFT(A1358,FIND(" - ",A1358&amp;" - ")-1)),LEFT(A1358,FIND(" - ",A1358&amp;" - ")-1),TRIM(A1358)))</f>
        <v/>
      </c>
      <c r="M1358">
        <f>IF(OR(K1358="",K1358=A1358,A1358=""),"",K1358&amp;"|"&amp;L1358)</f>
        <v/>
      </c>
      <c r="N1358">
        <f>IF(M1358="","",IF(ISNUMBER(B1358),B1358,IFERROR(_xlfn.NUMBERVALUE(B1358,".",","),0)))</f>
        <v/>
      </c>
      <c r="O1358">
        <f>IF(M1358="","",IF(ISNUMBER(C1358),C1358,IFERROR(_xlfn.NUMBERVALUE(C1358,".",","),0)))</f>
        <v/>
      </c>
    </row>
    <row r="1359">
      <c r="K1359">
        <f>IF(OR(LEFT(B1359,9)="DOANH THU",LEFT(B1359,8)="SỐ LƯỢNG"),A1359,IF(A1359="","",K1358))</f>
        <v/>
      </c>
      <c r="L1359">
        <f>IF(A1359="","",IF(ISNUMBER(--LEFT(A1359,FIND(" - ",A1359&amp;" - ")-1)),LEFT(A1359,FIND(" - ",A1359&amp;" - ")-1),TRIM(A1359)))</f>
        <v/>
      </c>
      <c r="M1359">
        <f>IF(OR(K1359="",K1359=A1359,A1359=""),"",K1359&amp;"|"&amp;L1359)</f>
        <v/>
      </c>
      <c r="N1359">
        <f>IF(M1359="","",IF(ISNUMBER(B1359),B1359,IFERROR(_xlfn.NUMBERVALUE(B1359,".",","),0)))</f>
        <v/>
      </c>
      <c r="O1359">
        <f>IF(M1359="","",IF(ISNUMBER(C1359),C1359,IFERROR(_xlfn.NUMBERVALUE(C1359,".",","),0)))</f>
        <v/>
      </c>
    </row>
    <row r="1360">
      <c r="K1360">
        <f>IF(OR(LEFT(B1360,9)="DOANH THU",LEFT(B1360,8)="SỐ LƯỢNG"),A1360,IF(A1360="","",K1359))</f>
        <v/>
      </c>
      <c r="L1360">
        <f>IF(A1360="","",IF(ISNUMBER(--LEFT(A1360,FIND(" - ",A1360&amp;" - ")-1)),LEFT(A1360,FIND(" - ",A1360&amp;" - ")-1),TRIM(A1360)))</f>
        <v/>
      </c>
      <c r="M1360">
        <f>IF(OR(K1360="",K1360=A1360,A1360=""),"",K1360&amp;"|"&amp;L1360)</f>
        <v/>
      </c>
      <c r="N1360">
        <f>IF(M1360="","",IF(ISNUMBER(B1360),B1360,IFERROR(_xlfn.NUMBERVALUE(B1360,".",","),0)))</f>
        <v/>
      </c>
      <c r="O1360">
        <f>IF(M1360="","",IF(ISNUMBER(C1360),C1360,IFERROR(_xlfn.NUMBERVALUE(C1360,".",","),0)))</f>
        <v/>
      </c>
    </row>
    <row r="1361">
      <c r="K1361">
        <f>IF(OR(LEFT(B1361,9)="DOANH THU",LEFT(B1361,8)="SỐ LƯỢNG"),A1361,IF(A1361="","",K1360))</f>
        <v/>
      </c>
      <c r="L1361">
        <f>IF(A1361="","",IF(ISNUMBER(--LEFT(A1361,FIND(" - ",A1361&amp;" - ")-1)),LEFT(A1361,FIND(" - ",A1361&amp;" - ")-1),TRIM(A1361)))</f>
        <v/>
      </c>
      <c r="M1361">
        <f>IF(OR(K1361="",K1361=A1361,A1361=""),"",K1361&amp;"|"&amp;L1361)</f>
        <v/>
      </c>
      <c r="N1361">
        <f>IF(M1361="","",IF(ISNUMBER(B1361),B1361,IFERROR(_xlfn.NUMBERVALUE(B1361,".",","),0)))</f>
        <v/>
      </c>
      <c r="O1361">
        <f>IF(M1361="","",IF(ISNUMBER(C1361),C1361,IFERROR(_xlfn.NUMBERVALUE(C1361,".",","),0)))</f>
        <v/>
      </c>
    </row>
    <row r="1362">
      <c r="K1362">
        <f>IF(OR(LEFT(B1362,9)="DOANH THU",LEFT(B1362,8)="SỐ LƯỢNG"),A1362,IF(A1362="","",K1361))</f>
        <v/>
      </c>
      <c r="L1362">
        <f>IF(A1362="","",IF(ISNUMBER(--LEFT(A1362,FIND(" - ",A1362&amp;" - ")-1)),LEFT(A1362,FIND(" - ",A1362&amp;" - ")-1),TRIM(A1362)))</f>
        <v/>
      </c>
      <c r="M1362">
        <f>IF(OR(K1362="",K1362=A1362,A1362=""),"",K1362&amp;"|"&amp;L1362)</f>
        <v/>
      </c>
      <c r="N1362">
        <f>IF(M1362="","",IF(ISNUMBER(B1362),B1362,IFERROR(_xlfn.NUMBERVALUE(B1362,".",","),0)))</f>
        <v/>
      </c>
      <c r="O1362">
        <f>IF(M1362="","",IF(ISNUMBER(C1362),C1362,IFERROR(_xlfn.NUMBERVALUE(C1362,".",","),0)))</f>
        <v/>
      </c>
    </row>
    <row r="1363">
      <c r="K1363">
        <f>IF(OR(LEFT(B1363,9)="DOANH THU",LEFT(B1363,8)="SỐ LƯỢNG"),A1363,IF(A1363="","",K1362))</f>
        <v/>
      </c>
      <c r="L1363">
        <f>IF(A1363="","",IF(ISNUMBER(--LEFT(A1363,FIND(" - ",A1363&amp;" - ")-1)),LEFT(A1363,FIND(" - ",A1363&amp;" - ")-1),TRIM(A1363)))</f>
        <v/>
      </c>
      <c r="M1363">
        <f>IF(OR(K1363="",K1363=A1363,A1363=""),"",K1363&amp;"|"&amp;L1363)</f>
        <v/>
      </c>
      <c r="N1363">
        <f>IF(M1363="","",IF(ISNUMBER(B1363),B1363,IFERROR(_xlfn.NUMBERVALUE(B1363,".",","),0)))</f>
        <v/>
      </c>
      <c r="O1363">
        <f>IF(M1363="","",IF(ISNUMBER(C1363),C1363,IFERROR(_xlfn.NUMBERVALUE(C1363,".",","),0)))</f>
        <v/>
      </c>
    </row>
    <row r="1364">
      <c r="K1364">
        <f>IF(OR(LEFT(B1364,9)="DOANH THU",LEFT(B1364,8)="SỐ LƯỢNG"),A1364,IF(A1364="","",K1363))</f>
        <v/>
      </c>
      <c r="L1364">
        <f>IF(A1364="","",IF(ISNUMBER(--LEFT(A1364,FIND(" - ",A1364&amp;" - ")-1)),LEFT(A1364,FIND(" - ",A1364&amp;" - ")-1),TRIM(A1364)))</f>
        <v/>
      </c>
      <c r="M1364">
        <f>IF(OR(K1364="",K1364=A1364,A1364=""),"",K1364&amp;"|"&amp;L1364)</f>
        <v/>
      </c>
      <c r="N1364">
        <f>IF(M1364="","",IF(ISNUMBER(B1364),B1364,IFERROR(_xlfn.NUMBERVALUE(B1364,".",","),0)))</f>
        <v/>
      </c>
      <c r="O1364">
        <f>IF(M1364="","",IF(ISNUMBER(C1364),C1364,IFERROR(_xlfn.NUMBERVALUE(C1364,".",","),0)))</f>
        <v/>
      </c>
    </row>
    <row r="1365">
      <c r="K1365">
        <f>IF(OR(LEFT(B1365,9)="DOANH THU",LEFT(B1365,8)="SỐ LƯỢNG"),A1365,IF(A1365="","",K1364))</f>
        <v/>
      </c>
      <c r="L1365">
        <f>IF(A1365="","",IF(ISNUMBER(--LEFT(A1365,FIND(" - ",A1365&amp;" - ")-1)),LEFT(A1365,FIND(" - ",A1365&amp;" - ")-1),TRIM(A1365)))</f>
        <v/>
      </c>
      <c r="M1365">
        <f>IF(OR(K1365="",K1365=A1365,A1365=""),"",K1365&amp;"|"&amp;L1365)</f>
        <v/>
      </c>
      <c r="N1365">
        <f>IF(M1365="","",IF(ISNUMBER(B1365),B1365,IFERROR(_xlfn.NUMBERVALUE(B1365,".",","),0)))</f>
        <v/>
      </c>
      <c r="O1365">
        <f>IF(M1365="","",IF(ISNUMBER(C1365),C1365,IFERROR(_xlfn.NUMBERVALUE(C1365,".",","),0)))</f>
        <v/>
      </c>
    </row>
    <row r="1366">
      <c r="K1366">
        <f>IF(OR(LEFT(B1366,9)="DOANH THU",LEFT(B1366,8)="SỐ LƯỢNG"),A1366,IF(A1366="","",K1365))</f>
        <v/>
      </c>
      <c r="L1366">
        <f>IF(A1366="","",IF(ISNUMBER(--LEFT(A1366,FIND(" - ",A1366&amp;" - ")-1)),LEFT(A1366,FIND(" - ",A1366&amp;" - ")-1),TRIM(A1366)))</f>
        <v/>
      </c>
      <c r="M1366">
        <f>IF(OR(K1366="",K1366=A1366,A1366=""),"",K1366&amp;"|"&amp;L1366)</f>
        <v/>
      </c>
      <c r="N1366">
        <f>IF(M1366="","",IF(ISNUMBER(B1366),B1366,IFERROR(_xlfn.NUMBERVALUE(B1366,".",","),0)))</f>
        <v/>
      </c>
      <c r="O1366">
        <f>IF(M1366="","",IF(ISNUMBER(C1366),C1366,IFERROR(_xlfn.NUMBERVALUE(C1366,".",","),0)))</f>
        <v/>
      </c>
    </row>
    <row r="1367">
      <c r="K1367">
        <f>IF(OR(LEFT(B1367,9)="DOANH THU",LEFT(B1367,8)="SỐ LƯỢNG"),A1367,IF(A1367="","",K1366))</f>
        <v/>
      </c>
      <c r="L1367">
        <f>IF(A1367="","",IF(ISNUMBER(--LEFT(A1367,FIND(" - ",A1367&amp;" - ")-1)),LEFT(A1367,FIND(" - ",A1367&amp;" - ")-1),TRIM(A1367)))</f>
        <v/>
      </c>
      <c r="M1367">
        <f>IF(OR(K1367="",K1367=A1367,A1367=""),"",K1367&amp;"|"&amp;L1367)</f>
        <v/>
      </c>
      <c r="N1367">
        <f>IF(M1367="","",IF(ISNUMBER(B1367),B1367,IFERROR(_xlfn.NUMBERVALUE(B1367,".",","),0)))</f>
        <v/>
      </c>
      <c r="O1367">
        <f>IF(M1367="","",IF(ISNUMBER(C1367),C1367,IFERROR(_xlfn.NUMBERVALUE(C1367,".",","),0)))</f>
        <v/>
      </c>
    </row>
    <row r="1368">
      <c r="K1368">
        <f>IF(OR(LEFT(B1368,9)="DOANH THU",LEFT(B1368,8)="SỐ LƯỢNG"),A1368,IF(A1368="","",K1367))</f>
        <v/>
      </c>
      <c r="L1368">
        <f>IF(A1368="","",IF(ISNUMBER(--LEFT(A1368,FIND(" - ",A1368&amp;" - ")-1)),LEFT(A1368,FIND(" - ",A1368&amp;" - ")-1),TRIM(A1368)))</f>
        <v/>
      </c>
      <c r="M1368">
        <f>IF(OR(K1368="",K1368=A1368,A1368=""),"",K1368&amp;"|"&amp;L1368)</f>
        <v/>
      </c>
      <c r="N1368">
        <f>IF(M1368="","",IF(ISNUMBER(B1368),B1368,IFERROR(_xlfn.NUMBERVALUE(B1368,".",","),0)))</f>
        <v/>
      </c>
      <c r="O1368">
        <f>IF(M1368="","",IF(ISNUMBER(C1368),C1368,IFERROR(_xlfn.NUMBERVALUE(C1368,".",","),0)))</f>
        <v/>
      </c>
    </row>
    <row r="1369">
      <c r="K1369">
        <f>IF(OR(LEFT(B1369,9)="DOANH THU",LEFT(B1369,8)="SỐ LƯỢNG"),A1369,IF(A1369="","",K1368))</f>
        <v/>
      </c>
      <c r="L1369">
        <f>IF(A1369="","",IF(ISNUMBER(--LEFT(A1369,FIND(" - ",A1369&amp;" - ")-1)),LEFT(A1369,FIND(" - ",A1369&amp;" - ")-1),TRIM(A1369)))</f>
        <v/>
      </c>
      <c r="M1369">
        <f>IF(OR(K1369="",K1369=A1369,A1369=""),"",K1369&amp;"|"&amp;L1369)</f>
        <v/>
      </c>
      <c r="N1369">
        <f>IF(M1369="","",IF(ISNUMBER(B1369),B1369,IFERROR(_xlfn.NUMBERVALUE(B1369,".",","),0)))</f>
        <v/>
      </c>
      <c r="O1369">
        <f>IF(M1369="","",IF(ISNUMBER(C1369),C1369,IFERROR(_xlfn.NUMBERVALUE(C1369,".",","),0)))</f>
        <v/>
      </c>
    </row>
    <row r="1370">
      <c r="K1370">
        <f>IF(OR(LEFT(B1370,9)="DOANH THU",LEFT(B1370,8)="SỐ LƯỢNG"),A1370,IF(A1370="","",K1369))</f>
        <v/>
      </c>
      <c r="L1370">
        <f>IF(A1370="","",IF(ISNUMBER(--LEFT(A1370,FIND(" - ",A1370&amp;" - ")-1)),LEFT(A1370,FIND(" - ",A1370&amp;" - ")-1),TRIM(A1370)))</f>
        <v/>
      </c>
      <c r="M1370">
        <f>IF(OR(K1370="",K1370=A1370,A1370=""),"",K1370&amp;"|"&amp;L1370)</f>
        <v/>
      </c>
      <c r="N1370">
        <f>IF(M1370="","",IF(ISNUMBER(B1370),B1370,IFERROR(_xlfn.NUMBERVALUE(B1370,".",","),0)))</f>
        <v/>
      </c>
      <c r="O1370">
        <f>IF(M1370="","",IF(ISNUMBER(C1370),C1370,IFERROR(_xlfn.NUMBERVALUE(C1370,".",","),0)))</f>
        <v/>
      </c>
    </row>
    <row r="1371">
      <c r="K1371">
        <f>IF(OR(LEFT(B1371,9)="DOANH THU",LEFT(B1371,8)="SỐ LƯỢNG"),A1371,IF(A1371="","",K1370))</f>
        <v/>
      </c>
      <c r="L1371">
        <f>IF(A1371="","",IF(ISNUMBER(--LEFT(A1371,FIND(" - ",A1371&amp;" - ")-1)),LEFT(A1371,FIND(" - ",A1371&amp;" - ")-1),TRIM(A1371)))</f>
        <v/>
      </c>
      <c r="M1371">
        <f>IF(OR(K1371="",K1371=A1371,A1371=""),"",K1371&amp;"|"&amp;L1371)</f>
        <v/>
      </c>
      <c r="N1371">
        <f>IF(M1371="","",IF(ISNUMBER(B1371),B1371,IFERROR(_xlfn.NUMBERVALUE(B1371,".",","),0)))</f>
        <v/>
      </c>
      <c r="O1371">
        <f>IF(M1371="","",IF(ISNUMBER(C1371),C1371,IFERROR(_xlfn.NUMBERVALUE(C1371,".",","),0)))</f>
        <v/>
      </c>
    </row>
    <row r="1372">
      <c r="K1372">
        <f>IF(OR(LEFT(B1372,9)="DOANH THU",LEFT(B1372,8)="SỐ LƯỢNG"),A1372,IF(A1372="","",K1371))</f>
        <v/>
      </c>
      <c r="L1372">
        <f>IF(A1372="","",IF(ISNUMBER(--LEFT(A1372,FIND(" - ",A1372&amp;" - ")-1)),LEFT(A1372,FIND(" - ",A1372&amp;" - ")-1),TRIM(A1372)))</f>
        <v/>
      </c>
      <c r="M1372">
        <f>IF(OR(K1372="",K1372=A1372,A1372=""),"",K1372&amp;"|"&amp;L1372)</f>
        <v/>
      </c>
      <c r="N1372">
        <f>IF(M1372="","",IF(ISNUMBER(B1372),B1372,IFERROR(_xlfn.NUMBERVALUE(B1372,".",","),0)))</f>
        <v/>
      </c>
      <c r="O1372">
        <f>IF(M1372="","",IF(ISNUMBER(C1372),C1372,IFERROR(_xlfn.NUMBERVALUE(C1372,".",","),0)))</f>
        <v/>
      </c>
    </row>
    <row r="1373">
      <c r="K1373">
        <f>IF(OR(LEFT(B1373,9)="DOANH THU",LEFT(B1373,8)="SỐ LƯỢNG"),A1373,IF(A1373="","",K1372))</f>
        <v/>
      </c>
      <c r="L1373">
        <f>IF(A1373="","",IF(ISNUMBER(--LEFT(A1373,FIND(" - ",A1373&amp;" - ")-1)),LEFT(A1373,FIND(" - ",A1373&amp;" - ")-1),TRIM(A1373)))</f>
        <v/>
      </c>
      <c r="M1373">
        <f>IF(OR(K1373="",K1373=A1373,A1373=""),"",K1373&amp;"|"&amp;L1373)</f>
        <v/>
      </c>
      <c r="N1373">
        <f>IF(M1373="","",IF(ISNUMBER(B1373),B1373,IFERROR(_xlfn.NUMBERVALUE(B1373,".",","),0)))</f>
        <v/>
      </c>
      <c r="O1373">
        <f>IF(M1373="","",IF(ISNUMBER(C1373),C1373,IFERROR(_xlfn.NUMBERVALUE(C1373,".",","),0)))</f>
        <v/>
      </c>
    </row>
    <row r="1374">
      <c r="K1374">
        <f>IF(OR(LEFT(B1374,9)="DOANH THU",LEFT(B1374,8)="SỐ LƯỢNG"),A1374,IF(A1374="","",K1373))</f>
        <v/>
      </c>
      <c r="L1374">
        <f>IF(A1374="","",IF(ISNUMBER(--LEFT(A1374,FIND(" - ",A1374&amp;" - ")-1)),LEFT(A1374,FIND(" - ",A1374&amp;" - ")-1),TRIM(A1374)))</f>
        <v/>
      </c>
      <c r="M1374">
        <f>IF(OR(K1374="",K1374=A1374,A1374=""),"",K1374&amp;"|"&amp;L1374)</f>
        <v/>
      </c>
      <c r="N1374">
        <f>IF(M1374="","",IF(ISNUMBER(B1374),B1374,IFERROR(_xlfn.NUMBERVALUE(B1374,".",","),0)))</f>
        <v/>
      </c>
      <c r="O1374">
        <f>IF(M1374="","",IF(ISNUMBER(C1374),C1374,IFERROR(_xlfn.NUMBERVALUE(C1374,".",","),0)))</f>
        <v/>
      </c>
    </row>
    <row r="1375">
      <c r="K1375">
        <f>IF(OR(LEFT(B1375,9)="DOANH THU",LEFT(B1375,8)="SỐ LƯỢNG"),A1375,IF(A1375="","",K1374))</f>
        <v/>
      </c>
      <c r="L1375">
        <f>IF(A1375="","",IF(ISNUMBER(--LEFT(A1375,FIND(" - ",A1375&amp;" - ")-1)),LEFT(A1375,FIND(" - ",A1375&amp;" - ")-1),TRIM(A1375)))</f>
        <v/>
      </c>
      <c r="M1375">
        <f>IF(OR(K1375="",K1375=A1375,A1375=""),"",K1375&amp;"|"&amp;L1375)</f>
        <v/>
      </c>
      <c r="N1375">
        <f>IF(M1375="","",IF(ISNUMBER(B1375),B1375,IFERROR(_xlfn.NUMBERVALUE(B1375,".",","),0)))</f>
        <v/>
      </c>
      <c r="O1375">
        <f>IF(M1375="","",IF(ISNUMBER(C1375),C1375,IFERROR(_xlfn.NUMBERVALUE(C1375,".",","),0)))</f>
        <v/>
      </c>
    </row>
    <row r="1376">
      <c r="K1376">
        <f>IF(OR(LEFT(B1376,9)="DOANH THU",LEFT(B1376,8)="SỐ LƯỢNG"),A1376,IF(A1376="","",K1375))</f>
        <v/>
      </c>
      <c r="L1376">
        <f>IF(A1376="","",IF(ISNUMBER(--LEFT(A1376,FIND(" - ",A1376&amp;" - ")-1)),LEFT(A1376,FIND(" - ",A1376&amp;" - ")-1),TRIM(A1376)))</f>
        <v/>
      </c>
      <c r="M1376">
        <f>IF(OR(K1376="",K1376=A1376,A1376=""),"",K1376&amp;"|"&amp;L1376)</f>
        <v/>
      </c>
      <c r="N1376">
        <f>IF(M1376="","",IF(ISNUMBER(B1376),B1376,IFERROR(_xlfn.NUMBERVALUE(B1376,".",","),0)))</f>
        <v/>
      </c>
      <c r="O1376">
        <f>IF(M1376="","",IF(ISNUMBER(C1376),C1376,IFERROR(_xlfn.NUMBERVALUE(C1376,".",","),0)))</f>
        <v/>
      </c>
    </row>
    <row r="1377">
      <c r="K1377">
        <f>IF(OR(LEFT(B1377,9)="DOANH THU",LEFT(B1377,8)="SỐ LƯỢNG"),A1377,IF(A1377="","",K1376))</f>
        <v/>
      </c>
      <c r="L1377">
        <f>IF(A1377="","",IF(ISNUMBER(--LEFT(A1377,FIND(" - ",A1377&amp;" - ")-1)),LEFT(A1377,FIND(" - ",A1377&amp;" - ")-1),TRIM(A1377)))</f>
        <v/>
      </c>
      <c r="M1377">
        <f>IF(OR(K1377="",K1377=A1377,A1377=""),"",K1377&amp;"|"&amp;L1377)</f>
        <v/>
      </c>
      <c r="N1377">
        <f>IF(M1377="","",IF(ISNUMBER(B1377),B1377,IFERROR(_xlfn.NUMBERVALUE(B1377,".",","),0)))</f>
        <v/>
      </c>
      <c r="O1377">
        <f>IF(M1377="","",IF(ISNUMBER(C1377),C1377,IFERROR(_xlfn.NUMBERVALUE(C1377,".",","),0)))</f>
        <v/>
      </c>
    </row>
    <row r="1378">
      <c r="K1378">
        <f>IF(OR(LEFT(B1378,9)="DOANH THU",LEFT(B1378,8)="SỐ LƯỢNG"),A1378,IF(A1378="","",K1377))</f>
        <v/>
      </c>
      <c r="L1378">
        <f>IF(A1378="","",IF(ISNUMBER(--LEFT(A1378,FIND(" - ",A1378&amp;" - ")-1)),LEFT(A1378,FIND(" - ",A1378&amp;" - ")-1),TRIM(A1378)))</f>
        <v/>
      </c>
      <c r="M1378">
        <f>IF(OR(K1378="",K1378=A1378,A1378=""),"",K1378&amp;"|"&amp;L1378)</f>
        <v/>
      </c>
      <c r="N1378">
        <f>IF(M1378="","",IF(ISNUMBER(B1378),B1378,IFERROR(_xlfn.NUMBERVALUE(B1378,".",","),0)))</f>
        <v/>
      </c>
      <c r="O1378">
        <f>IF(M1378="","",IF(ISNUMBER(C1378),C1378,IFERROR(_xlfn.NUMBERVALUE(C1378,".",","),0)))</f>
        <v/>
      </c>
    </row>
    <row r="1379">
      <c r="K1379">
        <f>IF(OR(LEFT(B1379,9)="DOANH THU",LEFT(B1379,8)="SỐ LƯỢNG"),A1379,IF(A1379="","",K1378))</f>
        <v/>
      </c>
      <c r="L1379">
        <f>IF(A1379="","",IF(ISNUMBER(--LEFT(A1379,FIND(" - ",A1379&amp;" - ")-1)),LEFT(A1379,FIND(" - ",A1379&amp;" - ")-1),TRIM(A1379)))</f>
        <v/>
      </c>
      <c r="M1379">
        <f>IF(OR(K1379="",K1379=A1379,A1379=""),"",K1379&amp;"|"&amp;L1379)</f>
        <v/>
      </c>
      <c r="N1379">
        <f>IF(M1379="","",IF(ISNUMBER(B1379),B1379,IFERROR(_xlfn.NUMBERVALUE(B1379,".",","),0)))</f>
        <v/>
      </c>
      <c r="O1379">
        <f>IF(M1379="","",IF(ISNUMBER(C1379),C1379,IFERROR(_xlfn.NUMBERVALUE(C1379,".",","),0)))</f>
        <v/>
      </c>
    </row>
    <row r="1380">
      <c r="K1380">
        <f>IF(OR(LEFT(B1380,9)="DOANH THU",LEFT(B1380,8)="SỐ LƯỢNG"),A1380,IF(A1380="","",K1379))</f>
        <v/>
      </c>
      <c r="L1380">
        <f>IF(A1380="","",IF(ISNUMBER(--LEFT(A1380,FIND(" - ",A1380&amp;" - ")-1)),LEFT(A1380,FIND(" - ",A1380&amp;" - ")-1),TRIM(A1380)))</f>
        <v/>
      </c>
      <c r="M1380">
        <f>IF(OR(K1380="",K1380=A1380,A1380=""),"",K1380&amp;"|"&amp;L1380)</f>
        <v/>
      </c>
      <c r="N1380">
        <f>IF(M1380="","",IF(ISNUMBER(B1380),B1380,IFERROR(_xlfn.NUMBERVALUE(B1380,".",","),0)))</f>
        <v/>
      </c>
      <c r="O1380">
        <f>IF(M1380="","",IF(ISNUMBER(C1380),C1380,IFERROR(_xlfn.NUMBERVALUE(C1380,".",","),0)))</f>
        <v/>
      </c>
    </row>
    <row r="1381">
      <c r="K1381">
        <f>IF(OR(LEFT(B1381,9)="DOANH THU",LEFT(B1381,8)="SỐ LƯỢNG"),A1381,IF(A1381="","",K1380))</f>
        <v/>
      </c>
      <c r="L1381">
        <f>IF(A1381="","",IF(ISNUMBER(--LEFT(A1381,FIND(" - ",A1381&amp;" - ")-1)),LEFT(A1381,FIND(" - ",A1381&amp;" - ")-1),TRIM(A1381)))</f>
        <v/>
      </c>
      <c r="M1381">
        <f>IF(OR(K1381="",K1381=A1381,A1381=""),"",K1381&amp;"|"&amp;L1381)</f>
        <v/>
      </c>
      <c r="N1381">
        <f>IF(M1381="","",IF(ISNUMBER(B1381),B1381,IFERROR(_xlfn.NUMBERVALUE(B1381,".",","),0)))</f>
        <v/>
      </c>
      <c r="O1381">
        <f>IF(M1381="","",IF(ISNUMBER(C1381),C1381,IFERROR(_xlfn.NUMBERVALUE(C1381,".",","),0)))</f>
        <v/>
      </c>
    </row>
    <row r="1382">
      <c r="K1382">
        <f>IF(OR(LEFT(B1382,9)="DOANH THU",LEFT(B1382,8)="SỐ LƯỢNG"),A1382,IF(A1382="","",K1381))</f>
        <v/>
      </c>
      <c r="L1382">
        <f>IF(A1382="","",IF(ISNUMBER(--LEFT(A1382,FIND(" - ",A1382&amp;" - ")-1)),LEFT(A1382,FIND(" - ",A1382&amp;" - ")-1),TRIM(A1382)))</f>
        <v/>
      </c>
      <c r="M1382">
        <f>IF(OR(K1382="",K1382=A1382,A1382=""),"",K1382&amp;"|"&amp;L1382)</f>
        <v/>
      </c>
      <c r="N1382">
        <f>IF(M1382="","",IF(ISNUMBER(B1382),B1382,IFERROR(_xlfn.NUMBERVALUE(B1382,".",","),0)))</f>
        <v/>
      </c>
      <c r="O1382">
        <f>IF(M1382="","",IF(ISNUMBER(C1382),C1382,IFERROR(_xlfn.NUMBERVALUE(C1382,".",","),0)))</f>
        <v/>
      </c>
    </row>
    <row r="1383">
      <c r="K1383">
        <f>IF(OR(LEFT(B1383,9)="DOANH THU",LEFT(B1383,8)="SỐ LƯỢNG"),A1383,IF(A1383="","",K1382))</f>
        <v/>
      </c>
      <c r="L1383">
        <f>IF(A1383="","",IF(ISNUMBER(--LEFT(A1383,FIND(" - ",A1383&amp;" - ")-1)),LEFT(A1383,FIND(" - ",A1383&amp;" - ")-1),TRIM(A1383)))</f>
        <v/>
      </c>
      <c r="M1383">
        <f>IF(OR(K1383="",K1383=A1383,A1383=""),"",K1383&amp;"|"&amp;L1383)</f>
        <v/>
      </c>
      <c r="N1383">
        <f>IF(M1383="","",IF(ISNUMBER(B1383),B1383,IFERROR(_xlfn.NUMBERVALUE(B1383,".",","),0)))</f>
        <v/>
      </c>
      <c r="O1383">
        <f>IF(M1383="","",IF(ISNUMBER(C1383),C1383,IFERROR(_xlfn.NUMBERVALUE(C1383,".",","),0)))</f>
        <v/>
      </c>
    </row>
    <row r="1384">
      <c r="K1384">
        <f>IF(OR(LEFT(B1384,9)="DOANH THU",LEFT(B1384,8)="SỐ LƯỢNG"),A1384,IF(A1384="","",K1383))</f>
        <v/>
      </c>
      <c r="L1384">
        <f>IF(A1384="","",IF(ISNUMBER(--LEFT(A1384,FIND(" - ",A1384&amp;" - ")-1)),LEFT(A1384,FIND(" - ",A1384&amp;" - ")-1),TRIM(A1384)))</f>
        <v/>
      </c>
      <c r="M1384">
        <f>IF(OR(K1384="",K1384=A1384,A1384=""),"",K1384&amp;"|"&amp;L1384)</f>
        <v/>
      </c>
      <c r="N1384">
        <f>IF(M1384="","",IF(ISNUMBER(B1384),B1384,IFERROR(_xlfn.NUMBERVALUE(B1384,".",","),0)))</f>
        <v/>
      </c>
      <c r="O1384">
        <f>IF(M1384="","",IF(ISNUMBER(C1384),C1384,IFERROR(_xlfn.NUMBERVALUE(C1384,".",","),0)))</f>
        <v/>
      </c>
    </row>
    <row r="1385">
      <c r="K1385">
        <f>IF(OR(LEFT(B1385,9)="DOANH THU",LEFT(B1385,8)="SỐ LƯỢNG"),A1385,IF(A1385="","",K1384))</f>
        <v/>
      </c>
      <c r="L1385">
        <f>IF(A1385="","",IF(ISNUMBER(--LEFT(A1385,FIND(" - ",A1385&amp;" - ")-1)),LEFT(A1385,FIND(" - ",A1385&amp;" - ")-1),TRIM(A1385)))</f>
        <v/>
      </c>
      <c r="M1385">
        <f>IF(OR(K1385="",K1385=A1385,A1385=""),"",K1385&amp;"|"&amp;L1385)</f>
        <v/>
      </c>
      <c r="N1385">
        <f>IF(M1385="","",IF(ISNUMBER(B1385),B1385,IFERROR(_xlfn.NUMBERVALUE(B1385,".",","),0)))</f>
        <v/>
      </c>
      <c r="O1385">
        <f>IF(M1385="","",IF(ISNUMBER(C1385),C1385,IFERROR(_xlfn.NUMBERVALUE(C1385,".",","),0)))</f>
        <v/>
      </c>
    </row>
    <row r="1386">
      <c r="K1386">
        <f>IF(OR(LEFT(B1386,9)="DOANH THU",LEFT(B1386,8)="SỐ LƯỢNG"),A1386,IF(A1386="","",K1385))</f>
        <v/>
      </c>
      <c r="L1386">
        <f>IF(A1386="","",IF(ISNUMBER(--LEFT(A1386,FIND(" - ",A1386&amp;" - ")-1)),LEFT(A1386,FIND(" - ",A1386&amp;" - ")-1),TRIM(A1386)))</f>
        <v/>
      </c>
      <c r="M1386">
        <f>IF(OR(K1386="",K1386=A1386,A1386=""),"",K1386&amp;"|"&amp;L1386)</f>
        <v/>
      </c>
      <c r="N1386">
        <f>IF(M1386="","",IF(ISNUMBER(B1386),B1386,IFERROR(_xlfn.NUMBERVALUE(B1386,".",","),0)))</f>
        <v/>
      </c>
      <c r="O1386">
        <f>IF(M1386="","",IF(ISNUMBER(C1386),C1386,IFERROR(_xlfn.NUMBERVALUE(C1386,".",","),0)))</f>
        <v/>
      </c>
    </row>
    <row r="1387">
      <c r="K1387">
        <f>IF(OR(LEFT(B1387,9)="DOANH THU",LEFT(B1387,8)="SỐ LƯỢNG"),A1387,IF(A1387="","",K1386))</f>
        <v/>
      </c>
      <c r="L1387">
        <f>IF(A1387="","",IF(ISNUMBER(--LEFT(A1387,FIND(" - ",A1387&amp;" - ")-1)),LEFT(A1387,FIND(" - ",A1387&amp;" - ")-1),TRIM(A1387)))</f>
        <v/>
      </c>
      <c r="M1387">
        <f>IF(OR(K1387="",K1387=A1387,A1387=""),"",K1387&amp;"|"&amp;L1387)</f>
        <v/>
      </c>
      <c r="N1387">
        <f>IF(M1387="","",IF(ISNUMBER(B1387),B1387,IFERROR(_xlfn.NUMBERVALUE(B1387,".",","),0)))</f>
        <v/>
      </c>
      <c r="O1387">
        <f>IF(M1387="","",IF(ISNUMBER(C1387),C1387,IFERROR(_xlfn.NUMBERVALUE(C1387,".",","),0)))</f>
        <v/>
      </c>
    </row>
    <row r="1388">
      <c r="K1388">
        <f>IF(OR(LEFT(B1388,9)="DOANH THU",LEFT(B1388,8)="SỐ LƯỢNG"),A1388,IF(A1388="","",K1387))</f>
        <v/>
      </c>
      <c r="L1388">
        <f>IF(A1388="","",IF(ISNUMBER(--LEFT(A1388,FIND(" - ",A1388&amp;" - ")-1)),LEFT(A1388,FIND(" - ",A1388&amp;" - ")-1),TRIM(A1388)))</f>
        <v/>
      </c>
      <c r="M1388">
        <f>IF(OR(K1388="",K1388=A1388,A1388=""),"",K1388&amp;"|"&amp;L1388)</f>
        <v/>
      </c>
      <c r="N1388">
        <f>IF(M1388="","",IF(ISNUMBER(B1388),B1388,IFERROR(_xlfn.NUMBERVALUE(B1388,".",","),0)))</f>
        <v/>
      </c>
      <c r="O1388">
        <f>IF(M1388="","",IF(ISNUMBER(C1388),C1388,IFERROR(_xlfn.NUMBERVALUE(C1388,".",","),0)))</f>
        <v/>
      </c>
    </row>
    <row r="1389">
      <c r="K1389">
        <f>IF(OR(LEFT(B1389,9)="DOANH THU",LEFT(B1389,8)="SỐ LƯỢNG"),A1389,IF(A1389="","",K1388))</f>
        <v/>
      </c>
      <c r="L1389">
        <f>IF(A1389="","",IF(ISNUMBER(--LEFT(A1389,FIND(" - ",A1389&amp;" - ")-1)),LEFT(A1389,FIND(" - ",A1389&amp;" - ")-1),TRIM(A1389)))</f>
        <v/>
      </c>
      <c r="M1389">
        <f>IF(OR(K1389="",K1389=A1389,A1389=""),"",K1389&amp;"|"&amp;L1389)</f>
        <v/>
      </c>
      <c r="N1389">
        <f>IF(M1389="","",IF(ISNUMBER(B1389),B1389,IFERROR(_xlfn.NUMBERVALUE(B1389,".",","),0)))</f>
        <v/>
      </c>
      <c r="O1389">
        <f>IF(M1389="","",IF(ISNUMBER(C1389),C1389,IFERROR(_xlfn.NUMBERVALUE(C1389,".",","),0)))</f>
        <v/>
      </c>
    </row>
    <row r="1390">
      <c r="K1390">
        <f>IF(OR(LEFT(B1390,9)="DOANH THU",LEFT(B1390,8)="SỐ LƯỢNG"),A1390,IF(A1390="","",K1389))</f>
        <v/>
      </c>
      <c r="L1390">
        <f>IF(A1390="","",IF(ISNUMBER(--LEFT(A1390,FIND(" - ",A1390&amp;" - ")-1)),LEFT(A1390,FIND(" - ",A1390&amp;" - ")-1),TRIM(A1390)))</f>
        <v/>
      </c>
      <c r="M1390">
        <f>IF(OR(K1390="",K1390=A1390,A1390=""),"",K1390&amp;"|"&amp;L1390)</f>
        <v/>
      </c>
      <c r="N1390">
        <f>IF(M1390="","",IF(ISNUMBER(B1390),B1390,IFERROR(_xlfn.NUMBERVALUE(B1390,".",","),0)))</f>
        <v/>
      </c>
      <c r="O1390">
        <f>IF(M1390="","",IF(ISNUMBER(C1390),C1390,IFERROR(_xlfn.NUMBERVALUE(C1390,".",","),0)))</f>
        <v/>
      </c>
    </row>
    <row r="1391">
      <c r="K1391">
        <f>IF(OR(LEFT(B1391,9)="DOANH THU",LEFT(B1391,8)="SỐ LƯỢNG"),A1391,IF(A1391="","",K1390))</f>
        <v/>
      </c>
      <c r="L1391">
        <f>IF(A1391="","",IF(ISNUMBER(--LEFT(A1391,FIND(" - ",A1391&amp;" - ")-1)),LEFT(A1391,FIND(" - ",A1391&amp;" - ")-1),TRIM(A1391)))</f>
        <v/>
      </c>
      <c r="M1391">
        <f>IF(OR(K1391="",K1391=A1391,A1391=""),"",K1391&amp;"|"&amp;L1391)</f>
        <v/>
      </c>
      <c r="N1391">
        <f>IF(M1391="","",IF(ISNUMBER(B1391),B1391,IFERROR(_xlfn.NUMBERVALUE(B1391,".",","),0)))</f>
        <v/>
      </c>
      <c r="O1391">
        <f>IF(M1391="","",IF(ISNUMBER(C1391),C1391,IFERROR(_xlfn.NUMBERVALUE(C1391,".",","),0)))</f>
        <v/>
      </c>
    </row>
    <row r="1392">
      <c r="K1392">
        <f>IF(OR(LEFT(B1392,9)="DOANH THU",LEFT(B1392,8)="SỐ LƯỢNG"),A1392,IF(A1392="","",K1391))</f>
        <v/>
      </c>
      <c r="L1392">
        <f>IF(A1392="","",IF(ISNUMBER(--LEFT(A1392,FIND(" - ",A1392&amp;" - ")-1)),LEFT(A1392,FIND(" - ",A1392&amp;" - ")-1),TRIM(A1392)))</f>
        <v/>
      </c>
      <c r="M1392">
        <f>IF(OR(K1392="",K1392=A1392,A1392=""),"",K1392&amp;"|"&amp;L1392)</f>
        <v/>
      </c>
      <c r="N1392">
        <f>IF(M1392="","",IF(ISNUMBER(B1392),B1392,IFERROR(_xlfn.NUMBERVALUE(B1392,".",","),0)))</f>
        <v/>
      </c>
      <c r="O1392">
        <f>IF(M1392="","",IF(ISNUMBER(C1392),C1392,IFERROR(_xlfn.NUMBERVALUE(C1392,".",","),0)))</f>
        <v/>
      </c>
    </row>
    <row r="1393">
      <c r="K1393">
        <f>IF(OR(LEFT(B1393,9)="DOANH THU",LEFT(B1393,8)="SỐ LƯỢNG"),A1393,IF(A1393="","",K1392))</f>
        <v/>
      </c>
      <c r="L1393">
        <f>IF(A1393="","",IF(ISNUMBER(--LEFT(A1393,FIND(" - ",A1393&amp;" - ")-1)),LEFT(A1393,FIND(" - ",A1393&amp;" - ")-1),TRIM(A1393)))</f>
        <v/>
      </c>
      <c r="M1393">
        <f>IF(OR(K1393="",K1393=A1393,A1393=""),"",K1393&amp;"|"&amp;L1393)</f>
        <v/>
      </c>
      <c r="N1393">
        <f>IF(M1393="","",IF(ISNUMBER(B1393),B1393,IFERROR(_xlfn.NUMBERVALUE(B1393,".",","),0)))</f>
        <v/>
      </c>
      <c r="O1393">
        <f>IF(M1393="","",IF(ISNUMBER(C1393),C1393,IFERROR(_xlfn.NUMBERVALUE(C1393,".",","),0)))</f>
        <v/>
      </c>
    </row>
    <row r="1394">
      <c r="K1394">
        <f>IF(OR(LEFT(B1394,9)="DOANH THU",LEFT(B1394,8)="SỐ LƯỢNG"),A1394,IF(A1394="","",K1393))</f>
        <v/>
      </c>
      <c r="L1394">
        <f>IF(A1394="","",IF(ISNUMBER(--LEFT(A1394,FIND(" - ",A1394&amp;" - ")-1)),LEFT(A1394,FIND(" - ",A1394&amp;" - ")-1),TRIM(A1394)))</f>
        <v/>
      </c>
      <c r="M1394">
        <f>IF(OR(K1394="",K1394=A1394,A1394=""),"",K1394&amp;"|"&amp;L1394)</f>
        <v/>
      </c>
      <c r="N1394">
        <f>IF(M1394="","",IF(ISNUMBER(B1394),B1394,IFERROR(_xlfn.NUMBERVALUE(B1394,".",","),0)))</f>
        <v/>
      </c>
      <c r="O1394">
        <f>IF(M1394="","",IF(ISNUMBER(C1394),C1394,IFERROR(_xlfn.NUMBERVALUE(C1394,".",","),0)))</f>
        <v/>
      </c>
    </row>
    <row r="1395">
      <c r="K1395">
        <f>IF(OR(LEFT(B1395,9)="DOANH THU",LEFT(B1395,8)="SỐ LƯỢNG"),A1395,IF(A1395="","",K1394))</f>
        <v/>
      </c>
      <c r="L1395">
        <f>IF(A1395="","",IF(ISNUMBER(--LEFT(A1395,FIND(" - ",A1395&amp;" - ")-1)),LEFT(A1395,FIND(" - ",A1395&amp;" - ")-1),TRIM(A1395)))</f>
        <v/>
      </c>
      <c r="M1395">
        <f>IF(OR(K1395="",K1395=A1395,A1395=""),"",K1395&amp;"|"&amp;L1395)</f>
        <v/>
      </c>
      <c r="N1395">
        <f>IF(M1395="","",IF(ISNUMBER(B1395),B1395,IFERROR(_xlfn.NUMBERVALUE(B1395,".",","),0)))</f>
        <v/>
      </c>
      <c r="O1395">
        <f>IF(M1395="","",IF(ISNUMBER(C1395),C1395,IFERROR(_xlfn.NUMBERVALUE(C1395,".",","),0)))</f>
        <v/>
      </c>
    </row>
    <row r="1396">
      <c r="K1396">
        <f>IF(OR(LEFT(B1396,9)="DOANH THU",LEFT(B1396,8)="SỐ LƯỢNG"),A1396,IF(A1396="","",K1395))</f>
        <v/>
      </c>
      <c r="L1396">
        <f>IF(A1396="","",IF(ISNUMBER(--LEFT(A1396,FIND(" - ",A1396&amp;" - ")-1)),LEFT(A1396,FIND(" - ",A1396&amp;" - ")-1),TRIM(A1396)))</f>
        <v/>
      </c>
      <c r="M1396">
        <f>IF(OR(K1396="",K1396=A1396,A1396=""),"",K1396&amp;"|"&amp;L1396)</f>
        <v/>
      </c>
      <c r="N1396">
        <f>IF(M1396="","",IF(ISNUMBER(B1396),B1396,IFERROR(_xlfn.NUMBERVALUE(B1396,".",","),0)))</f>
        <v/>
      </c>
      <c r="O1396">
        <f>IF(M1396="","",IF(ISNUMBER(C1396),C1396,IFERROR(_xlfn.NUMBERVALUE(C1396,".",","),0)))</f>
        <v/>
      </c>
    </row>
    <row r="1397">
      <c r="K1397">
        <f>IF(OR(LEFT(B1397,9)="DOANH THU",LEFT(B1397,8)="SỐ LƯỢNG"),A1397,IF(A1397="","",K1396))</f>
        <v/>
      </c>
      <c r="L1397">
        <f>IF(A1397="","",IF(ISNUMBER(--LEFT(A1397,FIND(" - ",A1397&amp;" - ")-1)),LEFT(A1397,FIND(" - ",A1397&amp;" - ")-1),TRIM(A1397)))</f>
        <v/>
      </c>
      <c r="M1397">
        <f>IF(OR(K1397="",K1397=A1397,A1397=""),"",K1397&amp;"|"&amp;L1397)</f>
        <v/>
      </c>
      <c r="N1397">
        <f>IF(M1397="","",IF(ISNUMBER(B1397),B1397,IFERROR(_xlfn.NUMBERVALUE(B1397,".",","),0)))</f>
        <v/>
      </c>
      <c r="O1397">
        <f>IF(M1397="","",IF(ISNUMBER(C1397),C1397,IFERROR(_xlfn.NUMBERVALUE(C1397,".",","),0)))</f>
        <v/>
      </c>
    </row>
    <row r="1398">
      <c r="K1398">
        <f>IF(OR(LEFT(B1398,9)="DOANH THU",LEFT(B1398,8)="SỐ LƯỢNG"),A1398,IF(A1398="","",K1397))</f>
        <v/>
      </c>
      <c r="L1398">
        <f>IF(A1398="","",IF(ISNUMBER(--LEFT(A1398,FIND(" - ",A1398&amp;" - ")-1)),LEFT(A1398,FIND(" - ",A1398&amp;" - ")-1),TRIM(A1398)))</f>
        <v/>
      </c>
      <c r="M1398">
        <f>IF(OR(K1398="",K1398=A1398,A1398=""),"",K1398&amp;"|"&amp;L1398)</f>
        <v/>
      </c>
      <c r="N1398">
        <f>IF(M1398="","",IF(ISNUMBER(B1398),B1398,IFERROR(_xlfn.NUMBERVALUE(B1398,".",","),0)))</f>
        <v/>
      </c>
      <c r="O1398">
        <f>IF(M1398="","",IF(ISNUMBER(C1398),C1398,IFERROR(_xlfn.NUMBERVALUE(C1398,".",","),0)))</f>
        <v/>
      </c>
    </row>
    <row r="1399">
      <c r="K1399">
        <f>IF(OR(LEFT(B1399,9)="DOANH THU",LEFT(B1399,8)="SỐ LƯỢNG"),A1399,IF(A1399="","",K1398))</f>
        <v/>
      </c>
      <c r="L1399">
        <f>IF(A1399="","",IF(ISNUMBER(--LEFT(A1399,FIND(" - ",A1399&amp;" - ")-1)),LEFT(A1399,FIND(" - ",A1399&amp;" - ")-1),TRIM(A1399)))</f>
        <v/>
      </c>
      <c r="M1399">
        <f>IF(OR(K1399="",K1399=A1399,A1399=""),"",K1399&amp;"|"&amp;L1399)</f>
        <v/>
      </c>
      <c r="N1399">
        <f>IF(M1399="","",IF(ISNUMBER(B1399),B1399,IFERROR(_xlfn.NUMBERVALUE(B1399,".",","),0)))</f>
        <v/>
      </c>
      <c r="O1399">
        <f>IF(M1399="","",IF(ISNUMBER(C1399),C1399,IFERROR(_xlfn.NUMBERVALUE(C1399,".",","),0)))</f>
        <v/>
      </c>
    </row>
    <row r="1400">
      <c r="K1400">
        <f>IF(OR(LEFT(B1400,9)="DOANH THU",LEFT(B1400,8)="SỐ LƯỢNG"),A1400,IF(A1400="","",K1399))</f>
        <v/>
      </c>
      <c r="L1400">
        <f>IF(A1400="","",IF(ISNUMBER(--LEFT(A1400,FIND(" - ",A1400&amp;" - ")-1)),LEFT(A1400,FIND(" - ",A1400&amp;" - ")-1),TRIM(A1400)))</f>
        <v/>
      </c>
      <c r="M1400">
        <f>IF(OR(K1400="",K1400=A1400,A1400=""),"",K1400&amp;"|"&amp;L1400)</f>
        <v/>
      </c>
      <c r="N1400">
        <f>IF(M1400="","",IF(ISNUMBER(B1400),B1400,IFERROR(_xlfn.NUMBERVALUE(B1400,".",","),0)))</f>
        <v/>
      </c>
      <c r="O1400">
        <f>IF(M1400="","",IF(ISNUMBER(C1400),C1400,IFERROR(_xlfn.NUMBERVALUE(C1400,".",","),0)))</f>
        <v/>
      </c>
    </row>
    <row r="1401">
      <c r="K1401">
        <f>IF(OR(LEFT(B1401,9)="DOANH THU",LEFT(B1401,8)="SỐ LƯỢNG"),A1401,IF(A1401="","",K1400))</f>
        <v/>
      </c>
      <c r="L1401">
        <f>IF(A1401="","",IF(ISNUMBER(--LEFT(A1401,FIND(" - ",A1401&amp;" - ")-1)),LEFT(A1401,FIND(" - ",A1401&amp;" - ")-1),TRIM(A1401)))</f>
        <v/>
      </c>
      <c r="M1401">
        <f>IF(OR(K1401="",K1401=A1401,A1401=""),"",K1401&amp;"|"&amp;L1401)</f>
        <v/>
      </c>
      <c r="N1401">
        <f>IF(M1401="","",IF(ISNUMBER(B1401),B1401,IFERROR(_xlfn.NUMBERVALUE(B1401,".",","),0)))</f>
        <v/>
      </c>
      <c r="O1401">
        <f>IF(M1401="","",IF(ISNUMBER(C1401),C1401,IFERROR(_xlfn.NUMBERVALUE(C1401,".",","),0)))</f>
        <v/>
      </c>
    </row>
    <row r="1402">
      <c r="K1402">
        <f>IF(OR(LEFT(B1402,9)="DOANH THU",LEFT(B1402,8)="SỐ LƯỢNG"),A1402,IF(A1402="","",K1401))</f>
        <v/>
      </c>
      <c r="L1402">
        <f>IF(A1402="","",IF(ISNUMBER(--LEFT(A1402,FIND(" - ",A1402&amp;" - ")-1)),LEFT(A1402,FIND(" - ",A1402&amp;" - ")-1),TRIM(A1402)))</f>
        <v/>
      </c>
      <c r="M1402">
        <f>IF(OR(K1402="",K1402=A1402,A1402=""),"",K1402&amp;"|"&amp;L1402)</f>
        <v/>
      </c>
      <c r="N1402">
        <f>IF(M1402="","",IF(ISNUMBER(B1402),B1402,IFERROR(_xlfn.NUMBERVALUE(B1402,".",","),0)))</f>
        <v/>
      </c>
      <c r="O1402">
        <f>IF(M1402="","",IF(ISNUMBER(C1402),C1402,IFERROR(_xlfn.NUMBERVALUE(C1402,".",","),0)))</f>
        <v/>
      </c>
    </row>
    <row r="1403">
      <c r="K1403">
        <f>IF(OR(LEFT(B1403,9)="DOANH THU",LEFT(B1403,8)="SỐ LƯỢNG"),A1403,IF(A1403="","",K1402))</f>
        <v/>
      </c>
      <c r="L1403">
        <f>IF(A1403="","",IF(ISNUMBER(--LEFT(A1403,FIND(" - ",A1403&amp;" - ")-1)),LEFT(A1403,FIND(" - ",A1403&amp;" - ")-1),TRIM(A1403)))</f>
        <v/>
      </c>
      <c r="M1403">
        <f>IF(OR(K1403="",K1403=A1403,A1403=""),"",K1403&amp;"|"&amp;L1403)</f>
        <v/>
      </c>
      <c r="N1403">
        <f>IF(M1403="","",IF(ISNUMBER(B1403),B1403,IFERROR(_xlfn.NUMBERVALUE(B1403,".",","),0)))</f>
        <v/>
      </c>
      <c r="O1403">
        <f>IF(M1403="","",IF(ISNUMBER(C1403),C1403,IFERROR(_xlfn.NUMBERVALUE(C1403,".",","),0)))</f>
        <v/>
      </c>
    </row>
    <row r="1404">
      <c r="K1404">
        <f>IF(OR(LEFT(B1404,9)="DOANH THU",LEFT(B1404,8)="SỐ LƯỢNG"),A1404,IF(A1404="","",K1403))</f>
        <v/>
      </c>
      <c r="L1404">
        <f>IF(A1404="","",IF(ISNUMBER(--LEFT(A1404,FIND(" - ",A1404&amp;" - ")-1)),LEFT(A1404,FIND(" - ",A1404&amp;" - ")-1),TRIM(A1404)))</f>
        <v/>
      </c>
      <c r="M1404">
        <f>IF(OR(K1404="",K1404=A1404,A1404=""),"",K1404&amp;"|"&amp;L1404)</f>
        <v/>
      </c>
      <c r="N1404">
        <f>IF(M1404="","",IF(ISNUMBER(B1404),B1404,IFERROR(_xlfn.NUMBERVALUE(B1404,".",","),0)))</f>
        <v/>
      </c>
      <c r="O1404">
        <f>IF(M1404="","",IF(ISNUMBER(C1404),C1404,IFERROR(_xlfn.NUMBERVALUE(C1404,".",","),0)))</f>
        <v/>
      </c>
    </row>
    <row r="1405">
      <c r="K1405">
        <f>IF(OR(LEFT(B1405,9)="DOANH THU",LEFT(B1405,8)="SỐ LƯỢNG"),A1405,IF(A1405="","",K1404))</f>
        <v/>
      </c>
      <c r="L1405">
        <f>IF(A1405="","",IF(ISNUMBER(--LEFT(A1405,FIND(" - ",A1405&amp;" - ")-1)),LEFT(A1405,FIND(" - ",A1405&amp;" - ")-1),TRIM(A1405)))</f>
        <v/>
      </c>
      <c r="M1405">
        <f>IF(OR(K1405="",K1405=A1405,A1405=""),"",K1405&amp;"|"&amp;L1405)</f>
        <v/>
      </c>
      <c r="N1405">
        <f>IF(M1405="","",IF(ISNUMBER(B1405),B1405,IFERROR(_xlfn.NUMBERVALUE(B1405,".",","),0)))</f>
        <v/>
      </c>
      <c r="O1405">
        <f>IF(M1405="","",IF(ISNUMBER(C1405),C1405,IFERROR(_xlfn.NUMBERVALUE(C1405,".",","),0)))</f>
        <v/>
      </c>
    </row>
    <row r="1406">
      <c r="K1406">
        <f>IF(OR(LEFT(B1406,9)="DOANH THU",LEFT(B1406,8)="SỐ LƯỢNG"),A1406,IF(A1406="","",K1405))</f>
        <v/>
      </c>
      <c r="L1406">
        <f>IF(A1406="","",IF(ISNUMBER(--LEFT(A1406,FIND(" - ",A1406&amp;" - ")-1)),LEFT(A1406,FIND(" - ",A1406&amp;" - ")-1),TRIM(A1406)))</f>
        <v/>
      </c>
      <c r="M1406">
        <f>IF(OR(K1406="",K1406=A1406,A1406=""),"",K1406&amp;"|"&amp;L1406)</f>
        <v/>
      </c>
      <c r="N1406">
        <f>IF(M1406="","",IF(ISNUMBER(B1406),B1406,IFERROR(_xlfn.NUMBERVALUE(B1406,".",","),0)))</f>
        <v/>
      </c>
      <c r="O1406">
        <f>IF(M1406="","",IF(ISNUMBER(C1406),C1406,IFERROR(_xlfn.NUMBERVALUE(C1406,".",","),0)))</f>
        <v/>
      </c>
    </row>
    <row r="1407">
      <c r="K1407">
        <f>IF(OR(LEFT(B1407,9)="DOANH THU",LEFT(B1407,8)="SỐ LƯỢNG"),A1407,IF(A1407="","",K1406))</f>
        <v/>
      </c>
      <c r="L1407">
        <f>IF(A1407="","",IF(ISNUMBER(--LEFT(A1407,FIND(" - ",A1407&amp;" - ")-1)),LEFT(A1407,FIND(" - ",A1407&amp;" - ")-1),TRIM(A1407)))</f>
        <v/>
      </c>
      <c r="M1407">
        <f>IF(OR(K1407="",K1407=A1407,A1407=""),"",K1407&amp;"|"&amp;L1407)</f>
        <v/>
      </c>
      <c r="N1407">
        <f>IF(M1407="","",IF(ISNUMBER(B1407),B1407,IFERROR(_xlfn.NUMBERVALUE(B1407,".",","),0)))</f>
        <v/>
      </c>
      <c r="O1407">
        <f>IF(M1407="","",IF(ISNUMBER(C1407),C1407,IFERROR(_xlfn.NUMBERVALUE(C1407,".",","),0)))</f>
        <v/>
      </c>
    </row>
    <row r="1408">
      <c r="K1408">
        <f>IF(OR(LEFT(B1408,9)="DOANH THU",LEFT(B1408,8)="SỐ LƯỢNG"),A1408,IF(A1408="","",K1407))</f>
        <v/>
      </c>
      <c r="L1408">
        <f>IF(A1408="","",IF(ISNUMBER(--LEFT(A1408,FIND(" - ",A1408&amp;" - ")-1)),LEFT(A1408,FIND(" - ",A1408&amp;" - ")-1),TRIM(A1408)))</f>
        <v/>
      </c>
      <c r="M1408">
        <f>IF(OR(K1408="",K1408=A1408,A1408=""),"",K1408&amp;"|"&amp;L1408)</f>
        <v/>
      </c>
      <c r="N1408">
        <f>IF(M1408="","",IF(ISNUMBER(B1408),B1408,IFERROR(_xlfn.NUMBERVALUE(B1408,".",","),0)))</f>
        <v/>
      </c>
      <c r="O1408">
        <f>IF(M1408="","",IF(ISNUMBER(C1408),C1408,IFERROR(_xlfn.NUMBERVALUE(C1408,".",","),0)))</f>
        <v/>
      </c>
    </row>
    <row r="1409">
      <c r="K1409">
        <f>IF(OR(LEFT(B1409,9)="DOANH THU",LEFT(B1409,8)="SỐ LƯỢNG"),A1409,IF(A1409="","",K1408))</f>
        <v/>
      </c>
      <c r="L1409">
        <f>IF(A1409="","",IF(ISNUMBER(--LEFT(A1409,FIND(" - ",A1409&amp;" - ")-1)),LEFT(A1409,FIND(" - ",A1409&amp;" - ")-1),TRIM(A1409)))</f>
        <v/>
      </c>
      <c r="M1409">
        <f>IF(OR(K1409="",K1409=A1409,A1409=""),"",K1409&amp;"|"&amp;L1409)</f>
        <v/>
      </c>
      <c r="N1409">
        <f>IF(M1409="","",IF(ISNUMBER(B1409),B1409,IFERROR(_xlfn.NUMBERVALUE(B1409,".",","),0)))</f>
        <v/>
      </c>
      <c r="O1409">
        <f>IF(M1409="","",IF(ISNUMBER(C1409),C1409,IFERROR(_xlfn.NUMBERVALUE(C1409,".",","),0)))</f>
        <v/>
      </c>
    </row>
    <row r="1410">
      <c r="K1410">
        <f>IF(OR(LEFT(B1410,9)="DOANH THU",LEFT(B1410,8)="SỐ LƯỢNG"),A1410,IF(A1410="","",K1409))</f>
        <v/>
      </c>
      <c r="L1410">
        <f>IF(A1410="","",IF(ISNUMBER(--LEFT(A1410,FIND(" - ",A1410&amp;" - ")-1)),LEFT(A1410,FIND(" - ",A1410&amp;" - ")-1),TRIM(A1410)))</f>
        <v/>
      </c>
      <c r="M1410">
        <f>IF(OR(K1410="",K1410=A1410,A1410=""),"",K1410&amp;"|"&amp;L1410)</f>
        <v/>
      </c>
      <c r="N1410">
        <f>IF(M1410="","",IF(ISNUMBER(B1410),B1410,IFERROR(_xlfn.NUMBERVALUE(B1410,".",","),0)))</f>
        <v/>
      </c>
      <c r="O1410">
        <f>IF(M1410="","",IF(ISNUMBER(C1410),C1410,IFERROR(_xlfn.NUMBERVALUE(C1410,".",","),0)))</f>
        <v/>
      </c>
    </row>
    <row r="1411">
      <c r="K1411">
        <f>IF(OR(LEFT(B1411,9)="DOANH THU",LEFT(B1411,8)="SỐ LƯỢNG"),A1411,IF(A1411="","",K1410))</f>
        <v/>
      </c>
      <c r="L1411">
        <f>IF(A1411="","",IF(ISNUMBER(--LEFT(A1411,FIND(" - ",A1411&amp;" - ")-1)),LEFT(A1411,FIND(" - ",A1411&amp;" - ")-1),TRIM(A1411)))</f>
        <v/>
      </c>
      <c r="M1411">
        <f>IF(OR(K1411="",K1411=A1411,A1411=""),"",K1411&amp;"|"&amp;L1411)</f>
        <v/>
      </c>
      <c r="N1411">
        <f>IF(M1411="","",IF(ISNUMBER(B1411),B1411,IFERROR(_xlfn.NUMBERVALUE(B1411,".",","),0)))</f>
        <v/>
      </c>
      <c r="O1411">
        <f>IF(M1411="","",IF(ISNUMBER(C1411),C1411,IFERROR(_xlfn.NUMBERVALUE(C1411,".",","),0)))</f>
        <v/>
      </c>
    </row>
    <row r="1412">
      <c r="K1412">
        <f>IF(OR(LEFT(B1412,9)="DOANH THU",LEFT(B1412,8)="SỐ LƯỢNG"),A1412,IF(A1412="","",K1411))</f>
        <v/>
      </c>
      <c r="L1412">
        <f>IF(A1412="","",IF(ISNUMBER(--LEFT(A1412,FIND(" - ",A1412&amp;" - ")-1)),LEFT(A1412,FIND(" - ",A1412&amp;" - ")-1),TRIM(A1412)))</f>
        <v/>
      </c>
      <c r="M1412">
        <f>IF(OR(K1412="",K1412=A1412,A1412=""),"",K1412&amp;"|"&amp;L1412)</f>
        <v/>
      </c>
      <c r="N1412">
        <f>IF(M1412="","",IF(ISNUMBER(B1412),B1412,IFERROR(_xlfn.NUMBERVALUE(B1412,".",","),0)))</f>
        <v/>
      </c>
      <c r="O1412">
        <f>IF(M1412="","",IF(ISNUMBER(C1412),C1412,IFERROR(_xlfn.NUMBERVALUE(C1412,".",","),0)))</f>
        <v/>
      </c>
    </row>
    <row r="1413">
      <c r="K1413">
        <f>IF(OR(LEFT(B1413,9)="DOANH THU",LEFT(B1413,8)="SỐ LƯỢNG"),A1413,IF(A1413="","",K1412))</f>
        <v/>
      </c>
      <c r="L1413">
        <f>IF(A1413="","",IF(ISNUMBER(--LEFT(A1413,FIND(" - ",A1413&amp;" - ")-1)),LEFT(A1413,FIND(" - ",A1413&amp;" - ")-1),TRIM(A1413)))</f>
        <v/>
      </c>
      <c r="M1413">
        <f>IF(OR(K1413="",K1413=A1413,A1413=""),"",K1413&amp;"|"&amp;L1413)</f>
        <v/>
      </c>
      <c r="N1413">
        <f>IF(M1413="","",IF(ISNUMBER(B1413),B1413,IFERROR(_xlfn.NUMBERVALUE(B1413,".",","),0)))</f>
        <v/>
      </c>
      <c r="O1413">
        <f>IF(M1413="","",IF(ISNUMBER(C1413),C1413,IFERROR(_xlfn.NUMBERVALUE(C1413,".",","),0)))</f>
        <v/>
      </c>
    </row>
    <row r="1414">
      <c r="K1414">
        <f>IF(OR(LEFT(B1414,9)="DOANH THU",LEFT(B1414,8)="SỐ LƯỢNG"),A1414,IF(A1414="","",K1413))</f>
        <v/>
      </c>
      <c r="L1414">
        <f>IF(A1414="","",IF(ISNUMBER(--LEFT(A1414,FIND(" - ",A1414&amp;" - ")-1)),LEFT(A1414,FIND(" - ",A1414&amp;" - ")-1),TRIM(A1414)))</f>
        <v/>
      </c>
      <c r="M1414">
        <f>IF(OR(K1414="",K1414=A1414,A1414=""),"",K1414&amp;"|"&amp;L1414)</f>
        <v/>
      </c>
      <c r="N1414">
        <f>IF(M1414="","",IF(ISNUMBER(B1414),B1414,IFERROR(_xlfn.NUMBERVALUE(B1414,".",","),0)))</f>
        <v/>
      </c>
      <c r="O1414">
        <f>IF(M1414="","",IF(ISNUMBER(C1414),C1414,IFERROR(_xlfn.NUMBERVALUE(C1414,".",","),0)))</f>
        <v/>
      </c>
    </row>
    <row r="1415">
      <c r="K1415">
        <f>IF(OR(LEFT(B1415,9)="DOANH THU",LEFT(B1415,8)="SỐ LƯỢNG"),A1415,IF(A1415="","",K1414))</f>
        <v/>
      </c>
      <c r="L1415">
        <f>IF(A1415="","",IF(ISNUMBER(--LEFT(A1415,FIND(" - ",A1415&amp;" - ")-1)),LEFT(A1415,FIND(" - ",A1415&amp;" - ")-1),TRIM(A1415)))</f>
        <v/>
      </c>
      <c r="M1415">
        <f>IF(OR(K1415="",K1415=A1415,A1415=""),"",K1415&amp;"|"&amp;L1415)</f>
        <v/>
      </c>
      <c r="N1415">
        <f>IF(M1415="","",IF(ISNUMBER(B1415),B1415,IFERROR(_xlfn.NUMBERVALUE(B1415,".",","),0)))</f>
        <v/>
      </c>
      <c r="O1415">
        <f>IF(M1415="","",IF(ISNUMBER(C1415),C1415,IFERROR(_xlfn.NUMBERVALUE(C1415,".",","),0)))</f>
        <v/>
      </c>
    </row>
    <row r="1416">
      <c r="K1416">
        <f>IF(OR(LEFT(B1416,9)="DOANH THU",LEFT(B1416,8)="SỐ LƯỢNG"),A1416,IF(A1416="","",K1415))</f>
        <v/>
      </c>
      <c r="L1416">
        <f>IF(A1416="","",IF(ISNUMBER(--LEFT(A1416,FIND(" - ",A1416&amp;" - ")-1)),LEFT(A1416,FIND(" - ",A1416&amp;" - ")-1),TRIM(A1416)))</f>
        <v/>
      </c>
      <c r="M1416">
        <f>IF(OR(K1416="",K1416=A1416,A1416=""),"",K1416&amp;"|"&amp;L1416)</f>
        <v/>
      </c>
      <c r="N1416">
        <f>IF(M1416="","",IF(ISNUMBER(B1416),B1416,IFERROR(_xlfn.NUMBERVALUE(B1416,".",","),0)))</f>
        <v/>
      </c>
      <c r="O1416">
        <f>IF(M1416="","",IF(ISNUMBER(C1416),C1416,IFERROR(_xlfn.NUMBERVALUE(C1416,".",","),0)))</f>
        <v/>
      </c>
    </row>
    <row r="1417">
      <c r="K1417">
        <f>IF(OR(LEFT(B1417,9)="DOANH THU",LEFT(B1417,8)="SỐ LƯỢNG"),A1417,IF(A1417="","",K1416))</f>
        <v/>
      </c>
      <c r="L1417">
        <f>IF(A1417="","",IF(ISNUMBER(--LEFT(A1417,FIND(" - ",A1417&amp;" - ")-1)),LEFT(A1417,FIND(" - ",A1417&amp;" - ")-1),TRIM(A1417)))</f>
        <v/>
      </c>
      <c r="M1417">
        <f>IF(OR(K1417="",K1417=A1417,A1417=""),"",K1417&amp;"|"&amp;L1417)</f>
        <v/>
      </c>
      <c r="N1417">
        <f>IF(M1417="","",IF(ISNUMBER(B1417),B1417,IFERROR(_xlfn.NUMBERVALUE(B1417,".",","),0)))</f>
        <v/>
      </c>
      <c r="O1417">
        <f>IF(M1417="","",IF(ISNUMBER(C1417),C1417,IFERROR(_xlfn.NUMBERVALUE(C1417,".",","),0)))</f>
        <v/>
      </c>
    </row>
    <row r="1418">
      <c r="K1418">
        <f>IF(OR(LEFT(B1418,9)="DOANH THU",LEFT(B1418,8)="SỐ LƯỢNG"),A1418,IF(A1418="","",K1417))</f>
        <v/>
      </c>
      <c r="L1418">
        <f>IF(A1418="","",IF(ISNUMBER(--LEFT(A1418,FIND(" - ",A1418&amp;" - ")-1)),LEFT(A1418,FIND(" - ",A1418&amp;" - ")-1),TRIM(A1418)))</f>
        <v/>
      </c>
      <c r="M1418">
        <f>IF(OR(K1418="",K1418=A1418,A1418=""),"",K1418&amp;"|"&amp;L1418)</f>
        <v/>
      </c>
      <c r="N1418">
        <f>IF(M1418="","",IF(ISNUMBER(B1418),B1418,IFERROR(_xlfn.NUMBERVALUE(B1418,".",","),0)))</f>
        <v/>
      </c>
      <c r="O1418">
        <f>IF(M1418="","",IF(ISNUMBER(C1418),C1418,IFERROR(_xlfn.NUMBERVALUE(C1418,".",","),0)))</f>
        <v/>
      </c>
    </row>
    <row r="1419">
      <c r="K1419">
        <f>IF(OR(LEFT(B1419,9)="DOANH THU",LEFT(B1419,8)="SỐ LƯỢNG"),A1419,IF(A1419="","",K1418))</f>
        <v/>
      </c>
      <c r="L1419">
        <f>IF(A1419="","",IF(ISNUMBER(--LEFT(A1419,FIND(" - ",A1419&amp;" - ")-1)),LEFT(A1419,FIND(" - ",A1419&amp;" - ")-1),TRIM(A1419)))</f>
        <v/>
      </c>
      <c r="M1419">
        <f>IF(OR(K1419="",K1419=A1419,A1419=""),"",K1419&amp;"|"&amp;L1419)</f>
        <v/>
      </c>
      <c r="N1419">
        <f>IF(M1419="","",IF(ISNUMBER(B1419),B1419,IFERROR(_xlfn.NUMBERVALUE(B1419,".",","),0)))</f>
        <v/>
      </c>
      <c r="O1419">
        <f>IF(M1419="","",IF(ISNUMBER(C1419),C1419,IFERROR(_xlfn.NUMBERVALUE(C1419,".",","),0)))</f>
        <v/>
      </c>
    </row>
    <row r="1420">
      <c r="K1420">
        <f>IF(OR(LEFT(B1420,9)="DOANH THU",LEFT(B1420,8)="SỐ LƯỢNG"),A1420,IF(A1420="","",K1419))</f>
        <v/>
      </c>
      <c r="L1420">
        <f>IF(A1420="","",IF(ISNUMBER(--LEFT(A1420,FIND(" - ",A1420&amp;" - ")-1)),LEFT(A1420,FIND(" - ",A1420&amp;" - ")-1),TRIM(A1420)))</f>
        <v/>
      </c>
      <c r="M1420">
        <f>IF(OR(K1420="",K1420=A1420,A1420=""),"",K1420&amp;"|"&amp;L1420)</f>
        <v/>
      </c>
      <c r="N1420">
        <f>IF(M1420="","",IF(ISNUMBER(B1420),B1420,IFERROR(_xlfn.NUMBERVALUE(B1420,".",","),0)))</f>
        <v/>
      </c>
      <c r="O1420">
        <f>IF(M1420="","",IF(ISNUMBER(C1420),C1420,IFERROR(_xlfn.NUMBERVALUE(C1420,".",","),0)))</f>
        <v/>
      </c>
    </row>
    <row r="1421">
      <c r="K1421">
        <f>IF(OR(LEFT(B1421,9)="DOANH THU",LEFT(B1421,8)="SỐ LƯỢNG"),A1421,IF(A1421="","",K1420))</f>
        <v/>
      </c>
      <c r="L1421">
        <f>IF(A1421="","",IF(ISNUMBER(--LEFT(A1421,FIND(" - ",A1421&amp;" - ")-1)),LEFT(A1421,FIND(" - ",A1421&amp;" - ")-1),TRIM(A1421)))</f>
        <v/>
      </c>
      <c r="M1421">
        <f>IF(OR(K1421="",K1421=A1421,A1421=""),"",K1421&amp;"|"&amp;L1421)</f>
        <v/>
      </c>
      <c r="N1421">
        <f>IF(M1421="","",IF(ISNUMBER(B1421),B1421,IFERROR(_xlfn.NUMBERVALUE(B1421,".",","),0)))</f>
        <v/>
      </c>
      <c r="O1421">
        <f>IF(M1421="","",IF(ISNUMBER(C1421),C1421,IFERROR(_xlfn.NUMBERVALUE(C1421,".",","),0)))</f>
        <v/>
      </c>
    </row>
    <row r="1422">
      <c r="K1422">
        <f>IF(OR(LEFT(B1422,9)="DOANH THU",LEFT(B1422,8)="SỐ LƯỢNG"),A1422,IF(A1422="","",K1421))</f>
        <v/>
      </c>
      <c r="L1422">
        <f>IF(A1422="","",IF(ISNUMBER(--LEFT(A1422,FIND(" - ",A1422&amp;" - ")-1)),LEFT(A1422,FIND(" - ",A1422&amp;" - ")-1),TRIM(A1422)))</f>
        <v/>
      </c>
      <c r="M1422">
        <f>IF(OR(K1422="",K1422=A1422,A1422=""),"",K1422&amp;"|"&amp;L1422)</f>
        <v/>
      </c>
      <c r="N1422">
        <f>IF(M1422="","",IF(ISNUMBER(B1422),B1422,IFERROR(_xlfn.NUMBERVALUE(B1422,".",","),0)))</f>
        <v/>
      </c>
      <c r="O1422">
        <f>IF(M1422="","",IF(ISNUMBER(C1422),C1422,IFERROR(_xlfn.NUMBERVALUE(C1422,".",","),0)))</f>
        <v/>
      </c>
    </row>
    <row r="1423">
      <c r="K1423">
        <f>IF(OR(LEFT(B1423,9)="DOANH THU",LEFT(B1423,8)="SỐ LƯỢNG"),A1423,IF(A1423="","",K1422))</f>
        <v/>
      </c>
      <c r="L1423">
        <f>IF(A1423="","",IF(ISNUMBER(--LEFT(A1423,FIND(" - ",A1423&amp;" - ")-1)),LEFT(A1423,FIND(" - ",A1423&amp;" - ")-1),TRIM(A1423)))</f>
        <v/>
      </c>
      <c r="M1423">
        <f>IF(OR(K1423="",K1423=A1423,A1423=""),"",K1423&amp;"|"&amp;L1423)</f>
        <v/>
      </c>
      <c r="N1423">
        <f>IF(M1423="","",IF(ISNUMBER(B1423),B1423,IFERROR(_xlfn.NUMBERVALUE(B1423,".",","),0)))</f>
        <v/>
      </c>
      <c r="O1423">
        <f>IF(M1423="","",IF(ISNUMBER(C1423),C1423,IFERROR(_xlfn.NUMBERVALUE(C1423,".",","),0)))</f>
        <v/>
      </c>
    </row>
    <row r="1424">
      <c r="K1424">
        <f>IF(OR(LEFT(B1424,9)="DOANH THU",LEFT(B1424,8)="SỐ LƯỢNG"),A1424,IF(A1424="","",K1423))</f>
        <v/>
      </c>
      <c r="L1424">
        <f>IF(A1424="","",IF(ISNUMBER(--LEFT(A1424,FIND(" - ",A1424&amp;" - ")-1)),LEFT(A1424,FIND(" - ",A1424&amp;" - ")-1),TRIM(A1424)))</f>
        <v/>
      </c>
      <c r="M1424">
        <f>IF(OR(K1424="",K1424=A1424,A1424=""),"",K1424&amp;"|"&amp;L1424)</f>
        <v/>
      </c>
      <c r="N1424">
        <f>IF(M1424="","",IF(ISNUMBER(B1424),B1424,IFERROR(_xlfn.NUMBERVALUE(B1424,".",","),0)))</f>
        <v/>
      </c>
      <c r="O1424">
        <f>IF(M1424="","",IF(ISNUMBER(C1424),C1424,IFERROR(_xlfn.NUMBERVALUE(C1424,".",","),0)))</f>
        <v/>
      </c>
    </row>
    <row r="1425">
      <c r="K1425">
        <f>IF(OR(LEFT(B1425,9)="DOANH THU",LEFT(B1425,8)="SỐ LƯỢNG"),A1425,IF(A1425="","",K1424))</f>
        <v/>
      </c>
      <c r="L1425">
        <f>IF(A1425="","",IF(ISNUMBER(--LEFT(A1425,FIND(" - ",A1425&amp;" - ")-1)),LEFT(A1425,FIND(" - ",A1425&amp;" - ")-1),TRIM(A1425)))</f>
        <v/>
      </c>
      <c r="M1425">
        <f>IF(OR(K1425="",K1425=A1425,A1425=""),"",K1425&amp;"|"&amp;L1425)</f>
        <v/>
      </c>
      <c r="N1425">
        <f>IF(M1425="","",IF(ISNUMBER(B1425),B1425,IFERROR(_xlfn.NUMBERVALUE(B1425,".",","),0)))</f>
        <v/>
      </c>
      <c r="O1425">
        <f>IF(M1425="","",IF(ISNUMBER(C1425),C1425,IFERROR(_xlfn.NUMBERVALUE(C1425,".",","),0)))</f>
        <v/>
      </c>
    </row>
    <row r="1426">
      <c r="K1426">
        <f>IF(OR(LEFT(B1426,9)="DOANH THU",LEFT(B1426,8)="SỐ LƯỢNG"),A1426,IF(A1426="","",K1425))</f>
        <v/>
      </c>
      <c r="L1426">
        <f>IF(A1426="","",IF(ISNUMBER(--LEFT(A1426,FIND(" - ",A1426&amp;" - ")-1)),LEFT(A1426,FIND(" - ",A1426&amp;" - ")-1),TRIM(A1426)))</f>
        <v/>
      </c>
      <c r="M1426">
        <f>IF(OR(K1426="",K1426=A1426,A1426=""),"",K1426&amp;"|"&amp;L1426)</f>
        <v/>
      </c>
      <c r="N1426">
        <f>IF(M1426="","",IF(ISNUMBER(B1426),B1426,IFERROR(_xlfn.NUMBERVALUE(B1426,".",","),0)))</f>
        <v/>
      </c>
      <c r="O1426">
        <f>IF(M1426="","",IF(ISNUMBER(C1426),C1426,IFERROR(_xlfn.NUMBERVALUE(C1426,".",","),0)))</f>
        <v/>
      </c>
    </row>
    <row r="1427">
      <c r="K1427">
        <f>IF(OR(LEFT(B1427,9)="DOANH THU",LEFT(B1427,8)="SỐ LƯỢNG"),A1427,IF(A1427="","",K1426))</f>
        <v/>
      </c>
      <c r="L1427">
        <f>IF(A1427="","",IF(ISNUMBER(--LEFT(A1427,FIND(" - ",A1427&amp;" - ")-1)),LEFT(A1427,FIND(" - ",A1427&amp;" - ")-1),TRIM(A1427)))</f>
        <v/>
      </c>
      <c r="M1427">
        <f>IF(OR(K1427="",K1427=A1427,A1427=""),"",K1427&amp;"|"&amp;L1427)</f>
        <v/>
      </c>
      <c r="N1427">
        <f>IF(M1427="","",IF(ISNUMBER(B1427),B1427,IFERROR(_xlfn.NUMBERVALUE(B1427,".",","),0)))</f>
        <v/>
      </c>
      <c r="O1427">
        <f>IF(M1427="","",IF(ISNUMBER(C1427),C1427,IFERROR(_xlfn.NUMBERVALUE(C1427,".",","),0)))</f>
        <v/>
      </c>
    </row>
    <row r="1428">
      <c r="K1428">
        <f>IF(OR(LEFT(B1428,9)="DOANH THU",LEFT(B1428,8)="SỐ LƯỢNG"),A1428,IF(A1428="","",K1427))</f>
        <v/>
      </c>
      <c r="L1428">
        <f>IF(A1428="","",IF(ISNUMBER(--LEFT(A1428,FIND(" - ",A1428&amp;" - ")-1)),LEFT(A1428,FIND(" - ",A1428&amp;" - ")-1),TRIM(A1428)))</f>
        <v/>
      </c>
      <c r="M1428">
        <f>IF(OR(K1428="",K1428=A1428,A1428=""),"",K1428&amp;"|"&amp;L1428)</f>
        <v/>
      </c>
      <c r="N1428">
        <f>IF(M1428="","",IF(ISNUMBER(B1428),B1428,IFERROR(_xlfn.NUMBERVALUE(B1428,".",","),0)))</f>
        <v/>
      </c>
      <c r="O1428">
        <f>IF(M1428="","",IF(ISNUMBER(C1428),C1428,IFERROR(_xlfn.NUMBERVALUE(C1428,".",","),0)))</f>
        <v/>
      </c>
    </row>
    <row r="1429">
      <c r="K1429">
        <f>IF(OR(LEFT(B1429,9)="DOANH THU",LEFT(B1429,8)="SỐ LƯỢNG"),A1429,IF(A1429="","",K1428))</f>
        <v/>
      </c>
      <c r="L1429">
        <f>IF(A1429="","",IF(ISNUMBER(--LEFT(A1429,FIND(" - ",A1429&amp;" - ")-1)),LEFT(A1429,FIND(" - ",A1429&amp;" - ")-1),TRIM(A1429)))</f>
        <v/>
      </c>
      <c r="M1429">
        <f>IF(OR(K1429="",K1429=A1429,A1429=""),"",K1429&amp;"|"&amp;L1429)</f>
        <v/>
      </c>
      <c r="N1429">
        <f>IF(M1429="","",IF(ISNUMBER(B1429),B1429,IFERROR(_xlfn.NUMBERVALUE(B1429,".",","),0)))</f>
        <v/>
      </c>
      <c r="O1429">
        <f>IF(M1429="","",IF(ISNUMBER(C1429),C1429,IFERROR(_xlfn.NUMBERVALUE(C1429,".",","),0)))</f>
        <v/>
      </c>
    </row>
    <row r="1430">
      <c r="K1430">
        <f>IF(OR(LEFT(B1430,9)="DOANH THU",LEFT(B1430,8)="SỐ LƯỢNG"),A1430,IF(A1430="","",K1429))</f>
        <v/>
      </c>
      <c r="L1430">
        <f>IF(A1430="","",IF(ISNUMBER(--LEFT(A1430,FIND(" - ",A1430&amp;" - ")-1)),LEFT(A1430,FIND(" - ",A1430&amp;" - ")-1),TRIM(A1430)))</f>
        <v/>
      </c>
      <c r="M1430">
        <f>IF(OR(K1430="",K1430=A1430,A1430=""),"",K1430&amp;"|"&amp;L1430)</f>
        <v/>
      </c>
      <c r="N1430">
        <f>IF(M1430="","",IF(ISNUMBER(B1430),B1430,IFERROR(_xlfn.NUMBERVALUE(B1430,".",","),0)))</f>
        <v/>
      </c>
      <c r="O1430">
        <f>IF(M1430="","",IF(ISNUMBER(C1430),C1430,IFERROR(_xlfn.NUMBERVALUE(C1430,".",","),0)))</f>
        <v/>
      </c>
    </row>
    <row r="1431">
      <c r="K1431">
        <f>IF(OR(LEFT(B1431,9)="DOANH THU",LEFT(B1431,8)="SỐ LƯỢNG"),A1431,IF(A1431="","",K1430))</f>
        <v/>
      </c>
      <c r="L1431">
        <f>IF(A1431="","",IF(ISNUMBER(--LEFT(A1431,FIND(" - ",A1431&amp;" - ")-1)),LEFT(A1431,FIND(" - ",A1431&amp;" - ")-1),TRIM(A1431)))</f>
        <v/>
      </c>
      <c r="M1431">
        <f>IF(OR(K1431="",K1431=A1431,A1431=""),"",K1431&amp;"|"&amp;L1431)</f>
        <v/>
      </c>
      <c r="N1431">
        <f>IF(M1431="","",IF(ISNUMBER(B1431),B1431,IFERROR(_xlfn.NUMBERVALUE(B1431,".",","),0)))</f>
        <v/>
      </c>
      <c r="O1431">
        <f>IF(M1431="","",IF(ISNUMBER(C1431),C1431,IFERROR(_xlfn.NUMBERVALUE(C1431,".",","),0)))</f>
        <v/>
      </c>
    </row>
    <row r="1432">
      <c r="K1432">
        <f>IF(OR(LEFT(B1432,9)="DOANH THU",LEFT(B1432,8)="SỐ LƯỢNG"),A1432,IF(A1432="","",K1431))</f>
        <v/>
      </c>
      <c r="L1432">
        <f>IF(A1432="","",IF(ISNUMBER(--LEFT(A1432,FIND(" - ",A1432&amp;" - ")-1)),LEFT(A1432,FIND(" - ",A1432&amp;" - ")-1),TRIM(A1432)))</f>
        <v/>
      </c>
      <c r="M1432">
        <f>IF(OR(K1432="",K1432=A1432,A1432=""),"",K1432&amp;"|"&amp;L1432)</f>
        <v/>
      </c>
      <c r="N1432">
        <f>IF(M1432="","",IF(ISNUMBER(B1432),B1432,IFERROR(_xlfn.NUMBERVALUE(B1432,".",","),0)))</f>
        <v/>
      </c>
      <c r="O1432">
        <f>IF(M1432="","",IF(ISNUMBER(C1432),C1432,IFERROR(_xlfn.NUMBERVALUE(C1432,".",","),0)))</f>
        <v/>
      </c>
    </row>
    <row r="1433">
      <c r="K1433">
        <f>IF(OR(LEFT(B1433,9)="DOANH THU",LEFT(B1433,8)="SỐ LƯỢNG"),A1433,IF(A1433="","",K1432))</f>
        <v/>
      </c>
      <c r="L1433">
        <f>IF(A1433="","",IF(ISNUMBER(--LEFT(A1433,FIND(" - ",A1433&amp;" - ")-1)),LEFT(A1433,FIND(" - ",A1433&amp;" - ")-1),TRIM(A1433)))</f>
        <v/>
      </c>
      <c r="M1433">
        <f>IF(OR(K1433="",K1433=A1433,A1433=""),"",K1433&amp;"|"&amp;L1433)</f>
        <v/>
      </c>
      <c r="N1433">
        <f>IF(M1433="","",IF(ISNUMBER(B1433),B1433,IFERROR(_xlfn.NUMBERVALUE(B1433,".",","),0)))</f>
        <v/>
      </c>
      <c r="O1433">
        <f>IF(M1433="","",IF(ISNUMBER(C1433),C1433,IFERROR(_xlfn.NUMBERVALUE(C1433,".",","),0)))</f>
        <v/>
      </c>
    </row>
    <row r="1434">
      <c r="K1434">
        <f>IF(OR(LEFT(B1434,9)="DOANH THU",LEFT(B1434,8)="SỐ LƯỢNG"),A1434,IF(A1434="","",K1433))</f>
        <v/>
      </c>
      <c r="L1434">
        <f>IF(A1434="","",IF(ISNUMBER(--LEFT(A1434,FIND(" - ",A1434&amp;" - ")-1)),LEFT(A1434,FIND(" - ",A1434&amp;" - ")-1),TRIM(A1434)))</f>
        <v/>
      </c>
      <c r="M1434">
        <f>IF(OR(K1434="",K1434=A1434,A1434=""),"",K1434&amp;"|"&amp;L1434)</f>
        <v/>
      </c>
      <c r="N1434">
        <f>IF(M1434="","",IF(ISNUMBER(B1434),B1434,IFERROR(_xlfn.NUMBERVALUE(B1434,".",","),0)))</f>
        <v/>
      </c>
      <c r="O1434">
        <f>IF(M1434="","",IF(ISNUMBER(C1434),C1434,IFERROR(_xlfn.NUMBERVALUE(C1434,".",","),0)))</f>
        <v/>
      </c>
    </row>
    <row r="1435">
      <c r="K1435">
        <f>IF(OR(LEFT(B1435,9)="DOANH THU",LEFT(B1435,8)="SỐ LƯỢNG"),A1435,IF(A1435="","",K1434))</f>
        <v/>
      </c>
      <c r="L1435">
        <f>IF(A1435="","",IF(ISNUMBER(--LEFT(A1435,FIND(" - ",A1435&amp;" - ")-1)),LEFT(A1435,FIND(" - ",A1435&amp;" - ")-1),TRIM(A1435)))</f>
        <v/>
      </c>
      <c r="M1435">
        <f>IF(OR(K1435="",K1435=A1435,A1435=""),"",K1435&amp;"|"&amp;L1435)</f>
        <v/>
      </c>
      <c r="N1435">
        <f>IF(M1435="","",IF(ISNUMBER(B1435),B1435,IFERROR(_xlfn.NUMBERVALUE(B1435,".",","),0)))</f>
        <v/>
      </c>
      <c r="O1435">
        <f>IF(M1435="","",IF(ISNUMBER(C1435),C1435,IFERROR(_xlfn.NUMBERVALUE(C1435,".",","),0)))</f>
        <v/>
      </c>
    </row>
    <row r="1436">
      <c r="K1436">
        <f>IF(OR(LEFT(B1436,9)="DOANH THU",LEFT(B1436,8)="SỐ LƯỢNG"),A1436,IF(A1436="","",K1435))</f>
        <v/>
      </c>
      <c r="L1436">
        <f>IF(A1436="","",IF(ISNUMBER(--LEFT(A1436,FIND(" - ",A1436&amp;" - ")-1)),LEFT(A1436,FIND(" - ",A1436&amp;" - ")-1),TRIM(A1436)))</f>
        <v/>
      </c>
      <c r="M1436">
        <f>IF(OR(K1436="",K1436=A1436,A1436=""),"",K1436&amp;"|"&amp;L1436)</f>
        <v/>
      </c>
      <c r="N1436">
        <f>IF(M1436="","",IF(ISNUMBER(B1436),B1436,IFERROR(_xlfn.NUMBERVALUE(B1436,".",","),0)))</f>
        <v/>
      </c>
      <c r="O1436">
        <f>IF(M1436="","",IF(ISNUMBER(C1436),C1436,IFERROR(_xlfn.NUMBERVALUE(C1436,".",","),0)))</f>
        <v/>
      </c>
    </row>
    <row r="1437">
      <c r="K1437">
        <f>IF(OR(LEFT(B1437,9)="DOANH THU",LEFT(B1437,8)="SỐ LƯỢNG"),A1437,IF(A1437="","",K1436))</f>
        <v/>
      </c>
      <c r="L1437">
        <f>IF(A1437="","",IF(ISNUMBER(--LEFT(A1437,FIND(" - ",A1437&amp;" - ")-1)),LEFT(A1437,FIND(" - ",A1437&amp;" - ")-1),TRIM(A1437)))</f>
        <v/>
      </c>
      <c r="M1437">
        <f>IF(OR(K1437="",K1437=A1437,A1437=""),"",K1437&amp;"|"&amp;L1437)</f>
        <v/>
      </c>
      <c r="N1437">
        <f>IF(M1437="","",IF(ISNUMBER(B1437),B1437,IFERROR(_xlfn.NUMBERVALUE(B1437,".",","),0)))</f>
        <v/>
      </c>
      <c r="O1437">
        <f>IF(M1437="","",IF(ISNUMBER(C1437),C1437,IFERROR(_xlfn.NUMBERVALUE(C1437,".",","),0)))</f>
        <v/>
      </c>
    </row>
    <row r="1438">
      <c r="K1438">
        <f>IF(OR(LEFT(B1438,9)="DOANH THU",LEFT(B1438,8)="SỐ LƯỢNG"),A1438,IF(A1438="","",K1437))</f>
        <v/>
      </c>
      <c r="L1438">
        <f>IF(A1438="","",IF(ISNUMBER(--LEFT(A1438,FIND(" - ",A1438&amp;" - ")-1)),LEFT(A1438,FIND(" - ",A1438&amp;" - ")-1),TRIM(A1438)))</f>
        <v/>
      </c>
      <c r="M1438">
        <f>IF(OR(K1438="",K1438=A1438,A1438=""),"",K1438&amp;"|"&amp;L1438)</f>
        <v/>
      </c>
      <c r="N1438">
        <f>IF(M1438="","",IF(ISNUMBER(B1438),B1438,IFERROR(_xlfn.NUMBERVALUE(B1438,".",","),0)))</f>
        <v/>
      </c>
      <c r="O1438">
        <f>IF(M1438="","",IF(ISNUMBER(C1438),C1438,IFERROR(_xlfn.NUMBERVALUE(C1438,".",","),0)))</f>
        <v/>
      </c>
    </row>
    <row r="1439">
      <c r="K1439">
        <f>IF(OR(LEFT(B1439,9)="DOANH THU",LEFT(B1439,8)="SỐ LƯỢNG"),A1439,IF(A1439="","",K1438))</f>
        <v/>
      </c>
      <c r="L1439">
        <f>IF(A1439="","",IF(ISNUMBER(--LEFT(A1439,FIND(" - ",A1439&amp;" - ")-1)),LEFT(A1439,FIND(" - ",A1439&amp;" - ")-1),TRIM(A1439)))</f>
        <v/>
      </c>
      <c r="M1439">
        <f>IF(OR(K1439="",K1439=A1439,A1439=""),"",K1439&amp;"|"&amp;L1439)</f>
        <v/>
      </c>
      <c r="N1439">
        <f>IF(M1439="","",IF(ISNUMBER(B1439),B1439,IFERROR(_xlfn.NUMBERVALUE(B1439,".",","),0)))</f>
        <v/>
      </c>
      <c r="O1439">
        <f>IF(M1439="","",IF(ISNUMBER(C1439),C1439,IFERROR(_xlfn.NUMBERVALUE(C1439,".",","),0)))</f>
        <v/>
      </c>
    </row>
    <row r="1440">
      <c r="K1440">
        <f>IF(OR(LEFT(B1440,9)="DOANH THU",LEFT(B1440,8)="SỐ LƯỢNG"),A1440,IF(A1440="","",K1439))</f>
        <v/>
      </c>
      <c r="L1440">
        <f>IF(A1440="","",IF(ISNUMBER(--LEFT(A1440,FIND(" - ",A1440&amp;" - ")-1)),LEFT(A1440,FIND(" - ",A1440&amp;" - ")-1),TRIM(A1440)))</f>
        <v/>
      </c>
      <c r="M1440">
        <f>IF(OR(K1440="",K1440=A1440,A1440=""),"",K1440&amp;"|"&amp;L1440)</f>
        <v/>
      </c>
      <c r="N1440">
        <f>IF(M1440="","",IF(ISNUMBER(B1440),B1440,IFERROR(_xlfn.NUMBERVALUE(B1440,".",","),0)))</f>
        <v/>
      </c>
      <c r="O1440">
        <f>IF(M1440="","",IF(ISNUMBER(C1440),C1440,IFERROR(_xlfn.NUMBERVALUE(C1440,".",","),0)))</f>
        <v/>
      </c>
    </row>
    <row r="1441">
      <c r="K1441">
        <f>IF(OR(LEFT(B1441,9)="DOANH THU",LEFT(B1441,8)="SỐ LƯỢNG"),A1441,IF(A1441="","",K1440))</f>
        <v/>
      </c>
      <c r="L1441">
        <f>IF(A1441="","",IF(ISNUMBER(--LEFT(A1441,FIND(" - ",A1441&amp;" - ")-1)),LEFT(A1441,FIND(" - ",A1441&amp;" - ")-1),TRIM(A1441)))</f>
        <v/>
      </c>
      <c r="M1441">
        <f>IF(OR(K1441="",K1441=A1441,A1441=""),"",K1441&amp;"|"&amp;L1441)</f>
        <v/>
      </c>
      <c r="N1441">
        <f>IF(M1441="","",IF(ISNUMBER(B1441),B1441,IFERROR(_xlfn.NUMBERVALUE(B1441,".",","),0)))</f>
        <v/>
      </c>
      <c r="O1441">
        <f>IF(M1441="","",IF(ISNUMBER(C1441),C1441,IFERROR(_xlfn.NUMBERVALUE(C1441,".",","),0)))</f>
        <v/>
      </c>
    </row>
    <row r="1442">
      <c r="K1442">
        <f>IF(OR(LEFT(B1442,9)="DOANH THU",LEFT(B1442,8)="SỐ LƯỢNG"),A1442,IF(A1442="","",K1441))</f>
        <v/>
      </c>
      <c r="L1442">
        <f>IF(A1442="","",IF(ISNUMBER(--LEFT(A1442,FIND(" - ",A1442&amp;" - ")-1)),LEFT(A1442,FIND(" - ",A1442&amp;" - ")-1),TRIM(A1442)))</f>
        <v/>
      </c>
      <c r="M1442">
        <f>IF(OR(K1442="",K1442=A1442,A1442=""),"",K1442&amp;"|"&amp;L1442)</f>
        <v/>
      </c>
      <c r="N1442">
        <f>IF(M1442="","",IF(ISNUMBER(B1442),B1442,IFERROR(_xlfn.NUMBERVALUE(B1442,".",","),0)))</f>
        <v/>
      </c>
      <c r="O1442">
        <f>IF(M1442="","",IF(ISNUMBER(C1442),C1442,IFERROR(_xlfn.NUMBERVALUE(C1442,".",","),0)))</f>
        <v/>
      </c>
    </row>
    <row r="1443">
      <c r="K1443">
        <f>IF(OR(LEFT(B1443,9)="DOANH THU",LEFT(B1443,8)="SỐ LƯỢNG"),A1443,IF(A1443="","",K1442))</f>
        <v/>
      </c>
      <c r="L1443">
        <f>IF(A1443="","",IF(ISNUMBER(--LEFT(A1443,FIND(" - ",A1443&amp;" - ")-1)),LEFT(A1443,FIND(" - ",A1443&amp;" - ")-1),TRIM(A1443)))</f>
        <v/>
      </c>
      <c r="M1443">
        <f>IF(OR(K1443="",K1443=A1443,A1443=""),"",K1443&amp;"|"&amp;L1443)</f>
        <v/>
      </c>
      <c r="N1443">
        <f>IF(M1443="","",IF(ISNUMBER(B1443),B1443,IFERROR(_xlfn.NUMBERVALUE(B1443,".",","),0)))</f>
        <v/>
      </c>
      <c r="O1443">
        <f>IF(M1443="","",IF(ISNUMBER(C1443),C1443,IFERROR(_xlfn.NUMBERVALUE(C1443,".",","),0)))</f>
        <v/>
      </c>
    </row>
    <row r="1444">
      <c r="K1444">
        <f>IF(OR(LEFT(B1444,9)="DOANH THU",LEFT(B1444,8)="SỐ LƯỢNG"),A1444,IF(A1444="","",K1443))</f>
        <v/>
      </c>
      <c r="L1444">
        <f>IF(A1444="","",IF(ISNUMBER(--LEFT(A1444,FIND(" - ",A1444&amp;" - ")-1)),LEFT(A1444,FIND(" - ",A1444&amp;" - ")-1),TRIM(A1444)))</f>
        <v/>
      </c>
      <c r="M1444">
        <f>IF(OR(K1444="",K1444=A1444,A1444=""),"",K1444&amp;"|"&amp;L1444)</f>
        <v/>
      </c>
      <c r="N1444">
        <f>IF(M1444="","",IF(ISNUMBER(B1444),B1444,IFERROR(_xlfn.NUMBERVALUE(B1444,".",","),0)))</f>
        <v/>
      </c>
      <c r="O1444">
        <f>IF(M1444="","",IF(ISNUMBER(C1444),C1444,IFERROR(_xlfn.NUMBERVALUE(C1444,".",","),0)))</f>
        <v/>
      </c>
    </row>
    <row r="1445">
      <c r="K1445">
        <f>IF(OR(LEFT(B1445,9)="DOANH THU",LEFT(B1445,8)="SỐ LƯỢNG"),A1445,IF(A1445="","",K1444))</f>
        <v/>
      </c>
      <c r="L1445">
        <f>IF(A1445="","",IF(ISNUMBER(--LEFT(A1445,FIND(" - ",A1445&amp;" - ")-1)),LEFT(A1445,FIND(" - ",A1445&amp;" - ")-1),TRIM(A1445)))</f>
        <v/>
      </c>
      <c r="M1445">
        <f>IF(OR(K1445="",K1445=A1445,A1445=""),"",K1445&amp;"|"&amp;L1445)</f>
        <v/>
      </c>
      <c r="N1445">
        <f>IF(M1445="","",IF(ISNUMBER(B1445),B1445,IFERROR(_xlfn.NUMBERVALUE(B1445,".",","),0)))</f>
        <v/>
      </c>
      <c r="O1445">
        <f>IF(M1445="","",IF(ISNUMBER(C1445),C1445,IFERROR(_xlfn.NUMBERVALUE(C1445,".",","),0)))</f>
        <v/>
      </c>
    </row>
    <row r="1446">
      <c r="K1446">
        <f>IF(OR(LEFT(B1446,9)="DOANH THU",LEFT(B1446,8)="SỐ LƯỢNG"),A1446,IF(A1446="","",K1445))</f>
        <v/>
      </c>
      <c r="L1446">
        <f>IF(A1446="","",IF(ISNUMBER(--LEFT(A1446,FIND(" - ",A1446&amp;" - ")-1)),LEFT(A1446,FIND(" - ",A1446&amp;" - ")-1),TRIM(A1446)))</f>
        <v/>
      </c>
      <c r="M1446">
        <f>IF(OR(K1446="",K1446=A1446,A1446=""),"",K1446&amp;"|"&amp;L1446)</f>
        <v/>
      </c>
      <c r="N1446">
        <f>IF(M1446="","",IF(ISNUMBER(B1446),B1446,IFERROR(_xlfn.NUMBERVALUE(B1446,".",","),0)))</f>
        <v/>
      </c>
      <c r="O1446">
        <f>IF(M1446="","",IF(ISNUMBER(C1446),C1446,IFERROR(_xlfn.NUMBERVALUE(C1446,".",","),0)))</f>
        <v/>
      </c>
    </row>
    <row r="1447">
      <c r="K1447">
        <f>IF(OR(LEFT(B1447,9)="DOANH THU",LEFT(B1447,8)="SỐ LƯỢNG"),A1447,IF(A1447="","",K1446))</f>
        <v/>
      </c>
      <c r="L1447">
        <f>IF(A1447="","",IF(ISNUMBER(--LEFT(A1447,FIND(" - ",A1447&amp;" - ")-1)),LEFT(A1447,FIND(" - ",A1447&amp;" - ")-1),TRIM(A1447)))</f>
        <v/>
      </c>
      <c r="M1447">
        <f>IF(OR(K1447="",K1447=A1447,A1447=""),"",K1447&amp;"|"&amp;L1447)</f>
        <v/>
      </c>
      <c r="N1447">
        <f>IF(M1447="","",IF(ISNUMBER(B1447),B1447,IFERROR(_xlfn.NUMBERVALUE(B1447,".",","),0)))</f>
        <v/>
      </c>
      <c r="O1447">
        <f>IF(M1447="","",IF(ISNUMBER(C1447),C1447,IFERROR(_xlfn.NUMBERVALUE(C1447,".",","),0)))</f>
        <v/>
      </c>
    </row>
    <row r="1448">
      <c r="K1448">
        <f>IF(OR(LEFT(B1448,9)="DOANH THU",LEFT(B1448,8)="SỐ LƯỢNG"),A1448,IF(A1448="","",K1447))</f>
        <v/>
      </c>
      <c r="L1448">
        <f>IF(A1448="","",IF(ISNUMBER(--LEFT(A1448,FIND(" - ",A1448&amp;" - ")-1)),LEFT(A1448,FIND(" - ",A1448&amp;" - ")-1),TRIM(A1448)))</f>
        <v/>
      </c>
      <c r="M1448">
        <f>IF(OR(K1448="",K1448=A1448,A1448=""),"",K1448&amp;"|"&amp;L1448)</f>
        <v/>
      </c>
      <c r="N1448">
        <f>IF(M1448="","",IF(ISNUMBER(B1448),B1448,IFERROR(_xlfn.NUMBERVALUE(B1448,".",","),0)))</f>
        <v/>
      </c>
      <c r="O1448">
        <f>IF(M1448="","",IF(ISNUMBER(C1448),C1448,IFERROR(_xlfn.NUMBERVALUE(C1448,".",","),0)))</f>
        <v/>
      </c>
    </row>
    <row r="1449">
      <c r="K1449">
        <f>IF(OR(LEFT(B1449,9)="DOANH THU",LEFT(B1449,8)="SỐ LƯỢNG"),A1449,IF(A1449="","",K1448))</f>
        <v/>
      </c>
      <c r="L1449">
        <f>IF(A1449="","",IF(ISNUMBER(--LEFT(A1449,FIND(" - ",A1449&amp;" - ")-1)),LEFT(A1449,FIND(" - ",A1449&amp;" - ")-1),TRIM(A1449)))</f>
        <v/>
      </c>
      <c r="M1449">
        <f>IF(OR(K1449="",K1449=A1449,A1449=""),"",K1449&amp;"|"&amp;L1449)</f>
        <v/>
      </c>
      <c r="N1449">
        <f>IF(M1449="","",IF(ISNUMBER(B1449),B1449,IFERROR(_xlfn.NUMBERVALUE(B1449,".",","),0)))</f>
        <v/>
      </c>
      <c r="O1449">
        <f>IF(M1449="","",IF(ISNUMBER(C1449),C1449,IFERROR(_xlfn.NUMBERVALUE(C1449,".",","),0)))</f>
        <v/>
      </c>
    </row>
    <row r="1450">
      <c r="K1450">
        <f>IF(OR(LEFT(B1450,9)="DOANH THU",LEFT(B1450,8)="SỐ LƯỢNG"),A1450,IF(A1450="","",K1449))</f>
        <v/>
      </c>
      <c r="L1450">
        <f>IF(A1450="","",IF(ISNUMBER(--LEFT(A1450,FIND(" - ",A1450&amp;" - ")-1)),LEFT(A1450,FIND(" - ",A1450&amp;" - ")-1),TRIM(A1450)))</f>
        <v/>
      </c>
      <c r="M1450">
        <f>IF(OR(K1450="",K1450=A1450,A1450=""),"",K1450&amp;"|"&amp;L1450)</f>
        <v/>
      </c>
      <c r="N1450">
        <f>IF(M1450="","",IF(ISNUMBER(B1450),B1450,IFERROR(_xlfn.NUMBERVALUE(B1450,".",","),0)))</f>
        <v/>
      </c>
      <c r="O1450">
        <f>IF(M1450="","",IF(ISNUMBER(C1450),C1450,IFERROR(_xlfn.NUMBERVALUE(C1450,".",","),0)))</f>
        <v/>
      </c>
    </row>
    <row r="1451">
      <c r="K1451">
        <f>IF(OR(LEFT(B1451,9)="DOANH THU",LEFT(B1451,8)="SỐ LƯỢNG"),A1451,IF(A1451="","",K1450))</f>
        <v/>
      </c>
      <c r="L1451">
        <f>IF(A1451="","",IF(ISNUMBER(--LEFT(A1451,FIND(" - ",A1451&amp;" - ")-1)),LEFT(A1451,FIND(" - ",A1451&amp;" - ")-1),TRIM(A1451)))</f>
        <v/>
      </c>
      <c r="M1451">
        <f>IF(OR(K1451="",K1451=A1451,A1451=""),"",K1451&amp;"|"&amp;L1451)</f>
        <v/>
      </c>
      <c r="N1451">
        <f>IF(M1451="","",IF(ISNUMBER(B1451),B1451,IFERROR(_xlfn.NUMBERVALUE(B1451,".",","),0)))</f>
        <v/>
      </c>
      <c r="O1451">
        <f>IF(M1451="","",IF(ISNUMBER(C1451),C1451,IFERROR(_xlfn.NUMBERVALUE(C1451,".",","),0)))</f>
        <v/>
      </c>
    </row>
    <row r="1452">
      <c r="K1452">
        <f>IF(OR(LEFT(B1452,9)="DOANH THU",LEFT(B1452,8)="SỐ LƯỢNG"),A1452,IF(A1452="","",K1451))</f>
        <v/>
      </c>
      <c r="L1452">
        <f>IF(A1452="","",IF(ISNUMBER(--LEFT(A1452,FIND(" - ",A1452&amp;" - ")-1)),LEFT(A1452,FIND(" - ",A1452&amp;" - ")-1),TRIM(A1452)))</f>
        <v/>
      </c>
      <c r="M1452">
        <f>IF(OR(K1452="",K1452=A1452,A1452=""),"",K1452&amp;"|"&amp;L1452)</f>
        <v/>
      </c>
      <c r="N1452">
        <f>IF(M1452="","",IF(ISNUMBER(B1452),B1452,IFERROR(_xlfn.NUMBERVALUE(B1452,".",","),0)))</f>
        <v/>
      </c>
      <c r="O1452">
        <f>IF(M1452="","",IF(ISNUMBER(C1452),C1452,IFERROR(_xlfn.NUMBERVALUE(C1452,".",","),0)))</f>
        <v/>
      </c>
    </row>
    <row r="1453">
      <c r="K1453">
        <f>IF(OR(LEFT(B1453,9)="DOANH THU",LEFT(B1453,8)="SỐ LƯỢNG"),A1453,IF(A1453="","",K1452))</f>
        <v/>
      </c>
      <c r="L1453">
        <f>IF(A1453="","",IF(ISNUMBER(--LEFT(A1453,FIND(" - ",A1453&amp;" - ")-1)),LEFT(A1453,FIND(" - ",A1453&amp;" - ")-1),TRIM(A1453)))</f>
        <v/>
      </c>
      <c r="M1453">
        <f>IF(OR(K1453="",K1453=A1453,A1453=""),"",K1453&amp;"|"&amp;L1453)</f>
        <v/>
      </c>
      <c r="N1453">
        <f>IF(M1453="","",IF(ISNUMBER(B1453),B1453,IFERROR(_xlfn.NUMBERVALUE(B1453,".",","),0)))</f>
        <v/>
      </c>
      <c r="O1453">
        <f>IF(M1453="","",IF(ISNUMBER(C1453),C1453,IFERROR(_xlfn.NUMBERVALUE(C1453,".",","),0)))</f>
        <v/>
      </c>
    </row>
    <row r="1454">
      <c r="K1454">
        <f>IF(OR(LEFT(B1454,9)="DOANH THU",LEFT(B1454,8)="SỐ LƯỢNG"),A1454,IF(A1454="","",K1453))</f>
        <v/>
      </c>
      <c r="L1454">
        <f>IF(A1454="","",IF(ISNUMBER(--LEFT(A1454,FIND(" - ",A1454&amp;" - ")-1)),LEFT(A1454,FIND(" - ",A1454&amp;" - ")-1),TRIM(A1454)))</f>
        <v/>
      </c>
      <c r="M1454">
        <f>IF(OR(K1454="",K1454=A1454,A1454=""),"",K1454&amp;"|"&amp;L1454)</f>
        <v/>
      </c>
      <c r="N1454">
        <f>IF(M1454="","",IF(ISNUMBER(B1454),B1454,IFERROR(_xlfn.NUMBERVALUE(B1454,".",","),0)))</f>
        <v/>
      </c>
      <c r="O1454">
        <f>IF(M1454="","",IF(ISNUMBER(C1454),C1454,IFERROR(_xlfn.NUMBERVALUE(C1454,".",","),0)))</f>
        <v/>
      </c>
    </row>
    <row r="1455">
      <c r="K1455">
        <f>IF(OR(LEFT(B1455,9)="DOANH THU",LEFT(B1455,8)="SỐ LƯỢNG"),A1455,IF(A1455="","",K1454))</f>
        <v/>
      </c>
      <c r="L1455">
        <f>IF(A1455="","",IF(ISNUMBER(--LEFT(A1455,FIND(" - ",A1455&amp;" - ")-1)),LEFT(A1455,FIND(" - ",A1455&amp;" - ")-1),TRIM(A1455)))</f>
        <v/>
      </c>
      <c r="M1455">
        <f>IF(OR(K1455="",K1455=A1455,A1455=""),"",K1455&amp;"|"&amp;L1455)</f>
        <v/>
      </c>
      <c r="N1455">
        <f>IF(M1455="","",IF(ISNUMBER(B1455),B1455,IFERROR(_xlfn.NUMBERVALUE(B1455,".",","),0)))</f>
        <v/>
      </c>
      <c r="O1455">
        <f>IF(M1455="","",IF(ISNUMBER(C1455),C1455,IFERROR(_xlfn.NUMBERVALUE(C1455,".",","),0)))</f>
        <v/>
      </c>
    </row>
    <row r="1456">
      <c r="K1456">
        <f>IF(OR(LEFT(B1456,9)="DOANH THU",LEFT(B1456,8)="SỐ LƯỢNG"),A1456,IF(A1456="","",K1455))</f>
        <v/>
      </c>
      <c r="L1456">
        <f>IF(A1456="","",IF(ISNUMBER(--LEFT(A1456,FIND(" - ",A1456&amp;" - ")-1)),LEFT(A1456,FIND(" - ",A1456&amp;" - ")-1),TRIM(A1456)))</f>
        <v/>
      </c>
      <c r="M1456">
        <f>IF(OR(K1456="",K1456=A1456,A1456=""),"",K1456&amp;"|"&amp;L1456)</f>
        <v/>
      </c>
      <c r="N1456">
        <f>IF(M1456="","",IF(ISNUMBER(B1456),B1456,IFERROR(_xlfn.NUMBERVALUE(B1456,".",","),0)))</f>
        <v/>
      </c>
      <c r="O1456">
        <f>IF(M1456="","",IF(ISNUMBER(C1456),C1456,IFERROR(_xlfn.NUMBERVALUE(C1456,".",","),0)))</f>
        <v/>
      </c>
    </row>
    <row r="1457">
      <c r="K1457">
        <f>IF(OR(LEFT(B1457,9)="DOANH THU",LEFT(B1457,8)="SỐ LƯỢNG"),A1457,IF(A1457="","",K1456))</f>
        <v/>
      </c>
      <c r="L1457">
        <f>IF(A1457="","",IF(ISNUMBER(--LEFT(A1457,FIND(" - ",A1457&amp;" - ")-1)),LEFT(A1457,FIND(" - ",A1457&amp;" - ")-1),TRIM(A1457)))</f>
        <v/>
      </c>
      <c r="M1457">
        <f>IF(OR(K1457="",K1457=A1457,A1457=""),"",K1457&amp;"|"&amp;L1457)</f>
        <v/>
      </c>
      <c r="N1457">
        <f>IF(M1457="","",IF(ISNUMBER(B1457),B1457,IFERROR(_xlfn.NUMBERVALUE(B1457,".",","),0)))</f>
        <v/>
      </c>
      <c r="O1457">
        <f>IF(M1457="","",IF(ISNUMBER(C1457),C1457,IFERROR(_xlfn.NUMBERVALUE(C1457,".",","),0)))</f>
        <v/>
      </c>
    </row>
    <row r="1458">
      <c r="K1458">
        <f>IF(OR(LEFT(B1458,9)="DOANH THU",LEFT(B1458,8)="SỐ LƯỢNG"),A1458,IF(A1458="","",K1457))</f>
        <v/>
      </c>
      <c r="L1458">
        <f>IF(A1458="","",IF(ISNUMBER(--LEFT(A1458,FIND(" - ",A1458&amp;" - ")-1)),LEFT(A1458,FIND(" - ",A1458&amp;" - ")-1),TRIM(A1458)))</f>
        <v/>
      </c>
      <c r="M1458">
        <f>IF(OR(K1458="",K1458=A1458,A1458=""),"",K1458&amp;"|"&amp;L1458)</f>
        <v/>
      </c>
      <c r="N1458">
        <f>IF(M1458="","",IF(ISNUMBER(B1458),B1458,IFERROR(_xlfn.NUMBERVALUE(B1458,".",","),0)))</f>
        <v/>
      </c>
      <c r="O1458">
        <f>IF(M1458="","",IF(ISNUMBER(C1458),C1458,IFERROR(_xlfn.NUMBERVALUE(C1458,".",","),0)))</f>
        <v/>
      </c>
    </row>
    <row r="1459">
      <c r="K1459">
        <f>IF(OR(LEFT(B1459,9)="DOANH THU",LEFT(B1459,8)="SỐ LƯỢNG"),A1459,IF(A1459="","",K1458))</f>
        <v/>
      </c>
      <c r="L1459">
        <f>IF(A1459="","",IF(ISNUMBER(--LEFT(A1459,FIND(" - ",A1459&amp;" - ")-1)),LEFT(A1459,FIND(" - ",A1459&amp;" - ")-1),TRIM(A1459)))</f>
        <v/>
      </c>
      <c r="M1459">
        <f>IF(OR(K1459="",K1459=A1459,A1459=""),"",K1459&amp;"|"&amp;L1459)</f>
        <v/>
      </c>
      <c r="N1459">
        <f>IF(M1459="","",IF(ISNUMBER(B1459),B1459,IFERROR(_xlfn.NUMBERVALUE(B1459,".",","),0)))</f>
        <v/>
      </c>
      <c r="O1459">
        <f>IF(M1459="","",IF(ISNUMBER(C1459),C1459,IFERROR(_xlfn.NUMBERVALUE(C1459,".",","),0)))</f>
        <v/>
      </c>
    </row>
    <row r="1460">
      <c r="K1460">
        <f>IF(OR(LEFT(B1460,9)="DOANH THU",LEFT(B1460,8)="SỐ LƯỢNG"),A1460,IF(A1460="","",K1459))</f>
        <v/>
      </c>
      <c r="L1460">
        <f>IF(A1460="","",IF(ISNUMBER(--LEFT(A1460,FIND(" - ",A1460&amp;" - ")-1)),LEFT(A1460,FIND(" - ",A1460&amp;" - ")-1),TRIM(A1460)))</f>
        <v/>
      </c>
      <c r="M1460">
        <f>IF(OR(K1460="",K1460=A1460,A1460=""),"",K1460&amp;"|"&amp;L1460)</f>
        <v/>
      </c>
      <c r="N1460">
        <f>IF(M1460="","",IF(ISNUMBER(B1460),B1460,IFERROR(_xlfn.NUMBERVALUE(B1460,".",","),0)))</f>
        <v/>
      </c>
      <c r="O1460">
        <f>IF(M1460="","",IF(ISNUMBER(C1460),C1460,IFERROR(_xlfn.NUMBERVALUE(C1460,".",","),0)))</f>
        <v/>
      </c>
    </row>
    <row r="1461">
      <c r="K1461">
        <f>IF(OR(LEFT(B1461,9)="DOANH THU",LEFT(B1461,8)="SỐ LƯỢNG"),A1461,IF(A1461="","",K1460))</f>
        <v/>
      </c>
      <c r="L1461">
        <f>IF(A1461="","",IF(ISNUMBER(--LEFT(A1461,FIND(" - ",A1461&amp;" - ")-1)),LEFT(A1461,FIND(" - ",A1461&amp;" - ")-1),TRIM(A1461)))</f>
        <v/>
      </c>
      <c r="M1461">
        <f>IF(OR(K1461="",K1461=A1461,A1461=""),"",K1461&amp;"|"&amp;L1461)</f>
        <v/>
      </c>
      <c r="N1461">
        <f>IF(M1461="","",IF(ISNUMBER(B1461),B1461,IFERROR(_xlfn.NUMBERVALUE(B1461,".",","),0)))</f>
        <v/>
      </c>
      <c r="O1461">
        <f>IF(M1461="","",IF(ISNUMBER(C1461),C1461,IFERROR(_xlfn.NUMBERVALUE(C1461,".",","),0)))</f>
        <v/>
      </c>
    </row>
    <row r="1462">
      <c r="K1462">
        <f>IF(OR(LEFT(B1462,9)="DOANH THU",LEFT(B1462,8)="SỐ LƯỢNG"),A1462,IF(A1462="","",K1461))</f>
        <v/>
      </c>
      <c r="L1462">
        <f>IF(A1462="","",IF(ISNUMBER(--LEFT(A1462,FIND(" - ",A1462&amp;" - ")-1)),LEFT(A1462,FIND(" - ",A1462&amp;" - ")-1),TRIM(A1462)))</f>
        <v/>
      </c>
      <c r="M1462">
        <f>IF(OR(K1462="",K1462=A1462,A1462=""),"",K1462&amp;"|"&amp;L1462)</f>
        <v/>
      </c>
      <c r="N1462">
        <f>IF(M1462="","",IF(ISNUMBER(B1462),B1462,IFERROR(_xlfn.NUMBERVALUE(B1462,".",","),0)))</f>
        <v/>
      </c>
      <c r="O1462">
        <f>IF(M1462="","",IF(ISNUMBER(C1462),C1462,IFERROR(_xlfn.NUMBERVALUE(C1462,".",","),0)))</f>
        <v/>
      </c>
    </row>
    <row r="1463">
      <c r="K1463">
        <f>IF(OR(LEFT(B1463,9)="DOANH THU",LEFT(B1463,8)="SỐ LƯỢNG"),A1463,IF(A1463="","",K1462))</f>
        <v/>
      </c>
      <c r="L1463">
        <f>IF(A1463="","",IF(ISNUMBER(--LEFT(A1463,FIND(" - ",A1463&amp;" - ")-1)),LEFT(A1463,FIND(" - ",A1463&amp;" - ")-1),TRIM(A1463)))</f>
        <v/>
      </c>
      <c r="M1463">
        <f>IF(OR(K1463="",K1463=A1463,A1463=""),"",K1463&amp;"|"&amp;L1463)</f>
        <v/>
      </c>
      <c r="N1463">
        <f>IF(M1463="","",IF(ISNUMBER(B1463),B1463,IFERROR(_xlfn.NUMBERVALUE(B1463,".",","),0)))</f>
        <v/>
      </c>
      <c r="O1463">
        <f>IF(M1463="","",IF(ISNUMBER(C1463),C1463,IFERROR(_xlfn.NUMBERVALUE(C1463,".",","),0)))</f>
        <v/>
      </c>
    </row>
    <row r="1464">
      <c r="K1464">
        <f>IF(OR(LEFT(B1464,9)="DOANH THU",LEFT(B1464,8)="SỐ LƯỢNG"),A1464,IF(A1464="","",K1463))</f>
        <v/>
      </c>
      <c r="L1464">
        <f>IF(A1464="","",IF(ISNUMBER(--LEFT(A1464,FIND(" - ",A1464&amp;" - ")-1)),LEFT(A1464,FIND(" - ",A1464&amp;" - ")-1),TRIM(A1464)))</f>
        <v/>
      </c>
      <c r="M1464">
        <f>IF(OR(K1464="",K1464=A1464,A1464=""),"",K1464&amp;"|"&amp;L1464)</f>
        <v/>
      </c>
      <c r="N1464">
        <f>IF(M1464="","",IF(ISNUMBER(B1464),B1464,IFERROR(_xlfn.NUMBERVALUE(B1464,".",","),0)))</f>
        <v/>
      </c>
      <c r="O1464">
        <f>IF(M1464="","",IF(ISNUMBER(C1464),C1464,IFERROR(_xlfn.NUMBERVALUE(C1464,".",","),0)))</f>
        <v/>
      </c>
    </row>
    <row r="1465">
      <c r="K1465">
        <f>IF(OR(LEFT(B1465,9)="DOANH THU",LEFT(B1465,8)="SỐ LƯỢNG"),A1465,IF(A1465="","",K1464))</f>
        <v/>
      </c>
      <c r="L1465">
        <f>IF(A1465="","",IF(ISNUMBER(--LEFT(A1465,FIND(" - ",A1465&amp;" - ")-1)),LEFT(A1465,FIND(" - ",A1465&amp;" - ")-1),TRIM(A1465)))</f>
        <v/>
      </c>
      <c r="M1465">
        <f>IF(OR(K1465="",K1465=A1465,A1465=""),"",K1465&amp;"|"&amp;L1465)</f>
        <v/>
      </c>
      <c r="N1465">
        <f>IF(M1465="","",IF(ISNUMBER(B1465),B1465,IFERROR(_xlfn.NUMBERVALUE(B1465,".",","),0)))</f>
        <v/>
      </c>
      <c r="O1465">
        <f>IF(M1465="","",IF(ISNUMBER(C1465),C1465,IFERROR(_xlfn.NUMBERVALUE(C1465,".",","),0)))</f>
        <v/>
      </c>
    </row>
    <row r="1466">
      <c r="K1466">
        <f>IF(OR(LEFT(B1466,9)="DOANH THU",LEFT(B1466,8)="SỐ LƯỢNG"),A1466,IF(A1466="","",K1465))</f>
        <v/>
      </c>
      <c r="L1466">
        <f>IF(A1466="","",IF(ISNUMBER(--LEFT(A1466,FIND(" - ",A1466&amp;" - ")-1)),LEFT(A1466,FIND(" - ",A1466&amp;" - ")-1),TRIM(A1466)))</f>
        <v/>
      </c>
      <c r="M1466">
        <f>IF(OR(K1466="",K1466=A1466,A1466=""),"",K1466&amp;"|"&amp;L1466)</f>
        <v/>
      </c>
      <c r="N1466">
        <f>IF(M1466="","",IF(ISNUMBER(B1466),B1466,IFERROR(_xlfn.NUMBERVALUE(B1466,".",","),0)))</f>
        <v/>
      </c>
      <c r="O1466">
        <f>IF(M1466="","",IF(ISNUMBER(C1466),C1466,IFERROR(_xlfn.NUMBERVALUE(C1466,".",","),0)))</f>
        <v/>
      </c>
    </row>
    <row r="1467">
      <c r="K1467">
        <f>IF(OR(LEFT(B1467,9)="DOANH THU",LEFT(B1467,8)="SỐ LƯỢNG"),A1467,IF(A1467="","",K1466))</f>
        <v/>
      </c>
      <c r="L1467">
        <f>IF(A1467="","",IF(ISNUMBER(--LEFT(A1467,FIND(" - ",A1467&amp;" - ")-1)),LEFT(A1467,FIND(" - ",A1467&amp;" - ")-1),TRIM(A1467)))</f>
        <v/>
      </c>
      <c r="M1467">
        <f>IF(OR(K1467="",K1467=A1467,A1467=""),"",K1467&amp;"|"&amp;L1467)</f>
        <v/>
      </c>
      <c r="N1467">
        <f>IF(M1467="","",IF(ISNUMBER(B1467),B1467,IFERROR(_xlfn.NUMBERVALUE(B1467,".",","),0)))</f>
        <v/>
      </c>
      <c r="O1467">
        <f>IF(M1467="","",IF(ISNUMBER(C1467),C1467,IFERROR(_xlfn.NUMBERVALUE(C1467,".",","),0)))</f>
        <v/>
      </c>
    </row>
    <row r="1468">
      <c r="K1468">
        <f>IF(OR(LEFT(B1468,9)="DOANH THU",LEFT(B1468,8)="SỐ LƯỢNG"),A1468,IF(A1468="","",K1467))</f>
        <v/>
      </c>
      <c r="L1468">
        <f>IF(A1468="","",IF(ISNUMBER(--LEFT(A1468,FIND(" - ",A1468&amp;" - ")-1)),LEFT(A1468,FIND(" - ",A1468&amp;" - ")-1),TRIM(A1468)))</f>
        <v/>
      </c>
      <c r="M1468">
        <f>IF(OR(K1468="",K1468=A1468,A1468=""),"",K1468&amp;"|"&amp;L1468)</f>
        <v/>
      </c>
      <c r="N1468">
        <f>IF(M1468="","",IF(ISNUMBER(B1468),B1468,IFERROR(_xlfn.NUMBERVALUE(B1468,".",","),0)))</f>
        <v/>
      </c>
      <c r="O1468">
        <f>IF(M1468="","",IF(ISNUMBER(C1468),C1468,IFERROR(_xlfn.NUMBERVALUE(C1468,".",","),0)))</f>
        <v/>
      </c>
    </row>
    <row r="1469">
      <c r="K1469">
        <f>IF(OR(LEFT(B1469,9)="DOANH THU",LEFT(B1469,8)="SỐ LƯỢNG"),A1469,IF(A1469="","",K1468))</f>
        <v/>
      </c>
      <c r="L1469">
        <f>IF(A1469="","",IF(ISNUMBER(--LEFT(A1469,FIND(" - ",A1469&amp;" - ")-1)),LEFT(A1469,FIND(" - ",A1469&amp;" - ")-1),TRIM(A1469)))</f>
        <v/>
      </c>
      <c r="M1469">
        <f>IF(OR(K1469="",K1469=A1469,A1469=""),"",K1469&amp;"|"&amp;L1469)</f>
        <v/>
      </c>
      <c r="N1469">
        <f>IF(M1469="","",IF(ISNUMBER(B1469),B1469,IFERROR(_xlfn.NUMBERVALUE(B1469,".",","),0)))</f>
        <v/>
      </c>
      <c r="O1469">
        <f>IF(M1469="","",IF(ISNUMBER(C1469),C1469,IFERROR(_xlfn.NUMBERVALUE(C1469,".",","),0)))</f>
        <v/>
      </c>
    </row>
    <row r="1470">
      <c r="K1470">
        <f>IF(OR(LEFT(B1470,9)="DOANH THU",LEFT(B1470,8)="SỐ LƯỢNG"),A1470,IF(A1470="","",K1469))</f>
        <v/>
      </c>
      <c r="L1470">
        <f>IF(A1470="","",IF(ISNUMBER(--LEFT(A1470,FIND(" - ",A1470&amp;" - ")-1)),LEFT(A1470,FIND(" - ",A1470&amp;" - ")-1),TRIM(A1470)))</f>
        <v/>
      </c>
      <c r="M1470">
        <f>IF(OR(K1470="",K1470=A1470,A1470=""),"",K1470&amp;"|"&amp;L1470)</f>
        <v/>
      </c>
      <c r="N1470">
        <f>IF(M1470="","",IF(ISNUMBER(B1470),B1470,IFERROR(_xlfn.NUMBERVALUE(B1470,".",","),0)))</f>
        <v/>
      </c>
      <c r="O1470">
        <f>IF(M1470="","",IF(ISNUMBER(C1470),C1470,IFERROR(_xlfn.NUMBERVALUE(C1470,".",","),0)))</f>
        <v/>
      </c>
    </row>
    <row r="1471">
      <c r="K1471">
        <f>IF(OR(LEFT(B1471,9)="DOANH THU",LEFT(B1471,8)="SỐ LƯỢNG"),A1471,IF(A1471="","",K1470))</f>
        <v/>
      </c>
      <c r="L1471">
        <f>IF(A1471="","",IF(ISNUMBER(--LEFT(A1471,FIND(" - ",A1471&amp;" - ")-1)),LEFT(A1471,FIND(" - ",A1471&amp;" - ")-1),TRIM(A1471)))</f>
        <v/>
      </c>
      <c r="M1471">
        <f>IF(OR(K1471="",K1471=A1471,A1471=""),"",K1471&amp;"|"&amp;L1471)</f>
        <v/>
      </c>
      <c r="N1471">
        <f>IF(M1471="","",IF(ISNUMBER(B1471),B1471,IFERROR(_xlfn.NUMBERVALUE(B1471,".",","),0)))</f>
        <v/>
      </c>
      <c r="O1471">
        <f>IF(M1471="","",IF(ISNUMBER(C1471),C1471,IFERROR(_xlfn.NUMBERVALUE(C1471,".",","),0)))</f>
        <v/>
      </c>
    </row>
    <row r="1472">
      <c r="K1472">
        <f>IF(OR(LEFT(B1472,9)="DOANH THU",LEFT(B1472,8)="SỐ LƯỢNG"),A1472,IF(A1472="","",K1471))</f>
        <v/>
      </c>
      <c r="L1472">
        <f>IF(A1472="","",IF(ISNUMBER(--LEFT(A1472,FIND(" - ",A1472&amp;" - ")-1)),LEFT(A1472,FIND(" - ",A1472&amp;" - ")-1),TRIM(A1472)))</f>
        <v/>
      </c>
      <c r="M1472">
        <f>IF(OR(K1472="",K1472=A1472,A1472=""),"",K1472&amp;"|"&amp;L1472)</f>
        <v/>
      </c>
      <c r="N1472">
        <f>IF(M1472="","",IF(ISNUMBER(B1472),B1472,IFERROR(_xlfn.NUMBERVALUE(B1472,".",","),0)))</f>
        <v/>
      </c>
      <c r="O1472">
        <f>IF(M1472="","",IF(ISNUMBER(C1472),C1472,IFERROR(_xlfn.NUMBERVALUE(C1472,".",","),0)))</f>
        <v/>
      </c>
    </row>
    <row r="1473">
      <c r="K1473">
        <f>IF(OR(LEFT(B1473,9)="DOANH THU",LEFT(B1473,8)="SỐ LƯỢNG"),A1473,IF(A1473="","",K1472))</f>
        <v/>
      </c>
      <c r="L1473">
        <f>IF(A1473="","",IF(ISNUMBER(--LEFT(A1473,FIND(" - ",A1473&amp;" - ")-1)),LEFT(A1473,FIND(" - ",A1473&amp;" - ")-1),TRIM(A1473)))</f>
        <v/>
      </c>
      <c r="M1473">
        <f>IF(OR(K1473="",K1473=A1473,A1473=""),"",K1473&amp;"|"&amp;L1473)</f>
        <v/>
      </c>
      <c r="N1473">
        <f>IF(M1473="","",IF(ISNUMBER(B1473),B1473,IFERROR(_xlfn.NUMBERVALUE(B1473,".",","),0)))</f>
        <v/>
      </c>
      <c r="O1473">
        <f>IF(M1473="","",IF(ISNUMBER(C1473),C1473,IFERROR(_xlfn.NUMBERVALUE(C1473,".",","),0)))</f>
        <v/>
      </c>
    </row>
    <row r="1474">
      <c r="K1474">
        <f>IF(OR(LEFT(B1474,9)="DOANH THU",LEFT(B1474,8)="SỐ LƯỢNG"),A1474,IF(A1474="","",K1473))</f>
        <v/>
      </c>
      <c r="L1474">
        <f>IF(A1474="","",IF(ISNUMBER(--LEFT(A1474,FIND(" - ",A1474&amp;" - ")-1)),LEFT(A1474,FIND(" - ",A1474&amp;" - ")-1),TRIM(A1474)))</f>
        <v/>
      </c>
      <c r="M1474">
        <f>IF(OR(K1474="",K1474=A1474,A1474=""),"",K1474&amp;"|"&amp;L1474)</f>
        <v/>
      </c>
      <c r="N1474">
        <f>IF(M1474="","",IF(ISNUMBER(B1474),B1474,IFERROR(_xlfn.NUMBERVALUE(B1474,".",","),0)))</f>
        <v/>
      </c>
      <c r="O1474">
        <f>IF(M1474="","",IF(ISNUMBER(C1474),C1474,IFERROR(_xlfn.NUMBERVALUE(C1474,".",","),0)))</f>
        <v/>
      </c>
    </row>
    <row r="1475">
      <c r="K1475">
        <f>IF(OR(LEFT(B1475,9)="DOANH THU",LEFT(B1475,8)="SỐ LƯỢNG"),A1475,IF(A1475="","",K1474))</f>
        <v/>
      </c>
      <c r="L1475">
        <f>IF(A1475="","",IF(ISNUMBER(--LEFT(A1475,FIND(" - ",A1475&amp;" - ")-1)),LEFT(A1475,FIND(" - ",A1475&amp;" - ")-1),TRIM(A1475)))</f>
        <v/>
      </c>
      <c r="M1475">
        <f>IF(OR(K1475="",K1475=A1475,A1475=""),"",K1475&amp;"|"&amp;L1475)</f>
        <v/>
      </c>
      <c r="N1475">
        <f>IF(M1475="","",IF(ISNUMBER(B1475),B1475,IFERROR(_xlfn.NUMBERVALUE(B1475,".",","),0)))</f>
        <v/>
      </c>
      <c r="O1475">
        <f>IF(M1475="","",IF(ISNUMBER(C1475),C1475,IFERROR(_xlfn.NUMBERVALUE(C1475,".",","),0)))</f>
        <v/>
      </c>
    </row>
    <row r="1476">
      <c r="K1476">
        <f>IF(OR(LEFT(B1476,9)="DOANH THU",LEFT(B1476,8)="SỐ LƯỢNG"),A1476,IF(A1476="","",K1475))</f>
        <v/>
      </c>
      <c r="L1476">
        <f>IF(A1476="","",IF(ISNUMBER(--LEFT(A1476,FIND(" - ",A1476&amp;" - ")-1)),LEFT(A1476,FIND(" - ",A1476&amp;" - ")-1),TRIM(A1476)))</f>
        <v/>
      </c>
      <c r="M1476">
        <f>IF(OR(K1476="",K1476=A1476,A1476=""),"",K1476&amp;"|"&amp;L1476)</f>
        <v/>
      </c>
      <c r="N1476">
        <f>IF(M1476="","",IF(ISNUMBER(B1476),B1476,IFERROR(_xlfn.NUMBERVALUE(B1476,".",","),0)))</f>
        <v/>
      </c>
      <c r="O1476">
        <f>IF(M1476="","",IF(ISNUMBER(C1476),C1476,IFERROR(_xlfn.NUMBERVALUE(C1476,".",","),0)))</f>
        <v/>
      </c>
    </row>
    <row r="1477">
      <c r="K1477">
        <f>IF(OR(LEFT(B1477,9)="DOANH THU",LEFT(B1477,8)="SỐ LƯỢNG"),A1477,IF(A1477="","",K1476))</f>
        <v/>
      </c>
      <c r="L1477">
        <f>IF(A1477="","",IF(ISNUMBER(--LEFT(A1477,FIND(" - ",A1477&amp;" - ")-1)),LEFT(A1477,FIND(" - ",A1477&amp;" - ")-1),TRIM(A1477)))</f>
        <v/>
      </c>
      <c r="M1477">
        <f>IF(OR(K1477="",K1477=A1477,A1477=""),"",K1477&amp;"|"&amp;L1477)</f>
        <v/>
      </c>
      <c r="N1477">
        <f>IF(M1477="","",IF(ISNUMBER(B1477),B1477,IFERROR(_xlfn.NUMBERVALUE(B1477,".",","),0)))</f>
        <v/>
      </c>
      <c r="O1477">
        <f>IF(M1477="","",IF(ISNUMBER(C1477),C1477,IFERROR(_xlfn.NUMBERVALUE(C1477,".",","),0)))</f>
        <v/>
      </c>
    </row>
    <row r="1478">
      <c r="K1478">
        <f>IF(OR(LEFT(B1478,9)="DOANH THU",LEFT(B1478,8)="SỐ LƯỢNG"),A1478,IF(A1478="","",K1477))</f>
        <v/>
      </c>
      <c r="L1478">
        <f>IF(A1478="","",IF(ISNUMBER(--LEFT(A1478,FIND(" - ",A1478&amp;" - ")-1)),LEFT(A1478,FIND(" - ",A1478&amp;" - ")-1),TRIM(A1478)))</f>
        <v/>
      </c>
      <c r="M1478">
        <f>IF(OR(K1478="",K1478=A1478,A1478=""),"",K1478&amp;"|"&amp;L1478)</f>
        <v/>
      </c>
      <c r="N1478">
        <f>IF(M1478="","",IF(ISNUMBER(B1478),B1478,IFERROR(_xlfn.NUMBERVALUE(B1478,".",","),0)))</f>
        <v/>
      </c>
      <c r="O1478">
        <f>IF(M1478="","",IF(ISNUMBER(C1478),C1478,IFERROR(_xlfn.NUMBERVALUE(C1478,".",","),0)))</f>
        <v/>
      </c>
    </row>
    <row r="1479">
      <c r="K1479">
        <f>IF(OR(LEFT(B1479,9)="DOANH THU",LEFT(B1479,8)="SỐ LƯỢNG"),A1479,IF(A1479="","",K1478))</f>
        <v/>
      </c>
      <c r="L1479">
        <f>IF(A1479="","",IF(ISNUMBER(--LEFT(A1479,FIND(" - ",A1479&amp;" - ")-1)),LEFT(A1479,FIND(" - ",A1479&amp;" - ")-1),TRIM(A1479)))</f>
        <v/>
      </c>
      <c r="M1479">
        <f>IF(OR(K1479="",K1479=A1479,A1479=""),"",K1479&amp;"|"&amp;L1479)</f>
        <v/>
      </c>
      <c r="N1479">
        <f>IF(M1479="","",IF(ISNUMBER(B1479),B1479,IFERROR(_xlfn.NUMBERVALUE(B1479,".",","),0)))</f>
        <v/>
      </c>
      <c r="O1479">
        <f>IF(M1479="","",IF(ISNUMBER(C1479),C1479,IFERROR(_xlfn.NUMBERVALUE(C1479,".",","),0)))</f>
        <v/>
      </c>
    </row>
    <row r="1480">
      <c r="K1480">
        <f>IF(OR(LEFT(B1480,9)="DOANH THU",LEFT(B1480,8)="SỐ LƯỢNG"),A1480,IF(A1480="","",K1479))</f>
        <v/>
      </c>
      <c r="L1480">
        <f>IF(A1480="","",IF(ISNUMBER(--LEFT(A1480,FIND(" - ",A1480&amp;" - ")-1)),LEFT(A1480,FIND(" - ",A1480&amp;" - ")-1),TRIM(A1480)))</f>
        <v/>
      </c>
      <c r="M1480">
        <f>IF(OR(K1480="",K1480=A1480,A1480=""),"",K1480&amp;"|"&amp;L1480)</f>
        <v/>
      </c>
      <c r="N1480">
        <f>IF(M1480="","",IF(ISNUMBER(B1480),B1480,IFERROR(_xlfn.NUMBERVALUE(B1480,".",","),0)))</f>
        <v/>
      </c>
      <c r="O1480">
        <f>IF(M1480="","",IF(ISNUMBER(C1480),C1480,IFERROR(_xlfn.NUMBERVALUE(C1480,".",","),0)))</f>
        <v/>
      </c>
    </row>
    <row r="1481">
      <c r="K1481">
        <f>IF(OR(LEFT(B1481,9)="DOANH THU",LEFT(B1481,8)="SỐ LƯỢNG"),A1481,IF(A1481="","",K1480))</f>
        <v/>
      </c>
      <c r="L1481">
        <f>IF(A1481="","",IF(ISNUMBER(--LEFT(A1481,FIND(" - ",A1481&amp;" - ")-1)),LEFT(A1481,FIND(" - ",A1481&amp;" - ")-1),TRIM(A1481)))</f>
        <v/>
      </c>
      <c r="M1481">
        <f>IF(OR(K1481="",K1481=A1481,A1481=""),"",K1481&amp;"|"&amp;L1481)</f>
        <v/>
      </c>
      <c r="N1481">
        <f>IF(M1481="","",IF(ISNUMBER(B1481),B1481,IFERROR(_xlfn.NUMBERVALUE(B1481,".",","),0)))</f>
        <v/>
      </c>
      <c r="O1481">
        <f>IF(M1481="","",IF(ISNUMBER(C1481),C1481,IFERROR(_xlfn.NUMBERVALUE(C1481,".",","),0)))</f>
        <v/>
      </c>
    </row>
    <row r="1482">
      <c r="K1482">
        <f>IF(OR(LEFT(B1482,9)="DOANH THU",LEFT(B1482,8)="SỐ LƯỢNG"),A1482,IF(A1482="","",K1481))</f>
        <v/>
      </c>
      <c r="L1482">
        <f>IF(A1482="","",IF(ISNUMBER(--LEFT(A1482,FIND(" - ",A1482&amp;" - ")-1)),LEFT(A1482,FIND(" - ",A1482&amp;" - ")-1),TRIM(A1482)))</f>
        <v/>
      </c>
      <c r="M1482">
        <f>IF(OR(K1482="",K1482=A1482,A1482=""),"",K1482&amp;"|"&amp;L1482)</f>
        <v/>
      </c>
      <c r="N1482">
        <f>IF(M1482="","",IF(ISNUMBER(B1482),B1482,IFERROR(_xlfn.NUMBERVALUE(B1482,".",","),0)))</f>
        <v/>
      </c>
      <c r="O1482">
        <f>IF(M1482="","",IF(ISNUMBER(C1482),C1482,IFERROR(_xlfn.NUMBERVALUE(C1482,".",","),0)))</f>
        <v/>
      </c>
    </row>
    <row r="1483">
      <c r="K1483">
        <f>IF(OR(LEFT(B1483,9)="DOANH THU",LEFT(B1483,8)="SỐ LƯỢNG"),A1483,IF(A1483="","",K1482))</f>
        <v/>
      </c>
      <c r="L1483">
        <f>IF(A1483="","",IF(ISNUMBER(--LEFT(A1483,FIND(" - ",A1483&amp;" - ")-1)),LEFT(A1483,FIND(" - ",A1483&amp;" - ")-1),TRIM(A1483)))</f>
        <v/>
      </c>
      <c r="M1483">
        <f>IF(OR(K1483="",K1483=A1483,A1483=""),"",K1483&amp;"|"&amp;L1483)</f>
        <v/>
      </c>
      <c r="N1483">
        <f>IF(M1483="","",IF(ISNUMBER(B1483),B1483,IFERROR(_xlfn.NUMBERVALUE(B1483,".",","),0)))</f>
        <v/>
      </c>
      <c r="O1483">
        <f>IF(M1483="","",IF(ISNUMBER(C1483),C1483,IFERROR(_xlfn.NUMBERVALUE(C1483,".",","),0)))</f>
        <v/>
      </c>
    </row>
    <row r="1484">
      <c r="K1484">
        <f>IF(OR(LEFT(B1484,9)="DOANH THU",LEFT(B1484,8)="SỐ LƯỢNG"),A1484,IF(A1484="","",K1483))</f>
        <v/>
      </c>
      <c r="L1484">
        <f>IF(A1484="","",IF(ISNUMBER(--LEFT(A1484,FIND(" - ",A1484&amp;" - ")-1)),LEFT(A1484,FIND(" - ",A1484&amp;" - ")-1),TRIM(A1484)))</f>
        <v/>
      </c>
      <c r="M1484">
        <f>IF(OR(K1484="",K1484=A1484,A1484=""),"",K1484&amp;"|"&amp;L1484)</f>
        <v/>
      </c>
      <c r="N1484">
        <f>IF(M1484="","",IF(ISNUMBER(B1484),B1484,IFERROR(_xlfn.NUMBERVALUE(B1484,".",","),0)))</f>
        <v/>
      </c>
      <c r="O1484">
        <f>IF(M1484="","",IF(ISNUMBER(C1484),C1484,IFERROR(_xlfn.NUMBERVALUE(C1484,".",","),0)))</f>
        <v/>
      </c>
    </row>
    <row r="1485">
      <c r="K1485">
        <f>IF(OR(LEFT(B1485,9)="DOANH THU",LEFT(B1485,8)="SỐ LƯỢNG"),A1485,IF(A1485="","",K1484))</f>
        <v/>
      </c>
      <c r="L1485">
        <f>IF(A1485="","",IF(ISNUMBER(--LEFT(A1485,FIND(" - ",A1485&amp;" - ")-1)),LEFT(A1485,FIND(" - ",A1485&amp;" - ")-1),TRIM(A1485)))</f>
        <v/>
      </c>
      <c r="M1485">
        <f>IF(OR(K1485="",K1485=A1485,A1485=""),"",K1485&amp;"|"&amp;L1485)</f>
        <v/>
      </c>
      <c r="N1485">
        <f>IF(M1485="","",IF(ISNUMBER(B1485),B1485,IFERROR(_xlfn.NUMBERVALUE(B1485,".",","),0)))</f>
        <v/>
      </c>
      <c r="O1485">
        <f>IF(M1485="","",IF(ISNUMBER(C1485),C1485,IFERROR(_xlfn.NUMBERVALUE(C1485,".",","),0)))</f>
        <v/>
      </c>
    </row>
    <row r="1486">
      <c r="K1486">
        <f>IF(OR(LEFT(B1486,9)="DOANH THU",LEFT(B1486,8)="SỐ LƯỢNG"),A1486,IF(A1486="","",K1485))</f>
        <v/>
      </c>
      <c r="L1486">
        <f>IF(A1486="","",IF(ISNUMBER(--LEFT(A1486,FIND(" - ",A1486&amp;" - ")-1)),LEFT(A1486,FIND(" - ",A1486&amp;" - ")-1),TRIM(A1486)))</f>
        <v/>
      </c>
      <c r="M1486">
        <f>IF(OR(K1486="",K1486=A1486,A1486=""),"",K1486&amp;"|"&amp;L1486)</f>
        <v/>
      </c>
      <c r="N1486">
        <f>IF(M1486="","",IF(ISNUMBER(B1486),B1486,IFERROR(_xlfn.NUMBERVALUE(B1486,".",","),0)))</f>
        <v/>
      </c>
      <c r="O1486">
        <f>IF(M1486="","",IF(ISNUMBER(C1486),C1486,IFERROR(_xlfn.NUMBERVALUE(C1486,".",","),0)))</f>
        <v/>
      </c>
    </row>
    <row r="1487">
      <c r="K1487">
        <f>IF(OR(LEFT(B1487,9)="DOANH THU",LEFT(B1487,8)="SỐ LƯỢNG"),A1487,IF(A1487="","",K1486))</f>
        <v/>
      </c>
      <c r="L1487">
        <f>IF(A1487="","",IF(ISNUMBER(--LEFT(A1487,FIND(" - ",A1487&amp;" - ")-1)),LEFT(A1487,FIND(" - ",A1487&amp;" - ")-1),TRIM(A1487)))</f>
        <v/>
      </c>
      <c r="M1487">
        <f>IF(OR(K1487="",K1487=A1487,A1487=""),"",K1487&amp;"|"&amp;L1487)</f>
        <v/>
      </c>
      <c r="N1487">
        <f>IF(M1487="","",IF(ISNUMBER(B1487),B1487,IFERROR(_xlfn.NUMBERVALUE(B1487,".",","),0)))</f>
        <v/>
      </c>
      <c r="O1487">
        <f>IF(M1487="","",IF(ISNUMBER(C1487),C1487,IFERROR(_xlfn.NUMBERVALUE(C1487,".",","),0)))</f>
        <v/>
      </c>
    </row>
    <row r="1488">
      <c r="K1488">
        <f>IF(OR(LEFT(B1488,9)="DOANH THU",LEFT(B1488,8)="SỐ LƯỢNG"),A1488,IF(A1488="","",K1487))</f>
        <v/>
      </c>
      <c r="L1488">
        <f>IF(A1488="","",IF(ISNUMBER(--LEFT(A1488,FIND(" - ",A1488&amp;" - ")-1)),LEFT(A1488,FIND(" - ",A1488&amp;" - ")-1),TRIM(A1488)))</f>
        <v/>
      </c>
      <c r="M1488">
        <f>IF(OR(K1488="",K1488=A1488,A1488=""),"",K1488&amp;"|"&amp;L1488)</f>
        <v/>
      </c>
      <c r="N1488">
        <f>IF(M1488="","",IF(ISNUMBER(B1488),B1488,IFERROR(_xlfn.NUMBERVALUE(B1488,".",","),0)))</f>
        <v/>
      </c>
      <c r="O1488">
        <f>IF(M1488="","",IF(ISNUMBER(C1488),C1488,IFERROR(_xlfn.NUMBERVALUE(C1488,".",","),0)))</f>
        <v/>
      </c>
    </row>
    <row r="1489">
      <c r="K1489">
        <f>IF(OR(LEFT(B1489,9)="DOANH THU",LEFT(B1489,8)="SỐ LƯỢNG"),A1489,IF(A1489="","",K1488))</f>
        <v/>
      </c>
      <c r="L1489">
        <f>IF(A1489="","",IF(ISNUMBER(--LEFT(A1489,FIND(" - ",A1489&amp;" - ")-1)),LEFT(A1489,FIND(" - ",A1489&amp;" - ")-1),TRIM(A1489)))</f>
        <v/>
      </c>
      <c r="M1489">
        <f>IF(OR(K1489="",K1489=A1489,A1489=""),"",K1489&amp;"|"&amp;L1489)</f>
        <v/>
      </c>
      <c r="N1489">
        <f>IF(M1489="","",IF(ISNUMBER(B1489),B1489,IFERROR(_xlfn.NUMBERVALUE(B1489,".",","),0)))</f>
        <v/>
      </c>
      <c r="O1489">
        <f>IF(M1489="","",IF(ISNUMBER(C1489),C1489,IFERROR(_xlfn.NUMBERVALUE(C1489,".",","),0)))</f>
        <v/>
      </c>
    </row>
    <row r="1490">
      <c r="K1490">
        <f>IF(OR(LEFT(B1490,9)="DOANH THU",LEFT(B1490,8)="SỐ LƯỢNG"),A1490,IF(A1490="","",K1489))</f>
        <v/>
      </c>
      <c r="L1490">
        <f>IF(A1490="","",IF(ISNUMBER(--LEFT(A1490,FIND(" - ",A1490&amp;" - ")-1)),LEFT(A1490,FIND(" - ",A1490&amp;" - ")-1),TRIM(A1490)))</f>
        <v/>
      </c>
      <c r="M1490">
        <f>IF(OR(K1490="",K1490=A1490,A1490=""),"",K1490&amp;"|"&amp;L1490)</f>
        <v/>
      </c>
      <c r="N1490">
        <f>IF(M1490="","",IF(ISNUMBER(B1490),B1490,IFERROR(_xlfn.NUMBERVALUE(B1490,".",","),0)))</f>
        <v/>
      </c>
      <c r="O1490">
        <f>IF(M1490="","",IF(ISNUMBER(C1490),C1490,IFERROR(_xlfn.NUMBERVALUE(C1490,".",","),0)))</f>
        <v/>
      </c>
    </row>
    <row r="1491">
      <c r="K1491">
        <f>IF(OR(LEFT(B1491,9)="DOANH THU",LEFT(B1491,8)="SỐ LƯỢNG"),A1491,IF(A1491="","",K1490))</f>
        <v/>
      </c>
      <c r="L1491">
        <f>IF(A1491="","",IF(ISNUMBER(--LEFT(A1491,FIND(" - ",A1491&amp;" - ")-1)),LEFT(A1491,FIND(" - ",A1491&amp;" - ")-1),TRIM(A1491)))</f>
        <v/>
      </c>
      <c r="M1491">
        <f>IF(OR(K1491="",K1491=A1491,A1491=""),"",K1491&amp;"|"&amp;L1491)</f>
        <v/>
      </c>
      <c r="N1491">
        <f>IF(M1491="","",IF(ISNUMBER(B1491),B1491,IFERROR(_xlfn.NUMBERVALUE(B1491,".",","),0)))</f>
        <v/>
      </c>
      <c r="O1491">
        <f>IF(M1491="","",IF(ISNUMBER(C1491),C1491,IFERROR(_xlfn.NUMBERVALUE(C1491,".",","),0)))</f>
        <v/>
      </c>
    </row>
    <row r="1492">
      <c r="K1492">
        <f>IF(OR(LEFT(B1492,9)="DOANH THU",LEFT(B1492,8)="SỐ LƯỢNG"),A1492,IF(A1492="","",K1491))</f>
        <v/>
      </c>
      <c r="L1492">
        <f>IF(A1492="","",IF(ISNUMBER(--LEFT(A1492,FIND(" - ",A1492&amp;" - ")-1)),LEFT(A1492,FIND(" - ",A1492&amp;" - ")-1),TRIM(A1492)))</f>
        <v/>
      </c>
      <c r="M1492">
        <f>IF(OR(K1492="",K1492=A1492,A1492=""),"",K1492&amp;"|"&amp;L1492)</f>
        <v/>
      </c>
      <c r="N1492">
        <f>IF(M1492="","",IF(ISNUMBER(B1492),B1492,IFERROR(_xlfn.NUMBERVALUE(B1492,".",","),0)))</f>
        <v/>
      </c>
      <c r="O1492">
        <f>IF(M1492="","",IF(ISNUMBER(C1492),C1492,IFERROR(_xlfn.NUMBERVALUE(C1492,".",","),0)))</f>
        <v/>
      </c>
    </row>
    <row r="1493">
      <c r="K1493">
        <f>IF(OR(LEFT(B1493,9)="DOANH THU",LEFT(B1493,8)="SỐ LƯỢNG"),A1493,IF(A1493="","",K1492))</f>
        <v/>
      </c>
      <c r="L1493">
        <f>IF(A1493="","",IF(ISNUMBER(--LEFT(A1493,FIND(" - ",A1493&amp;" - ")-1)),LEFT(A1493,FIND(" - ",A1493&amp;" - ")-1),TRIM(A1493)))</f>
        <v/>
      </c>
      <c r="M1493">
        <f>IF(OR(K1493="",K1493=A1493,A1493=""),"",K1493&amp;"|"&amp;L1493)</f>
        <v/>
      </c>
      <c r="N1493">
        <f>IF(M1493="","",IF(ISNUMBER(B1493),B1493,IFERROR(_xlfn.NUMBERVALUE(B1493,".",","),0)))</f>
        <v/>
      </c>
      <c r="O1493">
        <f>IF(M1493="","",IF(ISNUMBER(C1493),C1493,IFERROR(_xlfn.NUMBERVALUE(C1493,".",","),0)))</f>
        <v/>
      </c>
    </row>
    <row r="1494">
      <c r="K1494">
        <f>IF(OR(LEFT(B1494,9)="DOANH THU",LEFT(B1494,8)="SỐ LƯỢNG"),A1494,IF(A1494="","",K1493))</f>
        <v/>
      </c>
      <c r="L1494">
        <f>IF(A1494="","",IF(ISNUMBER(--LEFT(A1494,FIND(" - ",A1494&amp;" - ")-1)),LEFT(A1494,FIND(" - ",A1494&amp;" - ")-1),TRIM(A1494)))</f>
        <v/>
      </c>
      <c r="M1494">
        <f>IF(OR(K1494="",K1494=A1494,A1494=""),"",K1494&amp;"|"&amp;L1494)</f>
        <v/>
      </c>
      <c r="N1494">
        <f>IF(M1494="","",IF(ISNUMBER(B1494),B1494,IFERROR(_xlfn.NUMBERVALUE(B1494,".",","),0)))</f>
        <v/>
      </c>
      <c r="O1494">
        <f>IF(M1494="","",IF(ISNUMBER(C1494),C1494,IFERROR(_xlfn.NUMBERVALUE(C1494,".",","),0)))</f>
        <v/>
      </c>
    </row>
    <row r="1495">
      <c r="K1495">
        <f>IF(OR(LEFT(B1495,9)="DOANH THU",LEFT(B1495,8)="SỐ LƯỢNG"),A1495,IF(A1495="","",K1494))</f>
        <v/>
      </c>
      <c r="L1495">
        <f>IF(A1495="","",IF(ISNUMBER(--LEFT(A1495,FIND(" - ",A1495&amp;" - ")-1)),LEFT(A1495,FIND(" - ",A1495&amp;" - ")-1),TRIM(A1495)))</f>
        <v/>
      </c>
      <c r="M1495">
        <f>IF(OR(K1495="",K1495=A1495,A1495=""),"",K1495&amp;"|"&amp;L1495)</f>
        <v/>
      </c>
      <c r="N1495">
        <f>IF(M1495="","",IF(ISNUMBER(B1495),B1495,IFERROR(_xlfn.NUMBERVALUE(B1495,".",","),0)))</f>
        <v/>
      </c>
      <c r="O1495">
        <f>IF(M1495="","",IF(ISNUMBER(C1495),C1495,IFERROR(_xlfn.NUMBERVALUE(C1495,".",","),0)))</f>
        <v/>
      </c>
    </row>
    <row r="1496">
      <c r="K1496">
        <f>IF(OR(LEFT(B1496,9)="DOANH THU",LEFT(B1496,8)="SỐ LƯỢNG"),A1496,IF(A1496="","",K1495))</f>
        <v/>
      </c>
      <c r="L1496">
        <f>IF(A1496="","",IF(ISNUMBER(--LEFT(A1496,FIND(" - ",A1496&amp;" - ")-1)),LEFT(A1496,FIND(" - ",A1496&amp;" - ")-1),TRIM(A1496)))</f>
        <v/>
      </c>
      <c r="M1496">
        <f>IF(OR(K1496="",K1496=A1496,A1496=""),"",K1496&amp;"|"&amp;L1496)</f>
        <v/>
      </c>
      <c r="N1496">
        <f>IF(M1496="","",IF(ISNUMBER(B1496),B1496,IFERROR(_xlfn.NUMBERVALUE(B1496,".",","),0)))</f>
        <v/>
      </c>
      <c r="O1496">
        <f>IF(M1496="","",IF(ISNUMBER(C1496),C1496,IFERROR(_xlfn.NUMBERVALUE(C1496,".",","),0)))</f>
        <v/>
      </c>
    </row>
    <row r="1497">
      <c r="K1497">
        <f>IF(OR(LEFT(B1497,9)="DOANH THU",LEFT(B1497,8)="SỐ LƯỢNG"),A1497,IF(A1497="","",K1496))</f>
        <v/>
      </c>
      <c r="L1497">
        <f>IF(A1497="","",IF(ISNUMBER(--LEFT(A1497,FIND(" - ",A1497&amp;" - ")-1)),LEFT(A1497,FIND(" - ",A1497&amp;" - ")-1),TRIM(A1497)))</f>
        <v/>
      </c>
      <c r="M1497">
        <f>IF(OR(K1497="",K1497=A1497,A1497=""),"",K1497&amp;"|"&amp;L1497)</f>
        <v/>
      </c>
      <c r="N1497">
        <f>IF(M1497="","",IF(ISNUMBER(B1497),B1497,IFERROR(_xlfn.NUMBERVALUE(B1497,".",","),0)))</f>
        <v/>
      </c>
      <c r="O1497">
        <f>IF(M1497="","",IF(ISNUMBER(C1497),C1497,IFERROR(_xlfn.NUMBERVALUE(C1497,".",","),0)))</f>
        <v/>
      </c>
    </row>
    <row r="1498">
      <c r="K1498">
        <f>IF(OR(LEFT(B1498,9)="DOANH THU",LEFT(B1498,8)="SỐ LƯỢNG"),A1498,IF(A1498="","",K1497))</f>
        <v/>
      </c>
      <c r="L1498">
        <f>IF(A1498="","",IF(ISNUMBER(--LEFT(A1498,FIND(" - ",A1498&amp;" - ")-1)),LEFT(A1498,FIND(" - ",A1498&amp;" - ")-1),TRIM(A1498)))</f>
        <v/>
      </c>
      <c r="M1498">
        <f>IF(OR(K1498="",K1498=A1498,A1498=""),"",K1498&amp;"|"&amp;L1498)</f>
        <v/>
      </c>
      <c r="N1498">
        <f>IF(M1498="","",IF(ISNUMBER(B1498),B1498,IFERROR(_xlfn.NUMBERVALUE(B1498,".",","),0)))</f>
        <v/>
      </c>
      <c r="O1498">
        <f>IF(M1498="","",IF(ISNUMBER(C1498),C1498,IFERROR(_xlfn.NUMBERVALUE(C1498,".",","),0)))</f>
        <v/>
      </c>
    </row>
    <row r="1499">
      <c r="K1499">
        <f>IF(OR(LEFT(B1499,9)="DOANH THU",LEFT(B1499,8)="SỐ LƯỢNG"),A1499,IF(A1499="","",K1498))</f>
        <v/>
      </c>
      <c r="L1499">
        <f>IF(A1499="","",IF(ISNUMBER(--LEFT(A1499,FIND(" - ",A1499&amp;" - ")-1)),LEFT(A1499,FIND(" - ",A1499&amp;" - ")-1),TRIM(A1499)))</f>
        <v/>
      </c>
      <c r="M1499">
        <f>IF(OR(K1499="",K1499=A1499,A1499=""),"",K1499&amp;"|"&amp;L1499)</f>
        <v/>
      </c>
      <c r="N1499">
        <f>IF(M1499="","",IF(ISNUMBER(B1499),B1499,IFERROR(_xlfn.NUMBERVALUE(B1499,".",","),0)))</f>
        <v/>
      </c>
      <c r="O1499">
        <f>IF(M1499="","",IF(ISNUMBER(C1499),C1499,IFERROR(_xlfn.NUMBERVALUE(C1499,".",","),0)))</f>
        <v/>
      </c>
    </row>
    <row r="1500">
      <c r="K1500">
        <f>IF(OR(LEFT(B1500,9)="DOANH THU",LEFT(B1500,8)="SỐ LƯỢNG"),A1500,IF(A1500="","",K1499))</f>
        <v/>
      </c>
      <c r="L1500">
        <f>IF(A1500="","",IF(ISNUMBER(--LEFT(A1500,FIND(" - ",A1500&amp;" - ")-1)),LEFT(A1500,FIND(" - ",A1500&amp;" - ")-1),TRIM(A1500)))</f>
        <v/>
      </c>
      <c r="M1500">
        <f>IF(OR(K1500="",K1500=A1500,A1500=""),"",K1500&amp;"|"&amp;L1500)</f>
        <v/>
      </c>
      <c r="N1500">
        <f>IF(M1500="","",IF(ISNUMBER(B1500),B1500,IFERROR(_xlfn.NUMBERVALUE(B1500,".",","),0)))</f>
        <v/>
      </c>
      <c r="O1500">
        <f>IF(M1500="","",IF(ISNUMBER(C1500),C1500,IFERROR(_xlfn.NUMBERVALUE(C1500,".",","),0)))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J1:O1500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J1" s="71" t="inlineStr">
        <is>
          <t>◀ DÁN VÀO Ô A1 (cột A–H). Cột K–O là công thức, đừng xóa.</t>
        </is>
      </c>
      <c r="K1">
        <f>IF(OR(LEFT(B1,9)="DOANH THU",LEFT(B1,8)="SỐ LƯỢNG"),A1,"")</f>
        <v/>
      </c>
      <c r="L1">
        <f>IF(A1="","",IF(ISNUMBER(--LEFT(A1,FIND(" - ",A1&amp;" - ")-1)),LEFT(A1,FIND(" - ",A1&amp;" - ")-1),TRIM(A1)))</f>
        <v/>
      </c>
      <c r="M1">
        <f>IF(OR(K1="",K1=A1,A1=""),"",K1&amp;"|"&amp;L1)</f>
        <v/>
      </c>
      <c r="N1">
        <f>IF(M1="","",IF(ISNUMBER(B1),B1,IFERROR(_xlfn.NUMBERVALUE(B1,".",","),0)))</f>
        <v/>
      </c>
      <c r="O1">
        <f>IF(M1="","",IF(ISNUMBER(C1),C1,IFERROR(_xlfn.NUMBERVALUE(C1,".",","),0)))</f>
        <v/>
      </c>
    </row>
    <row r="2">
      <c r="J2" s="58" t="inlineStr">
        <is>
          <t>Trang Thi đua · Lũy kế · Danh sách · bấm vào TÊN SIÊU THỊ (ra từng NV) · "Chép bảng" · dán; siêu thị sau dán tiếp ngay bên dưới</t>
        </is>
      </c>
      <c r="K2">
        <f>IF(OR(LEFT(B2,9)="DOANH THU",LEFT(B2,8)="SỐ LƯỢNG"),A2,IF(A2="","",K1))</f>
        <v/>
      </c>
      <c r="L2">
        <f>IF(A2="","",IF(ISNUMBER(--LEFT(A2,FIND(" - ",A2&amp;" - ")-1)),LEFT(A2,FIND(" - ",A2&amp;" - ")-1),TRIM(A2)))</f>
        <v/>
      </c>
      <c r="M2">
        <f>IF(OR(K2="",K2=A2,A2=""),"",K2&amp;"|"&amp;L2)</f>
        <v/>
      </c>
      <c r="N2">
        <f>IF(M2="","",IF(ISNUMBER(B2),B2,IFERROR(_xlfn.NUMBERVALUE(B2,".",","),0)))</f>
        <v/>
      </c>
      <c r="O2">
        <f>IF(M2="","",IF(ISNUMBER(C2),C2,IFERROR(_xlfn.NUMBERVALUE(C2,".",","),0)))</f>
        <v/>
      </c>
    </row>
    <row r="3">
      <c r="J3" s="72" t="inlineStr">
        <is>
          <t>Mỗi chương trình: TỔNG + từng NV dạng "mã - họ tên"</t>
        </is>
      </c>
      <c r="K3">
        <f>IF(OR(LEFT(B3,9)="DOANH THU",LEFT(B3,8)="SỐ LƯỢNG"),A3,IF(A3="","",K2))</f>
        <v/>
      </c>
      <c r="L3">
        <f>IF(A3="","",IF(ISNUMBER(--LEFT(A3,FIND(" - ",A3&amp;" - ")-1)),LEFT(A3,FIND(" - ",A3&amp;" - ")-1),TRIM(A3)))</f>
        <v/>
      </c>
      <c r="M3">
        <f>IF(OR(K3="",K3=A3,A3=""),"",K3&amp;"|"&amp;L3)</f>
        <v/>
      </c>
      <c r="N3">
        <f>IF(M3="","",IF(ISNUMBER(B3),B3,IFERROR(_xlfn.NUMBERVALUE(B3,".",","),0)))</f>
        <v/>
      </c>
      <c r="O3">
        <f>IF(M3="","",IF(ISNUMBER(C3),C3,IFERROR(_xlfn.NUMBERVALUE(C3,".",","),0)))</f>
        <v/>
      </c>
    </row>
    <row r="4">
      <c r="K4">
        <f>IF(OR(LEFT(B4,9)="DOANH THU",LEFT(B4,8)="SỐ LƯỢNG"),A4,IF(A4="","",K3))</f>
        <v/>
      </c>
      <c r="L4">
        <f>IF(A4="","",IF(ISNUMBER(--LEFT(A4,FIND(" - ",A4&amp;" - ")-1)),LEFT(A4,FIND(" - ",A4&amp;" - ")-1),TRIM(A4)))</f>
        <v/>
      </c>
      <c r="M4">
        <f>IF(OR(K4="",K4=A4,A4=""),"",K4&amp;"|"&amp;L4)</f>
        <v/>
      </c>
      <c r="N4">
        <f>IF(M4="","",IF(ISNUMBER(B4),B4,IFERROR(_xlfn.NUMBERVALUE(B4,".",","),0)))</f>
        <v/>
      </c>
      <c r="O4">
        <f>IF(M4="","",IF(ISNUMBER(C4),C4,IFERROR(_xlfn.NUMBERVALUE(C4,".",","),0)))</f>
        <v/>
      </c>
    </row>
    <row r="5">
      <c r="K5">
        <f>IF(OR(LEFT(B5,9)="DOANH THU",LEFT(B5,8)="SỐ LƯỢNG"),A5,IF(A5="","",K4))</f>
        <v/>
      </c>
      <c r="L5">
        <f>IF(A5="","",IF(ISNUMBER(--LEFT(A5,FIND(" - ",A5&amp;" - ")-1)),LEFT(A5,FIND(" - ",A5&amp;" - ")-1),TRIM(A5)))</f>
        <v/>
      </c>
      <c r="M5">
        <f>IF(OR(K5="",K5=A5,A5=""),"",K5&amp;"|"&amp;L5)</f>
        <v/>
      </c>
      <c r="N5">
        <f>IF(M5="","",IF(ISNUMBER(B5),B5,IFERROR(_xlfn.NUMBERVALUE(B5,".",","),0)))</f>
        <v/>
      </c>
      <c r="O5">
        <f>IF(M5="","",IF(ISNUMBER(C5),C5,IFERROR(_xlfn.NUMBERVALUE(C5,".",","),0)))</f>
        <v/>
      </c>
    </row>
    <row r="6">
      <c r="K6">
        <f>IF(OR(LEFT(B6,9)="DOANH THU",LEFT(B6,8)="SỐ LƯỢNG"),A6,IF(A6="","",K5))</f>
        <v/>
      </c>
      <c r="L6">
        <f>IF(A6="","",IF(ISNUMBER(--LEFT(A6,FIND(" - ",A6&amp;" - ")-1)),LEFT(A6,FIND(" - ",A6&amp;" - ")-1),TRIM(A6)))</f>
        <v/>
      </c>
      <c r="M6">
        <f>IF(OR(K6="",K6=A6,A6=""),"",K6&amp;"|"&amp;L6)</f>
        <v/>
      </c>
      <c r="N6">
        <f>IF(M6="","",IF(ISNUMBER(B6),B6,IFERROR(_xlfn.NUMBERVALUE(B6,".",","),0)))</f>
        <v/>
      </c>
      <c r="O6">
        <f>IF(M6="","",IF(ISNUMBER(C6),C6,IFERROR(_xlfn.NUMBERVALUE(C6,".",","),0)))</f>
        <v/>
      </c>
    </row>
    <row r="7">
      <c r="K7">
        <f>IF(OR(LEFT(B7,9)="DOANH THU",LEFT(B7,8)="SỐ LƯỢNG"),A7,IF(A7="","",K6))</f>
        <v/>
      </c>
      <c r="L7">
        <f>IF(A7="","",IF(ISNUMBER(--LEFT(A7,FIND(" - ",A7&amp;" - ")-1)),LEFT(A7,FIND(" - ",A7&amp;" - ")-1),TRIM(A7)))</f>
        <v/>
      </c>
      <c r="M7">
        <f>IF(OR(K7="",K7=A7,A7=""),"",K7&amp;"|"&amp;L7)</f>
        <v/>
      </c>
      <c r="N7">
        <f>IF(M7="","",IF(ISNUMBER(B7),B7,IFERROR(_xlfn.NUMBERVALUE(B7,".",","),0)))</f>
        <v/>
      </c>
      <c r="O7">
        <f>IF(M7="","",IF(ISNUMBER(C7),C7,IFERROR(_xlfn.NUMBERVALUE(C7,".",","),0)))</f>
        <v/>
      </c>
    </row>
    <row r="8">
      <c r="K8">
        <f>IF(OR(LEFT(B8,9)="DOANH THU",LEFT(B8,8)="SỐ LƯỢNG"),A8,IF(A8="","",K7))</f>
        <v/>
      </c>
      <c r="L8">
        <f>IF(A8="","",IF(ISNUMBER(--LEFT(A8,FIND(" - ",A8&amp;" - ")-1)),LEFT(A8,FIND(" - ",A8&amp;" - ")-1),TRIM(A8)))</f>
        <v/>
      </c>
      <c r="M8">
        <f>IF(OR(K8="",K8=A8,A8=""),"",K8&amp;"|"&amp;L8)</f>
        <v/>
      </c>
      <c r="N8">
        <f>IF(M8="","",IF(ISNUMBER(B8),B8,IFERROR(_xlfn.NUMBERVALUE(B8,".",","),0)))</f>
        <v/>
      </c>
      <c r="O8">
        <f>IF(M8="","",IF(ISNUMBER(C8),C8,IFERROR(_xlfn.NUMBERVALUE(C8,".",","),0)))</f>
        <v/>
      </c>
    </row>
    <row r="9">
      <c r="K9">
        <f>IF(OR(LEFT(B9,9)="DOANH THU",LEFT(B9,8)="SỐ LƯỢNG"),A9,IF(A9="","",K8))</f>
        <v/>
      </c>
      <c r="L9">
        <f>IF(A9="","",IF(ISNUMBER(--LEFT(A9,FIND(" - ",A9&amp;" - ")-1)),LEFT(A9,FIND(" - ",A9&amp;" - ")-1),TRIM(A9)))</f>
        <v/>
      </c>
      <c r="M9">
        <f>IF(OR(K9="",K9=A9,A9=""),"",K9&amp;"|"&amp;L9)</f>
        <v/>
      </c>
      <c r="N9">
        <f>IF(M9="","",IF(ISNUMBER(B9),B9,IFERROR(_xlfn.NUMBERVALUE(B9,".",","),0)))</f>
        <v/>
      </c>
      <c r="O9">
        <f>IF(M9="","",IF(ISNUMBER(C9),C9,IFERROR(_xlfn.NUMBERVALUE(C9,".",","),0)))</f>
        <v/>
      </c>
    </row>
    <row r="10">
      <c r="K10">
        <f>IF(OR(LEFT(B10,9)="DOANH THU",LEFT(B10,8)="SỐ LƯỢNG"),A10,IF(A10="","",K9))</f>
        <v/>
      </c>
      <c r="L10">
        <f>IF(A10="","",IF(ISNUMBER(--LEFT(A10,FIND(" - ",A10&amp;" - ")-1)),LEFT(A10,FIND(" - ",A10&amp;" - ")-1),TRIM(A10)))</f>
        <v/>
      </c>
      <c r="M10">
        <f>IF(OR(K10="",K10=A10,A10=""),"",K10&amp;"|"&amp;L10)</f>
        <v/>
      </c>
      <c r="N10">
        <f>IF(M10="","",IF(ISNUMBER(B10),B10,IFERROR(_xlfn.NUMBERVALUE(B10,".",","),0)))</f>
        <v/>
      </c>
      <c r="O10">
        <f>IF(M10="","",IF(ISNUMBER(C10),C10,IFERROR(_xlfn.NUMBERVALUE(C10,".",","),0)))</f>
        <v/>
      </c>
    </row>
    <row r="11">
      <c r="K11">
        <f>IF(OR(LEFT(B11,9)="DOANH THU",LEFT(B11,8)="SỐ LƯỢNG"),A11,IF(A11="","",K10))</f>
        <v/>
      </c>
      <c r="L11">
        <f>IF(A11="","",IF(ISNUMBER(--LEFT(A11,FIND(" - ",A11&amp;" - ")-1)),LEFT(A11,FIND(" - ",A11&amp;" - ")-1),TRIM(A11)))</f>
        <v/>
      </c>
      <c r="M11">
        <f>IF(OR(K11="",K11=A11,A11=""),"",K11&amp;"|"&amp;L11)</f>
        <v/>
      </c>
      <c r="N11">
        <f>IF(M11="","",IF(ISNUMBER(B11),B11,IFERROR(_xlfn.NUMBERVALUE(B11,".",","),0)))</f>
        <v/>
      </c>
      <c r="O11">
        <f>IF(M11="","",IF(ISNUMBER(C11),C11,IFERROR(_xlfn.NUMBERVALUE(C11,".",","),0)))</f>
        <v/>
      </c>
    </row>
    <row r="12">
      <c r="K12">
        <f>IF(OR(LEFT(B12,9)="DOANH THU",LEFT(B12,8)="SỐ LƯỢNG"),A12,IF(A12="","",K11))</f>
        <v/>
      </c>
      <c r="L12">
        <f>IF(A12="","",IF(ISNUMBER(--LEFT(A12,FIND(" - ",A12&amp;" - ")-1)),LEFT(A12,FIND(" - ",A12&amp;" - ")-1),TRIM(A12)))</f>
        <v/>
      </c>
      <c r="M12">
        <f>IF(OR(K12="",K12=A12,A12=""),"",K12&amp;"|"&amp;L12)</f>
        <v/>
      </c>
      <c r="N12">
        <f>IF(M12="","",IF(ISNUMBER(B12),B12,IFERROR(_xlfn.NUMBERVALUE(B12,".",","),0)))</f>
        <v/>
      </c>
      <c r="O12">
        <f>IF(M12="","",IF(ISNUMBER(C12),C12,IFERROR(_xlfn.NUMBERVALUE(C12,".",","),0)))</f>
        <v/>
      </c>
    </row>
    <row r="13">
      <c r="K13">
        <f>IF(OR(LEFT(B13,9)="DOANH THU",LEFT(B13,8)="SỐ LƯỢNG"),A13,IF(A13="","",K12))</f>
        <v/>
      </c>
      <c r="L13">
        <f>IF(A13="","",IF(ISNUMBER(--LEFT(A13,FIND(" - ",A13&amp;" - ")-1)),LEFT(A13,FIND(" - ",A13&amp;" - ")-1),TRIM(A13)))</f>
        <v/>
      </c>
      <c r="M13">
        <f>IF(OR(K13="",K13=A13,A13=""),"",K13&amp;"|"&amp;L13)</f>
        <v/>
      </c>
      <c r="N13">
        <f>IF(M13="","",IF(ISNUMBER(B13),B13,IFERROR(_xlfn.NUMBERVALUE(B13,".",","),0)))</f>
        <v/>
      </c>
      <c r="O13">
        <f>IF(M13="","",IF(ISNUMBER(C13),C13,IFERROR(_xlfn.NUMBERVALUE(C13,".",","),0)))</f>
        <v/>
      </c>
    </row>
    <row r="14">
      <c r="K14">
        <f>IF(OR(LEFT(B14,9)="DOANH THU",LEFT(B14,8)="SỐ LƯỢNG"),A14,IF(A14="","",K13))</f>
        <v/>
      </c>
      <c r="L14">
        <f>IF(A14="","",IF(ISNUMBER(--LEFT(A14,FIND(" - ",A14&amp;" - ")-1)),LEFT(A14,FIND(" - ",A14&amp;" - ")-1),TRIM(A14)))</f>
        <v/>
      </c>
      <c r="M14">
        <f>IF(OR(K14="",K14=A14,A14=""),"",K14&amp;"|"&amp;L14)</f>
        <v/>
      </c>
      <c r="N14">
        <f>IF(M14="","",IF(ISNUMBER(B14),B14,IFERROR(_xlfn.NUMBERVALUE(B14,".",","),0)))</f>
        <v/>
      </c>
      <c r="O14">
        <f>IF(M14="","",IF(ISNUMBER(C14),C14,IFERROR(_xlfn.NUMBERVALUE(C14,".",","),0)))</f>
        <v/>
      </c>
    </row>
    <row r="15">
      <c r="K15">
        <f>IF(OR(LEFT(B15,9)="DOANH THU",LEFT(B15,8)="SỐ LƯỢNG"),A15,IF(A15="","",K14))</f>
        <v/>
      </c>
      <c r="L15">
        <f>IF(A15="","",IF(ISNUMBER(--LEFT(A15,FIND(" - ",A15&amp;" - ")-1)),LEFT(A15,FIND(" - ",A15&amp;" - ")-1),TRIM(A15)))</f>
        <v/>
      </c>
      <c r="M15">
        <f>IF(OR(K15="",K15=A15,A15=""),"",K15&amp;"|"&amp;L15)</f>
        <v/>
      </c>
      <c r="N15">
        <f>IF(M15="","",IF(ISNUMBER(B15),B15,IFERROR(_xlfn.NUMBERVALUE(B15,".",","),0)))</f>
        <v/>
      </c>
      <c r="O15">
        <f>IF(M15="","",IF(ISNUMBER(C15),C15,IFERROR(_xlfn.NUMBERVALUE(C15,".",","),0)))</f>
        <v/>
      </c>
    </row>
    <row r="16">
      <c r="K16">
        <f>IF(OR(LEFT(B16,9)="DOANH THU",LEFT(B16,8)="SỐ LƯỢNG"),A16,IF(A16="","",K15))</f>
        <v/>
      </c>
      <c r="L16">
        <f>IF(A16="","",IF(ISNUMBER(--LEFT(A16,FIND(" - ",A16&amp;" - ")-1)),LEFT(A16,FIND(" - ",A16&amp;" - ")-1),TRIM(A16)))</f>
        <v/>
      </c>
      <c r="M16">
        <f>IF(OR(K16="",K16=A16,A16=""),"",K16&amp;"|"&amp;L16)</f>
        <v/>
      </c>
      <c r="N16">
        <f>IF(M16="","",IF(ISNUMBER(B16),B16,IFERROR(_xlfn.NUMBERVALUE(B16,".",","),0)))</f>
        <v/>
      </c>
      <c r="O16">
        <f>IF(M16="","",IF(ISNUMBER(C16),C16,IFERROR(_xlfn.NUMBERVALUE(C16,".",","),0)))</f>
        <v/>
      </c>
    </row>
    <row r="17">
      <c r="K17">
        <f>IF(OR(LEFT(B17,9)="DOANH THU",LEFT(B17,8)="SỐ LƯỢNG"),A17,IF(A17="","",K16))</f>
        <v/>
      </c>
      <c r="L17">
        <f>IF(A17="","",IF(ISNUMBER(--LEFT(A17,FIND(" - ",A17&amp;" - ")-1)),LEFT(A17,FIND(" - ",A17&amp;" - ")-1),TRIM(A17)))</f>
        <v/>
      </c>
      <c r="M17">
        <f>IF(OR(K17="",K17=A17,A17=""),"",K17&amp;"|"&amp;L17)</f>
        <v/>
      </c>
      <c r="N17">
        <f>IF(M17="","",IF(ISNUMBER(B17),B17,IFERROR(_xlfn.NUMBERVALUE(B17,".",","),0)))</f>
        <v/>
      </c>
      <c r="O17">
        <f>IF(M17="","",IF(ISNUMBER(C17),C17,IFERROR(_xlfn.NUMBERVALUE(C17,".",","),0)))</f>
        <v/>
      </c>
    </row>
    <row r="18">
      <c r="K18">
        <f>IF(OR(LEFT(B18,9)="DOANH THU",LEFT(B18,8)="SỐ LƯỢNG"),A18,IF(A18="","",K17))</f>
        <v/>
      </c>
      <c r="L18">
        <f>IF(A18="","",IF(ISNUMBER(--LEFT(A18,FIND(" - ",A18&amp;" - ")-1)),LEFT(A18,FIND(" - ",A18&amp;" - ")-1),TRIM(A18)))</f>
        <v/>
      </c>
      <c r="M18">
        <f>IF(OR(K18="",K18=A18,A18=""),"",K18&amp;"|"&amp;L18)</f>
        <v/>
      </c>
      <c r="N18">
        <f>IF(M18="","",IF(ISNUMBER(B18),B18,IFERROR(_xlfn.NUMBERVALUE(B18,".",","),0)))</f>
        <v/>
      </c>
      <c r="O18">
        <f>IF(M18="","",IF(ISNUMBER(C18),C18,IFERROR(_xlfn.NUMBERVALUE(C18,".",","),0)))</f>
        <v/>
      </c>
    </row>
    <row r="19">
      <c r="K19">
        <f>IF(OR(LEFT(B19,9)="DOANH THU",LEFT(B19,8)="SỐ LƯỢNG"),A19,IF(A19="","",K18))</f>
        <v/>
      </c>
      <c r="L19">
        <f>IF(A19="","",IF(ISNUMBER(--LEFT(A19,FIND(" - ",A19&amp;" - ")-1)),LEFT(A19,FIND(" - ",A19&amp;" - ")-1),TRIM(A19)))</f>
        <v/>
      </c>
      <c r="M19">
        <f>IF(OR(K19="",K19=A19,A19=""),"",K19&amp;"|"&amp;L19)</f>
        <v/>
      </c>
      <c r="N19">
        <f>IF(M19="","",IF(ISNUMBER(B19),B19,IFERROR(_xlfn.NUMBERVALUE(B19,".",","),0)))</f>
        <v/>
      </c>
      <c r="O19">
        <f>IF(M19="","",IF(ISNUMBER(C19),C19,IFERROR(_xlfn.NUMBERVALUE(C19,".",","),0)))</f>
        <v/>
      </c>
    </row>
    <row r="20">
      <c r="K20">
        <f>IF(OR(LEFT(B20,9)="DOANH THU",LEFT(B20,8)="SỐ LƯỢNG"),A20,IF(A20="","",K19))</f>
        <v/>
      </c>
      <c r="L20">
        <f>IF(A20="","",IF(ISNUMBER(--LEFT(A20,FIND(" - ",A20&amp;" - ")-1)),LEFT(A20,FIND(" - ",A20&amp;" - ")-1),TRIM(A20)))</f>
        <v/>
      </c>
      <c r="M20">
        <f>IF(OR(K20="",K20=A20,A20=""),"",K20&amp;"|"&amp;L20)</f>
        <v/>
      </c>
      <c r="N20">
        <f>IF(M20="","",IF(ISNUMBER(B20),B20,IFERROR(_xlfn.NUMBERVALUE(B20,".",","),0)))</f>
        <v/>
      </c>
      <c r="O20">
        <f>IF(M20="","",IF(ISNUMBER(C20),C20,IFERROR(_xlfn.NUMBERVALUE(C20,".",","),0)))</f>
        <v/>
      </c>
    </row>
    <row r="21">
      <c r="K21">
        <f>IF(OR(LEFT(B21,9)="DOANH THU",LEFT(B21,8)="SỐ LƯỢNG"),A21,IF(A21="","",K20))</f>
        <v/>
      </c>
      <c r="L21">
        <f>IF(A21="","",IF(ISNUMBER(--LEFT(A21,FIND(" - ",A21&amp;" - ")-1)),LEFT(A21,FIND(" - ",A21&amp;" - ")-1),TRIM(A21)))</f>
        <v/>
      </c>
      <c r="M21">
        <f>IF(OR(K21="",K21=A21,A21=""),"",K21&amp;"|"&amp;L21)</f>
        <v/>
      </c>
      <c r="N21">
        <f>IF(M21="","",IF(ISNUMBER(B21),B21,IFERROR(_xlfn.NUMBERVALUE(B21,".",","),0)))</f>
        <v/>
      </c>
      <c r="O21">
        <f>IF(M21="","",IF(ISNUMBER(C21),C21,IFERROR(_xlfn.NUMBERVALUE(C21,".",","),0)))</f>
        <v/>
      </c>
    </row>
    <row r="22">
      <c r="K22">
        <f>IF(OR(LEFT(B22,9)="DOANH THU",LEFT(B22,8)="SỐ LƯỢNG"),A22,IF(A22="","",K21))</f>
        <v/>
      </c>
      <c r="L22">
        <f>IF(A22="","",IF(ISNUMBER(--LEFT(A22,FIND(" - ",A22&amp;" - ")-1)),LEFT(A22,FIND(" - ",A22&amp;" - ")-1),TRIM(A22)))</f>
        <v/>
      </c>
      <c r="M22">
        <f>IF(OR(K22="",K22=A22,A22=""),"",K22&amp;"|"&amp;L22)</f>
        <v/>
      </c>
      <c r="N22">
        <f>IF(M22="","",IF(ISNUMBER(B22),B22,IFERROR(_xlfn.NUMBERVALUE(B22,".",","),0)))</f>
        <v/>
      </c>
      <c r="O22">
        <f>IF(M22="","",IF(ISNUMBER(C22),C22,IFERROR(_xlfn.NUMBERVALUE(C22,".",","),0)))</f>
        <v/>
      </c>
    </row>
    <row r="23">
      <c r="K23">
        <f>IF(OR(LEFT(B23,9)="DOANH THU",LEFT(B23,8)="SỐ LƯỢNG"),A23,IF(A23="","",K22))</f>
        <v/>
      </c>
      <c r="L23">
        <f>IF(A23="","",IF(ISNUMBER(--LEFT(A23,FIND(" - ",A23&amp;" - ")-1)),LEFT(A23,FIND(" - ",A23&amp;" - ")-1),TRIM(A23)))</f>
        <v/>
      </c>
      <c r="M23">
        <f>IF(OR(K23="",K23=A23,A23=""),"",K23&amp;"|"&amp;L23)</f>
        <v/>
      </c>
      <c r="N23">
        <f>IF(M23="","",IF(ISNUMBER(B23),B23,IFERROR(_xlfn.NUMBERVALUE(B23,".",","),0)))</f>
        <v/>
      </c>
      <c r="O23">
        <f>IF(M23="","",IF(ISNUMBER(C23),C23,IFERROR(_xlfn.NUMBERVALUE(C23,".",","),0)))</f>
        <v/>
      </c>
    </row>
    <row r="24">
      <c r="K24">
        <f>IF(OR(LEFT(B24,9)="DOANH THU",LEFT(B24,8)="SỐ LƯỢNG"),A24,IF(A24="","",K23))</f>
        <v/>
      </c>
      <c r="L24">
        <f>IF(A24="","",IF(ISNUMBER(--LEFT(A24,FIND(" - ",A24&amp;" - ")-1)),LEFT(A24,FIND(" - ",A24&amp;" - ")-1),TRIM(A24)))</f>
        <v/>
      </c>
      <c r="M24">
        <f>IF(OR(K24="",K24=A24,A24=""),"",K24&amp;"|"&amp;L24)</f>
        <v/>
      </c>
      <c r="N24">
        <f>IF(M24="","",IF(ISNUMBER(B24),B24,IFERROR(_xlfn.NUMBERVALUE(B24,".",","),0)))</f>
        <v/>
      </c>
      <c r="O24">
        <f>IF(M24="","",IF(ISNUMBER(C24),C24,IFERROR(_xlfn.NUMBERVALUE(C24,".",","),0)))</f>
        <v/>
      </c>
    </row>
    <row r="25">
      <c r="K25">
        <f>IF(OR(LEFT(B25,9)="DOANH THU",LEFT(B25,8)="SỐ LƯỢNG"),A25,IF(A25="","",K24))</f>
        <v/>
      </c>
      <c r="L25">
        <f>IF(A25="","",IF(ISNUMBER(--LEFT(A25,FIND(" - ",A25&amp;" - ")-1)),LEFT(A25,FIND(" - ",A25&amp;" - ")-1),TRIM(A25)))</f>
        <v/>
      </c>
      <c r="M25">
        <f>IF(OR(K25="",K25=A25,A25=""),"",K25&amp;"|"&amp;L25)</f>
        <v/>
      </c>
      <c r="N25">
        <f>IF(M25="","",IF(ISNUMBER(B25),B25,IFERROR(_xlfn.NUMBERVALUE(B25,".",","),0)))</f>
        <v/>
      </c>
      <c r="O25">
        <f>IF(M25="","",IF(ISNUMBER(C25),C25,IFERROR(_xlfn.NUMBERVALUE(C25,".",","),0)))</f>
        <v/>
      </c>
    </row>
    <row r="26">
      <c r="K26">
        <f>IF(OR(LEFT(B26,9)="DOANH THU",LEFT(B26,8)="SỐ LƯỢNG"),A26,IF(A26="","",K25))</f>
        <v/>
      </c>
      <c r="L26">
        <f>IF(A26="","",IF(ISNUMBER(--LEFT(A26,FIND(" - ",A26&amp;" - ")-1)),LEFT(A26,FIND(" - ",A26&amp;" - ")-1),TRIM(A26)))</f>
        <v/>
      </c>
      <c r="M26">
        <f>IF(OR(K26="",K26=A26,A26=""),"",K26&amp;"|"&amp;L26)</f>
        <v/>
      </c>
      <c r="N26">
        <f>IF(M26="","",IF(ISNUMBER(B26),B26,IFERROR(_xlfn.NUMBERVALUE(B26,".",","),0)))</f>
        <v/>
      </c>
      <c r="O26">
        <f>IF(M26="","",IF(ISNUMBER(C26),C26,IFERROR(_xlfn.NUMBERVALUE(C26,".",","),0)))</f>
        <v/>
      </c>
    </row>
    <row r="27">
      <c r="K27">
        <f>IF(OR(LEFT(B27,9)="DOANH THU",LEFT(B27,8)="SỐ LƯỢNG"),A27,IF(A27="","",K26))</f>
        <v/>
      </c>
      <c r="L27">
        <f>IF(A27="","",IF(ISNUMBER(--LEFT(A27,FIND(" - ",A27&amp;" - ")-1)),LEFT(A27,FIND(" - ",A27&amp;" - ")-1),TRIM(A27)))</f>
        <v/>
      </c>
      <c r="M27">
        <f>IF(OR(K27="",K27=A27,A27=""),"",K27&amp;"|"&amp;L27)</f>
        <v/>
      </c>
      <c r="N27">
        <f>IF(M27="","",IF(ISNUMBER(B27),B27,IFERROR(_xlfn.NUMBERVALUE(B27,".",","),0)))</f>
        <v/>
      </c>
      <c r="O27">
        <f>IF(M27="","",IF(ISNUMBER(C27),C27,IFERROR(_xlfn.NUMBERVALUE(C27,".",","),0)))</f>
        <v/>
      </c>
    </row>
    <row r="28">
      <c r="K28">
        <f>IF(OR(LEFT(B28,9)="DOANH THU",LEFT(B28,8)="SỐ LƯỢNG"),A28,IF(A28="","",K27))</f>
        <v/>
      </c>
      <c r="L28">
        <f>IF(A28="","",IF(ISNUMBER(--LEFT(A28,FIND(" - ",A28&amp;" - ")-1)),LEFT(A28,FIND(" - ",A28&amp;" - ")-1),TRIM(A28)))</f>
        <v/>
      </c>
      <c r="M28">
        <f>IF(OR(K28="",K28=A28,A28=""),"",K28&amp;"|"&amp;L28)</f>
        <v/>
      </c>
      <c r="N28">
        <f>IF(M28="","",IF(ISNUMBER(B28),B28,IFERROR(_xlfn.NUMBERVALUE(B28,".",","),0)))</f>
        <v/>
      </c>
      <c r="O28">
        <f>IF(M28="","",IF(ISNUMBER(C28),C28,IFERROR(_xlfn.NUMBERVALUE(C28,".",","),0)))</f>
        <v/>
      </c>
    </row>
    <row r="29">
      <c r="K29">
        <f>IF(OR(LEFT(B29,9)="DOANH THU",LEFT(B29,8)="SỐ LƯỢNG"),A29,IF(A29="","",K28))</f>
        <v/>
      </c>
      <c r="L29">
        <f>IF(A29="","",IF(ISNUMBER(--LEFT(A29,FIND(" - ",A29&amp;" - ")-1)),LEFT(A29,FIND(" - ",A29&amp;" - ")-1),TRIM(A29)))</f>
        <v/>
      </c>
      <c r="M29">
        <f>IF(OR(K29="",K29=A29,A29=""),"",K29&amp;"|"&amp;L29)</f>
        <v/>
      </c>
      <c r="N29">
        <f>IF(M29="","",IF(ISNUMBER(B29),B29,IFERROR(_xlfn.NUMBERVALUE(B29,".",","),0)))</f>
        <v/>
      </c>
      <c r="O29">
        <f>IF(M29="","",IF(ISNUMBER(C29),C29,IFERROR(_xlfn.NUMBERVALUE(C29,".",","),0)))</f>
        <v/>
      </c>
    </row>
    <row r="30">
      <c r="K30">
        <f>IF(OR(LEFT(B30,9)="DOANH THU",LEFT(B30,8)="SỐ LƯỢNG"),A30,IF(A30="","",K29))</f>
        <v/>
      </c>
      <c r="L30">
        <f>IF(A30="","",IF(ISNUMBER(--LEFT(A30,FIND(" - ",A30&amp;" - ")-1)),LEFT(A30,FIND(" - ",A30&amp;" - ")-1),TRIM(A30)))</f>
        <v/>
      </c>
      <c r="M30">
        <f>IF(OR(K30="",K30=A30,A30=""),"",K30&amp;"|"&amp;L30)</f>
        <v/>
      </c>
      <c r="N30">
        <f>IF(M30="","",IF(ISNUMBER(B30),B30,IFERROR(_xlfn.NUMBERVALUE(B30,".",","),0)))</f>
        <v/>
      </c>
      <c r="O30">
        <f>IF(M30="","",IF(ISNUMBER(C30),C30,IFERROR(_xlfn.NUMBERVALUE(C30,".",","),0)))</f>
        <v/>
      </c>
    </row>
    <row r="31">
      <c r="K31">
        <f>IF(OR(LEFT(B31,9)="DOANH THU",LEFT(B31,8)="SỐ LƯỢNG"),A31,IF(A31="","",K30))</f>
        <v/>
      </c>
      <c r="L31">
        <f>IF(A31="","",IF(ISNUMBER(--LEFT(A31,FIND(" - ",A31&amp;" - ")-1)),LEFT(A31,FIND(" - ",A31&amp;" - ")-1),TRIM(A31)))</f>
        <v/>
      </c>
      <c r="M31">
        <f>IF(OR(K31="",K31=A31,A31=""),"",K31&amp;"|"&amp;L31)</f>
        <v/>
      </c>
      <c r="N31">
        <f>IF(M31="","",IF(ISNUMBER(B31),B31,IFERROR(_xlfn.NUMBERVALUE(B31,".",","),0)))</f>
        <v/>
      </c>
      <c r="O31">
        <f>IF(M31="","",IF(ISNUMBER(C31),C31,IFERROR(_xlfn.NUMBERVALUE(C31,".",","),0)))</f>
        <v/>
      </c>
    </row>
    <row r="32">
      <c r="K32">
        <f>IF(OR(LEFT(B32,9)="DOANH THU",LEFT(B32,8)="SỐ LƯỢNG"),A32,IF(A32="","",K31))</f>
        <v/>
      </c>
      <c r="L32">
        <f>IF(A32="","",IF(ISNUMBER(--LEFT(A32,FIND(" - ",A32&amp;" - ")-1)),LEFT(A32,FIND(" - ",A32&amp;" - ")-1),TRIM(A32)))</f>
        <v/>
      </c>
      <c r="M32">
        <f>IF(OR(K32="",K32=A32,A32=""),"",K32&amp;"|"&amp;L32)</f>
        <v/>
      </c>
      <c r="N32">
        <f>IF(M32="","",IF(ISNUMBER(B32),B32,IFERROR(_xlfn.NUMBERVALUE(B32,".",","),0)))</f>
        <v/>
      </c>
      <c r="O32">
        <f>IF(M32="","",IF(ISNUMBER(C32),C32,IFERROR(_xlfn.NUMBERVALUE(C32,".",","),0)))</f>
        <v/>
      </c>
    </row>
    <row r="33">
      <c r="K33">
        <f>IF(OR(LEFT(B33,9)="DOANH THU",LEFT(B33,8)="SỐ LƯỢNG"),A33,IF(A33="","",K32))</f>
        <v/>
      </c>
      <c r="L33">
        <f>IF(A33="","",IF(ISNUMBER(--LEFT(A33,FIND(" - ",A33&amp;" - ")-1)),LEFT(A33,FIND(" - ",A33&amp;" - ")-1),TRIM(A33)))</f>
        <v/>
      </c>
      <c r="M33">
        <f>IF(OR(K33="",K33=A33,A33=""),"",K33&amp;"|"&amp;L33)</f>
        <v/>
      </c>
      <c r="N33">
        <f>IF(M33="","",IF(ISNUMBER(B33),B33,IFERROR(_xlfn.NUMBERVALUE(B33,".",","),0)))</f>
        <v/>
      </c>
      <c r="O33">
        <f>IF(M33="","",IF(ISNUMBER(C33),C33,IFERROR(_xlfn.NUMBERVALUE(C33,".",","),0)))</f>
        <v/>
      </c>
    </row>
    <row r="34">
      <c r="K34">
        <f>IF(OR(LEFT(B34,9)="DOANH THU",LEFT(B34,8)="SỐ LƯỢNG"),A34,IF(A34="","",K33))</f>
        <v/>
      </c>
      <c r="L34">
        <f>IF(A34="","",IF(ISNUMBER(--LEFT(A34,FIND(" - ",A34&amp;" - ")-1)),LEFT(A34,FIND(" - ",A34&amp;" - ")-1),TRIM(A34)))</f>
        <v/>
      </c>
      <c r="M34">
        <f>IF(OR(K34="",K34=A34,A34=""),"",K34&amp;"|"&amp;L34)</f>
        <v/>
      </c>
      <c r="N34">
        <f>IF(M34="","",IF(ISNUMBER(B34),B34,IFERROR(_xlfn.NUMBERVALUE(B34,".",","),0)))</f>
        <v/>
      </c>
      <c r="O34">
        <f>IF(M34="","",IF(ISNUMBER(C34),C34,IFERROR(_xlfn.NUMBERVALUE(C34,".",","),0)))</f>
        <v/>
      </c>
    </row>
    <row r="35">
      <c r="K35">
        <f>IF(OR(LEFT(B35,9)="DOANH THU",LEFT(B35,8)="SỐ LƯỢNG"),A35,IF(A35="","",K34))</f>
        <v/>
      </c>
      <c r="L35">
        <f>IF(A35="","",IF(ISNUMBER(--LEFT(A35,FIND(" - ",A35&amp;" - ")-1)),LEFT(A35,FIND(" - ",A35&amp;" - ")-1),TRIM(A35)))</f>
        <v/>
      </c>
      <c r="M35">
        <f>IF(OR(K35="",K35=A35,A35=""),"",K35&amp;"|"&amp;L35)</f>
        <v/>
      </c>
      <c r="N35">
        <f>IF(M35="","",IF(ISNUMBER(B35),B35,IFERROR(_xlfn.NUMBERVALUE(B35,".",","),0)))</f>
        <v/>
      </c>
      <c r="O35">
        <f>IF(M35="","",IF(ISNUMBER(C35),C35,IFERROR(_xlfn.NUMBERVALUE(C35,".",","),0)))</f>
        <v/>
      </c>
    </row>
    <row r="36">
      <c r="K36">
        <f>IF(OR(LEFT(B36,9)="DOANH THU",LEFT(B36,8)="SỐ LƯỢNG"),A36,IF(A36="","",K35))</f>
        <v/>
      </c>
      <c r="L36">
        <f>IF(A36="","",IF(ISNUMBER(--LEFT(A36,FIND(" - ",A36&amp;" - ")-1)),LEFT(A36,FIND(" - ",A36&amp;" - ")-1),TRIM(A36)))</f>
        <v/>
      </c>
      <c r="M36">
        <f>IF(OR(K36="",K36=A36,A36=""),"",K36&amp;"|"&amp;L36)</f>
        <v/>
      </c>
      <c r="N36">
        <f>IF(M36="","",IF(ISNUMBER(B36),B36,IFERROR(_xlfn.NUMBERVALUE(B36,".",","),0)))</f>
        <v/>
      </c>
      <c r="O36">
        <f>IF(M36="","",IF(ISNUMBER(C36),C36,IFERROR(_xlfn.NUMBERVALUE(C36,".",","),0)))</f>
        <v/>
      </c>
    </row>
    <row r="37">
      <c r="K37">
        <f>IF(OR(LEFT(B37,9)="DOANH THU",LEFT(B37,8)="SỐ LƯỢNG"),A37,IF(A37="","",K36))</f>
        <v/>
      </c>
      <c r="L37">
        <f>IF(A37="","",IF(ISNUMBER(--LEFT(A37,FIND(" - ",A37&amp;" - ")-1)),LEFT(A37,FIND(" - ",A37&amp;" - ")-1),TRIM(A37)))</f>
        <v/>
      </c>
      <c r="M37">
        <f>IF(OR(K37="",K37=A37,A37=""),"",K37&amp;"|"&amp;L37)</f>
        <v/>
      </c>
      <c r="N37">
        <f>IF(M37="","",IF(ISNUMBER(B37),B37,IFERROR(_xlfn.NUMBERVALUE(B37,".",","),0)))</f>
        <v/>
      </c>
      <c r="O37">
        <f>IF(M37="","",IF(ISNUMBER(C37),C37,IFERROR(_xlfn.NUMBERVALUE(C37,".",","),0)))</f>
        <v/>
      </c>
    </row>
    <row r="38">
      <c r="K38">
        <f>IF(OR(LEFT(B38,9)="DOANH THU",LEFT(B38,8)="SỐ LƯỢNG"),A38,IF(A38="","",K37))</f>
        <v/>
      </c>
      <c r="L38">
        <f>IF(A38="","",IF(ISNUMBER(--LEFT(A38,FIND(" - ",A38&amp;" - ")-1)),LEFT(A38,FIND(" - ",A38&amp;" - ")-1),TRIM(A38)))</f>
        <v/>
      </c>
      <c r="M38">
        <f>IF(OR(K38="",K38=A38,A38=""),"",K38&amp;"|"&amp;L38)</f>
        <v/>
      </c>
      <c r="N38">
        <f>IF(M38="","",IF(ISNUMBER(B38),B38,IFERROR(_xlfn.NUMBERVALUE(B38,".",","),0)))</f>
        <v/>
      </c>
      <c r="O38">
        <f>IF(M38="","",IF(ISNUMBER(C38),C38,IFERROR(_xlfn.NUMBERVALUE(C38,".",","),0)))</f>
        <v/>
      </c>
    </row>
    <row r="39">
      <c r="K39">
        <f>IF(OR(LEFT(B39,9)="DOANH THU",LEFT(B39,8)="SỐ LƯỢNG"),A39,IF(A39="","",K38))</f>
        <v/>
      </c>
      <c r="L39">
        <f>IF(A39="","",IF(ISNUMBER(--LEFT(A39,FIND(" - ",A39&amp;" - ")-1)),LEFT(A39,FIND(" - ",A39&amp;" - ")-1),TRIM(A39)))</f>
        <v/>
      </c>
      <c r="M39">
        <f>IF(OR(K39="",K39=A39,A39=""),"",K39&amp;"|"&amp;L39)</f>
        <v/>
      </c>
      <c r="N39">
        <f>IF(M39="","",IF(ISNUMBER(B39),B39,IFERROR(_xlfn.NUMBERVALUE(B39,".",","),0)))</f>
        <v/>
      </c>
      <c r="O39">
        <f>IF(M39="","",IF(ISNUMBER(C39),C39,IFERROR(_xlfn.NUMBERVALUE(C39,".",","),0)))</f>
        <v/>
      </c>
    </row>
    <row r="40">
      <c r="K40">
        <f>IF(OR(LEFT(B40,9)="DOANH THU",LEFT(B40,8)="SỐ LƯỢNG"),A40,IF(A40="","",K39))</f>
        <v/>
      </c>
      <c r="L40">
        <f>IF(A40="","",IF(ISNUMBER(--LEFT(A40,FIND(" - ",A40&amp;" - ")-1)),LEFT(A40,FIND(" - ",A40&amp;" - ")-1),TRIM(A40)))</f>
        <v/>
      </c>
      <c r="M40">
        <f>IF(OR(K40="",K40=A40,A40=""),"",K40&amp;"|"&amp;L40)</f>
        <v/>
      </c>
      <c r="N40">
        <f>IF(M40="","",IF(ISNUMBER(B40),B40,IFERROR(_xlfn.NUMBERVALUE(B40,".",","),0)))</f>
        <v/>
      </c>
      <c r="O40">
        <f>IF(M40="","",IF(ISNUMBER(C40),C40,IFERROR(_xlfn.NUMBERVALUE(C40,".",","),0)))</f>
        <v/>
      </c>
    </row>
    <row r="41">
      <c r="K41">
        <f>IF(OR(LEFT(B41,9)="DOANH THU",LEFT(B41,8)="SỐ LƯỢNG"),A41,IF(A41="","",K40))</f>
        <v/>
      </c>
      <c r="L41">
        <f>IF(A41="","",IF(ISNUMBER(--LEFT(A41,FIND(" - ",A41&amp;" - ")-1)),LEFT(A41,FIND(" - ",A41&amp;" - ")-1),TRIM(A41)))</f>
        <v/>
      </c>
      <c r="M41">
        <f>IF(OR(K41="",K41=A41,A41=""),"",K41&amp;"|"&amp;L41)</f>
        <v/>
      </c>
      <c r="N41">
        <f>IF(M41="","",IF(ISNUMBER(B41),B41,IFERROR(_xlfn.NUMBERVALUE(B41,".",","),0)))</f>
        <v/>
      </c>
      <c r="O41">
        <f>IF(M41="","",IF(ISNUMBER(C41),C41,IFERROR(_xlfn.NUMBERVALUE(C41,".",","),0)))</f>
        <v/>
      </c>
    </row>
    <row r="42">
      <c r="K42">
        <f>IF(OR(LEFT(B42,9)="DOANH THU",LEFT(B42,8)="SỐ LƯỢNG"),A42,IF(A42="","",K41))</f>
        <v/>
      </c>
      <c r="L42">
        <f>IF(A42="","",IF(ISNUMBER(--LEFT(A42,FIND(" - ",A42&amp;" - ")-1)),LEFT(A42,FIND(" - ",A42&amp;" - ")-1),TRIM(A42)))</f>
        <v/>
      </c>
      <c r="M42">
        <f>IF(OR(K42="",K42=A42,A42=""),"",K42&amp;"|"&amp;L42)</f>
        <v/>
      </c>
      <c r="N42">
        <f>IF(M42="","",IF(ISNUMBER(B42),B42,IFERROR(_xlfn.NUMBERVALUE(B42,".",","),0)))</f>
        <v/>
      </c>
      <c r="O42">
        <f>IF(M42="","",IF(ISNUMBER(C42),C42,IFERROR(_xlfn.NUMBERVALUE(C42,".",","),0)))</f>
        <v/>
      </c>
    </row>
    <row r="43">
      <c r="K43">
        <f>IF(OR(LEFT(B43,9)="DOANH THU",LEFT(B43,8)="SỐ LƯỢNG"),A43,IF(A43="","",K42))</f>
        <v/>
      </c>
      <c r="L43">
        <f>IF(A43="","",IF(ISNUMBER(--LEFT(A43,FIND(" - ",A43&amp;" - ")-1)),LEFT(A43,FIND(" - ",A43&amp;" - ")-1),TRIM(A43)))</f>
        <v/>
      </c>
      <c r="M43">
        <f>IF(OR(K43="",K43=A43,A43=""),"",K43&amp;"|"&amp;L43)</f>
        <v/>
      </c>
      <c r="N43">
        <f>IF(M43="","",IF(ISNUMBER(B43),B43,IFERROR(_xlfn.NUMBERVALUE(B43,".",","),0)))</f>
        <v/>
      </c>
      <c r="O43">
        <f>IF(M43="","",IF(ISNUMBER(C43),C43,IFERROR(_xlfn.NUMBERVALUE(C43,".",","),0)))</f>
        <v/>
      </c>
    </row>
    <row r="44">
      <c r="K44">
        <f>IF(OR(LEFT(B44,9)="DOANH THU",LEFT(B44,8)="SỐ LƯỢNG"),A44,IF(A44="","",K43))</f>
        <v/>
      </c>
      <c r="L44">
        <f>IF(A44="","",IF(ISNUMBER(--LEFT(A44,FIND(" - ",A44&amp;" - ")-1)),LEFT(A44,FIND(" - ",A44&amp;" - ")-1),TRIM(A44)))</f>
        <v/>
      </c>
      <c r="M44">
        <f>IF(OR(K44="",K44=A44,A44=""),"",K44&amp;"|"&amp;L44)</f>
        <v/>
      </c>
      <c r="N44">
        <f>IF(M44="","",IF(ISNUMBER(B44),B44,IFERROR(_xlfn.NUMBERVALUE(B44,".",","),0)))</f>
        <v/>
      </c>
      <c r="O44">
        <f>IF(M44="","",IF(ISNUMBER(C44),C44,IFERROR(_xlfn.NUMBERVALUE(C44,".",","),0)))</f>
        <v/>
      </c>
    </row>
    <row r="45">
      <c r="K45">
        <f>IF(OR(LEFT(B45,9)="DOANH THU",LEFT(B45,8)="SỐ LƯỢNG"),A45,IF(A45="","",K44))</f>
        <v/>
      </c>
      <c r="L45">
        <f>IF(A45="","",IF(ISNUMBER(--LEFT(A45,FIND(" - ",A45&amp;" - ")-1)),LEFT(A45,FIND(" - ",A45&amp;" - ")-1),TRIM(A45)))</f>
        <v/>
      </c>
      <c r="M45">
        <f>IF(OR(K45="",K45=A45,A45=""),"",K45&amp;"|"&amp;L45)</f>
        <v/>
      </c>
      <c r="N45">
        <f>IF(M45="","",IF(ISNUMBER(B45),B45,IFERROR(_xlfn.NUMBERVALUE(B45,".",","),0)))</f>
        <v/>
      </c>
      <c r="O45">
        <f>IF(M45="","",IF(ISNUMBER(C45),C45,IFERROR(_xlfn.NUMBERVALUE(C45,".",","),0)))</f>
        <v/>
      </c>
    </row>
    <row r="46">
      <c r="K46">
        <f>IF(OR(LEFT(B46,9)="DOANH THU",LEFT(B46,8)="SỐ LƯỢNG"),A46,IF(A46="","",K45))</f>
        <v/>
      </c>
      <c r="L46">
        <f>IF(A46="","",IF(ISNUMBER(--LEFT(A46,FIND(" - ",A46&amp;" - ")-1)),LEFT(A46,FIND(" - ",A46&amp;" - ")-1),TRIM(A46)))</f>
        <v/>
      </c>
      <c r="M46">
        <f>IF(OR(K46="",K46=A46,A46=""),"",K46&amp;"|"&amp;L46)</f>
        <v/>
      </c>
      <c r="N46">
        <f>IF(M46="","",IF(ISNUMBER(B46),B46,IFERROR(_xlfn.NUMBERVALUE(B46,".",","),0)))</f>
        <v/>
      </c>
      <c r="O46">
        <f>IF(M46="","",IF(ISNUMBER(C46),C46,IFERROR(_xlfn.NUMBERVALUE(C46,".",","),0)))</f>
        <v/>
      </c>
    </row>
    <row r="47">
      <c r="K47">
        <f>IF(OR(LEFT(B47,9)="DOANH THU",LEFT(B47,8)="SỐ LƯỢNG"),A47,IF(A47="","",K46))</f>
        <v/>
      </c>
      <c r="L47">
        <f>IF(A47="","",IF(ISNUMBER(--LEFT(A47,FIND(" - ",A47&amp;" - ")-1)),LEFT(A47,FIND(" - ",A47&amp;" - ")-1),TRIM(A47)))</f>
        <v/>
      </c>
      <c r="M47">
        <f>IF(OR(K47="",K47=A47,A47=""),"",K47&amp;"|"&amp;L47)</f>
        <v/>
      </c>
      <c r="N47">
        <f>IF(M47="","",IF(ISNUMBER(B47),B47,IFERROR(_xlfn.NUMBERVALUE(B47,".",","),0)))</f>
        <v/>
      </c>
      <c r="O47">
        <f>IF(M47="","",IF(ISNUMBER(C47),C47,IFERROR(_xlfn.NUMBERVALUE(C47,".",","),0)))</f>
        <v/>
      </c>
    </row>
    <row r="48">
      <c r="K48">
        <f>IF(OR(LEFT(B48,9)="DOANH THU",LEFT(B48,8)="SỐ LƯỢNG"),A48,IF(A48="","",K47))</f>
        <v/>
      </c>
      <c r="L48">
        <f>IF(A48="","",IF(ISNUMBER(--LEFT(A48,FIND(" - ",A48&amp;" - ")-1)),LEFT(A48,FIND(" - ",A48&amp;" - ")-1),TRIM(A48)))</f>
        <v/>
      </c>
      <c r="M48">
        <f>IF(OR(K48="",K48=A48,A48=""),"",K48&amp;"|"&amp;L48)</f>
        <v/>
      </c>
      <c r="N48">
        <f>IF(M48="","",IF(ISNUMBER(B48),B48,IFERROR(_xlfn.NUMBERVALUE(B48,".",","),0)))</f>
        <v/>
      </c>
      <c r="O48">
        <f>IF(M48="","",IF(ISNUMBER(C48),C48,IFERROR(_xlfn.NUMBERVALUE(C48,".",","),0)))</f>
        <v/>
      </c>
    </row>
    <row r="49">
      <c r="K49">
        <f>IF(OR(LEFT(B49,9)="DOANH THU",LEFT(B49,8)="SỐ LƯỢNG"),A49,IF(A49="","",K48))</f>
        <v/>
      </c>
      <c r="L49">
        <f>IF(A49="","",IF(ISNUMBER(--LEFT(A49,FIND(" - ",A49&amp;" - ")-1)),LEFT(A49,FIND(" - ",A49&amp;" - ")-1),TRIM(A49)))</f>
        <v/>
      </c>
      <c r="M49">
        <f>IF(OR(K49="",K49=A49,A49=""),"",K49&amp;"|"&amp;L49)</f>
        <v/>
      </c>
      <c r="N49">
        <f>IF(M49="","",IF(ISNUMBER(B49),B49,IFERROR(_xlfn.NUMBERVALUE(B49,".",","),0)))</f>
        <v/>
      </c>
      <c r="O49">
        <f>IF(M49="","",IF(ISNUMBER(C49),C49,IFERROR(_xlfn.NUMBERVALUE(C49,".",","),0)))</f>
        <v/>
      </c>
    </row>
    <row r="50">
      <c r="K50">
        <f>IF(OR(LEFT(B50,9)="DOANH THU",LEFT(B50,8)="SỐ LƯỢNG"),A50,IF(A50="","",K49))</f>
        <v/>
      </c>
      <c r="L50">
        <f>IF(A50="","",IF(ISNUMBER(--LEFT(A50,FIND(" - ",A50&amp;" - ")-1)),LEFT(A50,FIND(" - ",A50&amp;" - ")-1),TRIM(A50)))</f>
        <v/>
      </c>
      <c r="M50">
        <f>IF(OR(K50="",K50=A50,A50=""),"",K50&amp;"|"&amp;L50)</f>
        <v/>
      </c>
      <c r="N50">
        <f>IF(M50="","",IF(ISNUMBER(B50),B50,IFERROR(_xlfn.NUMBERVALUE(B50,".",","),0)))</f>
        <v/>
      </c>
      <c r="O50">
        <f>IF(M50="","",IF(ISNUMBER(C50),C50,IFERROR(_xlfn.NUMBERVALUE(C50,".",","),0)))</f>
        <v/>
      </c>
    </row>
    <row r="51">
      <c r="K51">
        <f>IF(OR(LEFT(B51,9)="DOANH THU",LEFT(B51,8)="SỐ LƯỢNG"),A51,IF(A51="","",K50))</f>
        <v/>
      </c>
      <c r="L51">
        <f>IF(A51="","",IF(ISNUMBER(--LEFT(A51,FIND(" - ",A51&amp;" - ")-1)),LEFT(A51,FIND(" - ",A51&amp;" - ")-1),TRIM(A51)))</f>
        <v/>
      </c>
      <c r="M51">
        <f>IF(OR(K51="",K51=A51,A51=""),"",K51&amp;"|"&amp;L51)</f>
        <v/>
      </c>
      <c r="N51">
        <f>IF(M51="","",IF(ISNUMBER(B51),B51,IFERROR(_xlfn.NUMBERVALUE(B51,".",","),0)))</f>
        <v/>
      </c>
      <c r="O51">
        <f>IF(M51="","",IF(ISNUMBER(C51),C51,IFERROR(_xlfn.NUMBERVALUE(C51,".",","),0)))</f>
        <v/>
      </c>
    </row>
    <row r="52">
      <c r="K52">
        <f>IF(OR(LEFT(B52,9)="DOANH THU",LEFT(B52,8)="SỐ LƯỢNG"),A52,IF(A52="","",K51))</f>
        <v/>
      </c>
      <c r="L52">
        <f>IF(A52="","",IF(ISNUMBER(--LEFT(A52,FIND(" - ",A52&amp;" - ")-1)),LEFT(A52,FIND(" - ",A52&amp;" - ")-1),TRIM(A52)))</f>
        <v/>
      </c>
      <c r="M52">
        <f>IF(OR(K52="",K52=A52,A52=""),"",K52&amp;"|"&amp;L52)</f>
        <v/>
      </c>
      <c r="N52">
        <f>IF(M52="","",IF(ISNUMBER(B52),B52,IFERROR(_xlfn.NUMBERVALUE(B52,".",","),0)))</f>
        <v/>
      </c>
      <c r="O52">
        <f>IF(M52="","",IF(ISNUMBER(C52),C52,IFERROR(_xlfn.NUMBERVALUE(C52,".",","),0)))</f>
        <v/>
      </c>
    </row>
    <row r="53">
      <c r="K53">
        <f>IF(OR(LEFT(B53,9)="DOANH THU",LEFT(B53,8)="SỐ LƯỢNG"),A53,IF(A53="","",K52))</f>
        <v/>
      </c>
      <c r="L53">
        <f>IF(A53="","",IF(ISNUMBER(--LEFT(A53,FIND(" - ",A53&amp;" - ")-1)),LEFT(A53,FIND(" - ",A53&amp;" - ")-1),TRIM(A53)))</f>
        <v/>
      </c>
      <c r="M53">
        <f>IF(OR(K53="",K53=A53,A53=""),"",K53&amp;"|"&amp;L53)</f>
        <v/>
      </c>
      <c r="N53">
        <f>IF(M53="","",IF(ISNUMBER(B53),B53,IFERROR(_xlfn.NUMBERVALUE(B53,".",","),0)))</f>
        <v/>
      </c>
      <c r="O53">
        <f>IF(M53="","",IF(ISNUMBER(C53),C53,IFERROR(_xlfn.NUMBERVALUE(C53,".",","),0)))</f>
        <v/>
      </c>
    </row>
    <row r="54">
      <c r="K54">
        <f>IF(OR(LEFT(B54,9)="DOANH THU",LEFT(B54,8)="SỐ LƯỢNG"),A54,IF(A54="","",K53))</f>
        <v/>
      </c>
      <c r="L54">
        <f>IF(A54="","",IF(ISNUMBER(--LEFT(A54,FIND(" - ",A54&amp;" - ")-1)),LEFT(A54,FIND(" - ",A54&amp;" - ")-1),TRIM(A54)))</f>
        <v/>
      </c>
      <c r="M54">
        <f>IF(OR(K54="",K54=A54,A54=""),"",K54&amp;"|"&amp;L54)</f>
        <v/>
      </c>
      <c r="N54">
        <f>IF(M54="","",IF(ISNUMBER(B54),B54,IFERROR(_xlfn.NUMBERVALUE(B54,".",","),0)))</f>
        <v/>
      </c>
      <c r="O54">
        <f>IF(M54="","",IF(ISNUMBER(C54),C54,IFERROR(_xlfn.NUMBERVALUE(C54,".",","),0)))</f>
        <v/>
      </c>
    </row>
    <row r="55">
      <c r="K55">
        <f>IF(OR(LEFT(B55,9)="DOANH THU",LEFT(B55,8)="SỐ LƯỢNG"),A55,IF(A55="","",K54))</f>
        <v/>
      </c>
      <c r="L55">
        <f>IF(A55="","",IF(ISNUMBER(--LEFT(A55,FIND(" - ",A55&amp;" - ")-1)),LEFT(A55,FIND(" - ",A55&amp;" - ")-1),TRIM(A55)))</f>
        <v/>
      </c>
      <c r="M55">
        <f>IF(OR(K55="",K55=A55,A55=""),"",K55&amp;"|"&amp;L55)</f>
        <v/>
      </c>
      <c r="N55">
        <f>IF(M55="","",IF(ISNUMBER(B55),B55,IFERROR(_xlfn.NUMBERVALUE(B55,".",","),0)))</f>
        <v/>
      </c>
      <c r="O55">
        <f>IF(M55="","",IF(ISNUMBER(C55),C55,IFERROR(_xlfn.NUMBERVALUE(C55,".",","),0)))</f>
        <v/>
      </c>
    </row>
    <row r="56">
      <c r="K56">
        <f>IF(OR(LEFT(B56,9)="DOANH THU",LEFT(B56,8)="SỐ LƯỢNG"),A56,IF(A56="","",K55))</f>
        <v/>
      </c>
      <c r="L56">
        <f>IF(A56="","",IF(ISNUMBER(--LEFT(A56,FIND(" - ",A56&amp;" - ")-1)),LEFT(A56,FIND(" - ",A56&amp;" - ")-1),TRIM(A56)))</f>
        <v/>
      </c>
      <c r="M56">
        <f>IF(OR(K56="",K56=A56,A56=""),"",K56&amp;"|"&amp;L56)</f>
        <v/>
      </c>
      <c r="N56">
        <f>IF(M56="","",IF(ISNUMBER(B56),B56,IFERROR(_xlfn.NUMBERVALUE(B56,".",","),0)))</f>
        <v/>
      </c>
      <c r="O56">
        <f>IF(M56="","",IF(ISNUMBER(C56),C56,IFERROR(_xlfn.NUMBERVALUE(C56,".",","),0)))</f>
        <v/>
      </c>
    </row>
    <row r="57">
      <c r="K57">
        <f>IF(OR(LEFT(B57,9)="DOANH THU",LEFT(B57,8)="SỐ LƯỢNG"),A57,IF(A57="","",K56))</f>
        <v/>
      </c>
      <c r="L57">
        <f>IF(A57="","",IF(ISNUMBER(--LEFT(A57,FIND(" - ",A57&amp;" - ")-1)),LEFT(A57,FIND(" - ",A57&amp;" - ")-1),TRIM(A57)))</f>
        <v/>
      </c>
      <c r="M57">
        <f>IF(OR(K57="",K57=A57,A57=""),"",K57&amp;"|"&amp;L57)</f>
        <v/>
      </c>
      <c r="N57">
        <f>IF(M57="","",IF(ISNUMBER(B57),B57,IFERROR(_xlfn.NUMBERVALUE(B57,".",","),0)))</f>
        <v/>
      </c>
      <c r="O57">
        <f>IF(M57="","",IF(ISNUMBER(C57),C57,IFERROR(_xlfn.NUMBERVALUE(C57,".",","),0)))</f>
        <v/>
      </c>
    </row>
    <row r="58">
      <c r="K58">
        <f>IF(OR(LEFT(B58,9)="DOANH THU",LEFT(B58,8)="SỐ LƯỢNG"),A58,IF(A58="","",K57))</f>
        <v/>
      </c>
      <c r="L58">
        <f>IF(A58="","",IF(ISNUMBER(--LEFT(A58,FIND(" - ",A58&amp;" - ")-1)),LEFT(A58,FIND(" - ",A58&amp;" - ")-1),TRIM(A58)))</f>
        <v/>
      </c>
      <c r="M58">
        <f>IF(OR(K58="",K58=A58,A58=""),"",K58&amp;"|"&amp;L58)</f>
        <v/>
      </c>
      <c r="N58">
        <f>IF(M58="","",IF(ISNUMBER(B58),B58,IFERROR(_xlfn.NUMBERVALUE(B58,".",","),0)))</f>
        <v/>
      </c>
      <c r="O58">
        <f>IF(M58="","",IF(ISNUMBER(C58),C58,IFERROR(_xlfn.NUMBERVALUE(C58,".",","),0)))</f>
        <v/>
      </c>
    </row>
    <row r="59">
      <c r="K59">
        <f>IF(OR(LEFT(B59,9)="DOANH THU",LEFT(B59,8)="SỐ LƯỢNG"),A59,IF(A59="","",K58))</f>
        <v/>
      </c>
      <c r="L59">
        <f>IF(A59="","",IF(ISNUMBER(--LEFT(A59,FIND(" - ",A59&amp;" - ")-1)),LEFT(A59,FIND(" - ",A59&amp;" - ")-1),TRIM(A59)))</f>
        <v/>
      </c>
      <c r="M59">
        <f>IF(OR(K59="",K59=A59,A59=""),"",K59&amp;"|"&amp;L59)</f>
        <v/>
      </c>
      <c r="N59">
        <f>IF(M59="","",IF(ISNUMBER(B59),B59,IFERROR(_xlfn.NUMBERVALUE(B59,".",","),0)))</f>
        <v/>
      </c>
      <c r="O59">
        <f>IF(M59="","",IF(ISNUMBER(C59),C59,IFERROR(_xlfn.NUMBERVALUE(C59,".",","),0)))</f>
        <v/>
      </c>
    </row>
    <row r="60">
      <c r="K60">
        <f>IF(OR(LEFT(B60,9)="DOANH THU",LEFT(B60,8)="SỐ LƯỢNG"),A60,IF(A60="","",K59))</f>
        <v/>
      </c>
      <c r="L60">
        <f>IF(A60="","",IF(ISNUMBER(--LEFT(A60,FIND(" - ",A60&amp;" - ")-1)),LEFT(A60,FIND(" - ",A60&amp;" - ")-1),TRIM(A60)))</f>
        <v/>
      </c>
      <c r="M60">
        <f>IF(OR(K60="",K60=A60,A60=""),"",K60&amp;"|"&amp;L60)</f>
        <v/>
      </c>
      <c r="N60">
        <f>IF(M60="","",IF(ISNUMBER(B60),B60,IFERROR(_xlfn.NUMBERVALUE(B60,".",","),0)))</f>
        <v/>
      </c>
      <c r="O60">
        <f>IF(M60="","",IF(ISNUMBER(C60),C60,IFERROR(_xlfn.NUMBERVALUE(C60,".",","),0)))</f>
        <v/>
      </c>
    </row>
    <row r="61">
      <c r="K61">
        <f>IF(OR(LEFT(B61,9)="DOANH THU",LEFT(B61,8)="SỐ LƯỢNG"),A61,IF(A61="","",K60))</f>
        <v/>
      </c>
      <c r="L61">
        <f>IF(A61="","",IF(ISNUMBER(--LEFT(A61,FIND(" - ",A61&amp;" - ")-1)),LEFT(A61,FIND(" - ",A61&amp;" - ")-1),TRIM(A61)))</f>
        <v/>
      </c>
      <c r="M61">
        <f>IF(OR(K61="",K61=A61,A61=""),"",K61&amp;"|"&amp;L61)</f>
        <v/>
      </c>
      <c r="N61">
        <f>IF(M61="","",IF(ISNUMBER(B61),B61,IFERROR(_xlfn.NUMBERVALUE(B61,".",","),0)))</f>
        <v/>
      </c>
      <c r="O61">
        <f>IF(M61="","",IF(ISNUMBER(C61),C61,IFERROR(_xlfn.NUMBERVALUE(C61,".",","),0)))</f>
        <v/>
      </c>
    </row>
    <row r="62">
      <c r="K62">
        <f>IF(OR(LEFT(B62,9)="DOANH THU",LEFT(B62,8)="SỐ LƯỢNG"),A62,IF(A62="","",K61))</f>
        <v/>
      </c>
      <c r="L62">
        <f>IF(A62="","",IF(ISNUMBER(--LEFT(A62,FIND(" - ",A62&amp;" - ")-1)),LEFT(A62,FIND(" - ",A62&amp;" - ")-1),TRIM(A62)))</f>
        <v/>
      </c>
      <c r="M62">
        <f>IF(OR(K62="",K62=A62,A62=""),"",K62&amp;"|"&amp;L62)</f>
        <v/>
      </c>
      <c r="N62">
        <f>IF(M62="","",IF(ISNUMBER(B62),B62,IFERROR(_xlfn.NUMBERVALUE(B62,".",","),0)))</f>
        <v/>
      </c>
      <c r="O62">
        <f>IF(M62="","",IF(ISNUMBER(C62),C62,IFERROR(_xlfn.NUMBERVALUE(C62,".",","),0)))</f>
        <v/>
      </c>
    </row>
    <row r="63">
      <c r="K63">
        <f>IF(OR(LEFT(B63,9)="DOANH THU",LEFT(B63,8)="SỐ LƯỢNG"),A63,IF(A63="","",K62))</f>
        <v/>
      </c>
      <c r="L63">
        <f>IF(A63="","",IF(ISNUMBER(--LEFT(A63,FIND(" - ",A63&amp;" - ")-1)),LEFT(A63,FIND(" - ",A63&amp;" - ")-1),TRIM(A63)))</f>
        <v/>
      </c>
      <c r="M63">
        <f>IF(OR(K63="",K63=A63,A63=""),"",K63&amp;"|"&amp;L63)</f>
        <v/>
      </c>
      <c r="N63">
        <f>IF(M63="","",IF(ISNUMBER(B63),B63,IFERROR(_xlfn.NUMBERVALUE(B63,".",","),0)))</f>
        <v/>
      </c>
      <c r="O63">
        <f>IF(M63="","",IF(ISNUMBER(C63),C63,IFERROR(_xlfn.NUMBERVALUE(C63,".",","),0)))</f>
        <v/>
      </c>
    </row>
    <row r="64">
      <c r="K64">
        <f>IF(OR(LEFT(B64,9)="DOANH THU",LEFT(B64,8)="SỐ LƯỢNG"),A64,IF(A64="","",K63))</f>
        <v/>
      </c>
      <c r="L64">
        <f>IF(A64="","",IF(ISNUMBER(--LEFT(A64,FIND(" - ",A64&amp;" - ")-1)),LEFT(A64,FIND(" - ",A64&amp;" - ")-1),TRIM(A64)))</f>
        <v/>
      </c>
      <c r="M64">
        <f>IF(OR(K64="",K64=A64,A64=""),"",K64&amp;"|"&amp;L64)</f>
        <v/>
      </c>
      <c r="N64">
        <f>IF(M64="","",IF(ISNUMBER(B64),B64,IFERROR(_xlfn.NUMBERVALUE(B64,".",","),0)))</f>
        <v/>
      </c>
      <c r="O64">
        <f>IF(M64="","",IF(ISNUMBER(C64),C64,IFERROR(_xlfn.NUMBERVALUE(C64,".",","),0)))</f>
        <v/>
      </c>
    </row>
    <row r="65">
      <c r="K65">
        <f>IF(OR(LEFT(B65,9)="DOANH THU",LEFT(B65,8)="SỐ LƯỢNG"),A65,IF(A65="","",K64))</f>
        <v/>
      </c>
      <c r="L65">
        <f>IF(A65="","",IF(ISNUMBER(--LEFT(A65,FIND(" - ",A65&amp;" - ")-1)),LEFT(A65,FIND(" - ",A65&amp;" - ")-1),TRIM(A65)))</f>
        <v/>
      </c>
      <c r="M65">
        <f>IF(OR(K65="",K65=A65,A65=""),"",K65&amp;"|"&amp;L65)</f>
        <v/>
      </c>
      <c r="N65">
        <f>IF(M65="","",IF(ISNUMBER(B65),B65,IFERROR(_xlfn.NUMBERVALUE(B65,".",","),0)))</f>
        <v/>
      </c>
      <c r="O65">
        <f>IF(M65="","",IF(ISNUMBER(C65),C65,IFERROR(_xlfn.NUMBERVALUE(C65,".",","),0)))</f>
        <v/>
      </c>
    </row>
    <row r="66">
      <c r="K66">
        <f>IF(OR(LEFT(B66,9)="DOANH THU",LEFT(B66,8)="SỐ LƯỢNG"),A66,IF(A66="","",K65))</f>
        <v/>
      </c>
      <c r="L66">
        <f>IF(A66="","",IF(ISNUMBER(--LEFT(A66,FIND(" - ",A66&amp;" - ")-1)),LEFT(A66,FIND(" - ",A66&amp;" - ")-1),TRIM(A66)))</f>
        <v/>
      </c>
      <c r="M66">
        <f>IF(OR(K66="",K66=A66,A66=""),"",K66&amp;"|"&amp;L66)</f>
        <v/>
      </c>
      <c r="N66">
        <f>IF(M66="","",IF(ISNUMBER(B66),B66,IFERROR(_xlfn.NUMBERVALUE(B66,".",","),0)))</f>
        <v/>
      </c>
      <c r="O66">
        <f>IF(M66="","",IF(ISNUMBER(C66),C66,IFERROR(_xlfn.NUMBERVALUE(C66,".",","),0)))</f>
        <v/>
      </c>
    </row>
    <row r="67">
      <c r="K67">
        <f>IF(OR(LEFT(B67,9)="DOANH THU",LEFT(B67,8)="SỐ LƯỢNG"),A67,IF(A67="","",K66))</f>
        <v/>
      </c>
      <c r="L67">
        <f>IF(A67="","",IF(ISNUMBER(--LEFT(A67,FIND(" - ",A67&amp;" - ")-1)),LEFT(A67,FIND(" - ",A67&amp;" - ")-1),TRIM(A67)))</f>
        <v/>
      </c>
      <c r="M67">
        <f>IF(OR(K67="",K67=A67,A67=""),"",K67&amp;"|"&amp;L67)</f>
        <v/>
      </c>
      <c r="N67">
        <f>IF(M67="","",IF(ISNUMBER(B67),B67,IFERROR(_xlfn.NUMBERVALUE(B67,".",","),0)))</f>
        <v/>
      </c>
      <c r="O67">
        <f>IF(M67="","",IF(ISNUMBER(C67),C67,IFERROR(_xlfn.NUMBERVALUE(C67,".",","),0)))</f>
        <v/>
      </c>
    </row>
    <row r="68">
      <c r="K68">
        <f>IF(OR(LEFT(B68,9)="DOANH THU",LEFT(B68,8)="SỐ LƯỢNG"),A68,IF(A68="","",K67))</f>
        <v/>
      </c>
      <c r="L68">
        <f>IF(A68="","",IF(ISNUMBER(--LEFT(A68,FIND(" - ",A68&amp;" - ")-1)),LEFT(A68,FIND(" - ",A68&amp;" - ")-1),TRIM(A68)))</f>
        <v/>
      </c>
      <c r="M68">
        <f>IF(OR(K68="",K68=A68,A68=""),"",K68&amp;"|"&amp;L68)</f>
        <v/>
      </c>
      <c r="N68">
        <f>IF(M68="","",IF(ISNUMBER(B68),B68,IFERROR(_xlfn.NUMBERVALUE(B68,".",","),0)))</f>
        <v/>
      </c>
      <c r="O68">
        <f>IF(M68="","",IF(ISNUMBER(C68),C68,IFERROR(_xlfn.NUMBERVALUE(C68,".",","),0)))</f>
        <v/>
      </c>
    </row>
    <row r="69">
      <c r="K69">
        <f>IF(OR(LEFT(B69,9)="DOANH THU",LEFT(B69,8)="SỐ LƯỢNG"),A69,IF(A69="","",K68))</f>
        <v/>
      </c>
      <c r="L69">
        <f>IF(A69="","",IF(ISNUMBER(--LEFT(A69,FIND(" - ",A69&amp;" - ")-1)),LEFT(A69,FIND(" - ",A69&amp;" - ")-1),TRIM(A69)))</f>
        <v/>
      </c>
      <c r="M69">
        <f>IF(OR(K69="",K69=A69,A69=""),"",K69&amp;"|"&amp;L69)</f>
        <v/>
      </c>
      <c r="N69">
        <f>IF(M69="","",IF(ISNUMBER(B69),B69,IFERROR(_xlfn.NUMBERVALUE(B69,".",","),0)))</f>
        <v/>
      </c>
      <c r="O69">
        <f>IF(M69="","",IF(ISNUMBER(C69),C69,IFERROR(_xlfn.NUMBERVALUE(C69,".",","),0)))</f>
        <v/>
      </c>
    </row>
    <row r="70">
      <c r="K70">
        <f>IF(OR(LEFT(B70,9)="DOANH THU",LEFT(B70,8)="SỐ LƯỢNG"),A70,IF(A70="","",K69))</f>
        <v/>
      </c>
      <c r="L70">
        <f>IF(A70="","",IF(ISNUMBER(--LEFT(A70,FIND(" - ",A70&amp;" - ")-1)),LEFT(A70,FIND(" - ",A70&amp;" - ")-1),TRIM(A70)))</f>
        <v/>
      </c>
      <c r="M70">
        <f>IF(OR(K70="",K70=A70,A70=""),"",K70&amp;"|"&amp;L70)</f>
        <v/>
      </c>
      <c r="N70">
        <f>IF(M70="","",IF(ISNUMBER(B70),B70,IFERROR(_xlfn.NUMBERVALUE(B70,".",","),0)))</f>
        <v/>
      </c>
      <c r="O70">
        <f>IF(M70="","",IF(ISNUMBER(C70),C70,IFERROR(_xlfn.NUMBERVALUE(C70,".",","),0)))</f>
        <v/>
      </c>
    </row>
    <row r="71">
      <c r="K71">
        <f>IF(OR(LEFT(B71,9)="DOANH THU",LEFT(B71,8)="SỐ LƯỢNG"),A71,IF(A71="","",K70))</f>
        <v/>
      </c>
      <c r="L71">
        <f>IF(A71="","",IF(ISNUMBER(--LEFT(A71,FIND(" - ",A71&amp;" - ")-1)),LEFT(A71,FIND(" - ",A71&amp;" - ")-1),TRIM(A71)))</f>
        <v/>
      </c>
      <c r="M71">
        <f>IF(OR(K71="",K71=A71,A71=""),"",K71&amp;"|"&amp;L71)</f>
        <v/>
      </c>
      <c r="N71">
        <f>IF(M71="","",IF(ISNUMBER(B71),B71,IFERROR(_xlfn.NUMBERVALUE(B71,".",","),0)))</f>
        <v/>
      </c>
      <c r="O71">
        <f>IF(M71="","",IF(ISNUMBER(C71),C71,IFERROR(_xlfn.NUMBERVALUE(C71,".",","),0)))</f>
        <v/>
      </c>
    </row>
    <row r="72">
      <c r="K72">
        <f>IF(OR(LEFT(B72,9)="DOANH THU",LEFT(B72,8)="SỐ LƯỢNG"),A72,IF(A72="","",K71))</f>
        <v/>
      </c>
      <c r="L72">
        <f>IF(A72="","",IF(ISNUMBER(--LEFT(A72,FIND(" - ",A72&amp;" - ")-1)),LEFT(A72,FIND(" - ",A72&amp;" - ")-1),TRIM(A72)))</f>
        <v/>
      </c>
      <c r="M72">
        <f>IF(OR(K72="",K72=A72,A72=""),"",K72&amp;"|"&amp;L72)</f>
        <v/>
      </c>
      <c r="N72">
        <f>IF(M72="","",IF(ISNUMBER(B72),B72,IFERROR(_xlfn.NUMBERVALUE(B72,".",","),0)))</f>
        <v/>
      </c>
      <c r="O72">
        <f>IF(M72="","",IF(ISNUMBER(C72),C72,IFERROR(_xlfn.NUMBERVALUE(C72,".",","),0)))</f>
        <v/>
      </c>
    </row>
    <row r="73">
      <c r="K73">
        <f>IF(OR(LEFT(B73,9)="DOANH THU",LEFT(B73,8)="SỐ LƯỢNG"),A73,IF(A73="","",K72))</f>
        <v/>
      </c>
      <c r="L73">
        <f>IF(A73="","",IF(ISNUMBER(--LEFT(A73,FIND(" - ",A73&amp;" - ")-1)),LEFT(A73,FIND(" - ",A73&amp;" - ")-1),TRIM(A73)))</f>
        <v/>
      </c>
      <c r="M73">
        <f>IF(OR(K73="",K73=A73,A73=""),"",K73&amp;"|"&amp;L73)</f>
        <v/>
      </c>
      <c r="N73">
        <f>IF(M73="","",IF(ISNUMBER(B73),B73,IFERROR(_xlfn.NUMBERVALUE(B73,".",","),0)))</f>
        <v/>
      </c>
      <c r="O73">
        <f>IF(M73="","",IF(ISNUMBER(C73),C73,IFERROR(_xlfn.NUMBERVALUE(C73,".",","),0)))</f>
        <v/>
      </c>
    </row>
    <row r="74">
      <c r="K74">
        <f>IF(OR(LEFT(B74,9)="DOANH THU",LEFT(B74,8)="SỐ LƯỢNG"),A74,IF(A74="","",K73))</f>
        <v/>
      </c>
      <c r="L74">
        <f>IF(A74="","",IF(ISNUMBER(--LEFT(A74,FIND(" - ",A74&amp;" - ")-1)),LEFT(A74,FIND(" - ",A74&amp;" - ")-1),TRIM(A74)))</f>
        <v/>
      </c>
      <c r="M74">
        <f>IF(OR(K74="",K74=A74,A74=""),"",K74&amp;"|"&amp;L74)</f>
        <v/>
      </c>
      <c r="N74">
        <f>IF(M74="","",IF(ISNUMBER(B74),B74,IFERROR(_xlfn.NUMBERVALUE(B74,".",","),0)))</f>
        <v/>
      </c>
      <c r="O74">
        <f>IF(M74="","",IF(ISNUMBER(C74),C74,IFERROR(_xlfn.NUMBERVALUE(C74,".",","),0)))</f>
        <v/>
      </c>
    </row>
    <row r="75">
      <c r="K75">
        <f>IF(OR(LEFT(B75,9)="DOANH THU",LEFT(B75,8)="SỐ LƯỢNG"),A75,IF(A75="","",K74))</f>
        <v/>
      </c>
      <c r="L75">
        <f>IF(A75="","",IF(ISNUMBER(--LEFT(A75,FIND(" - ",A75&amp;" - ")-1)),LEFT(A75,FIND(" - ",A75&amp;" - ")-1),TRIM(A75)))</f>
        <v/>
      </c>
      <c r="M75">
        <f>IF(OR(K75="",K75=A75,A75=""),"",K75&amp;"|"&amp;L75)</f>
        <v/>
      </c>
      <c r="N75">
        <f>IF(M75="","",IF(ISNUMBER(B75),B75,IFERROR(_xlfn.NUMBERVALUE(B75,".",","),0)))</f>
        <v/>
      </c>
      <c r="O75">
        <f>IF(M75="","",IF(ISNUMBER(C75),C75,IFERROR(_xlfn.NUMBERVALUE(C75,".",","),0)))</f>
        <v/>
      </c>
    </row>
    <row r="76">
      <c r="K76">
        <f>IF(OR(LEFT(B76,9)="DOANH THU",LEFT(B76,8)="SỐ LƯỢNG"),A76,IF(A76="","",K75))</f>
        <v/>
      </c>
      <c r="L76">
        <f>IF(A76="","",IF(ISNUMBER(--LEFT(A76,FIND(" - ",A76&amp;" - ")-1)),LEFT(A76,FIND(" - ",A76&amp;" - ")-1),TRIM(A76)))</f>
        <v/>
      </c>
      <c r="M76">
        <f>IF(OR(K76="",K76=A76,A76=""),"",K76&amp;"|"&amp;L76)</f>
        <v/>
      </c>
      <c r="N76">
        <f>IF(M76="","",IF(ISNUMBER(B76),B76,IFERROR(_xlfn.NUMBERVALUE(B76,".",","),0)))</f>
        <v/>
      </c>
      <c r="O76">
        <f>IF(M76="","",IF(ISNUMBER(C76),C76,IFERROR(_xlfn.NUMBERVALUE(C76,".",","),0)))</f>
        <v/>
      </c>
    </row>
    <row r="77">
      <c r="K77">
        <f>IF(OR(LEFT(B77,9)="DOANH THU",LEFT(B77,8)="SỐ LƯỢNG"),A77,IF(A77="","",K76))</f>
        <v/>
      </c>
      <c r="L77">
        <f>IF(A77="","",IF(ISNUMBER(--LEFT(A77,FIND(" - ",A77&amp;" - ")-1)),LEFT(A77,FIND(" - ",A77&amp;" - ")-1),TRIM(A77)))</f>
        <v/>
      </c>
      <c r="M77">
        <f>IF(OR(K77="",K77=A77,A77=""),"",K77&amp;"|"&amp;L77)</f>
        <v/>
      </c>
      <c r="N77">
        <f>IF(M77="","",IF(ISNUMBER(B77),B77,IFERROR(_xlfn.NUMBERVALUE(B77,".",","),0)))</f>
        <v/>
      </c>
      <c r="O77">
        <f>IF(M77="","",IF(ISNUMBER(C77),C77,IFERROR(_xlfn.NUMBERVALUE(C77,".",","),0)))</f>
        <v/>
      </c>
    </row>
    <row r="78">
      <c r="K78">
        <f>IF(OR(LEFT(B78,9)="DOANH THU",LEFT(B78,8)="SỐ LƯỢNG"),A78,IF(A78="","",K77))</f>
        <v/>
      </c>
      <c r="L78">
        <f>IF(A78="","",IF(ISNUMBER(--LEFT(A78,FIND(" - ",A78&amp;" - ")-1)),LEFT(A78,FIND(" - ",A78&amp;" - ")-1),TRIM(A78)))</f>
        <v/>
      </c>
      <c r="M78">
        <f>IF(OR(K78="",K78=A78,A78=""),"",K78&amp;"|"&amp;L78)</f>
        <v/>
      </c>
      <c r="N78">
        <f>IF(M78="","",IF(ISNUMBER(B78),B78,IFERROR(_xlfn.NUMBERVALUE(B78,".",","),0)))</f>
        <v/>
      </c>
      <c r="O78">
        <f>IF(M78="","",IF(ISNUMBER(C78),C78,IFERROR(_xlfn.NUMBERVALUE(C78,".",","),0)))</f>
        <v/>
      </c>
    </row>
    <row r="79">
      <c r="K79">
        <f>IF(OR(LEFT(B79,9)="DOANH THU",LEFT(B79,8)="SỐ LƯỢNG"),A79,IF(A79="","",K78))</f>
        <v/>
      </c>
      <c r="L79">
        <f>IF(A79="","",IF(ISNUMBER(--LEFT(A79,FIND(" - ",A79&amp;" - ")-1)),LEFT(A79,FIND(" - ",A79&amp;" - ")-1),TRIM(A79)))</f>
        <v/>
      </c>
      <c r="M79">
        <f>IF(OR(K79="",K79=A79,A79=""),"",K79&amp;"|"&amp;L79)</f>
        <v/>
      </c>
      <c r="N79">
        <f>IF(M79="","",IF(ISNUMBER(B79),B79,IFERROR(_xlfn.NUMBERVALUE(B79,".",","),0)))</f>
        <v/>
      </c>
      <c r="O79">
        <f>IF(M79="","",IF(ISNUMBER(C79),C79,IFERROR(_xlfn.NUMBERVALUE(C79,".",","),0)))</f>
        <v/>
      </c>
    </row>
    <row r="80">
      <c r="K80">
        <f>IF(OR(LEFT(B80,9)="DOANH THU",LEFT(B80,8)="SỐ LƯỢNG"),A80,IF(A80="","",K79))</f>
        <v/>
      </c>
      <c r="L80">
        <f>IF(A80="","",IF(ISNUMBER(--LEFT(A80,FIND(" - ",A80&amp;" - ")-1)),LEFT(A80,FIND(" - ",A80&amp;" - ")-1),TRIM(A80)))</f>
        <v/>
      </c>
      <c r="M80">
        <f>IF(OR(K80="",K80=A80,A80=""),"",K80&amp;"|"&amp;L80)</f>
        <v/>
      </c>
      <c r="N80">
        <f>IF(M80="","",IF(ISNUMBER(B80),B80,IFERROR(_xlfn.NUMBERVALUE(B80,".",","),0)))</f>
        <v/>
      </c>
      <c r="O80">
        <f>IF(M80="","",IF(ISNUMBER(C80),C80,IFERROR(_xlfn.NUMBERVALUE(C80,".",","),0)))</f>
        <v/>
      </c>
    </row>
    <row r="81">
      <c r="K81">
        <f>IF(OR(LEFT(B81,9)="DOANH THU",LEFT(B81,8)="SỐ LƯỢNG"),A81,IF(A81="","",K80))</f>
        <v/>
      </c>
      <c r="L81">
        <f>IF(A81="","",IF(ISNUMBER(--LEFT(A81,FIND(" - ",A81&amp;" - ")-1)),LEFT(A81,FIND(" - ",A81&amp;" - ")-1),TRIM(A81)))</f>
        <v/>
      </c>
      <c r="M81">
        <f>IF(OR(K81="",K81=A81,A81=""),"",K81&amp;"|"&amp;L81)</f>
        <v/>
      </c>
      <c r="N81">
        <f>IF(M81="","",IF(ISNUMBER(B81),B81,IFERROR(_xlfn.NUMBERVALUE(B81,".",","),0)))</f>
        <v/>
      </c>
      <c r="O81">
        <f>IF(M81="","",IF(ISNUMBER(C81),C81,IFERROR(_xlfn.NUMBERVALUE(C81,".",","),0)))</f>
        <v/>
      </c>
    </row>
    <row r="82">
      <c r="K82">
        <f>IF(OR(LEFT(B82,9)="DOANH THU",LEFT(B82,8)="SỐ LƯỢNG"),A82,IF(A82="","",K81))</f>
        <v/>
      </c>
      <c r="L82">
        <f>IF(A82="","",IF(ISNUMBER(--LEFT(A82,FIND(" - ",A82&amp;" - ")-1)),LEFT(A82,FIND(" - ",A82&amp;" - ")-1),TRIM(A82)))</f>
        <v/>
      </c>
      <c r="M82">
        <f>IF(OR(K82="",K82=A82,A82=""),"",K82&amp;"|"&amp;L82)</f>
        <v/>
      </c>
      <c r="N82">
        <f>IF(M82="","",IF(ISNUMBER(B82),B82,IFERROR(_xlfn.NUMBERVALUE(B82,".",","),0)))</f>
        <v/>
      </c>
      <c r="O82">
        <f>IF(M82="","",IF(ISNUMBER(C82),C82,IFERROR(_xlfn.NUMBERVALUE(C82,".",","),0)))</f>
        <v/>
      </c>
    </row>
    <row r="83">
      <c r="K83">
        <f>IF(OR(LEFT(B83,9)="DOANH THU",LEFT(B83,8)="SỐ LƯỢNG"),A83,IF(A83="","",K82))</f>
        <v/>
      </c>
      <c r="L83">
        <f>IF(A83="","",IF(ISNUMBER(--LEFT(A83,FIND(" - ",A83&amp;" - ")-1)),LEFT(A83,FIND(" - ",A83&amp;" - ")-1),TRIM(A83)))</f>
        <v/>
      </c>
      <c r="M83">
        <f>IF(OR(K83="",K83=A83,A83=""),"",K83&amp;"|"&amp;L83)</f>
        <v/>
      </c>
      <c r="N83">
        <f>IF(M83="","",IF(ISNUMBER(B83),B83,IFERROR(_xlfn.NUMBERVALUE(B83,".",","),0)))</f>
        <v/>
      </c>
      <c r="O83">
        <f>IF(M83="","",IF(ISNUMBER(C83),C83,IFERROR(_xlfn.NUMBERVALUE(C83,".",","),0)))</f>
        <v/>
      </c>
    </row>
    <row r="84">
      <c r="K84">
        <f>IF(OR(LEFT(B84,9)="DOANH THU",LEFT(B84,8)="SỐ LƯỢNG"),A84,IF(A84="","",K83))</f>
        <v/>
      </c>
      <c r="L84">
        <f>IF(A84="","",IF(ISNUMBER(--LEFT(A84,FIND(" - ",A84&amp;" - ")-1)),LEFT(A84,FIND(" - ",A84&amp;" - ")-1),TRIM(A84)))</f>
        <v/>
      </c>
      <c r="M84">
        <f>IF(OR(K84="",K84=A84,A84=""),"",K84&amp;"|"&amp;L84)</f>
        <v/>
      </c>
      <c r="N84">
        <f>IF(M84="","",IF(ISNUMBER(B84),B84,IFERROR(_xlfn.NUMBERVALUE(B84,".",","),0)))</f>
        <v/>
      </c>
      <c r="O84">
        <f>IF(M84="","",IF(ISNUMBER(C84),C84,IFERROR(_xlfn.NUMBERVALUE(C84,".",","),0)))</f>
        <v/>
      </c>
    </row>
    <row r="85">
      <c r="K85">
        <f>IF(OR(LEFT(B85,9)="DOANH THU",LEFT(B85,8)="SỐ LƯỢNG"),A85,IF(A85="","",K84))</f>
        <v/>
      </c>
      <c r="L85">
        <f>IF(A85="","",IF(ISNUMBER(--LEFT(A85,FIND(" - ",A85&amp;" - ")-1)),LEFT(A85,FIND(" - ",A85&amp;" - ")-1),TRIM(A85)))</f>
        <v/>
      </c>
      <c r="M85">
        <f>IF(OR(K85="",K85=A85,A85=""),"",K85&amp;"|"&amp;L85)</f>
        <v/>
      </c>
      <c r="N85">
        <f>IF(M85="","",IF(ISNUMBER(B85),B85,IFERROR(_xlfn.NUMBERVALUE(B85,".",","),0)))</f>
        <v/>
      </c>
      <c r="O85">
        <f>IF(M85="","",IF(ISNUMBER(C85),C85,IFERROR(_xlfn.NUMBERVALUE(C85,".",","),0)))</f>
        <v/>
      </c>
    </row>
    <row r="86">
      <c r="K86">
        <f>IF(OR(LEFT(B86,9)="DOANH THU",LEFT(B86,8)="SỐ LƯỢNG"),A86,IF(A86="","",K85))</f>
        <v/>
      </c>
      <c r="L86">
        <f>IF(A86="","",IF(ISNUMBER(--LEFT(A86,FIND(" - ",A86&amp;" - ")-1)),LEFT(A86,FIND(" - ",A86&amp;" - ")-1),TRIM(A86)))</f>
        <v/>
      </c>
      <c r="M86">
        <f>IF(OR(K86="",K86=A86,A86=""),"",K86&amp;"|"&amp;L86)</f>
        <v/>
      </c>
      <c r="N86">
        <f>IF(M86="","",IF(ISNUMBER(B86),B86,IFERROR(_xlfn.NUMBERVALUE(B86,".",","),0)))</f>
        <v/>
      </c>
      <c r="O86">
        <f>IF(M86="","",IF(ISNUMBER(C86),C86,IFERROR(_xlfn.NUMBERVALUE(C86,".",","),0)))</f>
        <v/>
      </c>
    </row>
    <row r="87">
      <c r="K87">
        <f>IF(OR(LEFT(B87,9)="DOANH THU",LEFT(B87,8)="SỐ LƯỢNG"),A87,IF(A87="","",K86))</f>
        <v/>
      </c>
      <c r="L87">
        <f>IF(A87="","",IF(ISNUMBER(--LEFT(A87,FIND(" - ",A87&amp;" - ")-1)),LEFT(A87,FIND(" - ",A87&amp;" - ")-1),TRIM(A87)))</f>
        <v/>
      </c>
      <c r="M87">
        <f>IF(OR(K87="",K87=A87,A87=""),"",K87&amp;"|"&amp;L87)</f>
        <v/>
      </c>
      <c r="N87">
        <f>IF(M87="","",IF(ISNUMBER(B87),B87,IFERROR(_xlfn.NUMBERVALUE(B87,".",","),0)))</f>
        <v/>
      </c>
      <c r="O87">
        <f>IF(M87="","",IF(ISNUMBER(C87),C87,IFERROR(_xlfn.NUMBERVALUE(C87,".",","),0)))</f>
        <v/>
      </c>
    </row>
    <row r="88">
      <c r="K88">
        <f>IF(OR(LEFT(B88,9)="DOANH THU",LEFT(B88,8)="SỐ LƯỢNG"),A88,IF(A88="","",K87))</f>
        <v/>
      </c>
      <c r="L88">
        <f>IF(A88="","",IF(ISNUMBER(--LEFT(A88,FIND(" - ",A88&amp;" - ")-1)),LEFT(A88,FIND(" - ",A88&amp;" - ")-1),TRIM(A88)))</f>
        <v/>
      </c>
      <c r="M88">
        <f>IF(OR(K88="",K88=A88,A88=""),"",K88&amp;"|"&amp;L88)</f>
        <v/>
      </c>
      <c r="N88">
        <f>IF(M88="","",IF(ISNUMBER(B88),B88,IFERROR(_xlfn.NUMBERVALUE(B88,".",","),0)))</f>
        <v/>
      </c>
      <c r="O88">
        <f>IF(M88="","",IF(ISNUMBER(C88),C88,IFERROR(_xlfn.NUMBERVALUE(C88,".",","),0)))</f>
        <v/>
      </c>
    </row>
    <row r="89">
      <c r="K89">
        <f>IF(OR(LEFT(B89,9)="DOANH THU",LEFT(B89,8)="SỐ LƯỢNG"),A89,IF(A89="","",K88))</f>
        <v/>
      </c>
      <c r="L89">
        <f>IF(A89="","",IF(ISNUMBER(--LEFT(A89,FIND(" - ",A89&amp;" - ")-1)),LEFT(A89,FIND(" - ",A89&amp;" - ")-1),TRIM(A89)))</f>
        <v/>
      </c>
      <c r="M89">
        <f>IF(OR(K89="",K89=A89,A89=""),"",K89&amp;"|"&amp;L89)</f>
        <v/>
      </c>
      <c r="N89">
        <f>IF(M89="","",IF(ISNUMBER(B89),B89,IFERROR(_xlfn.NUMBERVALUE(B89,".",","),0)))</f>
        <v/>
      </c>
      <c r="O89">
        <f>IF(M89="","",IF(ISNUMBER(C89),C89,IFERROR(_xlfn.NUMBERVALUE(C89,".",","),0)))</f>
        <v/>
      </c>
    </row>
    <row r="90">
      <c r="K90">
        <f>IF(OR(LEFT(B90,9)="DOANH THU",LEFT(B90,8)="SỐ LƯỢNG"),A90,IF(A90="","",K89))</f>
        <v/>
      </c>
      <c r="L90">
        <f>IF(A90="","",IF(ISNUMBER(--LEFT(A90,FIND(" - ",A90&amp;" - ")-1)),LEFT(A90,FIND(" - ",A90&amp;" - ")-1),TRIM(A90)))</f>
        <v/>
      </c>
      <c r="M90">
        <f>IF(OR(K90="",K90=A90,A90=""),"",K90&amp;"|"&amp;L90)</f>
        <v/>
      </c>
      <c r="N90">
        <f>IF(M90="","",IF(ISNUMBER(B90),B90,IFERROR(_xlfn.NUMBERVALUE(B90,".",","),0)))</f>
        <v/>
      </c>
      <c r="O90">
        <f>IF(M90="","",IF(ISNUMBER(C90),C90,IFERROR(_xlfn.NUMBERVALUE(C90,".",","),0)))</f>
        <v/>
      </c>
    </row>
    <row r="91">
      <c r="K91">
        <f>IF(OR(LEFT(B91,9)="DOANH THU",LEFT(B91,8)="SỐ LƯỢNG"),A91,IF(A91="","",K90))</f>
        <v/>
      </c>
      <c r="L91">
        <f>IF(A91="","",IF(ISNUMBER(--LEFT(A91,FIND(" - ",A91&amp;" - ")-1)),LEFT(A91,FIND(" - ",A91&amp;" - ")-1),TRIM(A91)))</f>
        <v/>
      </c>
      <c r="M91">
        <f>IF(OR(K91="",K91=A91,A91=""),"",K91&amp;"|"&amp;L91)</f>
        <v/>
      </c>
      <c r="N91">
        <f>IF(M91="","",IF(ISNUMBER(B91),B91,IFERROR(_xlfn.NUMBERVALUE(B91,".",","),0)))</f>
        <v/>
      </c>
      <c r="O91">
        <f>IF(M91="","",IF(ISNUMBER(C91),C91,IFERROR(_xlfn.NUMBERVALUE(C91,".",","),0)))</f>
        <v/>
      </c>
    </row>
    <row r="92">
      <c r="K92">
        <f>IF(OR(LEFT(B92,9)="DOANH THU",LEFT(B92,8)="SỐ LƯỢNG"),A92,IF(A92="","",K91))</f>
        <v/>
      </c>
      <c r="L92">
        <f>IF(A92="","",IF(ISNUMBER(--LEFT(A92,FIND(" - ",A92&amp;" - ")-1)),LEFT(A92,FIND(" - ",A92&amp;" - ")-1),TRIM(A92)))</f>
        <v/>
      </c>
      <c r="M92">
        <f>IF(OR(K92="",K92=A92,A92=""),"",K92&amp;"|"&amp;L92)</f>
        <v/>
      </c>
      <c r="N92">
        <f>IF(M92="","",IF(ISNUMBER(B92),B92,IFERROR(_xlfn.NUMBERVALUE(B92,".",","),0)))</f>
        <v/>
      </c>
      <c r="O92">
        <f>IF(M92="","",IF(ISNUMBER(C92),C92,IFERROR(_xlfn.NUMBERVALUE(C92,".",","),0)))</f>
        <v/>
      </c>
    </row>
    <row r="93">
      <c r="K93">
        <f>IF(OR(LEFT(B93,9)="DOANH THU",LEFT(B93,8)="SỐ LƯỢNG"),A93,IF(A93="","",K92))</f>
        <v/>
      </c>
      <c r="L93">
        <f>IF(A93="","",IF(ISNUMBER(--LEFT(A93,FIND(" - ",A93&amp;" - ")-1)),LEFT(A93,FIND(" - ",A93&amp;" - ")-1),TRIM(A93)))</f>
        <v/>
      </c>
      <c r="M93">
        <f>IF(OR(K93="",K93=A93,A93=""),"",K93&amp;"|"&amp;L93)</f>
        <v/>
      </c>
      <c r="N93">
        <f>IF(M93="","",IF(ISNUMBER(B93),B93,IFERROR(_xlfn.NUMBERVALUE(B93,".",","),0)))</f>
        <v/>
      </c>
      <c r="O93">
        <f>IF(M93="","",IF(ISNUMBER(C93),C93,IFERROR(_xlfn.NUMBERVALUE(C93,".",","),0)))</f>
        <v/>
      </c>
    </row>
    <row r="94">
      <c r="K94">
        <f>IF(OR(LEFT(B94,9)="DOANH THU",LEFT(B94,8)="SỐ LƯỢNG"),A94,IF(A94="","",K93))</f>
        <v/>
      </c>
      <c r="L94">
        <f>IF(A94="","",IF(ISNUMBER(--LEFT(A94,FIND(" - ",A94&amp;" - ")-1)),LEFT(A94,FIND(" - ",A94&amp;" - ")-1),TRIM(A94)))</f>
        <v/>
      </c>
      <c r="M94">
        <f>IF(OR(K94="",K94=A94,A94=""),"",K94&amp;"|"&amp;L94)</f>
        <v/>
      </c>
      <c r="N94">
        <f>IF(M94="","",IF(ISNUMBER(B94),B94,IFERROR(_xlfn.NUMBERVALUE(B94,".",","),0)))</f>
        <v/>
      </c>
      <c r="O94">
        <f>IF(M94="","",IF(ISNUMBER(C94),C94,IFERROR(_xlfn.NUMBERVALUE(C94,".",","),0)))</f>
        <v/>
      </c>
    </row>
    <row r="95">
      <c r="K95">
        <f>IF(OR(LEFT(B95,9)="DOANH THU",LEFT(B95,8)="SỐ LƯỢNG"),A95,IF(A95="","",K94))</f>
        <v/>
      </c>
      <c r="L95">
        <f>IF(A95="","",IF(ISNUMBER(--LEFT(A95,FIND(" - ",A95&amp;" - ")-1)),LEFT(A95,FIND(" - ",A95&amp;" - ")-1),TRIM(A95)))</f>
        <v/>
      </c>
      <c r="M95">
        <f>IF(OR(K95="",K95=A95,A95=""),"",K95&amp;"|"&amp;L95)</f>
        <v/>
      </c>
      <c r="N95">
        <f>IF(M95="","",IF(ISNUMBER(B95),B95,IFERROR(_xlfn.NUMBERVALUE(B95,".",","),0)))</f>
        <v/>
      </c>
      <c r="O95">
        <f>IF(M95="","",IF(ISNUMBER(C95),C95,IFERROR(_xlfn.NUMBERVALUE(C95,".",","),0)))</f>
        <v/>
      </c>
    </row>
    <row r="96">
      <c r="K96">
        <f>IF(OR(LEFT(B96,9)="DOANH THU",LEFT(B96,8)="SỐ LƯỢNG"),A96,IF(A96="","",K95))</f>
        <v/>
      </c>
      <c r="L96">
        <f>IF(A96="","",IF(ISNUMBER(--LEFT(A96,FIND(" - ",A96&amp;" - ")-1)),LEFT(A96,FIND(" - ",A96&amp;" - ")-1),TRIM(A96)))</f>
        <v/>
      </c>
      <c r="M96">
        <f>IF(OR(K96="",K96=A96,A96=""),"",K96&amp;"|"&amp;L96)</f>
        <v/>
      </c>
      <c r="N96">
        <f>IF(M96="","",IF(ISNUMBER(B96),B96,IFERROR(_xlfn.NUMBERVALUE(B96,".",","),0)))</f>
        <v/>
      </c>
      <c r="O96">
        <f>IF(M96="","",IF(ISNUMBER(C96),C96,IFERROR(_xlfn.NUMBERVALUE(C96,".",","),0)))</f>
        <v/>
      </c>
    </row>
    <row r="97">
      <c r="K97">
        <f>IF(OR(LEFT(B97,9)="DOANH THU",LEFT(B97,8)="SỐ LƯỢNG"),A97,IF(A97="","",K96))</f>
        <v/>
      </c>
      <c r="L97">
        <f>IF(A97="","",IF(ISNUMBER(--LEFT(A97,FIND(" - ",A97&amp;" - ")-1)),LEFT(A97,FIND(" - ",A97&amp;" - ")-1),TRIM(A97)))</f>
        <v/>
      </c>
      <c r="M97">
        <f>IF(OR(K97="",K97=A97,A97=""),"",K97&amp;"|"&amp;L97)</f>
        <v/>
      </c>
      <c r="N97">
        <f>IF(M97="","",IF(ISNUMBER(B97),B97,IFERROR(_xlfn.NUMBERVALUE(B97,".",","),0)))</f>
        <v/>
      </c>
      <c r="O97">
        <f>IF(M97="","",IF(ISNUMBER(C97),C97,IFERROR(_xlfn.NUMBERVALUE(C97,".",","),0)))</f>
        <v/>
      </c>
    </row>
    <row r="98">
      <c r="K98">
        <f>IF(OR(LEFT(B98,9)="DOANH THU",LEFT(B98,8)="SỐ LƯỢNG"),A98,IF(A98="","",K97))</f>
        <v/>
      </c>
      <c r="L98">
        <f>IF(A98="","",IF(ISNUMBER(--LEFT(A98,FIND(" - ",A98&amp;" - ")-1)),LEFT(A98,FIND(" - ",A98&amp;" - ")-1),TRIM(A98)))</f>
        <v/>
      </c>
      <c r="M98">
        <f>IF(OR(K98="",K98=A98,A98=""),"",K98&amp;"|"&amp;L98)</f>
        <v/>
      </c>
      <c r="N98">
        <f>IF(M98="","",IF(ISNUMBER(B98),B98,IFERROR(_xlfn.NUMBERVALUE(B98,".",","),0)))</f>
        <v/>
      </c>
      <c r="O98">
        <f>IF(M98="","",IF(ISNUMBER(C98),C98,IFERROR(_xlfn.NUMBERVALUE(C98,".",","),0)))</f>
        <v/>
      </c>
    </row>
    <row r="99">
      <c r="K99">
        <f>IF(OR(LEFT(B99,9)="DOANH THU",LEFT(B99,8)="SỐ LƯỢNG"),A99,IF(A99="","",K98))</f>
        <v/>
      </c>
      <c r="L99">
        <f>IF(A99="","",IF(ISNUMBER(--LEFT(A99,FIND(" - ",A99&amp;" - ")-1)),LEFT(A99,FIND(" - ",A99&amp;" - ")-1),TRIM(A99)))</f>
        <v/>
      </c>
      <c r="M99">
        <f>IF(OR(K99="",K99=A99,A99=""),"",K99&amp;"|"&amp;L99)</f>
        <v/>
      </c>
      <c r="N99">
        <f>IF(M99="","",IF(ISNUMBER(B99),B99,IFERROR(_xlfn.NUMBERVALUE(B99,".",","),0)))</f>
        <v/>
      </c>
      <c r="O99">
        <f>IF(M99="","",IF(ISNUMBER(C99),C99,IFERROR(_xlfn.NUMBERVALUE(C99,".",","),0)))</f>
        <v/>
      </c>
    </row>
    <row r="100">
      <c r="K100">
        <f>IF(OR(LEFT(B100,9)="DOANH THU",LEFT(B100,8)="SỐ LƯỢNG"),A100,IF(A100="","",K99))</f>
        <v/>
      </c>
      <c r="L100">
        <f>IF(A100="","",IF(ISNUMBER(--LEFT(A100,FIND(" - ",A100&amp;" - ")-1)),LEFT(A100,FIND(" - ",A100&amp;" - ")-1),TRIM(A100)))</f>
        <v/>
      </c>
      <c r="M100">
        <f>IF(OR(K100="",K100=A100,A100=""),"",K100&amp;"|"&amp;L100)</f>
        <v/>
      </c>
      <c r="N100">
        <f>IF(M100="","",IF(ISNUMBER(B100),B100,IFERROR(_xlfn.NUMBERVALUE(B100,".",","),0)))</f>
        <v/>
      </c>
      <c r="O100">
        <f>IF(M100="","",IF(ISNUMBER(C100),C100,IFERROR(_xlfn.NUMBERVALUE(C100,".",","),0)))</f>
        <v/>
      </c>
    </row>
    <row r="101">
      <c r="K101">
        <f>IF(OR(LEFT(B101,9)="DOANH THU",LEFT(B101,8)="SỐ LƯỢNG"),A101,IF(A101="","",K100))</f>
        <v/>
      </c>
      <c r="L101">
        <f>IF(A101="","",IF(ISNUMBER(--LEFT(A101,FIND(" - ",A101&amp;" - ")-1)),LEFT(A101,FIND(" - ",A101&amp;" - ")-1),TRIM(A101)))</f>
        <v/>
      </c>
      <c r="M101">
        <f>IF(OR(K101="",K101=A101,A101=""),"",K101&amp;"|"&amp;L101)</f>
        <v/>
      </c>
      <c r="N101">
        <f>IF(M101="","",IF(ISNUMBER(B101),B101,IFERROR(_xlfn.NUMBERVALUE(B101,".",","),0)))</f>
        <v/>
      </c>
      <c r="O101">
        <f>IF(M101="","",IF(ISNUMBER(C101),C101,IFERROR(_xlfn.NUMBERVALUE(C101,".",","),0)))</f>
        <v/>
      </c>
    </row>
    <row r="102">
      <c r="K102">
        <f>IF(OR(LEFT(B102,9)="DOANH THU",LEFT(B102,8)="SỐ LƯỢNG"),A102,IF(A102="","",K101))</f>
        <v/>
      </c>
      <c r="L102">
        <f>IF(A102="","",IF(ISNUMBER(--LEFT(A102,FIND(" - ",A102&amp;" - ")-1)),LEFT(A102,FIND(" - ",A102&amp;" - ")-1),TRIM(A102)))</f>
        <v/>
      </c>
      <c r="M102">
        <f>IF(OR(K102="",K102=A102,A102=""),"",K102&amp;"|"&amp;L102)</f>
        <v/>
      </c>
      <c r="N102">
        <f>IF(M102="","",IF(ISNUMBER(B102),B102,IFERROR(_xlfn.NUMBERVALUE(B102,".",","),0)))</f>
        <v/>
      </c>
      <c r="O102">
        <f>IF(M102="","",IF(ISNUMBER(C102),C102,IFERROR(_xlfn.NUMBERVALUE(C102,".",","),0)))</f>
        <v/>
      </c>
    </row>
    <row r="103">
      <c r="K103">
        <f>IF(OR(LEFT(B103,9)="DOANH THU",LEFT(B103,8)="SỐ LƯỢNG"),A103,IF(A103="","",K102))</f>
        <v/>
      </c>
      <c r="L103">
        <f>IF(A103="","",IF(ISNUMBER(--LEFT(A103,FIND(" - ",A103&amp;" - ")-1)),LEFT(A103,FIND(" - ",A103&amp;" - ")-1),TRIM(A103)))</f>
        <v/>
      </c>
      <c r="M103">
        <f>IF(OR(K103="",K103=A103,A103=""),"",K103&amp;"|"&amp;L103)</f>
        <v/>
      </c>
      <c r="N103">
        <f>IF(M103="","",IF(ISNUMBER(B103),B103,IFERROR(_xlfn.NUMBERVALUE(B103,".",","),0)))</f>
        <v/>
      </c>
      <c r="O103">
        <f>IF(M103="","",IF(ISNUMBER(C103),C103,IFERROR(_xlfn.NUMBERVALUE(C103,".",","),0)))</f>
        <v/>
      </c>
    </row>
    <row r="104">
      <c r="K104">
        <f>IF(OR(LEFT(B104,9)="DOANH THU",LEFT(B104,8)="SỐ LƯỢNG"),A104,IF(A104="","",K103))</f>
        <v/>
      </c>
      <c r="L104">
        <f>IF(A104="","",IF(ISNUMBER(--LEFT(A104,FIND(" - ",A104&amp;" - ")-1)),LEFT(A104,FIND(" - ",A104&amp;" - ")-1),TRIM(A104)))</f>
        <v/>
      </c>
      <c r="M104">
        <f>IF(OR(K104="",K104=A104,A104=""),"",K104&amp;"|"&amp;L104)</f>
        <v/>
      </c>
      <c r="N104">
        <f>IF(M104="","",IF(ISNUMBER(B104),B104,IFERROR(_xlfn.NUMBERVALUE(B104,".",","),0)))</f>
        <v/>
      </c>
      <c r="O104">
        <f>IF(M104="","",IF(ISNUMBER(C104),C104,IFERROR(_xlfn.NUMBERVALUE(C104,".",","),0)))</f>
        <v/>
      </c>
    </row>
    <row r="105">
      <c r="K105">
        <f>IF(OR(LEFT(B105,9)="DOANH THU",LEFT(B105,8)="SỐ LƯỢNG"),A105,IF(A105="","",K104))</f>
        <v/>
      </c>
      <c r="L105">
        <f>IF(A105="","",IF(ISNUMBER(--LEFT(A105,FIND(" - ",A105&amp;" - ")-1)),LEFT(A105,FIND(" - ",A105&amp;" - ")-1),TRIM(A105)))</f>
        <v/>
      </c>
      <c r="M105">
        <f>IF(OR(K105="",K105=A105,A105=""),"",K105&amp;"|"&amp;L105)</f>
        <v/>
      </c>
      <c r="N105">
        <f>IF(M105="","",IF(ISNUMBER(B105),B105,IFERROR(_xlfn.NUMBERVALUE(B105,".",","),0)))</f>
        <v/>
      </c>
      <c r="O105">
        <f>IF(M105="","",IF(ISNUMBER(C105),C105,IFERROR(_xlfn.NUMBERVALUE(C105,".",","),0)))</f>
        <v/>
      </c>
    </row>
    <row r="106">
      <c r="K106">
        <f>IF(OR(LEFT(B106,9)="DOANH THU",LEFT(B106,8)="SỐ LƯỢNG"),A106,IF(A106="","",K105))</f>
        <v/>
      </c>
      <c r="L106">
        <f>IF(A106="","",IF(ISNUMBER(--LEFT(A106,FIND(" - ",A106&amp;" - ")-1)),LEFT(A106,FIND(" - ",A106&amp;" - ")-1),TRIM(A106)))</f>
        <v/>
      </c>
      <c r="M106">
        <f>IF(OR(K106="",K106=A106,A106=""),"",K106&amp;"|"&amp;L106)</f>
        <v/>
      </c>
      <c r="N106">
        <f>IF(M106="","",IF(ISNUMBER(B106),B106,IFERROR(_xlfn.NUMBERVALUE(B106,".",","),0)))</f>
        <v/>
      </c>
      <c r="O106">
        <f>IF(M106="","",IF(ISNUMBER(C106),C106,IFERROR(_xlfn.NUMBERVALUE(C106,".",","),0)))</f>
        <v/>
      </c>
    </row>
    <row r="107">
      <c r="K107">
        <f>IF(OR(LEFT(B107,9)="DOANH THU",LEFT(B107,8)="SỐ LƯỢNG"),A107,IF(A107="","",K106))</f>
        <v/>
      </c>
      <c r="L107">
        <f>IF(A107="","",IF(ISNUMBER(--LEFT(A107,FIND(" - ",A107&amp;" - ")-1)),LEFT(A107,FIND(" - ",A107&amp;" - ")-1),TRIM(A107)))</f>
        <v/>
      </c>
      <c r="M107">
        <f>IF(OR(K107="",K107=A107,A107=""),"",K107&amp;"|"&amp;L107)</f>
        <v/>
      </c>
      <c r="N107">
        <f>IF(M107="","",IF(ISNUMBER(B107),B107,IFERROR(_xlfn.NUMBERVALUE(B107,".",","),0)))</f>
        <v/>
      </c>
      <c r="O107">
        <f>IF(M107="","",IF(ISNUMBER(C107),C107,IFERROR(_xlfn.NUMBERVALUE(C107,".",","),0)))</f>
        <v/>
      </c>
    </row>
    <row r="108">
      <c r="K108">
        <f>IF(OR(LEFT(B108,9)="DOANH THU",LEFT(B108,8)="SỐ LƯỢNG"),A108,IF(A108="","",K107))</f>
        <v/>
      </c>
      <c r="L108">
        <f>IF(A108="","",IF(ISNUMBER(--LEFT(A108,FIND(" - ",A108&amp;" - ")-1)),LEFT(A108,FIND(" - ",A108&amp;" - ")-1),TRIM(A108)))</f>
        <v/>
      </c>
      <c r="M108">
        <f>IF(OR(K108="",K108=A108,A108=""),"",K108&amp;"|"&amp;L108)</f>
        <v/>
      </c>
      <c r="N108">
        <f>IF(M108="","",IF(ISNUMBER(B108),B108,IFERROR(_xlfn.NUMBERVALUE(B108,".",","),0)))</f>
        <v/>
      </c>
      <c r="O108">
        <f>IF(M108="","",IF(ISNUMBER(C108),C108,IFERROR(_xlfn.NUMBERVALUE(C108,".",","),0)))</f>
        <v/>
      </c>
    </row>
    <row r="109">
      <c r="K109">
        <f>IF(OR(LEFT(B109,9)="DOANH THU",LEFT(B109,8)="SỐ LƯỢNG"),A109,IF(A109="","",K108))</f>
        <v/>
      </c>
      <c r="L109">
        <f>IF(A109="","",IF(ISNUMBER(--LEFT(A109,FIND(" - ",A109&amp;" - ")-1)),LEFT(A109,FIND(" - ",A109&amp;" - ")-1),TRIM(A109)))</f>
        <v/>
      </c>
      <c r="M109">
        <f>IF(OR(K109="",K109=A109,A109=""),"",K109&amp;"|"&amp;L109)</f>
        <v/>
      </c>
      <c r="N109">
        <f>IF(M109="","",IF(ISNUMBER(B109),B109,IFERROR(_xlfn.NUMBERVALUE(B109,".",","),0)))</f>
        <v/>
      </c>
      <c r="O109">
        <f>IF(M109="","",IF(ISNUMBER(C109),C109,IFERROR(_xlfn.NUMBERVALUE(C109,".",","),0)))</f>
        <v/>
      </c>
    </row>
    <row r="110">
      <c r="K110">
        <f>IF(OR(LEFT(B110,9)="DOANH THU",LEFT(B110,8)="SỐ LƯỢNG"),A110,IF(A110="","",K109))</f>
        <v/>
      </c>
      <c r="L110">
        <f>IF(A110="","",IF(ISNUMBER(--LEFT(A110,FIND(" - ",A110&amp;" - ")-1)),LEFT(A110,FIND(" - ",A110&amp;" - ")-1),TRIM(A110)))</f>
        <v/>
      </c>
      <c r="M110">
        <f>IF(OR(K110="",K110=A110,A110=""),"",K110&amp;"|"&amp;L110)</f>
        <v/>
      </c>
      <c r="N110">
        <f>IF(M110="","",IF(ISNUMBER(B110),B110,IFERROR(_xlfn.NUMBERVALUE(B110,".",","),0)))</f>
        <v/>
      </c>
      <c r="O110">
        <f>IF(M110="","",IF(ISNUMBER(C110),C110,IFERROR(_xlfn.NUMBERVALUE(C110,".",","),0)))</f>
        <v/>
      </c>
    </row>
    <row r="111">
      <c r="K111">
        <f>IF(OR(LEFT(B111,9)="DOANH THU",LEFT(B111,8)="SỐ LƯỢNG"),A111,IF(A111="","",K110))</f>
        <v/>
      </c>
      <c r="L111">
        <f>IF(A111="","",IF(ISNUMBER(--LEFT(A111,FIND(" - ",A111&amp;" - ")-1)),LEFT(A111,FIND(" - ",A111&amp;" - ")-1),TRIM(A111)))</f>
        <v/>
      </c>
      <c r="M111">
        <f>IF(OR(K111="",K111=A111,A111=""),"",K111&amp;"|"&amp;L111)</f>
        <v/>
      </c>
      <c r="N111">
        <f>IF(M111="","",IF(ISNUMBER(B111),B111,IFERROR(_xlfn.NUMBERVALUE(B111,".",","),0)))</f>
        <v/>
      </c>
      <c r="O111">
        <f>IF(M111="","",IF(ISNUMBER(C111),C111,IFERROR(_xlfn.NUMBERVALUE(C111,".",","),0)))</f>
        <v/>
      </c>
    </row>
    <row r="112">
      <c r="K112">
        <f>IF(OR(LEFT(B112,9)="DOANH THU",LEFT(B112,8)="SỐ LƯỢNG"),A112,IF(A112="","",K111))</f>
        <v/>
      </c>
      <c r="L112">
        <f>IF(A112="","",IF(ISNUMBER(--LEFT(A112,FIND(" - ",A112&amp;" - ")-1)),LEFT(A112,FIND(" - ",A112&amp;" - ")-1),TRIM(A112)))</f>
        <v/>
      </c>
      <c r="M112">
        <f>IF(OR(K112="",K112=A112,A112=""),"",K112&amp;"|"&amp;L112)</f>
        <v/>
      </c>
      <c r="N112">
        <f>IF(M112="","",IF(ISNUMBER(B112),B112,IFERROR(_xlfn.NUMBERVALUE(B112,".",","),0)))</f>
        <v/>
      </c>
      <c r="O112">
        <f>IF(M112="","",IF(ISNUMBER(C112),C112,IFERROR(_xlfn.NUMBERVALUE(C112,".",","),0)))</f>
        <v/>
      </c>
    </row>
    <row r="113">
      <c r="K113">
        <f>IF(OR(LEFT(B113,9)="DOANH THU",LEFT(B113,8)="SỐ LƯỢNG"),A113,IF(A113="","",K112))</f>
        <v/>
      </c>
      <c r="L113">
        <f>IF(A113="","",IF(ISNUMBER(--LEFT(A113,FIND(" - ",A113&amp;" - ")-1)),LEFT(A113,FIND(" - ",A113&amp;" - ")-1),TRIM(A113)))</f>
        <v/>
      </c>
      <c r="M113">
        <f>IF(OR(K113="",K113=A113,A113=""),"",K113&amp;"|"&amp;L113)</f>
        <v/>
      </c>
      <c r="N113">
        <f>IF(M113="","",IF(ISNUMBER(B113),B113,IFERROR(_xlfn.NUMBERVALUE(B113,".",","),0)))</f>
        <v/>
      </c>
      <c r="O113">
        <f>IF(M113="","",IF(ISNUMBER(C113),C113,IFERROR(_xlfn.NUMBERVALUE(C113,".",","),0)))</f>
        <v/>
      </c>
    </row>
    <row r="114">
      <c r="K114">
        <f>IF(OR(LEFT(B114,9)="DOANH THU",LEFT(B114,8)="SỐ LƯỢNG"),A114,IF(A114="","",K113))</f>
        <v/>
      </c>
      <c r="L114">
        <f>IF(A114="","",IF(ISNUMBER(--LEFT(A114,FIND(" - ",A114&amp;" - ")-1)),LEFT(A114,FIND(" - ",A114&amp;" - ")-1),TRIM(A114)))</f>
        <v/>
      </c>
      <c r="M114">
        <f>IF(OR(K114="",K114=A114,A114=""),"",K114&amp;"|"&amp;L114)</f>
        <v/>
      </c>
      <c r="N114">
        <f>IF(M114="","",IF(ISNUMBER(B114),B114,IFERROR(_xlfn.NUMBERVALUE(B114,".",","),0)))</f>
        <v/>
      </c>
      <c r="O114">
        <f>IF(M114="","",IF(ISNUMBER(C114),C114,IFERROR(_xlfn.NUMBERVALUE(C114,".",","),0)))</f>
        <v/>
      </c>
    </row>
    <row r="115">
      <c r="K115">
        <f>IF(OR(LEFT(B115,9)="DOANH THU",LEFT(B115,8)="SỐ LƯỢNG"),A115,IF(A115="","",K114))</f>
        <v/>
      </c>
      <c r="L115">
        <f>IF(A115="","",IF(ISNUMBER(--LEFT(A115,FIND(" - ",A115&amp;" - ")-1)),LEFT(A115,FIND(" - ",A115&amp;" - ")-1),TRIM(A115)))</f>
        <v/>
      </c>
      <c r="M115">
        <f>IF(OR(K115="",K115=A115,A115=""),"",K115&amp;"|"&amp;L115)</f>
        <v/>
      </c>
      <c r="N115">
        <f>IF(M115="","",IF(ISNUMBER(B115),B115,IFERROR(_xlfn.NUMBERVALUE(B115,".",","),0)))</f>
        <v/>
      </c>
      <c r="O115">
        <f>IF(M115="","",IF(ISNUMBER(C115),C115,IFERROR(_xlfn.NUMBERVALUE(C115,".",","),0)))</f>
        <v/>
      </c>
    </row>
    <row r="116">
      <c r="K116">
        <f>IF(OR(LEFT(B116,9)="DOANH THU",LEFT(B116,8)="SỐ LƯỢNG"),A116,IF(A116="","",K115))</f>
        <v/>
      </c>
      <c r="L116">
        <f>IF(A116="","",IF(ISNUMBER(--LEFT(A116,FIND(" - ",A116&amp;" - ")-1)),LEFT(A116,FIND(" - ",A116&amp;" - ")-1),TRIM(A116)))</f>
        <v/>
      </c>
      <c r="M116">
        <f>IF(OR(K116="",K116=A116,A116=""),"",K116&amp;"|"&amp;L116)</f>
        <v/>
      </c>
      <c r="N116">
        <f>IF(M116="","",IF(ISNUMBER(B116),B116,IFERROR(_xlfn.NUMBERVALUE(B116,".",","),0)))</f>
        <v/>
      </c>
      <c r="O116">
        <f>IF(M116="","",IF(ISNUMBER(C116),C116,IFERROR(_xlfn.NUMBERVALUE(C116,".",","),0)))</f>
        <v/>
      </c>
    </row>
    <row r="117">
      <c r="K117">
        <f>IF(OR(LEFT(B117,9)="DOANH THU",LEFT(B117,8)="SỐ LƯỢNG"),A117,IF(A117="","",K116))</f>
        <v/>
      </c>
      <c r="L117">
        <f>IF(A117="","",IF(ISNUMBER(--LEFT(A117,FIND(" - ",A117&amp;" - ")-1)),LEFT(A117,FIND(" - ",A117&amp;" - ")-1),TRIM(A117)))</f>
        <v/>
      </c>
      <c r="M117">
        <f>IF(OR(K117="",K117=A117,A117=""),"",K117&amp;"|"&amp;L117)</f>
        <v/>
      </c>
      <c r="N117">
        <f>IF(M117="","",IF(ISNUMBER(B117),B117,IFERROR(_xlfn.NUMBERVALUE(B117,".",","),0)))</f>
        <v/>
      </c>
      <c r="O117">
        <f>IF(M117="","",IF(ISNUMBER(C117),C117,IFERROR(_xlfn.NUMBERVALUE(C117,".",","),0)))</f>
        <v/>
      </c>
    </row>
    <row r="118">
      <c r="K118">
        <f>IF(OR(LEFT(B118,9)="DOANH THU",LEFT(B118,8)="SỐ LƯỢNG"),A118,IF(A118="","",K117))</f>
        <v/>
      </c>
      <c r="L118">
        <f>IF(A118="","",IF(ISNUMBER(--LEFT(A118,FIND(" - ",A118&amp;" - ")-1)),LEFT(A118,FIND(" - ",A118&amp;" - ")-1),TRIM(A118)))</f>
        <v/>
      </c>
      <c r="M118">
        <f>IF(OR(K118="",K118=A118,A118=""),"",K118&amp;"|"&amp;L118)</f>
        <v/>
      </c>
      <c r="N118">
        <f>IF(M118="","",IF(ISNUMBER(B118),B118,IFERROR(_xlfn.NUMBERVALUE(B118,".",","),0)))</f>
        <v/>
      </c>
      <c r="O118">
        <f>IF(M118="","",IF(ISNUMBER(C118),C118,IFERROR(_xlfn.NUMBERVALUE(C118,".",","),0)))</f>
        <v/>
      </c>
    </row>
    <row r="119">
      <c r="K119">
        <f>IF(OR(LEFT(B119,9)="DOANH THU",LEFT(B119,8)="SỐ LƯỢNG"),A119,IF(A119="","",K118))</f>
        <v/>
      </c>
      <c r="L119">
        <f>IF(A119="","",IF(ISNUMBER(--LEFT(A119,FIND(" - ",A119&amp;" - ")-1)),LEFT(A119,FIND(" - ",A119&amp;" - ")-1),TRIM(A119)))</f>
        <v/>
      </c>
      <c r="M119">
        <f>IF(OR(K119="",K119=A119,A119=""),"",K119&amp;"|"&amp;L119)</f>
        <v/>
      </c>
      <c r="N119">
        <f>IF(M119="","",IF(ISNUMBER(B119),B119,IFERROR(_xlfn.NUMBERVALUE(B119,".",","),0)))</f>
        <v/>
      </c>
      <c r="O119">
        <f>IF(M119="","",IF(ISNUMBER(C119),C119,IFERROR(_xlfn.NUMBERVALUE(C119,".",","),0)))</f>
        <v/>
      </c>
    </row>
    <row r="120">
      <c r="K120">
        <f>IF(OR(LEFT(B120,9)="DOANH THU",LEFT(B120,8)="SỐ LƯỢNG"),A120,IF(A120="","",K119))</f>
        <v/>
      </c>
      <c r="L120">
        <f>IF(A120="","",IF(ISNUMBER(--LEFT(A120,FIND(" - ",A120&amp;" - ")-1)),LEFT(A120,FIND(" - ",A120&amp;" - ")-1),TRIM(A120)))</f>
        <v/>
      </c>
      <c r="M120">
        <f>IF(OR(K120="",K120=A120,A120=""),"",K120&amp;"|"&amp;L120)</f>
        <v/>
      </c>
      <c r="N120">
        <f>IF(M120="","",IF(ISNUMBER(B120),B120,IFERROR(_xlfn.NUMBERVALUE(B120,".",","),0)))</f>
        <v/>
      </c>
      <c r="O120">
        <f>IF(M120="","",IF(ISNUMBER(C120),C120,IFERROR(_xlfn.NUMBERVALUE(C120,".",","),0)))</f>
        <v/>
      </c>
    </row>
    <row r="121">
      <c r="K121">
        <f>IF(OR(LEFT(B121,9)="DOANH THU",LEFT(B121,8)="SỐ LƯỢNG"),A121,IF(A121="","",K120))</f>
        <v/>
      </c>
      <c r="L121">
        <f>IF(A121="","",IF(ISNUMBER(--LEFT(A121,FIND(" - ",A121&amp;" - ")-1)),LEFT(A121,FIND(" - ",A121&amp;" - ")-1),TRIM(A121)))</f>
        <v/>
      </c>
      <c r="M121">
        <f>IF(OR(K121="",K121=A121,A121=""),"",K121&amp;"|"&amp;L121)</f>
        <v/>
      </c>
      <c r="N121">
        <f>IF(M121="","",IF(ISNUMBER(B121),B121,IFERROR(_xlfn.NUMBERVALUE(B121,".",","),0)))</f>
        <v/>
      </c>
      <c r="O121">
        <f>IF(M121="","",IF(ISNUMBER(C121),C121,IFERROR(_xlfn.NUMBERVALUE(C121,".",","),0)))</f>
        <v/>
      </c>
    </row>
    <row r="122">
      <c r="K122">
        <f>IF(OR(LEFT(B122,9)="DOANH THU",LEFT(B122,8)="SỐ LƯỢNG"),A122,IF(A122="","",K121))</f>
        <v/>
      </c>
      <c r="L122">
        <f>IF(A122="","",IF(ISNUMBER(--LEFT(A122,FIND(" - ",A122&amp;" - ")-1)),LEFT(A122,FIND(" - ",A122&amp;" - ")-1),TRIM(A122)))</f>
        <v/>
      </c>
      <c r="M122">
        <f>IF(OR(K122="",K122=A122,A122=""),"",K122&amp;"|"&amp;L122)</f>
        <v/>
      </c>
      <c r="N122">
        <f>IF(M122="","",IF(ISNUMBER(B122),B122,IFERROR(_xlfn.NUMBERVALUE(B122,".",","),0)))</f>
        <v/>
      </c>
      <c r="O122">
        <f>IF(M122="","",IF(ISNUMBER(C122),C122,IFERROR(_xlfn.NUMBERVALUE(C122,".",","),0)))</f>
        <v/>
      </c>
    </row>
    <row r="123">
      <c r="K123">
        <f>IF(OR(LEFT(B123,9)="DOANH THU",LEFT(B123,8)="SỐ LƯỢNG"),A123,IF(A123="","",K122))</f>
        <v/>
      </c>
      <c r="L123">
        <f>IF(A123="","",IF(ISNUMBER(--LEFT(A123,FIND(" - ",A123&amp;" - ")-1)),LEFT(A123,FIND(" - ",A123&amp;" - ")-1),TRIM(A123)))</f>
        <v/>
      </c>
      <c r="M123">
        <f>IF(OR(K123="",K123=A123,A123=""),"",K123&amp;"|"&amp;L123)</f>
        <v/>
      </c>
      <c r="N123">
        <f>IF(M123="","",IF(ISNUMBER(B123),B123,IFERROR(_xlfn.NUMBERVALUE(B123,".",","),0)))</f>
        <v/>
      </c>
      <c r="O123">
        <f>IF(M123="","",IF(ISNUMBER(C123),C123,IFERROR(_xlfn.NUMBERVALUE(C123,".",","),0)))</f>
        <v/>
      </c>
    </row>
    <row r="124">
      <c r="K124">
        <f>IF(OR(LEFT(B124,9)="DOANH THU",LEFT(B124,8)="SỐ LƯỢNG"),A124,IF(A124="","",K123))</f>
        <v/>
      </c>
      <c r="L124">
        <f>IF(A124="","",IF(ISNUMBER(--LEFT(A124,FIND(" - ",A124&amp;" - ")-1)),LEFT(A124,FIND(" - ",A124&amp;" - ")-1),TRIM(A124)))</f>
        <v/>
      </c>
      <c r="M124">
        <f>IF(OR(K124="",K124=A124,A124=""),"",K124&amp;"|"&amp;L124)</f>
        <v/>
      </c>
      <c r="N124">
        <f>IF(M124="","",IF(ISNUMBER(B124),B124,IFERROR(_xlfn.NUMBERVALUE(B124,".",","),0)))</f>
        <v/>
      </c>
      <c r="O124">
        <f>IF(M124="","",IF(ISNUMBER(C124),C124,IFERROR(_xlfn.NUMBERVALUE(C124,".",","),0)))</f>
        <v/>
      </c>
    </row>
    <row r="125">
      <c r="K125">
        <f>IF(OR(LEFT(B125,9)="DOANH THU",LEFT(B125,8)="SỐ LƯỢNG"),A125,IF(A125="","",K124))</f>
        <v/>
      </c>
      <c r="L125">
        <f>IF(A125="","",IF(ISNUMBER(--LEFT(A125,FIND(" - ",A125&amp;" - ")-1)),LEFT(A125,FIND(" - ",A125&amp;" - ")-1),TRIM(A125)))</f>
        <v/>
      </c>
      <c r="M125">
        <f>IF(OR(K125="",K125=A125,A125=""),"",K125&amp;"|"&amp;L125)</f>
        <v/>
      </c>
      <c r="N125">
        <f>IF(M125="","",IF(ISNUMBER(B125),B125,IFERROR(_xlfn.NUMBERVALUE(B125,".",","),0)))</f>
        <v/>
      </c>
      <c r="O125">
        <f>IF(M125="","",IF(ISNUMBER(C125),C125,IFERROR(_xlfn.NUMBERVALUE(C125,".",","),0)))</f>
        <v/>
      </c>
    </row>
    <row r="126">
      <c r="K126">
        <f>IF(OR(LEFT(B126,9)="DOANH THU",LEFT(B126,8)="SỐ LƯỢNG"),A126,IF(A126="","",K125))</f>
        <v/>
      </c>
      <c r="L126">
        <f>IF(A126="","",IF(ISNUMBER(--LEFT(A126,FIND(" - ",A126&amp;" - ")-1)),LEFT(A126,FIND(" - ",A126&amp;" - ")-1),TRIM(A126)))</f>
        <v/>
      </c>
      <c r="M126">
        <f>IF(OR(K126="",K126=A126,A126=""),"",K126&amp;"|"&amp;L126)</f>
        <v/>
      </c>
      <c r="N126">
        <f>IF(M126="","",IF(ISNUMBER(B126),B126,IFERROR(_xlfn.NUMBERVALUE(B126,".",","),0)))</f>
        <v/>
      </c>
      <c r="O126">
        <f>IF(M126="","",IF(ISNUMBER(C126),C126,IFERROR(_xlfn.NUMBERVALUE(C126,".",","),0)))</f>
        <v/>
      </c>
    </row>
    <row r="127">
      <c r="K127">
        <f>IF(OR(LEFT(B127,9)="DOANH THU",LEFT(B127,8)="SỐ LƯỢNG"),A127,IF(A127="","",K126))</f>
        <v/>
      </c>
      <c r="L127">
        <f>IF(A127="","",IF(ISNUMBER(--LEFT(A127,FIND(" - ",A127&amp;" - ")-1)),LEFT(A127,FIND(" - ",A127&amp;" - ")-1),TRIM(A127)))</f>
        <v/>
      </c>
      <c r="M127">
        <f>IF(OR(K127="",K127=A127,A127=""),"",K127&amp;"|"&amp;L127)</f>
        <v/>
      </c>
      <c r="N127">
        <f>IF(M127="","",IF(ISNUMBER(B127),B127,IFERROR(_xlfn.NUMBERVALUE(B127,".",","),0)))</f>
        <v/>
      </c>
      <c r="O127">
        <f>IF(M127="","",IF(ISNUMBER(C127),C127,IFERROR(_xlfn.NUMBERVALUE(C127,".",","),0)))</f>
        <v/>
      </c>
    </row>
    <row r="128">
      <c r="K128">
        <f>IF(OR(LEFT(B128,9)="DOANH THU",LEFT(B128,8)="SỐ LƯỢNG"),A128,IF(A128="","",K127))</f>
        <v/>
      </c>
      <c r="L128">
        <f>IF(A128="","",IF(ISNUMBER(--LEFT(A128,FIND(" - ",A128&amp;" - ")-1)),LEFT(A128,FIND(" - ",A128&amp;" - ")-1),TRIM(A128)))</f>
        <v/>
      </c>
      <c r="M128">
        <f>IF(OR(K128="",K128=A128,A128=""),"",K128&amp;"|"&amp;L128)</f>
        <v/>
      </c>
      <c r="N128">
        <f>IF(M128="","",IF(ISNUMBER(B128),B128,IFERROR(_xlfn.NUMBERVALUE(B128,".",","),0)))</f>
        <v/>
      </c>
      <c r="O128">
        <f>IF(M128="","",IF(ISNUMBER(C128),C128,IFERROR(_xlfn.NUMBERVALUE(C128,".",","),0)))</f>
        <v/>
      </c>
    </row>
    <row r="129">
      <c r="K129">
        <f>IF(OR(LEFT(B129,9)="DOANH THU",LEFT(B129,8)="SỐ LƯỢNG"),A129,IF(A129="","",K128))</f>
        <v/>
      </c>
      <c r="L129">
        <f>IF(A129="","",IF(ISNUMBER(--LEFT(A129,FIND(" - ",A129&amp;" - ")-1)),LEFT(A129,FIND(" - ",A129&amp;" - ")-1),TRIM(A129)))</f>
        <v/>
      </c>
      <c r="M129">
        <f>IF(OR(K129="",K129=A129,A129=""),"",K129&amp;"|"&amp;L129)</f>
        <v/>
      </c>
      <c r="N129">
        <f>IF(M129="","",IF(ISNUMBER(B129),B129,IFERROR(_xlfn.NUMBERVALUE(B129,".",","),0)))</f>
        <v/>
      </c>
      <c r="O129">
        <f>IF(M129="","",IF(ISNUMBER(C129),C129,IFERROR(_xlfn.NUMBERVALUE(C129,".",","),0)))</f>
        <v/>
      </c>
    </row>
    <row r="130">
      <c r="K130">
        <f>IF(OR(LEFT(B130,9)="DOANH THU",LEFT(B130,8)="SỐ LƯỢNG"),A130,IF(A130="","",K129))</f>
        <v/>
      </c>
      <c r="L130">
        <f>IF(A130="","",IF(ISNUMBER(--LEFT(A130,FIND(" - ",A130&amp;" - ")-1)),LEFT(A130,FIND(" - ",A130&amp;" - ")-1),TRIM(A130)))</f>
        <v/>
      </c>
      <c r="M130">
        <f>IF(OR(K130="",K130=A130,A130=""),"",K130&amp;"|"&amp;L130)</f>
        <v/>
      </c>
      <c r="N130">
        <f>IF(M130="","",IF(ISNUMBER(B130),B130,IFERROR(_xlfn.NUMBERVALUE(B130,".",","),0)))</f>
        <v/>
      </c>
      <c r="O130">
        <f>IF(M130="","",IF(ISNUMBER(C130),C130,IFERROR(_xlfn.NUMBERVALUE(C130,".",","),0)))</f>
        <v/>
      </c>
    </row>
    <row r="131">
      <c r="K131">
        <f>IF(OR(LEFT(B131,9)="DOANH THU",LEFT(B131,8)="SỐ LƯỢNG"),A131,IF(A131="","",K130))</f>
        <v/>
      </c>
      <c r="L131">
        <f>IF(A131="","",IF(ISNUMBER(--LEFT(A131,FIND(" - ",A131&amp;" - ")-1)),LEFT(A131,FIND(" - ",A131&amp;" - ")-1),TRIM(A131)))</f>
        <v/>
      </c>
      <c r="M131">
        <f>IF(OR(K131="",K131=A131,A131=""),"",K131&amp;"|"&amp;L131)</f>
        <v/>
      </c>
      <c r="N131">
        <f>IF(M131="","",IF(ISNUMBER(B131),B131,IFERROR(_xlfn.NUMBERVALUE(B131,".",","),0)))</f>
        <v/>
      </c>
      <c r="O131">
        <f>IF(M131="","",IF(ISNUMBER(C131),C131,IFERROR(_xlfn.NUMBERVALUE(C131,".",","),0)))</f>
        <v/>
      </c>
    </row>
    <row r="132">
      <c r="K132">
        <f>IF(OR(LEFT(B132,9)="DOANH THU",LEFT(B132,8)="SỐ LƯỢNG"),A132,IF(A132="","",K131))</f>
        <v/>
      </c>
      <c r="L132">
        <f>IF(A132="","",IF(ISNUMBER(--LEFT(A132,FIND(" - ",A132&amp;" - ")-1)),LEFT(A132,FIND(" - ",A132&amp;" - ")-1),TRIM(A132)))</f>
        <v/>
      </c>
      <c r="M132">
        <f>IF(OR(K132="",K132=A132,A132=""),"",K132&amp;"|"&amp;L132)</f>
        <v/>
      </c>
      <c r="N132">
        <f>IF(M132="","",IF(ISNUMBER(B132),B132,IFERROR(_xlfn.NUMBERVALUE(B132,".",","),0)))</f>
        <v/>
      </c>
      <c r="O132">
        <f>IF(M132="","",IF(ISNUMBER(C132),C132,IFERROR(_xlfn.NUMBERVALUE(C132,".",","),0)))</f>
        <v/>
      </c>
    </row>
    <row r="133">
      <c r="K133">
        <f>IF(OR(LEFT(B133,9)="DOANH THU",LEFT(B133,8)="SỐ LƯỢNG"),A133,IF(A133="","",K132))</f>
        <v/>
      </c>
      <c r="L133">
        <f>IF(A133="","",IF(ISNUMBER(--LEFT(A133,FIND(" - ",A133&amp;" - ")-1)),LEFT(A133,FIND(" - ",A133&amp;" - ")-1),TRIM(A133)))</f>
        <v/>
      </c>
      <c r="M133">
        <f>IF(OR(K133="",K133=A133,A133=""),"",K133&amp;"|"&amp;L133)</f>
        <v/>
      </c>
      <c r="N133">
        <f>IF(M133="","",IF(ISNUMBER(B133),B133,IFERROR(_xlfn.NUMBERVALUE(B133,".",","),0)))</f>
        <v/>
      </c>
      <c r="O133">
        <f>IF(M133="","",IF(ISNUMBER(C133),C133,IFERROR(_xlfn.NUMBERVALUE(C133,".",","),0)))</f>
        <v/>
      </c>
    </row>
    <row r="134">
      <c r="K134">
        <f>IF(OR(LEFT(B134,9)="DOANH THU",LEFT(B134,8)="SỐ LƯỢNG"),A134,IF(A134="","",K133))</f>
        <v/>
      </c>
      <c r="L134">
        <f>IF(A134="","",IF(ISNUMBER(--LEFT(A134,FIND(" - ",A134&amp;" - ")-1)),LEFT(A134,FIND(" - ",A134&amp;" - ")-1),TRIM(A134)))</f>
        <v/>
      </c>
      <c r="M134">
        <f>IF(OR(K134="",K134=A134,A134=""),"",K134&amp;"|"&amp;L134)</f>
        <v/>
      </c>
      <c r="N134">
        <f>IF(M134="","",IF(ISNUMBER(B134),B134,IFERROR(_xlfn.NUMBERVALUE(B134,".",","),0)))</f>
        <v/>
      </c>
      <c r="O134">
        <f>IF(M134="","",IF(ISNUMBER(C134),C134,IFERROR(_xlfn.NUMBERVALUE(C134,".",","),0)))</f>
        <v/>
      </c>
    </row>
    <row r="135">
      <c r="K135">
        <f>IF(OR(LEFT(B135,9)="DOANH THU",LEFT(B135,8)="SỐ LƯỢNG"),A135,IF(A135="","",K134))</f>
        <v/>
      </c>
      <c r="L135">
        <f>IF(A135="","",IF(ISNUMBER(--LEFT(A135,FIND(" - ",A135&amp;" - ")-1)),LEFT(A135,FIND(" - ",A135&amp;" - ")-1),TRIM(A135)))</f>
        <v/>
      </c>
      <c r="M135">
        <f>IF(OR(K135="",K135=A135,A135=""),"",K135&amp;"|"&amp;L135)</f>
        <v/>
      </c>
      <c r="N135">
        <f>IF(M135="","",IF(ISNUMBER(B135),B135,IFERROR(_xlfn.NUMBERVALUE(B135,".",","),0)))</f>
        <v/>
      </c>
      <c r="O135">
        <f>IF(M135="","",IF(ISNUMBER(C135),C135,IFERROR(_xlfn.NUMBERVALUE(C135,".",","),0)))</f>
        <v/>
      </c>
    </row>
    <row r="136">
      <c r="K136">
        <f>IF(OR(LEFT(B136,9)="DOANH THU",LEFT(B136,8)="SỐ LƯỢNG"),A136,IF(A136="","",K135))</f>
        <v/>
      </c>
      <c r="L136">
        <f>IF(A136="","",IF(ISNUMBER(--LEFT(A136,FIND(" - ",A136&amp;" - ")-1)),LEFT(A136,FIND(" - ",A136&amp;" - ")-1),TRIM(A136)))</f>
        <v/>
      </c>
      <c r="M136">
        <f>IF(OR(K136="",K136=A136,A136=""),"",K136&amp;"|"&amp;L136)</f>
        <v/>
      </c>
      <c r="N136">
        <f>IF(M136="","",IF(ISNUMBER(B136),B136,IFERROR(_xlfn.NUMBERVALUE(B136,".",","),0)))</f>
        <v/>
      </c>
      <c r="O136">
        <f>IF(M136="","",IF(ISNUMBER(C136),C136,IFERROR(_xlfn.NUMBERVALUE(C136,".",","),0)))</f>
        <v/>
      </c>
    </row>
    <row r="137">
      <c r="K137">
        <f>IF(OR(LEFT(B137,9)="DOANH THU",LEFT(B137,8)="SỐ LƯỢNG"),A137,IF(A137="","",K136))</f>
        <v/>
      </c>
      <c r="L137">
        <f>IF(A137="","",IF(ISNUMBER(--LEFT(A137,FIND(" - ",A137&amp;" - ")-1)),LEFT(A137,FIND(" - ",A137&amp;" - ")-1),TRIM(A137)))</f>
        <v/>
      </c>
      <c r="M137">
        <f>IF(OR(K137="",K137=A137,A137=""),"",K137&amp;"|"&amp;L137)</f>
        <v/>
      </c>
      <c r="N137">
        <f>IF(M137="","",IF(ISNUMBER(B137),B137,IFERROR(_xlfn.NUMBERVALUE(B137,".",","),0)))</f>
        <v/>
      </c>
      <c r="O137">
        <f>IF(M137="","",IF(ISNUMBER(C137),C137,IFERROR(_xlfn.NUMBERVALUE(C137,".",","),0)))</f>
        <v/>
      </c>
    </row>
    <row r="138">
      <c r="K138">
        <f>IF(OR(LEFT(B138,9)="DOANH THU",LEFT(B138,8)="SỐ LƯỢNG"),A138,IF(A138="","",K137))</f>
        <v/>
      </c>
      <c r="L138">
        <f>IF(A138="","",IF(ISNUMBER(--LEFT(A138,FIND(" - ",A138&amp;" - ")-1)),LEFT(A138,FIND(" - ",A138&amp;" - ")-1),TRIM(A138)))</f>
        <v/>
      </c>
      <c r="M138">
        <f>IF(OR(K138="",K138=A138,A138=""),"",K138&amp;"|"&amp;L138)</f>
        <v/>
      </c>
      <c r="N138">
        <f>IF(M138="","",IF(ISNUMBER(B138),B138,IFERROR(_xlfn.NUMBERVALUE(B138,".",","),0)))</f>
        <v/>
      </c>
      <c r="O138">
        <f>IF(M138="","",IF(ISNUMBER(C138),C138,IFERROR(_xlfn.NUMBERVALUE(C138,".",","),0)))</f>
        <v/>
      </c>
    </row>
    <row r="139">
      <c r="K139">
        <f>IF(OR(LEFT(B139,9)="DOANH THU",LEFT(B139,8)="SỐ LƯỢNG"),A139,IF(A139="","",K138))</f>
        <v/>
      </c>
      <c r="L139">
        <f>IF(A139="","",IF(ISNUMBER(--LEFT(A139,FIND(" - ",A139&amp;" - ")-1)),LEFT(A139,FIND(" - ",A139&amp;" - ")-1),TRIM(A139)))</f>
        <v/>
      </c>
      <c r="M139">
        <f>IF(OR(K139="",K139=A139,A139=""),"",K139&amp;"|"&amp;L139)</f>
        <v/>
      </c>
      <c r="N139">
        <f>IF(M139="","",IF(ISNUMBER(B139),B139,IFERROR(_xlfn.NUMBERVALUE(B139,".",","),0)))</f>
        <v/>
      </c>
      <c r="O139">
        <f>IF(M139="","",IF(ISNUMBER(C139),C139,IFERROR(_xlfn.NUMBERVALUE(C139,".",","),0)))</f>
        <v/>
      </c>
    </row>
    <row r="140">
      <c r="K140">
        <f>IF(OR(LEFT(B140,9)="DOANH THU",LEFT(B140,8)="SỐ LƯỢNG"),A140,IF(A140="","",K139))</f>
        <v/>
      </c>
      <c r="L140">
        <f>IF(A140="","",IF(ISNUMBER(--LEFT(A140,FIND(" - ",A140&amp;" - ")-1)),LEFT(A140,FIND(" - ",A140&amp;" - ")-1),TRIM(A140)))</f>
        <v/>
      </c>
      <c r="M140">
        <f>IF(OR(K140="",K140=A140,A140=""),"",K140&amp;"|"&amp;L140)</f>
        <v/>
      </c>
      <c r="N140">
        <f>IF(M140="","",IF(ISNUMBER(B140),B140,IFERROR(_xlfn.NUMBERVALUE(B140,".",","),0)))</f>
        <v/>
      </c>
      <c r="O140">
        <f>IF(M140="","",IF(ISNUMBER(C140),C140,IFERROR(_xlfn.NUMBERVALUE(C140,".",","),0)))</f>
        <v/>
      </c>
    </row>
    <row r="141">
      <c r="K141">
        <f>IF(OR(LEFT(B141,9)="DOANH THU",LEFT(B141,8)="SỐ LƯỢNG"),A141,IF(A141="","",K140))</f>
        <v/>
      </c>
      <c r="L141">
        <f>IF(A141="","",IF(ISNUMBER(--LEFT(A141,FIND(" - ",A141&amp;" - ")-1)),LEFT(A141,FIND(" - ",A141&amp;" - ")-1),TRIM(A141)))</f>
        <v/>
      </c>
      <c r="M141">
        <f>IF(OR(K141="",K141=A141,A141=""),"",K141&amp;"|"&amp;L141)</f>
        <v/>
      </c>
      <c r="N141">
        <f>IF(M141="","",IF(ISNUMBER(B141),B141,IFERROR(_xlfn.NUMBERVALUE(B141,".",","),0)))</f>
        <v/>
      </c>
      <c r="O141">
        <f>IF(M141="","",IF(ISNUMBER(C141),C141,IFERROR(_xlfn.NUMBERVALUE(C141,".",","),0)))</f>
        <v/>
      </c>
    </row>
    <row r="142">
      <c r="K142">
        <f>IF(OR(LEFT(B142,9)="DOANH THU",LEFT(B142,8)="SỐ LƯỢNG"),A142,IF(A142="","",K141))</f>
        <v/>
      </c>
      <c r="L142">
        <f>IF(A142="","",IF(ISNUMBER(--LEFT(A142,FIND(" - ",A142&amp;" - ")-1)),LEFT(A142,FIND(" - ",A142&amp;" - ")-1),TRIM(A142)))</f>
        <v/>
      </c>
      <c r="M142">
        <f>IF(OR(K142="",K142=A142,A142=""),"",K142&amp;"|"&amp;L142)</f>
        <v/>
      </c>
      <c r="N142">
        <f>IF(M142="","",IF(ISNUMBER(B142),B142,IFERROR(_xlfn.NUMBERVALUE(B142,".",","),0)))</f>
        <v/>
      </c>
      <c r="O142">
        <f>IF(M142="","",IF(ISNUMBER(C142),C142,IFERROR(_xlfn.NUMBERVALUE(C142,".",","),0)))</f>
        <v/>
      </c>
    </row>
    <row r="143">
      <c r="K143">
        <f>IF(OR(LEFT(B143,9)="DOANH THU",LEFT(B143,8)="SỐ LƯỢNG"),A143,IF(A143="","",K142))</f>
        <v/>
      </c>
      <c r="L143">
        <f>IF(A143="","",IF(ISNUMBER(--LEFT(A143,FIND(" - ",A143&amp;" - ")-1)),LEFT(A143,FIND(" - ",A143&amp;" - ")-1),TRIM(A143)))</f>
        <v/>
      </c>
      <c r="M143">
        <f>IF(OR(K143="",K143=A143,A143=""),"",K143&amp;"|"&amp;L143)</f>
        <v/>
      </c>
      <c r="N143">
        <f>IF(M143="","",IF(ISNUMBER(B143),B143,IFERROR(_xlfn.NUMBERVALUE(B143,".",","),0)))</f>
        <v/>
      </c>
      <c r="O143">
        <f>IF(M143="","",IF(ISNUMBER(C143),C143,IFERROR(_xlfn.NUMBERVALUE(C143,".",","),0)))</f>
        <v/>
      </c>
    </row>
    <row r="144">
      <c r="K144">
        <f>IF(OR(LEFT(B144,9)="DOANH THU",LEFT(B144,8)="SỐ LƯỢNG"),A144,IF(A144="","",K143))</f>
        <v/>
      </c>
      <c r="L144">
        <f>IF(A144="","",IF(ISNUMBER(--LEFT(A144,FIND(" - ",A144&amp;" - ")-1)),LEFT(A144,FIND(" - ",A144&amp;" - ")-1),TRIM(A144)))</f>
        <v/>
      </c>
      <c r="M144">
        <f>IF(OR(K144="",K144=A144,A144=""),"",K144&amp;"|"&amp;L144)</f>
        <v/>
      </c>
      <c r="N144">
        <f>IF(M144="","",IF(ISNUMBER(B144),B144,IFERROR(_xlfn.NUMBERVALUE(B144,".",","),0)))</f>
        <v/>
      </c>
      <c r="O144">
        <f>IF(M144="","",IF(ISNUMBER(C144),C144,IFERROR(_xlfn.NUMBERVALUE(C144,".",","),0)))</f>
        <v/>
      </c>
    </row>
    <row r="145">
      <c r="K145">
        <f>IF(OR(LEFT(B145,9)="DOANH THU",LEFT(B145,8)="SỐ LƯỢNG"),A145,IF(A145="","",K144))</f>
        <v/>
      </c>
      <c r="L145">
        <f>IF(A145="","",IF(ISNUMBER(--LEFT(A145,FIND(" - ",A145&amp;" - ")-1)),LEFT(A145,FIND(" - ",A145&amp;" - ")-1),TRIM(A145)))</f>
        <v/>
      </c>
      <c r="M145">
        <f>IF(OR(K145="",K145=A145,A145=""),"",K145&amp;"|"&amp;L145)</f>
        <v/>
      </c>
      <c r="N145">
        <f>IF(M145="","",IF(ISNUMBER(B145),B145,IFERROR(_xlfn.NUMBERVALUE(B145,".",","),0)))</f>
        <v/>
      </c>
      <c r="O145">
        <f>IF(M145="","",IF(ISNUMBER(C145),C145,IFERROR(_xlfn.NUMBERVALUE(C145,".",","),0)))</f>
        <v/>
      </c>
    </row>
    <row r="146">
      <c r="K146">
        <f>IF(OR(LEFT(B146,9)="DOANH THU",LEFT(B146,8)="SỐ LƯỢNG"),A146,IF(A146="","",K145))</f>
        <v/>
      </c>
      <c r="L146">
        <f>IF(A146="","",IF(ISNUMBER(--LEFT(A146,FIND(" - ",A146&amp;" - ")-1)),LEFT(A146,FIND(" - ",A146&amp;" - ")-1),TRIM(A146)))</f>
        <v/>
      </c>
      <c r="M146">
        <f>IF(OR(K146="",K146=A146,A146=""),"",K146&amp;"|"&amp;L146)</f>
        <v/>
      </c>
      <c r="N146">
        <f>IF(M146="","",IF(ISNUMBER(B146),B146,IFERROR(_xlfn.NUMBERVALUE(B146,".",","),0)))</f>
        <v/>
      </c>
      <c r="O146">
        <f>IF(M146="","",IF(ISNUMBER(C146),C146,IFERROR(_xlfn.NUMBERVALUE(C146,".",","),0)))</f>
        <v/>
      </c>
    </row>
    <row r="147">
      <c r="K147">
        <f>IF(OR(LEFT(B147,9)="DOANH THU",LEFT(B147,8)="SỐ LƯỢNG"),A147,IF(A147="","",K146))</f>
        <v/>
      </c>
      <c r="L147">
        <f>IF(A147="","",IF(ISNUMBER(--LEFT(A147,FIND(" - ",A147&amp;" - ")-1)),LEFT(A147,FIND(" - ",A147&amp;" - ")-1),TRIM(A147)))</f>
        <v/>
      </c>
      <c r="M147">
        <f>IF(OR(K147="",K147=A147,A147=""),"",K147&amp;"|"&amp;L147)</f>
        <v/>
      </c>
      <c r="N147">
        <f>IF(M147="","",IF(ISNUMBER(B147),B147,IFERROR(_xlfn.NUMBERVALUE(B147,".",","),0)))</f>
        <v/>
      </c>
      <c r="O147">
        <f>IF(M147="","",IF(ISNUMBER(C147),C147,IFERROR(_xlfn.NUMBERVALUE(C147,".",","),0)))</f>
        <v/>
      </c>
    </row>
    <row r="148">
      <c r="K148">
        <f>IF(OR(LEFT(B148,9)="DOANH THU",LEFT(B148,8)="SỐ LƯỢNG"),A148,IF(A148="","",K147))</f>
        <v/>
      </c>
      <c r="L148">
        <f>IF(A148="","",IF(ISNUMBER(--LEFT(A148,FIND(" - ",A148&amp;" - ")-1)),LEFT(A148,FIND(" - ",A148&amp;" - ")-1),TRIM(A148)))</f>
        <v/>
      </c>
      <c r="M148">
        <f>IF(OR(K148="",K148=A148,A148=""),"",K148&amp;"|"&amp;L148)</f>
        <v/>
      </c>
      <c r="N148">
        <f>IF(M148="","",IF(ISNUMBER(B148),B148,IFERROR(_xlfn.NUMBERVALUE(B148,".",","),0)))</f>
        <v/>
      </c>
      <c r="O148">
        <f>IF(M148="","",IF(ISNUMBER(C148),C148,IFERROR(_xlfn.NUMBERVALUE(C148,".",","),0)))</f>
        <v/>
      </c>
    </row>
    <row r="149">
      <c r="K149">
        <f>IF(OR(LEFT(B149,9)="DOANH THU",LEFT(B149,8)="SỐ LƯỢNG"),A149,IF(A149="","",K148))</f>
        <v/>
      </c>
      <c r="L149">
        <f>IF(A149="","",IF(ISNUMBER(--LEFT(A149,FIND(" - ",A149&amp;" - ")-1)),LEFT(A149,FIND(" - ",A149&amp;" - ")-1),TRIM(A149)))</f>
        <v/>
      </c>
      <c r="M149">
        <f>IF(OR(K149="",K149=A149,A149=""),"",K149&amp;"|"&amp;L149)</f>
        <v/>
      </c>
      <c r="N149">
        <f>IF(M149="","",IF(ISNUMBER(B149),B149,IFERROR(_xlfn.NUMBERVALUE(B149,".",","),0)))</f>
        <v/>
      </c>
      <c r="O149">
        <f>IF(M149="","",IF(ISNUMBER(C149),C149,IFERROR(_xlfn.NUMBERVALUE(C149,".",","),0)))</f>
        <v/>
      </c>
    </row>
    <row r="150">
      <c r="K150">
        <f>IF(OR(LEFT(B150,9)="DOANH THU",LEFT(B150,8)="SỐ LƯỢNG"),A150,IF(A150="","",K149))</f>
        <v/>
      </c>
      <c r="L150">
        <f>IF(A150="","",IF(ISNUMBER(--LEFT(A150,FIND(" - ",A150&amp;" - ")-1)),LEFT(A150,FIND(" - ",A150&amp;" - ")-1),TRIM(A150)))</f>
        <v/>
      </c>
      <c r="M150">
        <f>IF(OR(K150="",K150=A150,A150=""),"",K150&amp;"|"&amp;L150)</f>
        <v/>
      </c>
      <c r="N150">
        <f>IF(M150="","",IF(ISNUMBER(B150),B150,IFERROR(_xlfn.NUMBERVALUE(B150,".",","),0)))</f>
        <v/>
      </c>
      <c r="O150">
        <f>IF(M150="","",IF(ISNUMBER(C150),C150,IFERROR(_xlfn.NUMBERVALUE(C150,".",","),0)))</f>
        <v/>
      </c>
    </row>
    <row r="151">
      <c r="K151">
        <f>IF(OR(LEFT(B151,9)="DOANH THU",LEFT(B151,8)="SỐ LƯỢNG"),A151,IF(A151="","",K150))</f>
        <v/>
      </c>
      <c r="L151">
        <f>IF(A151="","",IF(ISNUMBER(--LEFT(A151,FIND(" - ",A151&amp;" - ")-1)),LEFT(A151,FIND(" - ",A151&amp;" - ")-1),TRIM(A151)))</f>
        <v/>
      </c>
      <c r="M151">
        <f>IF(OR(K151="",K151=A151,A151=""),"",K151&amp;"|"&amp;L151)</f>
        <v/>
      </c>
      <c r="N151">
        <f>IF(M151="","",IF(ISNUMBER(B151),B151,IFERROR(_xlfn.NUMBERVALUE(B151,".",","),0)))</f>
        <v/>
      </c>
      <c r="O151">
        <f>IF(M151="","",IF(ISNUMBER(C151),C151,IFERROR(_xlfn.NUMBERVALUE(C151,".",","),0)))</f>
        <v/>
      </c>
    </row>
    <row r="152">
      <c r="K152">
        <f>IF(OR(LEFT(B152,9)="DOANH THU",LEFT(B152,8)="SỐ LƯỢNG"),A152,IF(A152="","",K151))</f>
        <v/>
      </c>
      <c r="L152">
        <f>IF(A152="","",IF(ISNUMBER(--LEFT(A152,FIND(" - ",A152&amp;" - ")-1)),LEFT(A152,FIND(" - ",A152&amp;" - ")-1),TRIM(A152)))</f>
        <v/>
      </c>
      <c r="M152">
        <f>IF(OR(K152="",K152=A152,A152=""),"",K152&amp;"|"&amp;L152)</f>
        <v/>
      </c>
      <c r="N152">
        <f>IF(M152="","",IF(ISNUMBER(B152),B152,IFERROR(_xlfn.NUMBERVALUE(B152,".",","),0)))</f>
        <v/>
      </c>
      <c r="O152">
        <f>IF(M152="","",IF(ISNUMBER(C152),C152,IFERROR(_xlfn.NUMBERVALUE(C152,".",","),0)))</f>
        <v/>
      </c>
    </row>
    <row r="153">
      <c r="K153">
        <f>IF(OR(LEFT(B153,9)="DOANH THU",LEFT(B153,8)="SỐ LƯỢNG"),A153,IF(A153="","",K152))</f>
        <v/>
      </c>
      <c r="L153">
        <f>IF(A153="","",IF(ISNUMBER(--LEFT(A153,FIND(" - ",A153&amp;" - ")-1)),LEFT(A153,FIND(" - ",A153&amp;" - ")-1),TRIM(A153)))</f>
        <v/>
      </c>
      <c r="M153">
        <f>IF(OR(K153="",K153=A153,A153=""),"",K153&amp;"|"&amp;L153)</f>
        <v/>
      </c>
      <c r="N153">
        <f>IF(M153="","",IF(ISNUMBER(B153),B153,IFERROR(_xlfn.NUMBERVALUE(B153,".",","),0)))</f>
        <v/>
      </c>
      <c r="O153">
        <f>IF(M153="","",IF(ISNUMBER(C153),C153,IFERROR(_xlfn.NUMBERVALUE(C153,".",","),0)))</f>
        <v/>
      </c>
    </row>
    <row r="154">
      <c r="K154">
        <f>IF(OR(LEFT(B154,9)="DOANH THU",LEFT(B154,8)="SỐ LƯỢNG"),A154,IF(A154="","",K153))</f>
        <v/>
      </c>
      <c r="L154">
        <f>IF(A154="","",IF(ISNUMBER(--LEFT(A154,FIND(" - ",A154&amp;" - ")-1)),LEFT(A154,FIND(" - ",A154&amp;" - ")-1),TRIM(A154)))</f>
        <v/>
      </c>
      <c r="M154">
        <f>IF(OR(K154="",K154=A154,A154=""),"",K154&amp;"|"&amp;L154)</f>
        <v/>
      </c>
      <c r="N154">
        <f>IF(M154="","",IF(ISNUMBER(B154),B154,IFERROR(_xlfn.NUMBERVALUE(B154,".",","),0)))</f>
        <v/>
      </c>
      <c r="O154">
        <f>IF(M154="","",IF(ISNUMBER(C154),C154,IFERROR(_xlfn.NUMBERVALUE(C154,".",","),0)))</f>
        <v/>
      </c>
    </row>
    <row r="155">
      <c r="K155">
        <f>IF(OR(LEFT(B155,9)="DOANH THU",LEFT(B155,8)="SỐ LƯỢNG"),A155,IF(A155="","",K154))</f>
        <v/>
      </c>
      <c r="L155">
        <f>IF(A155="","",IF(ISNUMBER(--LEFT(A155,FIND(" - ",A155&amp;" - ")-1)),LEFT(A155,FIND(" - ",A155&amp;" - ")-1),TRIM(A155)))</f>
        <v/>
      </c>
      <c r="M155">
        <f>IF(OR(K155="",K155=A155,A155=""),"",K155&amp;"|"&amp;L155)</f>
        <v/>
      </c>
      <c r="N155">
        <f>IF(M155="","",IF(ISNUMBER(B155),B155,IFERROR(_xlfn.NUMBERVALUE(B155,".",","),0)))</f>
        <v/>
      </c>
      <c r="O155">
        <f>IF(M155="","",IF(ISNUMBER(C155),C155,IFERROR(_xlfn.NUMBERVALUE(C155,".",","),0)))</f>
        <v/>
      </c>
    </row>
    <row r="156">
      <c r="K156">
        <f>IF(OR(LEFT(B156,9)="DOANH THU",LEFT(B156,8)="SỐ LƯỢNG"),A156,IF(A156="","",K155))</f>
        <v/>
      </c>
      <c r="L156">
        <f>IF(A156="","",IF(ISNUMBER(--LEFT(A156,FIND(" - ",A156&amp;" - ")-1)),LEFT(A156,FIND(" - ",A156&amp;" - ")-1),TRIM(A156)))</f>
        <v/>
      </c>
      <c r="M156">
        <f>IF(OR(K156="",K156=A156,A156=""),"",K156&amp;"|"&amp;L156)</f>
        <v/>
      </c>
      <c r="N156">
        <f>IF(M156="","",IF(ISNUMBER(B156),B156,IFERROR(_xlfn.NUMBERVALUE(B156,".",","),0)))</f>
        <v/>
      </c>
      <c r="O156">
        <f>IF(M156="","",IF(ISNUMBER(C156),C156,IFERROR(_xlfn.NUMBERVALUE(C156,".",","),0)))</f>
        <v/>
      </c>
    </row>
    <row r="157">
      <c r="K157">
        <f>IF(OR(LEFT(B157,9)="DOANH THU",LEFT(B157,8)="SỐ LƯỢNG"),A157,IF(A157="","",K156))</f>
        <v/>
      </c>
      <c r="L157">
        <f>IF(A157="","",IF(ISNUMBER(--LEFT(A157,FIND(" - ",A157&amp;" - ")-1)),LEFT(A157,FIND(" - ",A157&amp;" - ")-1),TRIM(A157)))</f>
        <v/>
      </c>
      <c r="M157">
        <f>IF(OR(K157="",K157=A157,A157=""),"",K157&amp;"|"&amp;L157)</f>
        <v/>
      </c>
      <c r="N157">
        <f>IF(M157="","",IF(ISNUMBER(B157),B157,IFERROR(_xlfn.NUMBERVALUE(B157,".",","),0)))</f>
        <v/>
      </c>
      <c r="O157">
        <f>IF(M157="","",IF(ISNUMBER(C157),C157,IFERROR(_xlfn.NUMBERVALUE(C157,".",","),0)))</f>
        <v/>
      </c>
    </row>
    <row r="158">
      <c r="K158">
        <f>IF(OR(LEFT(B158,9)="DOANH THU",LEFT(B158,8)="SỐ LƯỢNG"),A158,IF(A158="","",K157))</f>
        <v/>
      </c>
      <c r="L158">
        <f>IF(A158="","",IF(ISNUMBER(--LEFT(A158,FIND(" - ",A158&amp;" - ")-1)),LEFT(A158,FIND(" - ",A158&amp;" - ")-1),TRIM(A158)))</f>
        <v/>
      </c>
      <c r="M158">
        <f>IF(OR(K158="",K158=A158,A158=""),"",K158&amp;"|"&amp;L158)</f>
        <v/>
      </c>
      <c r="N158">
        <f>IF(M158="","",IF(ISNUMBER(B158),B158,IFERROR(_xlfn.NUMBERVALUE(B158,".",","),0)))</f>
        <v/>
      </c>
      <c r="O158">
        <f>IF(M158="","",IF(ISNUMBER(C158),C158,IFERROR(_xlfn.NUMBERVALUE(C158,".",","),0)))</f>
        <v/>
      </c>
    </row>
    <row r="159">
      <c r="K159">
        <f>IF(OR(LEFT(B159,9)="DOANH THU",LEFT(B159,8)="SỐ LƯỢNG"),A159,IF(A159="","",K158))</f>
        <v/>
      </c>
      <c r="L159">
        <f>IF(A159="","",IF(ISNUMBER(--LEFT(A159,FIND(" - ",A159&amp;" - ")-1)),LEFT(A159,FIND(" - ",A159&amp;" - ")-1),TRIM(A159)))</f>
        <v/>
      </c>
      <c r="M159">
        <f>IF(OR(K159="",K159=A159,A159=""),"",K159&amp;"|"&amp;L159)</f>
        <v/>
      </c>
      <c r="N159">
        <f>IF(M159="","",IF(ISNUMBER(B159),B159,IFERROR(_xlfn.NUMBERVALUE(B159,".",","),0)))</f>
        <v/>
      </c>
      <c r="O159">
        <f>IF(M159="","",IF(ISNUMBER(C159),C159,IFERROR(_xlfn.NUMBERVALUE(C159,".",","),0)))</f>
        <v/>
      </c>
    </row>
    <row r="160">
      <c r="K160">
        <f>IF(OR(LEFT(B160,9)="DOANH THU",LEFT(B160,8)="SỐ LƯỢNG"),A160,IF(A160="","",K159))</f>
        <v/>
      </c>
      <c r="L160">
        <f>IF(A160="","",IF(ISNUMBER(--LEFT(A160,FIND(" - ",A160&amp;" - ")-1)),LEFT(A160,FIND(" - ",A160&amp;" - ")-1),TRIM(A160)))</f>
        <v/>
      </c>
      <c r="M160">
        <f>IF(OR(K160="",K160=A160,A160=""),"",K160&amp;"|"&amp;L160)</f>
        <v/>
      </c>
      <c r="N160">
        <f>IF(M160="","",IF(ISNUMBER(B160),B160,IFERROR(_xlfn.NUMBERVALUE(B160,".",","),0)))</f>
        <v/>
      </c>
      <c r="O160">
        <f>IF(M160="","",IF(ISNUMBER(C160),C160,IFERROR(_xlfn.NUMBERVALUE(C160,".",","),0)))</f>
        <v/>
      </c>
    </row>
    <row r="161">
      <c r="K161">
        <f>IF(OR(LEFT(B161,9)="DOANH THU",LEFT(B161,8)="SỐ LƯỢNG"),A161,IF(A161="","",K160))</f>
        <v/>
      </c>
      <c r="L161">
        <f>IF(A161="","",IF(ISNUMBER(--LEFT(A161,FIND(" - ",A161&amp;" - ")-1)),LEFT(A161,FIND(" - ",A161&amp;" - ")-1),TRIM(A161)))</f>
        <v/>
      </c>
      <c r="M161">
        <f>IF(OR(K161="",K161=A161,A161=""),"",K161&amp;"|"&amp;L161)</f>
        <v/>
      </c>
      <c r="N161">
        <f>IF(M161="","",IF(ISNUMBER(B161),B161,IFERROR(_xlfn.NUMBERVALUE(B161,".",","),0)))</f>
        <v/>
      </c>
      <c r="O161">
        <f>IF(M161="","",IF(ISNUMBER(C161),C161,IFERROR(_xlfn.NUMBERVALUE(C161,".",","),0)))</f>
        <v/>
      </c>
    </row>
    <row r="162">
      <c r="K162">
        <f>IF(OR(LEFT(B162,9)="DOANH THU",LEFT(B162,8)="SỐ LƯỢNG"),A162,IF(A162="","",K161))</f>
        <v/>
      </c>
      <c r="L162">
        <f>IF(A162="","",IF(ISNUMBER(--LEFT(A162,FIND(" - ",A162&amp;" - ")-1)),LEFT(A162,FIND(" - ",A162&amp;" - ")-1),TRIM(A162)))</f>
        <v/>
      </c>
      <c r="M162">
        <f>IF(OR(K162="",K162=A162,A162=""),"",K162&amp;"|"&amp;L162)</f>
        <v/>
      </c>
      <c r="N162">
        <f>IF(M162="","",IF(ISNUMBER(B162),B162,IFERROR(_xlfn.NUMBERVALUE(B162,".",","),0)))</f>
        <v/>
      </c>
      <c r="O162">
        <f>IF(M162="","",IF(ISNUMBER(C162),C162,IFERROR(_xlfn.NUMBERVALUE(C162,".",","),0)))</f>
        <v/>
      </c>
    </row>
    <row r="163">
      <c r="K163">
        <f>IF(OR(LEFT(B163,9)="DOANH THU",LEFT(B163,8)="SỐ LƯỢNG"),A163,IF(A163="","",K162))</f>
        <v/>
      </c>
      <c r="L163">
        <f>IF(A163="","",IF(ISNUMBER(--LEFT(A163,FIND(" - ",A163&amp;" - ")-1)),LEFT(A163,FIND(" - ",A163&amp;" - ")-1),TRIM(A163)))</f>
        <v/>
      </c>
      <c r="M163">
        <f>IF(OR(K163="",K163=A163,A163=""),"",K163&amp;"|"&amp;L163)</f>
        <v/>
      </c>
      <c r="N163">
        <f>IF(M163="","",IF(ISNUMBER(B163),B163,IFERROR(_xlfn.NUMBERVALUE(B163,".",","),0)))</f>
        <v/>
      </c>
      <c r="O163">
        <f>IF(M163="","",IF(ISNUMBER(C163),C163,IFERROR(_xlfn.NUMBERVALUE(C163,".",","),0)))</f>
        <v/>
      </c>
    </row>
    <row r="164">
      <c r="K164">
        <f>IF(OR(LEFT(B164,9)="DOANH THU",LEFT(B164,8)="SỐ LƯỢNG"),A164,IF(A164="","",K163))</f>
        <v/>
      </c>
      <c r="L164">
        <f>IF(A164="","",IF(ISNUMBER(--LEFT(A164,FIND(" - ",A164&amp;" - ")-1)),LEFT(A164,FIND(" - ",A164&amp;" - ")-1),TRIM(A164)))</f>
        <v/>
      </c>
      <c r="M164">
        <f>IF(OR(K164="",K164=A164,A164=""),"",K164&amp;"|"&amp;L164)</f>
        <v/>
      </c>
      <c r="N164">
        <f>IF(M164="","",IF(ISNUMBER(B164),B164,IFERROR(_xlfn.NUMBERVALUE(B164,".",","),0)))</f>
        <v/>
      </c>
      <c r="O164">
        <f>IF(M164="","",IF(ISNUMBER(C164),C164,IFERROR(_xlfn.NUMBERVALUE(C164,".",","),0)))</f>
        <v/>
      </c>
    </row>
    <row r="165">
      <c r="K165">
        <f>IF(OR(LEFT(B165,9)="DOANH THU",LEFT(B165,8)="SỐ LƯỢNG"),A165,IF(A165="","",K164))</f>
        <v/>
      </c>
      <c r="L165">
        <f>IF(A165="","",IF(ISNUMBER(--LEFT(A165,FIND(" - ",A165&amp;" - ")-1)),LEFT(A165,FIND(" - ",A165&amp;" - ")-1),TRIM(A165)))</f>
        <v/>
      </c>
      <c r="M165">
        <f>IF(OR(K165="",K165=A165,A165=""),"",K165&amp;"|"&amp;L165)</f>
        <v/>
      </c>
      <c r="N165">
        <f>IF(M165="","",IF(ISNUMBER(B165),B165,IFERROR(_xlfn.NUMBERVALUE(B165,".",","),0)))</f>
        <v/>
      </c>
      <c r="O165">
        <f>IF(M165="","",IF(ISNUMBER(C165),C165,IFERROR(_xlfn.NUMBERVALUE(C165,".",","),0)))</f>
        <v/>
      </c>
    </row>
    <row r="166">
      <c r="K166">
        <f>IF(OR(LEFT(B166,9)="DOANH THU",LEFT(B166,8)="SỐ LƯỢNG"),A166,IF(A166="","",K165))</f>
        <v/>
      </c>
      <c r="L166">
        <f>IF(A166="","",IF(ISNUMBER(--LEFT(A166,FIND(" - ",A166&amp;" - ")-1)),LEFT(A166,FIND(" - ",A166&amp;" - ")-1),TRIM(A166)))</f>
        <v/>
      </c>
      <c r="M166">
        <f>IF(OR(K166="",K166=A166,A166=""),"",K166&amp;"|"&amp;L166)</f>
        <v/>
      </c>
      <c r="N166">
        <f>IF(M166="","",IF(ISNUMBER(B166),B166,IFERROR(_xlfn.NUMBERVALUE(B166,".",","),0)))</f>
        <v/>
      </c>
      <c r="O166">
        <f>IF(M166="","",IF(ISNUMBER(C166),C166,IFERROR(_xlfn.NUMBERVALUE(C166,".",","),0)))</f>
        <v/>
      </c>
    </row>
    <row r="167">
      <c r="K167">
        <f>IF(OR(LEFT(B167,9)="DOANH THU",LEFT(B167,8)="SỐ LƯỢNG"),A167,IF(A167="","",K166))</f>
        <v/>
      </c>
      <c r="L167">
        <f>IF(A167="","",IF(ISNUMBER(--LEFT(A167,FIND(" - ",A167&amp;" - ")-1)),LEFT(A167,FIND(" - ",A167&amp;" - ")-1),TRIM(A167)))</f>
        <v/>
      </c>
      <c r="M167">
        <f>IF(OR(K167="",K167=A167,A167=""),"",K167&amp;"|"&amp;L167)</f>
        <v/>
      </c>
      <c r="N167">
        <f>IF(M167="","",IF(ISNUMBER(B167),B167,IFERROR(_xlfn.NUMBERVALUE(B167,".",","),0)))</f>
        <v/>
      </c>
      <c r="O167">
        <f>IF(M167="","",IF(ISNUMBER(C167),C167,IFERROR(_xlfn.NUMBERVALUE(C167,".",","),0)))</f>
        <v/>
      </c>
    </row>
    <row r="168">
      <c r="K168">
        <f>IF(OR(LEFT(B168,9)="DOANH THU",LEFT(B168,8)="SỐ LƯỢNG"),A168,IF(A168="","",K167))</f>
        <v/>
      </c>
      <c r="L168">
        <f>IF(A168="","",IF(ISNUMBER(--LEFT(A168,FIND(" - ",A168&amp;" - ")-1)),LEFT(A168,FIND(" - ",A168&amp;" - ")-1),TRIM(A168)))</f>
        <v/>
      </c>
      <c r="M168">
        <f>IF(OR(K168="",K168=A168,A168=""),"",K168&amp;"|"&amp;L168)</f>
        <v/>
      </c>
      <c r="N168">
        <f>IF(M168="","",IF(ISNUMBER(B168),B168,IFERROR(_xlfn.NUMBERVALUE(B168,".",","),0)))</f>
        <v/>
      </c>
      <c r="O168">
        <f>IF(M168="","",IF(ISNUMBER(C168),C168,IFERROR(_xlfn.NUMBERVALUE(C168,".",","),0)))</f>
        <v/>
      </c>
    </row>
    <row r="169">
      <c r="K169">
        <f>IF(OR(LEFT(B169,9)="DOANH THU",LEFT(B169,8)="SỐ LƯỢNG"),A169,IF(A169="","",K168))</f>
        <v/>
      </c>
      <c r="L169">
        <f>IF(A169="","",IF(ISNUMBER(--LEFT(A169,FIND(" - ",A169&amp;" - ")-1)),LEFT(A169,FIND(" - ",A169&amp;" - ")-1),TRIM(A169)))</f>
        <v/>
      </c>
      <c r="M169">
        <f>IF(OR(K169="",K169=A169,A169=""),"",K169&amp;"|"&amp;L169)</f>
        <v/>
      </c>
      <c r="N169">
        <f>IF(M169="","",IF(ISNUMBER(B169),B169,IFERROR(_xlfn.NUMBERVALUE(B169,".",","),0)))</f>
        <v/>
      </c>
      <c r="O169">
        <f>IF(M169="","",IF(ISNUMBER(C169),C169,IFERROR(_xlfn.NUMBERVALUE(C169,".",","),0)))</f>
        <v/>
      </c>
    </row>
    <row r="170">
      <c r="K170">
        <f>IF(OR(LEFT(B170,9)="DOANH THU",LEFT(B170,8)="SỐ LƯỢNG"),A170,IF(A170="","",K169))</f>
        <v/>
      </c>
      <c r="L170">
        <f>IF(A170="","",IF(ISNUMBER(--LEFT(A170,FIND(" - ",A170&amp;" - ")-1)),LEFT(A170,FIND(" - ",A170&amp;" - ")-1),TRIM(A170)))</f>
        <v/>
      </c>
      <c r="M170">
        <f>IF(OR(K170="",K170=A170,A170=""),"",K170&amp;"|"&amp;L170)</f>
        <v/>
      </c>
      <c r="N170">
        <f>IF(M170="","",IF(ISNUMBER(B170),B170,IFERROR(_xlfn.NUMBERVALUE(B170,".",","),0)))</f>
        <v/>
      </c>
      <c r="O170">
        <f>IF(M170="","",IF(ISNUMBER(C170),C170,IFERROR(_xlfn.NUMBERVALUE(C170,".",","),0)))</f>
        <v/>
      </c>
    </row>
    <row r="171">
      <c r="K171">
        <f>IF(OR(LEFT(B171,9)="DOANH THU",LEFT(B171,8)="SỐ LƯỢNG"),A171,IF(A171="","",K170))</f>
        <v/>
      </c>
      <c r="L171">
        <f>IF(A171="","",IF(ISNUMBER(--LEFT(A171,FIND(" - ",A171&amp;" - ")-1)),LEFT(A171,FIND(" - ",A171&amp;" - ")-1),TRIM(A171)))</f>
        <v/>
      </c>
      <c r="M171">
        <f>IF(OR(K171="",K171=A171,A171=""),"",K171&amp;"|"&amp;L171)</f>
        <v/>
      </c>
      <c r="N171">
        <f>IF(M171="","",IF(ISNUMBER(B171),B171,IFERROR(_xlfn.NUMBERVALUE(B171,".",","),0)))</f>
        <v/>
      </c>
      <c r="O171">
        <f>IF(M171="","",IF(ISNUMBER(C171),C171,IFERROR(_xlfn.NUMBERVALUE(C171,".",","),0)))</f>
        <v/>
      </c>
    </row>
    <row r="172">
      <c r="K172">
        <f>IF(OR(LEFT(B172,9)="DOANH THU",LEFT(B172,8)="SỐ LƯỢNG"),A172,IF(A172="","",K171))</f>
        <v/>
      </c>
      <c r="L172">
        <f>IF(A172="","",IF(ISNUMBER(--LEFT(A172,FIND(" - ",A172&amp;" - ")-1)),LEFT(A172,FIND(" - ",A172&amp;" - ")-1),TRIM(A172)))</f>
        <v/>
      </c>
      <c r="M172">
        <f>IF(OR(K172="",K172=A172,A172=""),"",K172&amp;"|"&amp;L172)</f>
        <v/>
      </c>
      <c r="N172">
        <f>IF(M172="","",IF(ISNUMBER(B172),B172,IFERROR(_xlfn.NUMBERVALUE(B172,".",","),0)))</f>
        <v/>
      </c>
      <c r="O172">
        <f>IF(M172="","",IF(ISNUMBER(C172),C172,IFERROR(_xlfn.NUMBERVALUE(C172,".",","),0)))</f>
        <v/>
      </c>
    </row>
    <row r="173">
      <c r="K173">
        <f>IF(OR(LEFT(B173,9)="DOANH THU",LEFT(B173,8)="SỐ LƯỢNG"),A173,IF(A173="","",K172))</f>
        <v/>
      </c>
      <c r="L173">
        <f>IF(A173="","",IF(ISNUMBER(--LEFT(A173,FIND(" - ",A173&amp;" - ")-1)),LEFT(A173,FIND(" - ",A173&amp;" - ")-1),TRIM(A173)))</f>
        <v/>
      </c>
      <c r="M173">
        <f>IF(OR(K173="",K173=A173,A173=""),"",K173&amp;"|"&amp;L173)</f>
        <v/>
      </c>
      <c r="N173">
        <f>IF(M173="","",IF(ISNUMBER(B173),B173,IFERROR(_xlfn.NUMBERVALUE(B173,".",","),0)))</f>
        <v/>
      </c>
      <c r="O173">
        <f>IF(M173="","",IF(ISNUMBER(C173),C173,IFERROR(_xlfn.NUMBERVALUE(C173,".",","),0)))</f>
        <v/>
      </c>
    </row>
    <row r="174">
      <c r="K174">
        <f>IF(OR(LEFT(B174,9)="DOANH THU",LEFT(B174,8)="SỐ LƯỢNG"),A174,IF(A174="","",K173))</f>
        <v/>
      </c>
      <c r="L174">
        <f>IF(A174="","",IF(ISNUMBER(--LEFT(A174,FIND(" - ",A174&amp;" - ")-1)),LEFT(A174,FIND(" - ",A174&amp;" - ")-1),TRIM(A174)))</f>
        <v/>
      </c>
      <c r="M174">
        <f>IF(OR(K174="",K174=A174,A174=""),"",K174&amp;"|"&amp;L174)</f>
        <v/>
      </c>
      <c r="N174">
        <f>IF(M174="","",IF(ISNUMBER(B174),B174,IFERROR(_xlfn.NUMBERVALUE(B174,".",","),0)))</f>
        <v/>
      </c>
      <c r="O174">
        <f>IF(M174="","",IF(ISNUMBER(C174),C174,IFERROR(_xlfn.NUMBERVALUE(C174,".",","),0)))</f>
        <v/>
      </c>
    </row>
    <row r="175">
      <c r="K175">
        <f>IF(OR(LEFT(B175,9)="DOANH THU",LEFT(B175,8)="SỐ LƯỢNG"),A175,IF(A175="","",K174))</f>
        <v/>
      </c>
      <c r="L175">
        <f>IF(A175="","",IF(ISNUMBER(--LEFT(A175,FIND(" - ",A175&amp;" - ")-1)),LEFT(A175,FIND(" - ",A175&amp;" - ")-1),TRIM(A175)))</f>
        <v/>
      </c>
      <c r="M175">
        <f>IF(OR(K175="",K175=A175,A175=""),"",K175&amp;"|"&amp;L175)</f>
        <v/>
      </c>
      <c r="N175">
        <f>IF(M175="","",IF(ISNUMBER(B175),B175,IFERROR(_xlfn.NUMBERVALUE(B175,".",","),0)))</f>
        <v/>
      </c>
      <c r="O175">
        <f>IF(M175="","",IF(ISNUMBER(C175),C175,IFERROR(_xlfn.NUMBERVALUE(C175,".",","),0)))</f>
        <v/>
      </c>
    </row>
    <row r="176">
      <c r="K176">
        <f>IF(OR(LEFT(B176,9)="DOANH THU",LEFT(B176,8)="SỐ LƯỢNG"),A176,IF(A176="","",K175))</f>
        <v/>
      </c>
      <c r="L176">
        <f>IF(A176="","",IF(ISNUMBER(--LEFT(A176,FIND(" - ",A176&amp;" - ")-1)),LEFT(A176,FIND(" - ",A176&amp;" - ")-1),TRIM(A176)))</f>
        <v/>
      </c>
      <c r="M176">
        <f>IF(OR(K176="",K176=A176,A176=""),"",K176&amp;"|"&amp;L176)</f>
        <v/>
      </c>
      <c r="N176">
        <f>IF(M176="","",IF(ISNUMBER(B176),B176,IFERROR(_xlfn.NUMBERVALUE(B176,".",","),0)))</f>
        <v/>
      </c>
      <c r="O176">
        <f>IF(M176="","",IF(ISNUMBER(C176),C176,IFERROR(_xlfn.NUMBERVALUE(C176,".",","),0)))</f>
        <v/>
      </c>
    </row>
    <row r="177">
      <c r="K177">
        <f>IF(OR(LEFT(B177,9)="DOANH THU",LEFT(B177,8)="SỐ LƯỢNG"),A177,IF(A177="","",K176))</f>
        <v/>
      </c>
      <c r="L177">
        <f>IF(A177="","",IF(ISNUMBER(--LEFT(A177,FIND(" - ",A177&amp;" - ")-1)),LEFT(A177,FIND(" - ",A177&amp;" - ")-1),TRIM(A177)))</f>
        <v/>
      </c>
      <c r="M177">
        <f>IF(OR(K177="",K177=A177,A177=""),"",K177&amp;"|"&amp;L177)</f>
        <v/>
      </c>
      <c r="N177">
        <f>IF(M177="","",IF(ISNUMBER(B177),B177,IFERROR(_xlfn.NUMBERVALUE(B177,".",","),0)))</f>
        <v/>
      </c>
      <c r="O177">
        <f>IF(M177="","",IF(ISNUMBER(C177),C177,IFERROR(_xlfn.NUMBERVALUE(C177,".",","),0)))</f>
        <v/>
      </c>
    </row>
    <row r="178">
      <c r="K178">
        <f>IF(OR(LEFT(B178,9)="DOANH THU",LEFT(B178,8)="SỐ LƯỢNG"),A178,IF(A178="","",K177))</f>
        <v/>
      </c>
      <c r="L178">
        <f>IF(A178="","",IF(ISNUMBER(--LEFT(A178,FIND(" - ",A178&amp;" - ")-1)),LEFT(A178,FIND(" - ",A178&amp;" - ")-1),TRIM(A178)))</f>
        <v/>
      </c>
      <c r="M178">
        <f>IF(OR(K178="",K178=A178,A178=""),"",K178&amp;"|"&amp;L178)</f>
        <v/>
      </c>
      <c r="N178">
        <f>IF(M178="","",IF(ISNUMBER(B178),B178,IFERROR(_xlfn.NUMBERVALUE(B178,".",","),0)))</f>
        <v/>
      </c>
      <c r="O178">
        <f>IF(M178="","",IF(ISNUMBER(C178),C178,IFERROR(_xlfn.NUMBERVALUE(C178,".",","),0)))</f>
        <v/>
      </c>
    </row>
    <row r="179">
      <c r="K179">
        <f>IF(OR(LEFT(B179,9)="DOANH THU",LEFT(B179,8)="SỐ LƯỢNG"),A179,IF(A179="","",K178))</f>
        <v/>
      </c>
      <c r="L179">
        <f>IF(A179="","",IF(ISNUMBER(--LEFT(A179,FIND(" - ",A179&amp;" - ")-1)),LEFT(A179,FIND(" - ",A179&amp;" - ")-1),TRIM(A179)))</f>
        <v/>
      </c>
      <c r="M179">
        <f>IF(OR(K179="",K179=A179,A179=""),"",K179&amp;"|"&amp;L179)</f>
        <v/>
      </c>
      <c r="N179">
        <f>IF(M179="","",IF(ISNUMBER(B179),B179,IFERROR(_xlfn.NUMBERVALUE(B179,".",","),0)))</f>
        <v/>
      </c>
      <c r="O179">
        <f>IF(M179="","",IF(ISNUMBER(C179),C179,IFERROR(_xlfn.NUMBERVALUE(C179,".",","),0)))</f>
        <v/>
      </c>
    </row>
    <row r="180">
      <c r="K180">
        <f>IF(OR(LEFT(B180,9)="DOANH THU",LEFT(B180,8)="SỐ LƯỢNG"),A180,IF(A180="","",K179))</f>
        <v/>
      </c>
      <c r="L180">
        <f>IF(A180="","",IF(ISNUMBER(--LEFT(A180,FIND(" - ",A180&amp;" - ")-1)),LEFT(A180,FIND(" - ",A180&amp;" - ")-1),TRIM(A180)))</f>
        <v/>
      </c>
      <c r="M180">
        <f>IF(OR(K180="",K180=A180,A180=""),"",K180&amp;"|"&amp;L180)</f>
        <v/>
      </c>
      <c r="N180">
        <f>IF(M180="","",IF(ISNUMBER(B180),B180,IFERROR(_xlfn.NUMBERVALUE(B180,".",","),0)))</f>
        <v/>
      </c>
      <c r="O180">
        <f>IF(M180="","",IF(ISNUMBER(C180),C180,IFERROR(_xlfn.NUMBERVALUE(C180,".",","),0)))</f>
        <v/>
      </c>
    </row>
    <row r="181">
      <c r="K181">
        <f>IF(OR(LEFT(B181,9)="DOANH THU",LEFT(B181,8)="SỐ LƯỢNG"),A181,IF(A181="","",K180))</f>
        <v/>
      </c>
      <c r="L181">
        <f>IF(A181="","",IF(ISNUMBER(--LEFT(A181,FIND(" - ",A181&amp;" - ")-1)),LEFT(A181,FIND(" - ",A181&amp;" - ")-1),TRIM(A181)))</f>
        <v/>
      </c>
      <c r="M181">
        <f>IF(OR(K181="",K181=A181,A181=""),"",K181&amp;"|"&amp;L181)</f>
        <v/>
      </c>
      <c r="N181">
        <f>IF(M181="","",IF(ISNUMBER(B181),B181,IFERROR(_xlfn.NUMBERVALUE(B181,".",","),0)))</f>
        <v/>
      </c>
      <c r="O181">
        <f>IF(M181="","",IF(ISNUMBER(C181),C181,IFERROR(_xlfn.NUMBERVALUE(C181,".",","),0)))</f>
        <v/>
      </c>
    </row>
    <row r="182">
      <c r="K182">
        <f>IF(OR(LEFT(B182,9)="DOANH THU",LEFT(B182,8)="SỐ LƯỢNG"),A182,IF(A182="","",K181))</f>
        <v/>
      </c>
      <c r="L182">
        <f>IF(A182="","",IF(ISNUMBER(--LEFT(A182,FIND(" - ",A182&amp;" - ")-1)),LEFT(A182,FIND(" - ",A182&amp;" - ")-1),TRIM(A182)))</f>
        <v/>
      </c>
      <c r="M182">
        <f>IF(OR(K182="",K182=A182,A182=""),"",K182&amp;"|"&amp;L182)</f>
        <v/>
      </c>
      <c r="N182">
        <f>IF(M182="","",IF(ISNUMBER(B182),B182,IFERROR(_xlfn.NUMBERVALUE(B182,".",","),0)))</f>
        <v/>
      </c>
      <c r="O182">
        <f>IF(M182="","",IF(ISNUMBER(C182),C182,IFERROR(_xlfn.NUMBERVALUE(C182,".",","),0)))</f>
        <v/>
      </c>
    </row>
    <row r="183">
      <c r="K183">
        <f>IF(OR(LEFT(B183,9)="DOANH THU",LEFT(B183,8)="SỐ LƯỢNG"),A183,IF(A183="","",K182))</f>
        <v/>
      </c>
      <c r="L183">
        <f>IF(A183="","",IF(ISNUMBER(--LEFT(A183,FIND(" - ",A183&amp;" - ")-1)),LEFT(A183,FIND(" - ",A183&amp;" - ")-1),TRIM(A183)))</f>
        <v/>
      </c>
      <c r="M183">
        <f>IF(OR(K183="",K183=A183,A183=""),"",K183&amp;"|"&amp;L183)</f>
        <v/>
      </c>
      <c r="N183">
        <f>IF(M183="","",IF(ISNUMBER(B183),B183,IFERROR(_xlfn.NUMBERVALUE(B183,".",","),0)))</f>
        <v/>
      </c>
      <c r="O183">
        <f>IF(M183="","",IF(ISNUMBER(C183),C183,IFERROR(_xlfn.NUMBERVALUE(C183,".",","),0)))</f>
        <v/>
      </c>
    </row>
    <row r="184">
      <c r="K184">
        <f>IF(OR(LEFT(B184,9)="DOANH THU",LEFT(B184,8)="SỐ LƯỢNG"),A184,IF(A184="","",K183))</f>
        <v/>
      </c>
      <c r="L184">
        <f>IF(A184="","",IF(ISNUMBER(--LEFT(A184,FIND(" - ",A184&amp;" - ")-1)),LEFT(A184,FIND(" - ",A184&amp;" - ")-1),TRIM(A184)))</f>
        <v/>
      </c>
      <c r="M184">
        <f>IF(OR(K184="",K184=A184,A184=""),"",K184&amp;"|"&amp;L184)</f>
        <v/>
      </c>
      <c r="N184">
        <f>IF(M184="","",IF(ISNUMBER(B184),B184,IFERROR(_xlfn.NUMBERVALUE(B184,".",","),0)))</f>
        <v/>
      </c>
      <c r="O184">
        <f>IF(M184="","",IF(ISNUMBER(C184),C184,IFERROR(_xlfn.NUMBERVALUE(C184,".",","),0)))</f>
        <v/>
      </c>
    </row>
    <row r="185">
      <c r="K185">
        <f>IF(OR(LEFT(B185,9)="DOANH THU",LEFT(B185,8)="SỐ LƯỢNG"),A185,IF(A185="","",K184))</f>
        <v/>
      </c>
      <c r="L185">
        <f>IF(A185="","",IF(ISNUMBER(--LEFT(A185,FIND(" - ",A185&amp;" - ")-1)),LEFT(A185,FIND(" - ",A185&amp;" - ")-1),TRIM(A185)))</f>
        <v/>
      </c>
      <c r="M185">
        <f>IF(OR(K185="",K185=A185,A185=""),"",K185&amp;"|"&amp;L185)</f>
        <v/>
      </c>
      <c r="N185">
        <f>IF(M185="","",IF(ISNUMBER(B185),B185,IFERROR(_xlfn.NUMBERVALUE(B185,".",","),0)))</f>
        <v/>
      </c>
      <c r="O185">
        <f>IF(M185="","",IF(ISNUMBER(C185),C185,IFERROR(_xlfn.NUMBERVALUE(C185,".",","),0)))</f>
        <v/>
      </c>
    </row>
    <row r="186">
      <c r="K186">
        <f>IF(OR(LEFT(B186,9)="DOANH THU",LEFT(B186,8)="SỐ LƯỢNG"),A186,IF(A186="","",K185))</f>
        <v/>
      </c>
      <c r="L186">
        <f>IF(A186="","",IF(ISNUMBER(--LEFT(A186,FIND(" - ",A186&amp;" - ")-1)),LEFT(A186,FIND(" - ",A186&amp;" - ")-1),TRIM(A186)))</f>
        <v/>
      </c>
      <c r="M186">
        <f>IF(OR(K186="",K186=A186,A186=""),"",K186&amp;"|"&amp;L186)</f>
        <v/>
      </c>
      <c r="N186">
        <f>IF(M186="","",IF(ISNUMBER(B186),B186,IFERROR(_xlfn.NUMBERVALUE(B186,".",","),0)))</f>
        <v/>
      </c>
      <c r="O186">
        <f>IF(M186="","",IF(ISNUMBER(C186),C186,IFERROR(_xlfn.NUMBERVALUE(C186,".",","),0)))</f>
        <v/>
      </c>
    </row>
    <row r="187">
      <c r="K187">
        <f>IF(OR(LEFT(B187,9)="DOANH THU",LEFT(B187,8)="SỐ LƯỢNG"),A187,IF(A187="","",K186))</f>
        <v/>
      </c>
      <c r="L187">
        <f>IF(A187="","",IF(ISNUMBER(--LEFT(A187,FIND(" - ",A187&amp;" - ")-1)),LEFT(A187,FIND(" - ",A187&amp;" - ")-1),TRIM(A187)))</f>
        <v/>
      </c>
      <c r="M187">
        <f>IF(OR(K187="",K187=A187,A187=""),"",K187&amp;"|"&amp;L187)</f>
        <v/>
      </c>
      <c r="N187">
        <f>IF(M187="","",IF(ISNUMBER(B187),B187,IFERROR(_xlfn.NUMBERVALUE(B187,".",","),0)))</f>
        <v/>
      </c>
      <c r="O187">
        <f>IF(M187="","",IF(ISNUMBER(C187),C187,IFERROR(_xlfn.NUMBERVALUE(C187,".",","),0)))</f>
        <v/>
      </c>
    </row>
    <row r="188">
      <c r="K188">
        <f>IF(OR(LEFT(B188,9)="DOANH THU",LEFT(B188,8)="SỐ LƯỢNG"),A188,IF(A188="","",K187))</f>
        <v/>
      </c>
      <c r="L188">
        <f>IF(A188="","",IF(ISNUMBER(--LEFT(A188,FIND(" - ",A188&amp;" - ")-1)),LEFT(A188,FIND(" - ",A188&amp;" - ")-1),TRIM(A188)))</f>
        <v/>
      </c>
      <c r="M188">
        <f>IF(OR(K188="",K188=A188,A188=""),"",K188&amp;"|"&amp;L188)</f>
        <v/>
      </c>
      <c r="N188">
        <f>IF(M188="","",IF(ISNUMBER(B188),B188,IFERROR(_xlfn.NUMBERVALUE(B188,".",","),0)))</f>
        <v/>
      </c>
      <c r="O188">
        <f>IF(M188="","",IF(ISNUMBER(C188),C188,IFERROR(_xlfn.NUMBERVALUE(C188,".",","),0)))</f>
        <v/>
      </c>
    </row>
    <row r="189">
      <c r="K189">
        <f>IF(OR(LEFT(B189,9)="DOANH THU",LEFT(B189,8)="SỐ LƯỢNG"),A189,IF(A189="","",K188))</f>
        <v/>
      </c>
      <c r="L189">
        <f>IF(A189="","",IF(ISNUMBER(--LEFT(A189,FIND(" - ",A189&amp;" - ")-1)),LEFT(A189,FIND(" - ",A189&amp;" - ")-1),TRIM(A189)))</f>
        <v/>
      </c>
      <c r="M189">
        <f>IF(OR(K189="",K189=A189,A189=""),"",K189&amp;"|"&amp;L189)</f>
        <v/>
      </c>
      <c r="N189">
        <f>IF(M189="","",IF(ISNUMBER(B189),B189,IFERROR(_xlfn.NUMBERVALUE(B189,".",","),0)))</f>
        <v/>
      </c>
      <c r="O189">
        <f>IF(M189="","",IF(ISNUMBER(C189),C189,IFERROR(_xlfn.NUMBERVALUE(C189,".",","),0)))</f>
        <v/>
      </c>
    </row>
    <row r="190">
      <c r="K190">
        <f>IF(OR(LEFT(B190,9)="DOANH THU",LEFT(B190,8)="SỐ LƯỢNG"),A190,IF(A190="","",K189))</f>
        <v/>
      </c>
      <c r="L190">
        <f>IF(A190="","",IF(ISNUMBER(--LEFT(A190,FIND(" - ",A190&amp;" - ")-1)),LEFT(A190,FIND(" - ",A190&amp;" - ")-1),TRIM(A190)))</f>
        <v/>
      </c>
      <c r="M190">
        <f>IF(OR(K190="",K190=A190,A190=""),"",K190&amp;"|"&amp;L190)</f>
        <v/>
      </c>
      <c r="N190">
        <f>IF(M190="","",IF(ISNUMBER(B190),B190,IFERROR(_xlfn.NUMBERVALUE(B190,".",","),0)))</f>
        <v/>
      </c>
      <c r="O190">
        <f>IF(M190="","",IF(ISNUMBER(C190),C190,IFERROR(_xlfn.NUMBERVALUE(C190,".",","),0)))</f>
        <v/>
      </c>
    </row>
    <row r="191">
      <c r="K191">
        <f>IF(OR(LEFT(B191,9)="DOANH THU",LEFT(B191,8)="SỐ LƯỢNG"),A191,IF(A191="","",K190))</f>
        <v/>
      </c>
      <c r="L191">
        <f>IF(A191="","",IF(ISNUMBER(--LEFT(A191,FIND(" - ",A191&amp;" - ")-1)),LEFT(A191,FIND(" - ",A191&amp;" - ")-1),TRIM(A191)))</f>
        <v/>
      </c>
      <c r="M191">
        <f>IF(OR(K191="",K191=A191,A191=""),"",K191&amp;"|"&amp;L191)</f>
        <v/>
      </c>
      <c r="N191">
        <f>IF(M191="","",IF(ISNUMBER(B191),B191,IFERROR(_xlfn.NUMBERVALUE(B191,".",","),0)))</f>
        <v/>
      </c>
      <c r="O191">
        <f>IF(M191="","",IF(ISNUMBER(C191),C191,IFERROR(_xlfn.NUMBERVALUE(C191,".",","),0)))</f>
        <v/>
      </c>
    </row>
    <row r="192">
      <c r="K192">
        <f>IF(OR(LEFT(B192,9)="DOANH THU",LEFT(B192,8)="SỐ LƯỢNG"),A192,IF(A192="","",K191))</f>
        <v/>
      </c>
      <c r="L192">
        <f>IF(A192="","",IF(ISNUMBER(--LEFT(A192,FIND(" - ",A192&amp;" - ")-1)),LEFT(A192,FIND(" - ",A192&amp;" - ")-1),TRIM(A192)))</f>
        <v/>
      </c>
      <c r="M192">
        <f>IF(OR(K192="",K192=A192,A192=""),"",K192&amp;"|"&amp;L192)</f>
        <v/>
      </c>
      <c r="N192">
        <f>IF(M192="","",IF(ISNUMBER(B192),B192,IFERROR(_xlfn.NUMBERVALUE(B192,".",","),0)))</f>
        <v/>
      </c>
      <c r="O192">
        <f>IF(M192="","",IF(ISNUMBER(C192),C192,IFERROR(_xlfn.NUMBERVALUE(C192,".",","),0)))</f>
        <v/>
      </c>
    </row>
    <row r="193">
      <c r="K193">
        <f>IF(OR(LEFT(B193,9)="DOANH THU",LEFT(B193,8)="SỐ LƯỢNG"),A193,IF(A193="","",K192))</f>
        <v/>
      </c>
      <c r="L193">
        <f>IF(A193="","",IF(ISNUMBER(--LEFT(A193,FIND(" - ",A193&amp;" - ")-1)),LEFT(A193,FIND(" - ",A193&amp;" - ")-1),TRIM(A193)))</f>
        <v/>
      </c>
      <c r="M193">
        <f>IF(OR(K193="",K193=A193,A193=""),"",K193&amp;"|"&amp;L193)</f>
        <v/>
      </c>
      <c r="N193">
        <f>IF(M193="","",IF(ISNUMBER(B193),B193,IFERROR(_xlfn.NUMBERVALUE(B193,".",","),0)))</f>
        <v/>
      </c>
      <c r="O193">
        <f>IF(M193="","",IF(ISNUMBER(C193),C193,IFERROR(_xlfn.NUMBERVALUE(C193,".",","),0)))</f>
        <v/>
      </c>
    </row>
    <row r="194">
      <c r="K194">
        <f>IF(OR(LEFT(B194,9)="DOANH THU",LEFT(B194,8)="SỐ LƯỢNG"),A194,IF(A194="","",K193))</f>
        <v/>
      </c>
      <c r="L194">
        <f>IF(A194="","",IF(ISNUMBER(--LEFT(A194,FIND(" - ",A194&amp;" - ")-1)),LEFT(A194,FIND(" - ",A194&amp;" - ")-1),TRIM(A194)))</f>
        <v/>
      </c>
      <c r="M194">
        <f>IF(OR(K194="",K194=A194,A194=""),"",K194&amp;"|"&amp;L194)</f>
        <v/>
      </c>
      <c r="N194">
        <f>IF(M194="","",IF(ISNUMBER(B194),B194,IFERROR(_xlfn.NUMBERVALUE(B194,".",","),0)))</f>
        <v/>
      </c>
      <c r="O194">
        <f>IF(M194="","",IF(ISNUMBER(C194),C194,IFERROR(_xlfn.NUMBERVALUE(C194,".",","),0)))</f>
        <v/>
      </c>
    </row>
    <row r="195">
      <c r="K195">
        <f>IF(OR(LEFT(B195,9)="DOANH THU",LEFT(B195,8)="SỐ LƯỢNG"),A195,IF(A195="","",K194))</f>
        <v/>
      </c>
      <c r="L195">
        <f>IF(A195="","",IF(ISNUMBER(--LEFT(A195,FIND(" - ",A195&amp;" - ")-1)),LEFT(A195,FIND(" - ",A195&amp;" - ")-1),TRIM(A195)))</f>
        <v/>
      </c>
      <c r="M195">
        <f>IF(OR(K195="",K195=A195,A195=""),"",K195&amp;"|"&amp;L195)</f>
        <v/>
      </c>
      <c r="N195">
        <f>IF(M195="","",IF(ISNUMBER(B195),B195,IFERROR(_xlfn.NUMBERVALUE(B195,".",","),0)))</f>
        <v/>
      </c>
      <c r="O195">
        <f>IF(M195="","",IF(ISNUMBER(C195),C195,IFERROR(_xlfn.NUMBERVALUE(C195,".",","),0)))</f>
        <v/>
      </c>
    </row>
    <row r="196">
      <c r="K196">
        <f>IF(OR(LEFT(B196,9)="DOANH THU",LEFT(B196,8)="SỐ LƯỢNG"),A196,IF(A196="","",K195))</f>
        <v/>
      </c>
      <c r="L196">
        <f>IF(A196="","",IF(ISNUMBER(--LEFT(A196,FIND(" - ",A196&amp;" - ")-1)),LEFT(A196,FIND(" - ",A196&amp;" - ")-1),TRIM(A196)))</f>
        <v/>
      </c>
      <c r="M196">
        <f>IF(OR(K196="",K196=A196,A196=""),"",K196&amp;"|"&amp;L196)</f>
        <v/>
      </c>
      <c r="N196">
        <f>IF(M196="","",IF(ISNUMBER(B196),B196,IFERROR(_xlfn.NUMBERVALUE(B196,".",","),0)))</f>
        <v/>
      </c>
      <c r="O196">
        <f>IF(M196="","",IF(ISNUMBER(C196),C196,IFERROR(_xlfn.NUMBERVALUE(C196,".",","),0)))</f>
        <v/>
      </c>
    </row>
    <row r="197">
      <c r="K197">
        <f>IF(OR(LEFT(B197,9)="DOANH THU",LEFT(B197,8)="SỐ LƯỢNG"),A197,IF(A197="","",K196))</f>
        <v/>
      </c>
      <c r="L197">
        <f>IF(A197="","",IF(ISNUMBER(--LEFT(A197,FIND(" - ",A197&amp;" - ")-1)),LEFT(A197,FIND(" - ",A197&amp;" - ")-1),TRIM(A197)))</f>
        <v/>
      </c>
      <c r="M197">
        <f>IF(OR(K197="",K197=A197,A197=""),"",K197&amp;"|"&amp;L197)</f>
        <v/>
      </c>
      <c r="N197">
        <f>IF(M197="","",IF(ISNUMBER(B197),B197,IFERROR(_xlfn.NUMBERVALUE(B197,".",","),0)))</f>
        <v/>
      </c>
      <c r="O197">
        <f>IF(M197="","",IF(ISNUMBER(C197),C197,IFERROR(_xlfn.NUMBERVALUE(C197,".",","),0)))</f>
        <v/>
      </c>
    </row>
    <row r="198">
      <c r="K198">
        <f>IF(OR(LEFT(B198,9)="DOANH THU",LEFT(B198,8)="SỐ LƯỢNG"),A198,IF(A198="","",K197))</f>
        <v/>
      </c>
      <c r="L198">
        <f>IF(A198="","",IF(ISNUMBER(--LEFT(A198,FIND(" - ",A198&amp;" - ")-1)),LEFT(A198,FIND(" - ",A198&amp;" - ")-1),TRIM(A198)))</f>
        <v/>
      </c>
      <c r="M198">
        <f>IF(OR(K198="",K198=A198,A198=""),"",K198&amp;"|"&amp;L198)</f>
        <v/>
      </c>
      <c r="N198">
        <f>IF(M198="","",IF(ISNUMBER(B198),B198,IFERROR(_xlfn.NUMBERVALUE(B198,".",","),0)))</f>
        <v/>
      </c>
      <c r="O198">
        <f>IF(M198="","",IF(ISNUMBER(C198),C198,IFERROR(_xlfn.NUMBERVALUE(C198,".",","),0)))</f>
        <v/>
      </c>
    </row>
    <row r="199">
      <c r="K199">
        <f>IF(OR(LEFT(B199,9)="DOANH THU",LEFT(B199,8)="SỐ LƯỢNG"),A199,IF(A199="","",K198))</f>
        <v/>
      </c>
      <c r="L199">
        <f>IF(A199="","",IF(ISNUMBER(--LEFT(A199,FIND(" - ",A199&amp;" - ")-1)),LEFT(A199,FIND(" - ",A199&amp;" - ")-1),TRIM(A199)))</f>
        <v/>
      </c>
      <c r="M199">
        <f>IF(OR(K199="",K199=A199,A199=""),"",K199&amp;"|"&amp;L199)</f>
        <v/>
      </c>
      <c r="N199">
        <f>IF(M199="","",IF(ISNUMBER(B199),B199,IFERROR(_xlfn.NUMBERVALUE(B199,".",","),0)))</f>
        <v/>
      </c>
      <c r="O199">
        <f>IF(M199="","",IF(ISNUMBER(C199),C199,IFERROR(_xlfn.NUMBERVALUE(C199,".",","),0)))</f>
        <v/>
      </c>
    </row>
    <row r="200">
      <c r="K200">
        <f>IF(OR(LEFT(B200,9)="DOANH THU",LEFT(B200,8)="SỐ LƯỢNG"),A200,IF(A200="","",K199))</f>
        <v/>
      </c>
      <c r="L200">
        <f>IF(A200="","",IF(ISNUMBER(--LEFT(A200,FIND(" - ",A200&amp;" - ")-1)),LEFT(A200,FIND(" - ",A200&amp;" - ")-1),TRIM(A200)))</f>
        <v/>
      </c>
      <c r="M200">
        <f>IF(OR(K200="",K200=A200,A200=""),"",K200&amp;"|"&amp;L200)</f>
        <v/>
      </c>
      <c r="N200">
        <f>IF(M200="","",IF(ISNUMBER(B200),B200,IFERROR(_xlfn.NUMBERVALUE(B200,".",","),0)))</f>
        <v/>
      </c>
      <c r="O200">
        <f>IF(M200="","",IF(ISNUMBER(C200),C200,IFERROR(_xlfn.NUMBERVALUE(C200,".",","),0)))</f>
        <v/>
      </c>
    </row>
    <row r="201">
      <c r="K201">
        <f>IF(OR(LEFT(B201,9)="DOANH THU",LEFT(B201,8)="SỐ LƯỢNG"),A201,IF(A201="","",K200))</f>
        <v/>
      </c>
      <c r="L201">
        <f>IF(A201="","",IF(ISNUMBER(--LEFT(A201,FIND(" - ",A201&amp;" - ")-1)),LEFT(A201,FIND(" - ",A201&amp;" - ")-1),TRIM(A201)))</f>
        <v/>
      </c>
      <c r="M201">
        <f>IF(OR(K201="",K201=A201,A201=""),"",K201&amp;"|"&amp;L201)</f>
        <v/>
      </c>
      <c r="N201">
        <f>IF(M201="","",IF(ISNUMBER(B201),B201,IFERROR(_xlfn.NUMBERVALUE(B201,".",","),0)))</f>
        <v/>
      </c>
      <c r="O201">
        <f>IF(M201="","",IF(ISNUMBER(C201),C201,IFERROR(_xlfn.NUMBERVALUE(C201,".",","),0)))</f>
        <v/>
      </c>
    </row>
    <row r="202">
      <c r="K202">
        <f>IF(OR(LEFT(B202,9)="DOANH THU",LEFT(B202,8)="SỐ LƯỢNG"),A202,IF(A202="","",K201))</f>
        <v/>
      </c>
      <c r="L202">
        <f>IF(A202="","",IF(ISNUMBER(--LEFT(A202,FIND(" - ",A202&amp;" - ")-1)),LEFT(A202,FIND(" - ",A202&amp;" - ")-1),TRIM(A202)))</f>
        <v/>
      </c>
      <c r="M202">
        <f>IF(OR(K202="",K202=A202,A202=""),"",K202&amp;"|"&amp;L202)</f>
        <v/>
      </c>
      <c r="N202">
        <f>IF(M202="","",IF(ISNUMBER(B202),B202,IFERROR(_xlfn.NUMBERVALUE(B202,".",","),0)))</f>
        <v/>
      </c>
      <c r="O202">
        <f>IF(M202="","",IF(ISNUMBER(C202),C202,IFERROR(_xlfn.NUMBERVALUE(C202,".",","),0)))</f>
        <v/>
      </c>
    </row>
    <row r="203">
      <c r="K203">
        <f>IF(OR(LEFT(B203,9)="DOANH THU",LEFT(B203,8)="SỐ LƯỢNG"),A203,IF(A203="","",K202))</f>
        <v/>
      </c>
      <c r="L203">
        <f>IF(A203="","",IF(ISNUMBER(--LEFT(A203,FIND(" - ",A203&amp;" - ")-1)),LEFT(A203,FIND(" - ",A203&amp;" - ")-1),TRIM(A203)))</f>
        <v/>
      </c>
      <c r="M203">
        <f>IF(OR(K203="",K203=A203,A203=""),"",K203&amp;"|"&amp;L203)</f>
        <v/>
      </c>
      <c r="N203">
        <f>IF(M203="","",IF(ISNUMBER(B203),B203,IFERROR(_xlfn.NUMBERVALUE(B203,".",","),0)))</f>
        <v/>
      </c>
      <c r="O203">
        <f>IF(M203="","",IF(ISNUMBER(C203),C203,IFERROR(_xlfn.NUMBERVALUE(C203,".",","),0)))</f>
        <v/>
      </c>
    </row>
    <row r="204">
      <c r="K204">
        <f>IF(OR(LEFT(B204,9)="DOANH THU",LEFT(B204,8)="SỐ LƯỢNG"),A204,IF(A204="","",K203))</f>
        <v/>
      </c>
      <c r="L204">
        <f>IF(A204="","",IF(ISNUMBER(--LEFT(A204,FIND(" - ",A204&amp;" - ")-1)),LEFT(A204,FIND(" - ",A204&amp;" - ")-1),TRIM(A204)))</f>
        <v/>
      </c>
      <c r="M204">
        <f>IF(OR(K204="",K204=A204,A204=""),"",K204&amp;"|"&amp;L204)</f>
        <v/>
      </c>
      <c r="N204">
        <f>IF(M204="","",IF(ISNUMBER(B204),B204,IFERROR(_xlfn.NUMBERVALUE(B204,".",","),0)))</f>
        <v/>
      </c>
      <c r="O204">
        <f>IF(M204="","",IF(ISNUMBER(C204),C204,IFERROR(_xlfn.NUMBERVALUE(C204,".",","),0)))</f>
        <v/>
      </c>
    </row>
    <row r="205">
      <c r="K205">
        <f>IF(OR(LEFT(B205,9)="DOANH THU",LEFT(B205,8)="SỐ LƯỢNG"),A205,IF(A205="","",K204))</f>
        <v/>
      </c>
      <c r="L205">
        <f>IF(A205="","",IF(ISNUMBER(--LEFT(A205,FIND(" - ",A205&amp;" - ")-1)),LEFT(A205,FIND(" - ",A205&amp;" - ")-1),TRIM(A205)))</f>
        <v/>
      </c>
      <c r="M205">
        <f>IF(OR(K205="",K205=A205,A205=""),"",K205&amp;"|"&amp;L205)</f>
        <v/>
      </c>
      <c r="N205">
        <f>IF(M205="","",IF(ISNUMBER(B205),B205,IFERROR(_xlfn.NUMBERVALUE(B205,".",","),0)))</f>
        <v/>
      </c>
      <c r="O205">
        <f>IF(M205="","",IF(ISNUMBER(C205),C205,IFERROR(_xlfn.NUMBERVALUE(C205,".",","),0)))</f>
        <v/>
      </c>
    </row>
    <row r="206">
      <c r="K206">
        <f>IF(OR(LEFT(B206,9)="DOANH THU",LEFT(B206,8)="SỐ LƯỢNG"),A206,IF(A206="","",K205))</f>
        <v/>
      </c>
      <c r="L206">
        <f>IF(A206="","",IF(ISNUMBER(--LEFT(A206,FIND(" - ",A206&amp;" - ")-1)),LEFT(A206,FIND(" - ",A206&amp;" - ")-1),TRIM(A206)))</f>
        <v/>
      </c>
      <c r="M206">
        <f>IF(OR(K206="",K206=A206,A206=""),"",K206&amp;"|"&amp;L206)</f>
        <v/>
      </c>
      <c r="N206">
        <f>IF(M206="","",IF(ISNUMBER(B206),B206,IFERROR(_xlfn.NUMBERVALUE(B206,".",","),0)))</f>
        <v/>
      </c>
      <c r="O206">
        <f>IF(M206="","",IF(ISNUMBER(C206),C206,IFERROR(_xlfn.NUMBERVALUE(C206,".",","),0)))</f>
        <v/>
      </c>
    </row>
    <row r="207">
      <c r="K207">
        <f>IF(OR(LEFT(B207,9)="DOANH THU",LEFT(B207,8)="SỐ LƯỢNG"),A207,IF(A207="","",K206))</f>
        <v/>
      </c>
      <c r="L207">
        <f>IF(A207="","",IF(ISNUMBER(--LEFT(A207,FIND(" - ",A207&amp;" - ")-1)),LEFT(A207,FIND(" - ",A207&amp;" - ")-1),TRIM(A207)))</f>
        <v/>
      </c>
      <c r="M207">
        <f>IF(OR(K207="",K207=A207,A207=""),"",K207&amp;"|"&amp;L207)</f>
        <v/>
      </c>
      <c r="N207">
        <f>IF(M207="","",IF(ISNUMBER(B207),B207,IFERROR(_xlfn.NUMBERVALUE(B207,".",","),0)))</f>
        <v/>
      </c>
      <c r="O207">
        <f>IF(M207="","",IF(ISNUMBER(C207),C207,IFERROR(_xlfn.NUMBERVALUE(C207,".",","),0)))</f>
        <v/>
      </c>
    </row>
    <row r="208">
      <c r="K208">
        <f>IF(OR(LEFT(B208,9)="DOANH THU",LEFT(B208,8)="SỐ LƯỢNG"),A208,IF(A208="","",K207))</f>
        <v/>
      </c>
      <c r="L208">
        <f>IF(A208="","",IF(ISNUMBER(--LEFT(A208,FIND(" - ",A208&amp;" - ")-1)),LEFT(A208,FIND(" - ",A208&amp;" - ")-1),TRIM(A208)))</f>
        <v/>
      </c>
      <c r="M208">
        <f>IF(OR(K208="",K208=A208,A208=""),"",K208&amp;"|"&amp;L208)</f>
        <v/>
      </c>
      <c r="N208">
        <f>IF(M208="","",IF(ISNUMBER(B208),B208,IFERROR(_xlfn.NUMBERVALUE(B208,".",","),0)))</f>
        <v/>
      </c>
      <c r="O208">
        <f>IF(M208="","",IF(ISNUMBER(C208),C208,IFERROR(_xlfn.NUMBERVALUE(C208,".",","),0)))</f>
        <v/>
      </c>
    </row>
    <row r="209">
      <c r="K209">
        <f>IF(OR(LEFT(B209,9)="DOANH THU",LEFT(B209,8)="SỐ LƯỢNG"),A209,IF(A209="","",K208))</f>
        <v/>
      </c>
      <c r="L209">
        <f>IF(A209="","",IF(ISNUMBER(--LEFT(A209,FIND(" - ",A209&amp;" - ")-1)),LEFT(A209,FIND(" - ",A209&amp;" - ")-1),TRIM(A209)))</f>
        <v/>
      </c>
      <c r="M209">
        <f>IF(OR(K209="",K209=A209,A209=""),"",K209&amp;"|"&amp;L209)</f>
        <v/>
      </c>
      <c r="N209">
        <f>IF(M209="","",IF(ISNUMBER(B209),B209,IFERROR(_xlfn.NUMBERVALUE(B209,".",","),0)))</f>
        <v/>
      </c>
      <c r="O209">
        <f>IF(M209="","",IF(ISNUMBER(C209),C209,IFERROR(_xlfn.NUMBERVALUE(C209,".",","),0)))</f>
        <v/>
      </c>
    </row>
    <row r="210">
      <c r="K210">
        <f>IF(OR(LEFT(B210,9)="DOANH THU",LEFT(B210,8)="SỐ LƯỢNG"),A210,IF(A210="","",K209))</f>
        <v/>
      </c>
      <c r="L210">
        <f>IF(A210="","",IF(ISNUMBER(--LEFT(A210,FIND(" - ",A210&amp;" - ")-1)),LEFT(A210,FIND(" - ",A210&amp;" - ")-1),TRIM(A210)))</f>
        <v/>
      </c>
      <c r="M210">
        <f>IF(OR(K210="",K210=A210,A210=""),"",K210&amp;"|"&amp;L210)</f>
        <v/>
      </c>
      <c r="N210">
        <f>IF(M210="","",IF(ISNUMBER(B210),B210,IFERROR(_xlfn.NUMBERVALUE(B210,".",","),0)))</f>
        <v/>
      </c>
      <c r="O210">
        <f>IF(M210="","",IF(ISNUMBER(C210),C210,IFERROR(_xlfn.NUMBERVALUE(C210,".",","),0)))</f>
        <v/>
      </c>
    </row>
    <row r="211">
      <c r="K211">
        <f>IF(OR(LEFT(B211,9)="DOANH THU",LEFT(B211,8)="SỐ LƯỢNG"),A211,IF(A211="","",K210))</f>
        <v/>
      </c>
      <c r="L211">
        <f>IF(A211="","",IF(ISNUMBER(--LEFT(A211,FIND(" - ",A211&amp;" - ")-1)),LEFT(A211,FIND(" - ",A211&amp;" - ")-1),TRIM(A211)))</f>
        <v/>
      </c>
      <c r="M211">
        <f>IF(OR(K211="",K211=A211,A211=""),"",K211&amp;"|"&amp;L211)</f>
        <v/>
      </c>
      <c r="N211">
        <f>IF(M211="","",IF(ISNUMBER(B211),B211,IFERROR(_xlfn.NUMBERVALUE(B211,".",","),0)))</f>
        <v/>
      </c>
      <c r="O211">
        <f>IF(M211="","",IF(ISNUMBER(C211),C211,IFERROR(_xlfn.NUMBERVALUE(C211,".",","),0)))</f>
        <v/>
      </c>
    </row>
    <row r="212">
      <c r="K212">
        <f>IF(OR(LEFT(B212,9)="DOANH THU",LEFT(B212,8)="SỐ LƯỢNG"),A212,IF(A212="","",K211))</f>
        <v/>
      </c>
      <c r="L212">
        <f>IF(A212="","",IF(ISNUMBER(--LEFT(A212,FIND(" - ",A212&amp;" - ")-1)),LEFT(A212,FIND(" - ",A212&amp;" - ")-1),TRIM(A212)))</f>
        <v/>
      </c>
      <c r="M212">
        <f>IF(OR(K212="",K212=A212,A212=""),"",K212&amp;"|"&amp;L212)</f>
        <v/>
      </c>
      <c r="N212">
        <f>IF(M212="","",IF(ISNUMBER(B212),B212,IFERROR(_xlfn.NUMBERVALUE(B212,".",","),0)))</f>
        <v/>
      </c>
      <c r="O212">
        <f>IF(M212="","",IF(ISNUMBER(C212),C212,IFERROR(_xlfn.NUMBERVALUE(C212,".",","),0)))</f>
        <v/>
      </c>
    </row>
    <row r="213">
      <c r="K213">
        <f>IF(OR(LEFT(B213,9)="DOANH THU",LEFT(B213,8)="SỐ LƯỢNG"),A213,IF(A213="","",K212))</f>
        <v/>
      </c>
      <c r="L213">
        <f>IF(A213="","",IF(ISNUMBER(--LEFT(A213,FIND(" - ",A213&amp;" - ")-1)),LEFT(A213,FIND(" - ",A213&amp;" - ")-1),TRIM(A213)))</f>
        <v/>
      </c>
      <c r="M213">
        <f>IF(OR(K213="",K213=A213,A213=""),"",K213&amp;"|"&amp;L213)</f>
        <v/>
      </c>
      <c r="N213">
        <f>IF(M213="","",IF(ISNUMBER(B213),B213,IFERROR(_xlfn.NUMBERVALUE(B213,".",","),0)))</f>
        <v/>
      </c>
      <c r="O213">
        <f>IF(M213="","",IF(ISNUMBER(C213),C213,IFERROR(_xlfn.NUMBERVALUE(C213,".",","),0)))</f>
        <v/>
      </c>
    </row>
    <row r="214">
      <c r="K214">
        <f>IF(OR(LEFT(B214,9)="DOANH THU",LEFT(B214,8)="SỐ LƯỢNG"),A214,IF(A214="","",K213))</f>
        <v/>
      </c>
      <c r="L214">
        <f>IF(A214="","",IF(ISNUMBER(--LEFT(A214,FIND(" - ",A214&amp;" - ")-1)),LEFT(A214,FIND(" - ",A214&amp;" - ")-1),TRIM(A214)))</f>
        <v/>
      </c>
      <c r="M214">
        <f>IF(OR(K214="",K214=A214,A214=""),"",K214&amp;"|"&amp;L214)</f>
        <v/>
      </c>
      <c r="N214">
        <f>IF(M214="","",IF(ISNUMBER(B214),B214,IFERROR(_xlfn.NUMBERVALUE(B214,".",","),0)))</f>
        <v/>
      </c>
      <c r="O214">
        <f>IF(M214="","",IF(ISNUMBER(C214),C214,IFERROR(_xlfn.NUMBERVALUE(C214,".",","),0)))</f>
        <v/>
      </c>
    </row>
    <row r="215">
      <c r="K215">
        <f>IF(OR(LEFT(B215,9)="DOANH THU",LEFT(B215,8)="SỐ LƯỢNG"),A215,IF(A215="","",K214))</f>
        <v/>
      </c>
      <c r="L215">
        <f>IF(A215="","",IF(ISNUMBER(--LEFT(A215,FIND(" - ",A215&amp;" - ")-1)),LEFT(A215,FIND(" - ",A215&amp;" - ")-1),TRIM(A215)))</f>
        <v/>
      </c>
      <c r="M215">
        <f>IF(OR(K215="",K215=A215,A215=""),"",K215&amp;"|"&amp;L215)</f>
        <v/>
      </c>
      <c r="N215">
        <f>IF(M215="","",IF(ISNUMBER(B215),B215,IFERROR(_xlfn.NUMBERVALUE(B215,".",","),0)))</f>
        <v/>
      </c>
      <c r="O215">
        <f>IF(M215="","",IF(ISNUMBER(C215),C215,IFERROR(_xlfn.NUMBERVALUE(C215,".",","),0)))</f>
        <v/>
      </c>
    </row>
    <row r="216">
      <c r="K216">
        <f>IF(OR(LEFT(B216,9)="DOANH THU",LEFT(B216,8)="SỐ LƯỢNG"),A216,IF(A216="","",K215))</f>
        <v/>
      </c>
      <c r="L216">
        <f>IF(A216="","",IF(ISNUMBER(--LEFT(A216,FIND(" - ",A216&amp;" - ")-1)),LEFT(A216,FIND(" - ",A216&amp;" - ")-1),TRIM(A216)))</f>
        <v/>
      </c>
      <c r="M216">
        <f>IF(OR(K216="",K216=A216,A216=""),"",K216&amp;"|"&amp;L216)</f>
        <v/>
      </c>
      <c r="N216">
        <f>IF(M216="","",IF(ISNUMBER(B216),B216,IFERROR(_xlfn.NUMBERVALUE(B216,".",","),0)))</f>
        <v/>
      </c>
      <c r="O216">
        <f>IF(M216="","",IF(ISNUMBER(C216),C216,IFERROR(_xlfn.NUMBERVALUE(C216,".",","),0)))</f>
        <v/>
      </c>
    </row>
    <row r="217">
      <c r="K217">
        <f>IF(OR(LEFT(B217,9)="DOANH THU",LEFT(B217,8)="SỐ LƯỢNG"),A217,IF(A217="","",K216))</f>
        <v/>
      </c>
      <c r="L217">
        <f>IF(A217="","",IF(ISNUMBER(--LEFT(A217,FIND(" - ",A217&amp;" - ")-1)),LEFT(A217,FIND(" - ",A217&amp;" - ")-1),TRIM(A217)))</f>
        <v/>
      </c>
      <c r="M217">
        <f>IF(OR(K217="",K217=A217,A217=""),"",K217&amp;"|"&amp;L217)</f>
        <v/>
      </c>
      <c r="N217">
        <f>IF(M217="","",IF(ISNUMBER(B217),B217,IFERROR(_xlfn.NUMBERVALUE(B217,".",","),0)))</f>
        <v/>
      </c>
      <c r="O217">
        <f>IF(M217="","",IF(ISNUMBER(C217),C217,IFERROR(_xlfn.NUMBERVALUE(C217,".",","),0)))</f>
        <v/>
      </c>
    </row>
    <row r="218">
      <c r="K218">
        <f>IF(OR(LEFT(B218,9)="DOANH THU",LEFT(B218,8)="SỐ LƯỢNG"),A218,IF(A218="","",K217))</f>
        <v/>
      </c>
      <c r="L218">
        <f>IF(A218="","",IF(ISNUMBER(--LEFT(A218,FIND(" - ",A218&amp;" - ")-1)),LEFT(A218,FIND(" - ",A218&amp;" - ")-1),TRIM(A218)))</f>
        <v/>
      </c>
      <c r="M218">
        <f>IF(OR(K218="",K218=A218,A218=""),"",K218&amp;"|"&amp;L218)</f>
        <v/>
      </c>
      <c r="N218">
        <f>IF(M218="","",IF(ISNUMBER(B218),B218,IFERROR(_xlfn.NUMBERVALUE(B218,".",","),0)))</f>
        <v/>
      </c>
      <c r="O218">
        <f>IF(M218="","",IF(ISNUMBER(C218),C218,IFERROR(_xlfn.NUMBERVALUE(C218,".",","),0)))</f>
        <v/>
      </c>
    </row>
    <row r="219">
      <c r="K219">
        <f>IF(OR(LEFT(B219,9)="DOANH THU",LEFT(B219,8)="SỐ LƯỢNG"),A219,IF(A219="","",K218))</f>
        <v/>
      </c>
      <c r="L219">
        <f>IF(A219="","",IF(ISNUMBER(--LEFT(A219,FIND(" - ",A219&amp;" - ")-1)),LEFT(A219,FIND(" - ",A219&amp;" - ")-1),TRIM(A219)))</f>
        <v/>
      </c>
      <c r="M219">
        <f>IF(OR(K219="",K219=A219,A219=""),"",K219&amp;"|"&amp;L219)</f>
        <v/>
      </c>
      <c r="N219">
        <f>IF(M219="","",IF(ISNUMBER(B219),B219,IFERROR(_xlfn.NUMBERVALUE(B219,".",","),0)))</f>
        <v/>
      </c>
      <c r="O219">
        <f>IF(M219="","",IF(ISNUMBER(C219),C219,IFERROR(_xlfn.NUMBERVALUE(C219,".",","),0)))</f>
        <v/>
      </c>
    </row>
    <row r="220">
      <c r="K220">
        <f>IF(OR(LEFT(B220,9)="DOANH THU",LEFT(B220,8)="SỐ LƯỢNG"),A220,IF(A220="","",K219))</f>
        <v/>
      </c>
      <c r="L220">
        <f>IF(A220="","",IF(ISNUMBER(--LEFT(A220,FIND(" - ",A220&amp;" - ")-1)),LEFT(A220,FIND(" - ",A220&amp;" - ")-1),TRIM(A220)))</f>
        <v/>
      </c>
      <c r="M220">
        <f>IF(OR(K220="",K220=A220,A220=""),"",K220&amp;"|"&amp;L220)</f>
        <v/>
      </c>
      <c r="N220">
        <f>IF(M220="","",IF(ISNUMBER(B220),B220,IFERROR(_xlfn.NUMBERVALUE(B220,".",","),0)))</f>
        <v/>
      </c>
      <c r="O220">
        <f>IF(M220="","",IF(ISNUMBER(C220),C220,IFERROR(_xlfn.NUMBERVALUE(C220,".",","),0)))</f>
        <v/>
      </c>
    </row>
    <row r="221">
      <c r="K221">
        <f>IF(OR(LEFT(B221,9)="DOANH THU",LEFT(B221,8)="SỐ LƯỢNG"),A221,IF(A221="","",K220))</f>
        <v/>
      </c>
      <c r="L221">
        <f>IF(A221="","",IF(ISNUMBER(--LEFT(A221,FIND(" - ",A221&amp;" - ")-1)),LEFT(A221,FIND(" - ",A221&amp;" - ")-1),TRIM(A221)))</f>
        <v/>
      </c>
      <c r="M221">
        <f>IF(OR(K221="",K221=A221,A221=""),"",K221&amp;"|"&amp;L221)</f>
        <v/>
      </c>
      <c r="N221">
        <f>IF(M221="","",IF(ISNUMBER(B221),B221,IFERROR(_xlfn.NUMBERVALUE(B221,".",","),0)))</f>
        <v/>
      </c>
      <c r="O221">
        <f>IF(M221="","",IF(ISNUMBER(C221),C221,IFERROR(_xlfn.NUMBERVALUE(C221,".",","),0)))</f>
        <v/>
      </c>
    </row>
    <row r="222">
      <c r="K222">
        <f>IF(OR(LEFT(B222,9)="DOANH THU",LEFT(B222,8)="SỐ LƯỢNG"),A222,IF(A222="","",K221))</f>
        <v/>
      </c>
      <c r="L222">
        <f>IF(A222="","",IF(ISNUMBER(--LEFT(A222,FIND(" - ",A222&amp;" - ")-1)),LEFT(A222,FIND(" - ",A222&amp;" - ")-1),TRIM(A222)))</f>
        <v/>
      </c>
      <c r="M222">
        <f>IF(OR(K222="",K222=A222,A222=""),"",K222&amp;"|"&amp;L222)</f>
        <v/>
      </c>
      <c r="N222">
        <f>IF(M222="","",IF(ISNUMBER(B222),B222,IFERROR(_xlfn.NUMBERVALUE(B222,".",","),0)))</f>
        <v/>
      </c>
      <c r="O222">
        <f>IF(M222="","",IF(ISNUMBER(C222),C222,IFERROR(_xlfn.NUMBERVALUE(C222,".",","),0)))</f>
        <v/>
      </c>
    </row>
    <row r="223">
      <c r="K223">
        <f>IF(OR(LEFT(B223,9)="DOANH THU",LEFT(B223,8)="SỐ LƯỢNG"),A223,IF(A223="","",K222))</f>
        <v/>
      </c>
      <c r="L223">
        <f>IF(A223="","",IF(ISNUMBER(--LEFT(A223,FIND(" - ",A223&amp;" - ")-1)),LEFT(A223,FIND(" - ",A223&amp;" - ")-1),TRIM(A223)))</f>
        <v/>
      </c>
      <c r="M223">
        <f>IF(OR(K223="",K223=A223,A223=""),"",K223&amp;"|"&amp;L223)</f>
        <v/>
      </c>
      <c r="N223">
        <f>IF(M223="","",IF(ISNUMBER(B223),B223,IFERROR(_xlfn.NUMBERVALUE(B223,".",","),0)))</f>
        <v/>
      </c>
      <c r="O223">
        <f>IF(M223="","",IF(ISNUMBER(C223),C223,IFERROR(_xlfn.NUMBERVALUE(C223,".",","),0)))</f>
        <v/>
      </c>
    </row>
    <row r="224">
      <c r="K224">
        <f>IF(OR(LEFT(B224,9)="DOANH THU",LEFT(B224,8)="SỐ LƯỢNG"),A224,IF(A224="","",K223))</f>
        <v/>
      </c>
      <c r="L224">
        <f>IF(A224="","",IF(ISNUMBER(--LEFT(A224,FIND(" - ",A224&amp;" - ")-1)),LEFT(A224,FIND(" - ",A224&amp;" - ")-1),TRIM(A224)))</f>
        <v/>
      </c>
      <c r="M224">
        <f>IF(OR(K224="",K224=A224,A224=""),"",K224&amp;"|"&amp;L224)</f>
        <v/>
      </c>
      <c r="N224">
        <f>IF(M224="","",IF(ISNUMBER(B224),B224,IFERROR(_xlfn.NUMBERVALUE(B224,".",","),0)))</f>
        <v/>
      </c>
      <c r="O224">
        <f>IF(M224="","",IF(ISNUMBER(C224),C224,IFERROR(_xlfn.NUMBERVALUE(C224,".",","),0)))</f>
        <v/>
      </c>
    </row>
    <row r="225">
      <c r="K225">
        <f>IF(OR(LEFT(B225,9)="DOANH THU",LEFT(B225,8)="SỐ LƯỢNG"),A225,IF(A225="","",K224))</f>
        <v/>
      </c>
      <c r="L225">
        <f>IF(A225="","",IF(ISNUMBER(--LEFT(A225,FIND(" - ",A225&amp;" - ")-1)),LEFT(A225,FIND(" - ",A225&amp;" - ")-1),TRIM(A225)))</f>
        <v/>
      </c>
      <c r="M225">
        <f>IF(OR(K225="",K225=A225,A225=""),"",K225&amp;"|"&amp;L225)</f>
        <v/>
      </c>
      <c r="N225">
        <f>IF(M225="","",IF(ISNUMBER(B225),B225,IFERROR(_xlfn.NUMBERVALUE(B225,".",","),0)))</f>
        <v/>
      </c>
      <c r="O225">
        <f>IF(M225="","",IF(ISNUMBER(C225),C225,IFERROR(_xlfn.NUMBERVALUE(C225,".",","),0)))</f>
        <v/>
      </c>
    </row>
    <row r="226">
      <c r="K226">
        <f>IF(OR(LEFT(B226,9)="DOANH THU",LEFT(B226,8)="SỐ LƯỢNG"),A226,IF(A226="","",K225))</f>
        <v/>
      </c>
      <c r="L226">
        <f>IF(A226="","",IF(ISNUMBER(--LEFT(A226,FIND(" - ",A226&amp;" - ")-1)),LEFT(A226,FIND(" - ",A226&amp;" - ")-1),TRIM(A226)))</f>
        <v/>
      </c>
      <c r="M226">
        <f>IF(OR(K226="",K226=A226,A226=""),"",K226&amp;"|"&amp;L226)</f>
        <v/>
      </c>
      <c r="N226">
        <f>IF(M226="","",IF(ISNUMBER(B226),B226,IFERROR(_xlfn.NUMBERVALUE(B226,".",","),0)))</f>
        <v/>
      </c>
      <c r="O226">
        <f>IF(M226="","",IF(ISNUMBER(C226),C226,IFERROR(_xlfn.NUMBERVALUE(C226,".",","),0)))</f>
        <v/>
      </c>
    </row>
    <row r="227">
      <c r="K227">
        <f>IF(OR(LEFT(B227,9)="DOANH THU",LEFT(B227,8)="SỐ LƯỢNG"),A227,IF(A227="","",K226))</f>
        <v/>
      </c>
      <c r="L227">
        <f>IF(A227="","",IF(ISNUMBER(--LEFT(A227,FIND(" - ",A227&amp;" - ")-1)),LEFT(A227,FIND(" - ",A227&amp;" - ")-1),TRIM(A227)))</f>
        <v/>
      </c>
      <c r="M227">
        <f>IF(OR(K227="",K227=A227,A227=""),"",K227&amp;"|"&amp;L227)</f>
        <v/>
      </c>
      <c r="N227">
        <f>IF(M227="","",IF(ISNUMBER(B227),B227,IFERROR(_xlfn.NUMBERVALUE(B227,".",","),0)))</f>
        <v/>
      </c>
      <c r="O227">
        <f>IF(M227="","",IF(ISNUMBER(C227),C227,IFERROR(_xlfn.NUMBERVALUE(C227,".",","),0)))</f>
        <v/>
      </c>
    </row>
    <row r="228">
      <c r="K228">
        <f>IF(OR(LEFT(B228,9)="DOANH THU",LEFT(B228,8)="SỐ LƯỢNG"),A228,IF(A228="","",K227))</f>
        <v/>
      </c>
      <c r="L228">
        <f>IF(A228="","",IF(ISNUMBER(--LEFT(A228,FIND(" - ",A228&amp;" - ")-1)),LEFT(A228,FIND(" - ",A228&amp;" - ")-1),TRIM(A228)))</f>
        <v/>
      </c>
      <c r="M228">
        <f>IF(OR(K228="",K228=A228,A228=""),"",K228&amp;"|"&amp;L228)</f>
        <v/>
      </c>
      <c r="N228">
        <f>IF(M228="","",IF(ISNUMBER(B228),B228,IFERROR(_xlfn.NUMBERVALUE(B228,".",","),0)))</f>
        <v/>
      </c>
      <c r="O228">
        <f>IF(M228="","",IF(ISNUMBER(C228),C228,IFERROR(_xlfn.NUMBERVALUE(C228,".",","),0)))</f>
        <v/>
      </c>
    </row>
    <row r="229">
      <c r="K229">
        <f>IF(OR(LEFT(B229,9)="DOANH THU",LEFT(B229,8)="SỐ LƯỢNG"),A229,IF(A229="","",K228))</f>
        <v/>
      </c>
      <c r="L229">
        <f>IF(A229="","",IF(ISNUMBER(--LEFT(A229,FIND(" - ",A229&amp;" - ")-1)),LEFT(A229,FIND(" - ",A229&amp;" - ")-1),TRIM(A229)))</f>
        <v/>
      </c>
      <c r="M229">
        <f>IF(OR(K229="",K229=A229,A229=""),"",K229&amp;"|"&amp;L229)</f>
        <v/>
      </c>
      <c r="N229">
        <f>IF(M229="","",IF(ISNUMBER(B229),B229,IFERROR(_xlfn.NUMBERVALUE(B229,".",","),0)))</f>
        <v/>
      </c>
      <c r="O229">
        <f>IF(M229="","",IF(ISNUMBER(C229),C229,IFERROR(_xlfn.NUMBERVALUE(C229,".",","),0)))</f>
        <v/>
      </c>
    </row>
    <row r="230">
      <c r="K230">
        <f>IF(OR(LEFT(B230,9)="DOANH THU",LEFT(B230,8)="SỐ LƯỢNG"),A230,IF(A230="","",K229))</f>
        <v/>
      </c>
      <c r="L230">
        <f>IF(A230="","",IF(ISNUMBER(--LEFT(A230,FIND(" - ",A230&amp;" - ")-1)),LEFT(A230,FIND(" - ",A230&amp;" - ")-1),TRIM(A230)))</f>
        <v/>
      </c>
      <c r="M230">
        <f>IF(OR(K230="",K230=A230,A230=""),"",K230&amp;"|"&amp;L230)</f>
        <v/>
      </c>
      <c r="N230">
        <f>IF(M230="","",IF(ISNUMBER(B230),B230,IFERROR(_xlfn.NUMBERVALUE(B230,".",","),0)))</f>
        <v/>
      </c>
      <c r="O230">
        <f>IF(M230="","",IF(ISNUMBER(C230),C230,IFERROR(_xlfn.NUMBERVALUE(C230,".",","),0)))</f>
        <v/>
      </c>
    </row>
    <row r="231">
      <c r="K231">
        <f>IF(OR(LEFT(B231,9)="DOANH THU",LEFT(B231,8)="SỐ LƯỢNG"),A231,IF(A231="","",K230))</f>
        <v/>
      </c>
      <c r="L231">
        <f>IF(A231="","",IF(ISNUMBER(--LEFT(A231,FIND(" - ",A231&amp;" - ")-1)),LEFT(A231,FIND(" - ",A231&amp;" - ")-1),TRIM(A231)))</f>
        <v/>
      </c>
      <c r="M231">
        <f>IF(OR(K231="",K231=A231,A231=""),"",K231&amp;"|"&amp;L231)</f>
        <v/>
      </c>
      <c r="N231">
        <f>IF(M231="","",IF(ISNUMBER(B231),B231,IFERROR(_xlfn.NUMBERVALUE(B231,".",","),0)))</f>
        <v/>
      </c>
      <c r="O231">
        <f>IF(M231="","",IF(ISNUMBER(C231),C231,IFERROR(_xlfn.NUMBERVALUE(C231,".",","),0)))</f>
        <v/>
      </c>
    </row>
    <row r="232">
      <c r="K232">
        <f>IF(OR(LEFT(B232,9)="DOANH THU",LEFT(B232,8)="SỐ LƯỢNG"),A232,IF(A232="","",K231))</f>
        <v/>
      </c>
      <c r="L232">
        <f>IF(A232="","",IF(ISNUMBER(--LEFT(A232,FIND(" - ",A232&amp;" - ")-1)),LEFT(A232,FIND(" - ",A232&amp;" - ")-1),TRIM(A232)))</f>
        <v/>
      </c>
      <c r="M232">
        <f>IF(OR(K232="",K232=A232,A232=""),"",K232&amp;"|"&amp;L232)</f>
        <v/>
      </c>
      <c r="N232">
        <f>IF(M232="","",IF(ISNUMBER(B232),B232,IFERROR(_xlfn.NUMBERVALUE(B232,".",","),0)))</f>
        <v/>
      </c>
      <c r="O232">
        <f>IF(M232="","",IF(ISNUMBER(C232),C232,IFERROR(_xlfn.NUMBERVALUE(C232,".",","),0)))</f>
        <v/>
      </c>
    </row>
    <row r="233">
      <c r="K233">
        <f>IF(OR(LEFT(B233,9)="DOANH THU",LEFT(B233,8)="SỐ LƯỢNG"),A233,IF(A233="","",K232))</f>
        <v/>
      </c>
      <c r="L233">
        <f>IF(A233="","",IF(ISNUMBER(--LEFT(A233,FIND(" - ",A233&amp;" - ")-1)),LEFT(A233,FIND(" - ",A233&amp;" - ")-1),TRIM(A233)))</f>
        <v/>
      </c>
      <c r="M233">
        <f>IF(OR(K233="",K233=A233,A233=""),"",K233&amp;"|"&amp;L233)</f>
        <v/>
      </c>
      <c r="N233">
        <f>IF(M233="","",IF(ISNUMBER(B233),B233,IFERROR(_xlfn.NUMBERVALUE(B233,".",","),0)))</f>
        <v/>
      </c>
      <c r="O233">
        <f>IF(M233="","",IF(ISNUMBER(C233),C233,IFERROR(_xlfn.NUMBERVALUE(C233,".",","),0)))</f>
        <v/>
      </c>
    </row>
    <row r="234">
      <c r="K234">
        <f>IF(OR(LEFT(B234,9)="DOANH THU",LEFT(B234,8)="SỐ LƯỢNG"),A234,IF(A234="","",K233))</f>
        <v/>
      </c>
      <c r="L234">
        <f>IF(A234="","",IF(ISNUMBER(--LEFT(A234,FIND(" - ",A234&amp;" - ")-1)),LEFT(A234,FIND(" - ",A234&amp;" - ")-1),TRIM(A234)))</f>
        <v/>
      </c>
      <c r="M234">
        <f>IF(OR(K234="",K234=A234,A234=""),"",K234&amp;"|"&amp;L234)</f>
        <v/>
      </c>
      <c r="N234">
        <f>IF(M234="","",IF(ISNUMBER(B234),B234,IFERROR(_xlfn.NUMBERVALUE(B234,".",","),0)))</f>
        <v/>
      </c>
      <c r="O234">
        <f>IF(M234="","",IF(ISNUMBER(C234),C234,IFERROR(_xlfn.NUMBERVALUE(C234,".",","),0)))</f>
        <v/>
      </c>
    </row>
    <row r="235">
      <c r="K235">
        <f>IF(OR(LEFT(B235,9)="DOANH THU",LEFT(B235,8)="SỐ LƯỢNG"),A235,IF(A235="","",K234))</f>
        <v/>
      </c>
      <c r="L235">
        <f>IF(A235="","",IF(ISNUMBER(--LEFT(A235,FIND(" - ",A235&amp;" - ")-1)),LEFT(A235,FIND(" - ",A235&amp;" - ")-1),TRIM(A235)))</f>
        <v/>
      </c>
      <c r="M235">
        <f>IF(OR(K235="",K235=A235,A235=""),"",K235&amp;"|"&amp;L235)</f>
        <v/>
      </c>
      <c r="N235">
        <f>IF(M235="","",IF(ISNUMBER(B235),B235,IFERROR(_xlfn.NUMBERVALUE(B235,".",","),0)))</f>
        <v/>
      </c>
      <c r="O235">
        <f>IF(M235="","",IF(ISNUMBER(C235),C235,IFERROR(_xlfn.NUMBERVALUE(C235,".",","),0)))</f>
        <v/>
      </c>
    </row>
    <row r="236">
      <c r="K236">
        <f>IF(OR(LEFT(B236,9)="DOANH THU",LEFT(B236,8)="SỐ LƯỢNG"),A236,IF(A236="","",K235))</f>
        <v/>
      </c>
      <c r="L236">
        <f>IF(A236="","",IF(ISNUMBER(--LEFT(A236,FIND(" - ",A236&amp;" - ")-1)),LEFT(A236,FIND(" - ",A236&amp;" - ")-1),TRIM(A236)))</f>
        <v/>
      </c>
      <c r="M236">
        <f>IF(OR(K236="",K236=A236,A236=""),"",K236&amp;"|"&amp;L236)</f>
        <v/>
      </c>
      <c r="N236">
        <f>IF(M236="","",IF(ISNUMBER(B236),B236,IFERROR(_xlfn.NUMBERVALUE(B236,".",","),0)))</f>
        <v/>
      </c>
      <c r="O236">
        <f>IF(M236="","",IF(ISNUMBER(C236),C236,IFERROR(_xlfn.NUMBERVALUE(C236,".",","),0)))</f>
        <v/>
      </c>
    </row>
    <row r="237">
      <c r="K237">
        <f>IF(OR(LEFT(B237,9)="DOANH THU",LEFT(B237,8)="SỐ LƯỢNG"),A237,IF(A237="","",K236))</f>
        <v/>
      </c>
      <c r="L237">
        <f>IF(A237="","",IF(ISNUMBER(--LEFT(A237,FIND(" - ",A237&amp;" - ")-1)),LEFT(A237,FIND(" - ",A237&amp;" - ")-1),TRIM(A237)))</f>
        <v/>
      </c>
      <c r="M237">
        <f>IF(OR(K237="",K237=A237,A237=""),"",K237&amp;"|"&amp;L237)</f>
        <v/>
      </c>
      <c r="N237">
        <f>IF(M237="","",IF(ISNUMBER(B237),B237,IFERROR(_xlfn.NUMBERVALUE(B237,".",","),0)))</f>
        <v/>
      </c>
      <c r="O237">
        <f>IF(M237="","",IF(ISNUMBER(C237),C237,IFERROR(_xlfn.NUMBERVALUE(C237,".",","),0)))</f>
        <v/>
      </c>
    </row>
    <row r="238">
      <c r="K238">
        <f>IF(OR(LEFT(B238,9)="DOANH THU",LEFT(B238,8)="SỐ LƯỢNG"),A238,IF(A238="","",K237))</f>
        <v/>
      </c>
      <c r="L238">
        <f>IF(A238="","",IF(ISNUMBER(--LEFT(A238,FIND(" - ",A238&amp;" - ")-1)),LEFT(A238,FIND(" - ",A238&amp;" - ")-1),TRIM(A238)))</f>
        <v/>
      </c>
      <c r="M238">
        <f>IF(OR(K238="",K238=A238,A238=""),"",K238&amp;"|"&amp;L238)</f>
        <v/>
      </c>
      <c r="N238">
        <f>IF(M238="","",IF(ISNUMBER(B238),B238,IFERROR(_xlfn.NUMBERVALUE(B238,".",","),0)))</f>
        <v/>
      </c>
      <c r="O238">
        <f>IF(M238="","",IF(ISNUMBER(C238),C238,IFERROR(_xlfn.NUMBERVALUE(C238,".",","),0)))</f>
        <v/>
      </c>
    </row>
    <row r="239">
      <c r="K239">
        <f>IF(OR(LEFT(B239,9)="DOANH THU",LEFT(B239,8)="SỐ LƯỢNG"),A239,IF(A239="","",K238))</f>
        <v/>
      </c>
      <c r="L239">
        <f>IF(A239="","",IF(ISNUMBER(--LEFT(A239,FIND(" - ",A239&amp;" - ")-1)),LEFT(A239,FIND(" - ",A239&amp;" - ")-1),TRIM(A239)))</f>
        <v/>
      </c>
      <c r="M239">
        <f>IF(OR(K239="",K239=A239,A239=""),"",K239&amp;"|"&amp;L239)</f>
        <v/>
      </c>
      <c r="N239">
        <f>IF(M239="","",IF(ISNUMBER(B239),B239,IFERROR(_xlfn.NUMBERVALUE(B239,".",","),0)))</f>
        <v/>
      </c>
      <c r="O239">
        <f>IF(M239="","",IF(ISNUMBER(C239),C239,IFERROR(_xlfn.NUMBERVALUE(C239,".",","),0)))</f>
        <v/>
      </c>
    </row>
    <row r="240">
      <c r="K240">
        <f>IF(OR(LEFT(B240,9)="DOANH THU",LEFT(B240,8)="SỐ LƯỢNG"),A240,IF(A240="","",K239))</f>
        <v/>
      </c>
      <c r="L240">
        <f>IF(A240="","",IF(ISNUMBER(--LEFT(A240,FIND(" - ",A240&amp;" - ")-1)),LEFT(A240,FIND(" - ",A240&amp;" - ")-1),TRIM(A240)))</f>
        <v/>
      </c>
      <c r="M240">
        <f>IF(OR(K240="",K240=A240,A240=""),"",K240&amp;"|"&amp;L240)</f>
        <v/>
      </c>
      <c r="N240">
        <f>IF(M240="","",IF(ISNUMBER(B240),B240,IFERROR(_xlfn.NUMBERVALUE(B240,".",","),0)))</f>
        <v/>
      </c>
      <c r="O240">
        <f>IF(M240="","",IF(ISNUMBER(C240),C240,IFERROR(_xlfn.NUMBERVALUE(C240,".",","),0)))</f>
        <v/>
      </c>
    </row>
    <row r="241">
      <c r="K241">
        <f>IF(OR(LEFT(B241,9)="DOANH THU",LEFT(B241,8)="SỐ LƯỢNG"),A241,IF(A241="","",K240))</f>
        <v/>
      </c>
      <c r="L241">
        <f>IF(A241="","",IF(ISNUMBER(--LEFT(A241,FIND(" - ",A241&amp;" - ")-1)),LEFT(A241,FIND(" - ",A241&amp;" - ")-1),TRIM(A241)))</f>
        <v/>
      </c>
      <c r="M241">
        <f>IF(OR(K241="",K241=A241,A241=""),"",K241&amp;"|"&amp;L241)</f>
        <v/>
      </c>
      <c r="N241">
        <f>IF(M241="","",IF(ISNUMBER(B241),B241,IFERROR(_xlfn.NUMBERVALUE(B241,".",","),0)))</f>
        <v/>
      </c>
      <c r="O241">
        <f>IF(M241="","",IF(ISNUMBER(C241),C241,IFERROR(_xlfn.NUMBERVALUE(C241,".",","),0)))</f>
        <v/>
      </c>
    </row>
    <row r="242">
      <c r="K242">
        <f>IF(OR(LEFT(B242,9)="DOANH THU",LEFT(B242,8)="SỐ LƯỢNG"),A242,IF(A242="","",K241))</f>
        <v/>
      </c>
      <c r="L242">
        <f>IF(A242="","",IF(ISNUMBER(--LEFT(A242,FIND(" - ",A242&amp;" - ")-1)),LEFT(A242,FIND(" - ",A242&amp;" - ")-1),TRIM(A242)))</f>
        <v/>
      </c>
      <c r="M242">
        <f>IF(OR(K242="",K242=A242,A242=""),"",K242&amp;"|"&amp;L242)</f>
        <v/>
      </c>
      <c r="N242">
        <f>IF(M242="","",IF(ISNUMBER(B242),B242,IFERROR(_xlfn.NUMBERVALUE(B242,".",","),0)))</f>
        <v/>
      </c>
      <c r="O242">
        <f>IF(M242="","",IF(ISNUMBER(C242),C242,IFERROR(_xlfn.NUMBERVALUE(C242,".",","),0)))</f>
        <v/>
      </c>
    </row>
    <row r="243">
      <c r="K243">
        <f>IF(OR(LEFT(B243,9)="DOANH THU",LEFT(B243,8)="SỐ LƯỢNG"),A243,IF(A243="","",K242))</f>
        <v/>
      </c>
      <c r="L243">
        <f>IF(A243="","",IF(ISNUMBER(--LEFT(A243,FIND(" - ",A243&amp;" - ")-1)),LEFT(A243,FIND(" - ",A243&amp;" - ")-1),TRIM(A243)))</f>
        <v/>
      </c>
      <c r="M243">
        <f>IF(OR(K243="",K243=A243,A243=""),"",K243&amp;"|"&amp;L243)</f>
        <v/>
      </c>
      <c r="N243">
        <f>IF(M243="","",IF(ISNUMBER(B243),B243,IFERROR(_xlfn.NUMBERVALUE(B243,".",","),0)))</f>
        <v/>
      </c>
      <c r="O243">
        <f>IF(M243="","",IF(ISNUMBER(C243),C243,IFERROR(_xlfn.NUMBERVALUE(C243,".",","),0)))</f>
        <v/>
      </c>
    </row>
    <row r="244">
      <c r="K244">
        <f>IF(OR(LEFT(B244,9)="DOANH THU",LEFT(B244,8)="SỐ LƯỢNG"),A244,IF(A244="","",K243))</f>
        <v/>
      </c>
      <c r="L244">
        <f>IF(A244="","",IF(ISNUMBER(--LEFT(A244,FIND(" - ",A244&amp;" - ")-1)),LEFT(A244,FIND(" - ",A244&amp;" - ")-1),TRIM(A244)))</f>
        <v/>
      </c>
      <c r="M244">
        <f>IF(OR(K244="",K244=A244,A244=""),"",K244&amp;"|"&amp;L244)</f>
        <v/>
      </c>
      <c r="N244">
        <f>IF(M244="","",IF(ISNUMBER(B244),B244,IFERROR(_xlfn.NUMBERVALUE(B244,".",","),0)))</f>
        <v/>
      </c>
      <c r="O244">
        <f>IF(M244="","",IF(ISNUMBER(C244),C244,IFERROR(_xlfn.NUMBERVALUE(C244,".",","),0)))</f>
        <v/>
      </c>
    </row>
    <row r="245">
      <c r="K245">
        <f>IF(OR(LEFT(B245,9)="DOANH THU",LEFT(B245,8)="SỐ LƯỢNG"),A245,IF(A245="","",K244))</f>
        <v/>
      </c>
      <c r="L245">
        <f>IF(A245="","",IF(ISNUMBER(--LEFT(A245,FIND(" - ",A245&amp;" - ")-1)),LEFT(A245,FIND(" - ",A245&amp;" - ")-1),TRIM(A245)))</f>
        <v/>
      </c>
      <c r="M245">
        <f>IF(OR(K245="",K245=A245,A245=""),"",K245&amp;"|"&amp;L245)</f>
        <v/>
      </c>
      <c r="N245">
        <f>IF(M245="","",IF(ISNUMBER(B245),B245,IFERROR(_xlfn.NUMBERVALUE(B245,".",","),0)))</f>
        <v/>
      </c>
      <c r="O245">
        <f>IF(M245="","",IF(ISNUMBER(C245),C245,IFERROR(_xlfn.NUMBERVALUE(C245,".",","),0)))</f>
        <v/>
      </c>
    </row>
    <row r="246">
      <c r="K246">
        <f>IF(OR(LEFT(B246,9)="DOANH THU",LEFT(B246,8)="SỐ LƯỢNG"),A246,IF(A246="","",K245))</f>
        <v/>
      </c>
      <c r="L246">
        <f>IF(A246="","",IF(ISNUMBER(--LEFT(A246,FIND(" - ",A246&amp;" - ")-1)),LEFT(A246,FIND(" - ",A246&amp;" - ")-1),TRIM(A246)))</f>
        <v/>
      </c>
      <c r="M246">
        <f>IF(OR(K246="",K246=A246,A246=""),"",K246&amp;"|"&amp;L246)</f>
        <v/>
      </c>
      <c r="N246">
        <f>IF(M246="","",IF(ISNUMBER(B246),B246,IFERROR(_xlfn.NUMBERVALUE(B246,".",","),0)))</f>
        <v/>
      </c>
      <c r="O246">
        <f>IF(M246="","",IF(ISNUMBER(C246),C246,IFERROR(_xlfn.NUMBERVALUE(C246,".",","),0)))</f>
        <v/>
      </c>
    </row>
    <row r="247">
      <c r="K247">
        <f>IF(OR(LEFT(B247,9)="DOANH THU",LEFT(B247,8)="SỐ LƯỢNG"),A247,IF(A247="","",K246))</f>
        <v/>
      </c>
      <c r="L247">
        <f>IF(A247="","",IF(ISNUMBER(--LEFT(A247,FIND(" - ",A247&amp;" - ")-1)),LEFT(A247,FIND(" - ",A247&amp;" - ")-1),TRIM(A247)))</f>
        <v/>
      </c>
      <c r="M247">
        <f>IF(OR(K247="",K247=A247,A247=""),"",K247&amp;"|"&amp;L247)</f>
        <v/>
      </c>
      <c r="N247">
        <f>IF(M247="","",IF(ISNUMBER(B247),B247,IFERROR(_xlfn.NUMBERVALUE(B247,".",","),0)))</f>
        <v/>
      </c>
      <c r="O247">
        <f>IF(M247="","",IF(ISNUMBER(C247),C247,IFERROR(_xlfn.NUMBERVALUE(C247,".",","),0)))</f>
        <v/>
      </c>
    </row>
    <row r="248">
      <c r="K248">
        <f>IF(OR(LEFT(B248,9)="DOANH THU",LEFT(B248,8)="SỐ LƯỢNG"),A248,IF(A248="","",K247))</f>
        <v/>
      </c>
      <c r="L248">
        <f>IF(A248="","",IF(ISNUMBER(--LEFT(A248,FIND(" - ",A248&amp;" - ")-1)),LEFT(A248,FIND(" - ",A248&amp;" - ")-1),TRIM(A248)))</f>
        <v/>
      </c>
      <c r="M248">
        <f>IF(OR(K248="",K248=A248,A248=""),"",K248&amp;"|"&amp;L248)</f>
        <v/>
      </c>
      <c r="N248">
        <f>IF(M248="","",IF(ISNUMBER(B248),B248,IFERROR(_xlfn.NUMBERVALUE(B248,".",","),0)))</f>
        <v/>
      </c>
      <c r="O248">
        <f>IF(M248="","",IF(ISNUMBER(C248),C248,IFERROR(_xlfn.NUMBERVALUE(C248,".",","),0)))</f>
        <v/>
      </c>
    </row>
    <row r="249">
      <c r="K249">
        <f>IF(OR(LEFT(B249,9)="DOANH THU",LEFT(B249,8)="SỐ LƯỢNG"),A249,IF(A249="","",K248))</f>
        <v/>
      </c>
      <c r="L249">
        <f>IF(A249="","",IF(ISNUMBER(--LEFT(A249,FIND(" - ",A249&amp;" - ")-1)),LEFT(A249,FIND(" - ",A249&amp;" - ")-1),TRIM(A249)))</f>
        <v/>
      </c>
      <c r="M249">
        <f>IF(OR(K249="",K249=A249,A249=""),"",K249&amp;"|"&amp;L249)</f>
        <v/>
      </c>
      <c r="N249">
        <f>IF(M249="","",IF(ISNUMBER(B249),B249,IFERROR(_xlfn.NUMBERVALUE(B249,".",","),0)))</f>
        <v/>
      </c>
      <c r="O249">
        <f>IF(M249="","",IF(ISNUMBER(C249),C249,IFERROR(_xlfn.NUMBERVALUE(C249,".",","),0)))</f>
        <v/>
      </c>
    </row>
    <row r="250">
      <c r="K250">
        <f>IF(OR(LEFT(B250,9)="DOANH THU",LEFT(B250,8)="SỐ LƯỢNG"),A250,IF(A250="","",K249))</f>
        <v/>
      </c>
      <c r="L250">
        <f>IF(A250="","",IF(ISNUMBER(--LEFT(A250,FIND(" - ",A250&amp;" - ")-1)),LEFT(A250,FIND(" - ",A250&amp;" - ")-1),TRIM(A250)))</f>
        <v/>
      </c>
      <c r="M250">
        <f>IF(OR(K250="",K250=A250,A250=""),"",K250&amp;"|"&amp;L250)</f>
        <v/>
      </c>
      <c r="N250">
        <f>IF(M250="","",IF(ISNUMBER(B250),B250,IFERROR(_xlfn.NUMBERVALUE(B250,".",","),0)))</f>
        <v/>
      </c>
      <c r="O250">
        <f>IF(M250="","",IF(ISNUMBER(C250),C250,IFERROR(_xlfn.NUMBERVALUE(C250,".",","),0)))</f>
        <v/>
      </c>
    </row>
    <row r="251">
      <c r="K251">
        <f>IF(OR(LEFT(B251,9)="DOANH THU",LEFT(B251,8)="SỐ LƯỢNG"),A251,IF(A251="","",K250))</f>
        <v/>
      </c>
      <c r="L251">
        <f>IF(A251="","",IF(ISNUMBER(--LEFT(A251,FIND(" - ",A251&amp;" - ")-1)),LEFT(A251,FIND(" - ",A251&amp;" - ")-1),TRIM(A251)))</f>
        <v/>
      </c>
      <c r="M251">
        <f>IF(OR(K251="",K251=A251,A251=""),"",K251&amp;"|"&amp;L251)</f>
        <v/>
      </c>
      <c r="N251">
        <f>IF(M251="","",IF(ISNUMBER(B251),B251,IFERROR(_xlfn.NUMBERVALUE(B251,".",","),0)))</f>
        <v/>
      </c>
      <c r="O251">
        <f>IF(M251="","",IF(ISNUMBER(C251),C251,IFERROR(_xlfn.NUMBERVALUE(C251,".",","),0)))</f>
        <v/>
      </c>
    </row>
    <row r="252">
      <c r="K252">
        <f>IF(OR(LEFT(B252,9)="DOANH THU",LEFT(B252,8)="SỐ LƯỢNG"),A252,IF(A252="","",K251))</f>
        <v/>
      </c>
      <c r="L252">
        <f>IF(A252="","",IF(ISNUMBER(--LEFT(A252,FIND(" - ",A252&amp;" - ")-1)),LEFT(A252,FIND(" - ",A252&amp;" - ")-1),TRIM(A252)))</f>
        <v/>
      </c>
      <c r="M252">
        <f>IF(OR(K252="",K252=A252,A252=""),"",K252&amp;"|"&amp;L252)</f>
        <v/>
      </c>
      <c r="N252">
        <f>IF(M252="","",IF(ISNUMBER(B252),B252,IFERROR(_xlfn.NUMBERVALUE(B252,".",","),0)))</f>
        <v/>
      </c>
      <c r="O252">
        <f>IF(M252="","",IF(ISNUMBER(C252),C252,IFERROR(_xlfn.NUMBERVALUE(C252,".",","),0)))</f>
        <v/>
      </c>
    </row>
    <row r="253">
      <c r="K253">
        <f>IF(OR(LEFT(B253,9)="DOANH THU",LEFT(B253,8)="SỐ LƯỢNG"),A253,IF(A253="","",K252))</f>
        <v/>
      </c>
      <c r="L253">
        <f>IF(A253="","",IF(ISNUMBER(--LEFT(A253,FIND(" - ",A253&amp;" - ")-1)),LEFT(A253,FIND(" - ",A253&amp;" - ")-1),TRIM(A253)))</f>
        <v/>
      </c>
      <c r="M253">
        <f>IF(OR(K253="",K253=A253,A253=""),"",K253&amp;"|"&amp;L253)</f>
        <v/>
      </c>
      <c r="N253">
        <f>IF(M253="","",IF(ISNUMBER(B253),B253,IFERROR(_xlfn.NUMBERVALUE(B253,".",","),0)))</f>
        <v/>
      </c>
      <c r="O253">
        <f>IF(M253="","",IF(ISNUMBER(C253),C253,IFERROR(_xlfn.NUMBERVALUE(C253,".",","),0)))</f>
        <v/>
      </c>
    </row>
    <row r="254">
      <c r="K254">
        <f>IF(OR(LEFT(B254,9)="DOANH THU",LEFT(B254,8)="SỐ LƯỢNG"),A254,IF(A254="","",K253))</f>
        <v/>
      </c>
      <c r="L254">
        <f>IF(A254="","",IF(ISNUMBER(--LEFT(A254,FIND(" - ",A254&amp;" - ")-1)),LEFT(A254,FIND(" - ",A254&amp;" - ")-1),TRIM(A254)))</f>
        <v/>
      </c>
      <c r="M254">
        <f>IF(OR(K254="",K254=A254,A254=""),"",K254&amp;"|"&amp;L254)</f>
        <v/>
      </c>
      <c r="N254">
        <f>IF(M254="","",IF(ISNUMBER(B254),B254,IFERROR(_xlfn.NUMBERVALUE(B254,".",","),0)))</f>
        <v/>
      </c>
      <c r="O254">
        <f>IF(M254="","",IF(ISNUMBER(C254),C254,IFERROR(_xlfn.NUMBERVALUE(C254,".",","),0)))</f>
        <v/>
      </c>
    </row>
    <row r="255">
      <c r="K255">
        <f>IF(OR(LEFT(B255,9)="DOANH THU",LEFT(B255,8)="SỐ LƯỢNG"),A255,IF(A255="","",K254))</f>
        <v/>
      </c>
      <c r="L255">
        <f>IF(A255="","",IF(ISNUMBER(--LEFT(A255,FIND(" - ",A255&amp;" - ")-1)),LEFT(A255,FIND(" - ",A255&amp;" - ")-1),TRIM(A255)))</f>
        <v/>
      </c>
      <c r="M255">
        <f>IF(OR(K255="",K255=A255,A255=""),"",K255&amp;"|"&amp;L255)</f>
        <v/>
      </c>
      <c r="N255">
        <f>IF(M255="","",IF(ISNUMBER(B255),B255,IFERROR(_xlfn.NUMBERVALUE(B255,".",","),0)))</f>
        <v/>
      </c>
      <c r="O255">
        <f>IF(M255="","",IF(ISNUMBER(C255),C255,IFERROR(_xlfn.NUMBERVALUE(C255,".",","),0)))</f>
        <v/>
      </c>
    </row>
    <row r="256">
      <c r="K256">
        <f>IF(OR(LEFT(B256,9)="DOANH THU",LEFT(B256,8)="SỐ LƯỢNG"),A256,IF(A256="","",K255))</f>
        <v/>
      </c>
      <c r="L256">
        <f>IF(A256="","",IF(ISNUMBER(--LEFT(A256,FIND(" - ",A256&amp;" - ")-1)),LEFT(A256,FIND(" - ",A256&amp;" - ")-1),TRIM(A256)))</f>
        <v/>
      </c>
      <c r="M256">
        <f>IF(OR(K256="",K256=A256,A256=""),"",K256&amp;"|"&amp;L256)</f>
        <v/>
      </c>
      <c r="N256">
        <f>IF(M256="","",IF(ISNUMBER(B256),B256,IFERROR(_xlfn.NUMBERVALUE(B256,".",","),0)))</f>
        <v/>
      </c>
      <c r="O256">
        <f>IF(M256="","",IF(ISNUMBER(C256),C256,IFERROR(_xlfn.NUMBERVALUE(C256,".",","),0)))</f>
        <v/>
      </c>
    </row>
    <row r="257">
      <c r="K257">
        <f>IF(OR(LEFT(B257,9)="DOANH THU",LEFT(B257,8)="SỐ LƯỢNG"),A257,IF(A257="","",K256))</f>
        <v/>
      </c>
      <c r="L257">
        <f>IF(A257="","",IF(ISNUMBER(--LEFT(A257,FIND(" - ",A257&amp;" - ")-1)),LEFT(A257,FIND(" - ",A257&amp;" - ")-1),TRIM(A257)))</f>
        <v/>
      </c>
      <c r="M257">
        <f>IF(OR(K257="",K257=A257,A257=""),"",K257&amp;"|"&amp;L257)</f>
        <v/>
      </c>
      <c r="N257">
        <f>IF(M257="","",IF(ISNUMBER(B257),B257,IFERROR(_xlfn.NUMBERVALUE(B257,".",","),0)))</f>
        <v/>
      </c>
      <c r="O257">
        <f>IF(M257="","",IF(ISNUMBER(C257),C257,IFERROR(_xlfn.NUMBERVALUE(C257,".",","),0)))</f>
        <v/>
      </c>
    </row>
    <row r="258">
      <c r="K258">
        <f>IF(OR(LEFT(B258,9)="DOANH THU",LEFT(B258,8)="SỐ LƯỢNG"),A258,IF(A258="","",K257))</f>
        <v/>
      </c>
      <c r="L258">
        <f>IF(A258="","",IF(ISNUMBER(--LEFT(A258,FIND(" - ",A258&amp;" - ")-1)),LEFT(A258,FIND(" - ",A258&amp;" - ")-1),TRIM(A258)))</f>
        <v/>
      </c>
      <c r="M258">
        <f>IF(OR(K258="",K258=A258,A258=""),"",K258&amp;"|"&amp;L258)</f>
        <v/>
      </c>
      <c r="N258">
        <f>IF(M258="","",IF(ISNUMBER(B258),B258,IFERROR(_xlfn.NUMBERVALUE(B258,".",","),0)))</f>
        <v/>
      </c>
      <c r="O258">
        <f>IF(M258="","",IF(ISNUMBER(C258),C258,IFERROR(_xlfn.NUMBERVALUE(C258,".",","),0)))</f>
        <v/>
      </c>
    </row>
    <row r="259">
      <c r="K259">
        <f>IF(OR(LEFT(B259,9)="DOANH THU",LEFT(B259,8)="SỐ LƯỢNG"),A259,IF(A259="","",K258))</f>
        <v/>
      </c>
      <c r="L259">
        <f>IF(A259="","",IF(ISNUMBER(--LEFT(A259,FIND(" - ",A259&amp;" - ")-1)),LEFT(A259,FIND(" - ",A259&amp;" - ")-1),TRIM(A259)))</f>
        <v/>
      </c>
      <c r="M259">
        <f>IF(OR(K259="",K259=A259,A259=""),"",K259&amp;"|"&amp;L259)</f>
        <v/>
      </c>
      <c r="N259">
        <f>IF(M259="","",IF(ISNUMBER(B259),B259,IFERROR(_xlfn.NUMBERVALUE(B259,".",","),0)))</f>
        <v/>
      </c>
      <c r="O259">
        <f>IF(M259="","",IF(ISNUMBER(C259),C259,IFERROR(_xlfn.NUMBERVALUE(C259,".",","),0)))</f>
        <v/>
      </c>
    </row>
    <row r="260">
      <c r="K260">
        <f>IF(OR(LEFT(B260,9)="DOANH THU",LEFT(B260,8)="SỐ LƯỢNG"),A260,IF(A260="","",K259))</f>
        <v/>
      </c>
      <c r="L260">
        <f>IF(A260="","",IF(ISNUMBER(--LEFT(A260,FIND(" - ",A260&amp;" - ")-1)),LEFT(A260,FIND(" - ",A260&amp;" - ")-1),TRIM(A260)))</f>
        <v/>
      </c>
      <c r="M260">
        <f>IF(OR(K260="",K260=A260,A260=""),"",K260&amp;"|"&amp;L260)</f>
        <v/>
      </c>
      <c r="N260">
        <f>IF(M260="","",IF(ISNUMBER(B260),B260,IFERROR(_xlfn.NUMBERVALUE(B260,".",","),0)))</f>
        <v/>
      </c>
      <c r="O260">
        <f>IF(M260="","",IF(ISNUMBER(C260),C260,IFERROR(_xlfn.NUMBERVALUE(C260,".",","),0)))</f>
        <v/>
      </c>
    </row>
    <row r="261">
      <c r="K261">
        <f>IF(OR(LEFT(B261,9)="DOANH THU",LEFT(B261,8)="SỐ LƯỢNG"),A261,IF(A261="","",K260))</f>
        <v/>
      </c>
      <c r="L261">
        <f>IF(A261="","",IF(ISNUMBER(--LEFT(A261,FIND(" - ",A261&amp;" - ")-1)),LEFT(A261,FIND(" - ",A261&amp;" - ")-1),TRIM(A261)))</f>
        <v/>
      </c>
      <c r="M261">
        <f>IF(OR(K261="",K261=A261,A261=""),"",K261&amp;"|"&amp;L261)</f>
        <v/>
      </c>
      <c r="N261">
        <f>IF(M261="","",IF(ISNUMBER(B261),B261,IFERROR(_xlfn.NUMBERVALUE(B261,".",","),0)))</f>
        <v/>
      </c>
      <c r="O261">
        <f>IF(M261="","",IF(ISNUMBER(C261),C261,IFERROR(_xlfn.NUMBERVALUE(C261,".",","),0)))</f>
        <v/>
      </c>
    </row>
    <row r="262">
      <c r="K262">
        <f>IF(OR(LEFT(B262,9)="DOANH THU",LEFT(B262,8)="SỐ LƯỢNG"),A262,IF(A262="","",K261))</f>
        <v/>
      </c>
      <c r="L262">
        <f>IF(A262="","",IF(ISNUMBER(--LEFT(A262,FIND(" - ",A262&amp;" - ")-1)),LEFT(A262,FIND(" - ",A262&amp;" - ")-1),TRIM(A262)))</f>
        <v/>
      </c>
      <c r="M262">
        <f>IF(OR(K262="",K262=A262,A262=""),"",K262&amp;"|"&amp;L262)</f>
        <v/>
      </c>
      <c r="N262">
        <f>IF(M262="","",IF(ISNUMBER(B262),B262,IFERROR(_xlfn.NUMBERVALUE(B262,".",","),0)))</f>
        <v/>
      </c>
      <c r="O262">
        <f>IF(M262="","",IF(ISNUMBER(C262),C262,IFERROR(_xlfn.NUMBERVALUE(C262,".",","),0)))</f>
        <v/>
      </c>
    </row>
    <row r="263">
      <c r="K263">
        <f>IF(OR(LEFT(B263,9)="DOANH THU",LEFT(B263,8)="SỐ LƯỢNG"),A263,IF(A263="","",K262))</f>
        <v/>
      </c>
      <c r="L263">
        <f>IF(A263="","",IF(ISNUMBER(--LEFT(A263,FIND(" - ",A263&amp;" - ")-1)),LEFT(A263,FIND(" - ",A263&amp;" - ")-1),TRIM(A263)))</f>
        <v/>
      </c>
      <c r="M263">
        <f>IF(OR(K263="",K263=A263,A263=""),"",K263&amp;"|"&amp;L263)</f>
        <v/>
      </c>
      <c r="N263">
        <f>IF(M263="","",IF(ISNUMBER(B263),B263,IFERROR(_xlfn.NUMBERVALUE(B263,".",","),0)))</f>
        <v/>
      </c>
      <c r="O263">
        <f>IF(M263="","",IF(ISNUMBER(C263),C263,IFERROR(_xlfn.NUMBERVALUE(C263,".",","),0)))</f>
        <v/>
      </c>
    </row>
    <row r="264">
      <c r="K264">
        <f>IF(OR(LEFT(B264,9)="DOANH THU",LEFT(B264,8)="SỐ LƯỢNG"),A264,IF(A264="","",K263))</f>
        <v/>
      </c>
      <c r="L264">
        <f>IF(A264="","",IF(ISNUMBER(--LEFT(A264,FIND(" - ",A264&amp;" - ")-1)),LEFT(A264,FIND(" - ",A264&amp;" - ")-1),TRIM(A264)))</f>
        <v/>
      </c>
      <c r="M264">
        <f>IF(OR(K264="",K264=A264,A264=""),"",K264&amp;"|"&amp;L264)</f>
        <v/>
      </c>
      <c r="N264">
        <f>IF(M264="","",IF(ISNUMBER(B264),B264,IFERROR(_xlfn.NUMBERVALUE(B264,".",","),0)))</f>
        <v/>
      </c>
      <c r="O264">
        <f>IF(M264="","",IF(ISNUMBER(C264),C264,IFERROR(_xlfn.NUMBERVALUE(C264,".",","),0)))</f>
        <v/>
      </c>
    </row>
    <row r="265">
      <c r="K265">
        <f>IF(OR(LEFT(B265,9)="DOANH THU",LEFT(B265,8)="SỐ LƯỢNG"),A265,IF(A265="","",K264))</f>
        <v/>
      </c>
      <c r="L265">
        <f>IF(A265="","",IF(ISNUMBER(--LEFT(A265,FIND(" - ",A265&amp;" - ")-1)),LEFT(A265,FIND(" - ",A265&amp;" - ")-1),TRIM(A265)))</f>
        <v/>
      </c>
      <c r="M265">
        <f>IF(OR(K265="",K265=A265,A265=""),"",K265&amp;"|"&amp;L265)</f>
        <v/>
      </c>
      <c r="N265">
        <f>IF(M265="","",IF(ISNUMBER(B265),B265,IFERROR(_xlfn.NUMBERVALUE(B265,".",","),0)))</f>
        <v/>
      </c>
      <c r="O265">
        <f>IF(M265="","",IF(ISNUMBER(C265),C265,IFERROR(_xlfn.NUMBERVALUE(C265,".",","),0)))</f>
        <v/>
      </c>
    </row>
    <row r="266">
      <c r="K266">
        <f>IF(OR(LEFT(B266,9)="DOANH THU",LEFT(B266,8)="SỐ LƯỢNG"),A266,IF(A266="","",K265))</f>
        <v/>
      </c>
      <c r="L266">
        <f>IF(A266="","",IF(ISNUMBER(--LEFT(A266,FIND(" - ",A266&amp;" - ")-1)),LEFT(A266,FIND(" - ",A266&amp;" - ")-1),TRIM(A266)))</f>
        <v/>
      </c>
      <c r="M266">
        <f>IF(OR(K266="",K266=A266,A266=""),"",K266&amp;"|"&amp;L266)</f>
        <v/>
      </c>
      <c r="N266">
        <f>IF(M266="","",IF(ISNUMBER(B266),B266,IFERROR(_xlfn.NUMBERVALUE(B266,".",","),0)))</f>
        <v/>
      </c>
      <c r="O266">
        <f>IF(M266="","",IF(ISNUMBER(C266),C266,IFERROR(_xlfn.NUMBERVALUE(C266,".",","),0)))</f>
        <v/>
      </c>
    </row>
    <row r="267">
      <c r="K267">
        <f>IF(OR(LEFT(B267,9)="DOANH THU",LEFT(B267,8)="SỐ LƯỢNG"),A267,IF(A267="","",K266))</f>
        <v/>
      </c>
      <c r="L267">
        <f>IF(A267="","",IF(ISNUMBER(--LEFT(A267,FIND(" - ",A267&amp;" - ")-1)),LEFT(A267,FIND(" - ",A267&amp;" - ")-1),TRIM(A267)))</f>
        <v/>
      </c>
      <c r="M267">
        <f>IF(OR(K267="",K267=A267,A267=""),"",K267&amp;"|"&amp;L267)</f>
        <v/>
      </c>
      <c r="N267">
        <f>IF(M267="","",IF(ISNUMBER(B267),B267,IFERROR(_xlfn.NUMBERVALUE(B267,".",","),0)))</f>
        <v/>
      </c>
      <c r="O267">
        <f>IF(M267="","",IF(ISNUMBER(C267),C267,IFERROR(_xlfn.NUMBERVALUE(C267,".",","),0)))</f>
        <v/>
      </c>
    </row>
    <row r="268">
      <c r="K268">
        <f>IF(OR(LEFT(B268,9)="DOANH THU",LEFT(B268,8)="SỐ LƯỢNG"),A268,IF(A268="","",K267))</f>
        <v/>
      </c>
      <c r="L268">
        <f>IF(A268="","",IF(ISNUMBER(--LEFT(A268,FIND(" - ",A268&amp;" - ")-1)),LEFT(A268,FIND(" - ",A268&amp;" - ")-1),TRIM(A268)))</f>
        <v/>
      </c>
      <c r="M268">
        <f>IF(OR(K268="",K268=A268,A268=""),"",K268&amp;"|"&amp;L268)</f>
        <v/>
      </c>
      <c r="N268">
        <f>IF(M268="","",IF(ISNUMBER(B268),B268,IFERROR(_xlfn.NUMBERVALUE(B268,".",","),0)))</f>
        <v/>
      </c>
      <c r="O268">
        <f>IF(M268="","",IF(ISNUMBER(C268),C268,IFERROR(_xlfn.NUMBERVALUE(C268,".",","),0)))</f>
        <v/>
      </c>
    </row>
    <row r="269">
      <c r="K269">
        <f>IF(OR(LEFT(B269,9)="DOANH THU",LEFT(B269,8)="SỐ LƯỢNG"),A269,IF(A269="","",K268))</f>
        <v/>
      </c>
      <c r="L269">
        <f>IF(A269="","",IF(ISNUMBER(--LEFT(A269,FIND(" - ",A269&amp;" - ")-1)),LEFT(A269,FIND(" - ",A269&amp;" - ")-1),TRIM(A269)))</f>
        <v/>
      </c>
      <c r="M269">
        <f>IF(OR(K269="",K269=A269,A269=""),"",K269&amp;"|"&amp;L269)</f>
        <v/>
      </c>
      <c r="N269">
        <f>IF(M269="","",IF(ISNUMBER(B269),B269,IFERROR(_xlfn.NUMBERVALUE(B269,".",","),0)))</f>
        <v/>
      </c>
      <c r="O269">
        <f>IF(M269="","",IF(ISNUMBER(C269),C269,IFERROR(_xlfn.NUMBERVALUE(C269,".",","),0)))</f>
        <v/>
      </c>
    </row>
    <row r="270">
      <c r="K270">
        <f>IF(OR(LEFT(B270,9)="DOANH THU",LEFT(B270,8)="SỐ LƯỢNG"),A270,IF(A270="","",K269))</f>
        <v/>
      </c>
      <c r="L270">
        <f>IF(A270="","",IF(ISNUMBER(--LEFT(A270,FIND(" - ",A270&amp;" - ")-1)),LEFT(A270,FIND(" - ",A270&amp;" - ")-1),TRIM(A270)))</f>
        <v/>
      </c>
      <c r="M270">
        <f>IF(OR(K270="",K270=A270,A270=""),"",K270&amp;"|"&amp;L270)</f>
        <v/>
      </c>
      <c r="N270">
        <f>IF(M270="","",IF(ISNUMBER(B270),B270,IFERROR(_xlfn.NUMBERVALUE(B270,".",","),0)))</f>
        <v/>
      </c>
      <c r="O270">
        <f>IF(M270="","",IF(ISNUMBER(C270),C270,IFERROR(_xlfn.NUMBERVALUE(C270,".",","),0)))</f>
        <v/>
      </c>
    </row>
    <row r="271">
      <c r="K271">
        <f>IF(OR(LEFT(B271,9)="DOANH THU",LEFT(B271,8)="SỐ LƯỢNG"),A271,IF(A271="","",K270))</f>
        <v/>
      </c>
      <c r="L271">
        <f>IF(A271="","",IF(ISNUMBER(--LEFT(A271,FIND(" - ",A271&amp;" - ")-1)),LEFT(A271,FIND(" - ",A271&amp;" - ")-1),TRIM(A271)))</f>
        <v/>
      </c>
      <c r="M271">
        <f>IF(OR(K271="",K271=A271,A271=""),"",K271&amp;"|"&amp;L271)</f>
        <v/>
      </c>
      <c r="N271">
        <f>IF(M271="","",IF(ISNUMBER(B271),B271,IFERROR(_xlfn.NUMBERVALUE(B271,".",","),0)))</f>
        <v/>
      </c>
      <c r="O271">
        <f>IF(M271="","",IF(ISNUMBER(C271),C271,IFERROR(_xlfn.NUMBERVALUE(C271,".",","),0)))</f>
        <v/>
      </c>
    </row>
    <row r="272">
      <c r="K272">
        <f>IF(OR(LEFT(B272,9)="DOANH THU",LEFT(B272,8)="SỐ LƯỢNG"),A272,IF(A272="","",K271))</f>
        <v/>
      </c>
      <c r="L272">
        <f>IF(A272="","",IF(ISNUMBER(--LEFT(A272,FIND(" - ",A272&amp;" - ")-1)),LEFT(A272,FIND(" - ",A272&amp;" - ")-1),TRIM(A272)))</f>
        <v/>
      </c>
      <c r="M272">
        <f>IF(OR(K272="",K272=A272,A272=""),"",K272&amp;"|"&amp;L272)</f>
        <v/>
      </c>
      <c r="N272">
        <f>IF(M272="","",IF(ISNUMBER(B272),B272,IFERROR(_xlfn.NUMBERVALUE(B272,".",","),0)))</f>
        <v/>
      </c>
      <c r="O272">
        <f>IF(M272="","",IF(ISNUMBER(C272),C272,IFERROR(_xlfn.NUMBERVALUE(C272,".",","),0)))</f>
        <v/>
      </c>
    </row>
    <row r="273">
      <c r="K273">
        <f>IF(OR(LEFT(B273,9)="DOANH THU",LEFT(B273,8)="SỐ LƯỢNG"),A273,IF(A273="","",K272))</f>
        <v/>
      </c>
      <c r="L273">
        <f>IF(A273="","",IF(ISNUMBER(--LEFT(A273,FIND(" - ",A273&amp;" - ")-1)),LEFT(A273,FIND(" - ",A273&amp;" - ")-1),TRIM(A273)))</f>
        <v/>
      </c>
      <c r="M273">
        <f>IF(OR(K273="",K273=A273,A273=""),"",K273&amp;"|"&amp;L273)</f>
        <v/>
      </c>
      <c r="N273">
        <f>IF(M273="","",IF(ISNUMBER(B273),B273,IFERROR(_xlfn.NUMBERVALUE(B273,".",","),0)))</f>
        <v/>
      </c>
      <c r="O273">
        <f>IF(M273="","",IF(ISNUMBER(C273),C273,IFERROR(_xlfn.NUMBERVALUE(C273,".",","),0)))</f>
        <v/>
      </c>
    </row>
    <row r="274">
      <c r="K274">
        <f>IF(OR(LEFT(B274,9)="DOANH THU",LEFT(B274,8)="SỐ LƯỢNG"),A274,IF(A274="","",K273))</f>
        <v/>
      </c>
      <c r="L274">
        <f>IF(A274="","",IF(ISNUMBER(--LEFT(A274,FIND(" - ",A274&amp;" - ")-1)),LEFT(A274,FIND(" - ",A274&amp;" - ")-1),TRIM(A274)))</f>
        <v/>
      </c>
      <c r="M274">
        <f>IF(OR(K274="",K274=A274,A274=""),"",K274&amp;"|"&amp;L274)</f>
        <v/>
      </c>
      <c r="N274">
        <f>IF(M274="","",IF(ISNUMBER(B274),B274,IFERROR(_xlfn.NUMBERVALUE(B274,".",","),0)))</f>
        <v/>
      </c>
      <c r="O274">
        <f>IF(M274="","",IF(ISNUMBER(C274),C274,IFERROR(_xlfn.NUMBERVALUE(C274,".",","),0)))</f>
        <v/>
      </c>
    </row>
    <row r="275">
      <c r="K275">
        <f>IF(OR(LEFT(B275,9)="DOANH THU",LEFT(B275,8)="SỐ LƯỢNG"),A275,IF(A275="","",K274))</f>
        <v/>
      </c>
      <c r="L275">
        <f>IF(A275="","",IF(ISNUMBER(--LEFT(A275,FIND(" - ",A275&amp;" - ")-1)),LEFT(A275,FIND(" - ",A275&amp;" - ")-1),TRIM(A275)))</f>
        <v/>
      </c>
      <c r="M275">
        <f>IF(OR(K275="",K275=A275,A275=""),"",K275&amp;"|"&amp;L275)</f>
        <v/>
      </c>
      <c r="N275">
        <f>IF(M275="","",IF(ISNUMBER(B275),B275,IFERROR(_xlfn.NUMBERVALUE(B275,".",","),0)))</f>
        <v/>
      </c>
      <c r="O275">
        <f>IF(M275="","",IF(ISNUMBER(C275),C275,IFERROR(_xlfn.NUMBERVALUE(C275,".",","),0)))</f>
        <v/>
      </c>
    </row>
    <row r="276">
      <c r="K276">
        <f>IF(OR(LEFT(B276,9)="DOANH THU",LEFT(B276,8)="SỐ LƯỢNG"),A276,IF(A276="","",K275))</f>
        <v/>
      </c>
      <c r="L276">
        <f>IF(A276="","",IF(ISNUMBER(--LEFT(A276,FIND(" - ",A276&amp;" - ")-1)),LEFT(A276,FIND(" - ",A276&amp;" - ")-1),TRIM(A276)))</f>
        <v/>
      </c>
      <c r="M276">
        <f>IF(OR(K276="",K276=A276,A276=""),"",K276&amp;"|"&amp;L276)</f>
        <v/>
      </c>
      <c r="N276">
        <f>IF(M276="","",IF(ISNUMBER(B276),B276,IFERROR(_xlfn.NUMBERVALUE(B276,".",","),0)))</f>
        <v/>
      </c>
      <c r="O276">
        <f>IF(M276="","",IF(ISNUMBER(C276),C276,IFERROR(_xlfn.NUMBERVALUE(C276,".",","),0)))</f>
        <v/>
      </c>
    </row>
    <row r="277">
      <c r="K277">
        <f>IF(OR(LEFT(B277,9)="DOANH THU",LEFT(B277,8)="SỐ LƯỢNG"),A277,IF(A277="","",K276))</f>
        <v/>
      </c>
      <c r="L277">
        <f>IF(A277="","",IF(ISNUMBER(--LEFT(A277,FIND(" - ",A277&amp;" - ")-1)),LEFT(A277,FIND(" - ",A277&amp;" - ")-1),TRIM(A277)))</f>
        <v/>
      </c>
      <c r="M277">
        <f>IF(OR(K277="",K277=A277,A277=""),"",K277&amp;"|"&amp;L277)</f>
        <v/>
      </c>
      <c r="N277">
        <f>IF(M277="","",IF(ISNUMBER(B277),B277,IFERROR(_xlfn.NUMBERVALUE(B277,".",","),0)))</f>
        <v/>
      </c>
      <c r="O277">
        <f>IF(M277="","",IF(ISNUMBER(C277),C277,IFERROR(_xlfn.NUMBERVALUE(C277,".",","),0)))</f>
        <v/>
      </c>
    </row>
    <row r="278">
      <c r="K278">
        <f>IF(OR(LEFT(B278,9)="DOANH THU",LEFT(B278,8)="SỐ LƯỢNG"),A278,IF(A278="","",K277))</f>
        <v/>
      </c>
      <c r="L278">
        <f>IF(A278="","",IF(ISNUMBER(--LEFT(A278,FIND(" - ",A278&amp;" - ")-1)),LEFT(A278,FIND(" - ",A278&amp;" - ")-1),TRIM(A278)))</f>
        <v/>
      </c>
      <c r="M278">
        <f>IF(OR(K278="",K278=A278,A278=""),"",K278&amp;"|"&amp;L278)</f>
        <v/>
      </c>
      <c r="N278">
        <f>IF(M278="","",IF(ISNUMBER(B278),B278,IFERROR(_xlfn.NUMBERVALUE(B278,".",","),0)))</f>
        <v/>
      </c>
      <c r="O278">
        <f>IF(M278="","",IF(ISNUMBER(C278),C278,IFERROR(_xlfn.NUMBERVALUE(C278,".",","),0)))</f>
        <v/>
      </c>
    </row>
    <row r="279">
      <c r="K279">
        <f>IF(OR(LEFT(B279,9)="DOANH THU",LEFT(B279,8)="SỐ LƯỢNG"),A279,IF(A279="","",K278))</f>
        <v/>
      </c>
      <c r="L279">
        <f>IF(A279="","",IF(ISNUMBER(--LEFT(A279,FIND(" - ",A279&amp;" - ")-1)),LEFT(A279,FIND(" - ",A279&amp;" - ")-1),TRIM(A279)))</f>
        <v/>
      </c>
      <c r="M279">
        <f>IF(OR(K279="",K279=A279,A279=""),"",K279&amp;"|"&amp;L279)</f>
        <v/>
      </c>
      <c r="N279">
        <f>IF(M279="","",IF(ISNUMBER(B279),B279,IFERROR(_xlfn.NUMBERVALUE(B279,".",","),0)))</f>
        <v/>
      </c>
      <c r="O279">
        <f>IF(M279="","",IF(ISNUMBER(C279),C279,IFERROR(_xlfn.NUMBERVALUE(C279,".",","),0)))</f>
        <v/>
      </c>
    </row>
    <row r="280">
      <c r="K280">
        <f>IF(OR(LEFT(B280,9)="DOANH THU",LEFT(B280,8)="SỐ LƯỢNG"),A280,IF(A280="","",K279))</f>
        <v/>
      </c>
      <c r="L280">
        <f>IF(A280="","",IF(ISNUMBER(--LEFT(A280,FIND(" - ",A280&amp;" - ")-1)),LEFT(A280,FIND(" - ",A280&amp;" - ")-1),TRIM(A280)))</f>
        <v/>
      </c>
      <c r="M280">
        <f>IF(OR(K280="",K280=A280,A280=""),"",K280&amp;"|"&amp;L280)</f>
        <v/>
      </c>
      <c r="N280">
        <f>IF(M280="","",IF(ISNUMBER(B280),B280,IFERROR(_xlfn.NUMBERVALUE(B280,".",","),0)))</f>
        <v/>
      </c>
      <c r="O280">
        <f>IF(M280="","",IF(ISNUMBER(C280),C280,IFERROR(_xlfn.NUMBERVALUE(C280,".",","),0)))</f>
        <v/>
      </c>
    </row>
    <row r="281">
      <c r="K281">
        <f>IF(OR(LEFT(B281,9)="DOANH THU",LEFT(B281,8)="SỐ LƯỢNG"),A281,IF(A281="","",K280))</f>
        <v/>
      </c>
      <c r="L281">
        <f>IF(A281="","",IF(ISNUMBER(--LEFT(A281,FIND(" - ",A281&amp;" - ")-1)),LEFT(A281,FIND(" - ",A281&amp;" - ")-1),TRIM(A281)))</f>
        <v/>
      </c>
      <c r="M281">
        <f>IF(OR(K281="",K281=A281,A281=""),"",K281&amp;"|"&amp;L281)</f>
        <v/>
      </c>
      <c r="N281">
        <f>IF(M281="","",IF(ISNUMBER(B281),B281,IFERROR(_xlfn.NUMBERVALUE(B281,".",","),0)))</f>
        <v/>
      </c>
      <c r="O281">
        <f>IF(M281="","",IF(ISNUMBER(C281),C281,IFERROR(_xlfn.NUMBERVALUE(C281,".",","),0)))</f>
        <v/>
      </c>
    </row>
    <row r="282">
      <c r="K282">
        <f>IF(OR(LEFT(B282,9)="DOANH THU",LEFT(B282,8)="SỐ LƯỢNG"),A282,IF(A282="","",K281))</f>
        <v/>
      </c>
      <c r="L282">
        <f>IF(A282="","",IF(ISNUMBER(--LEFT(A282,FIND(" - ",A282&amp;" - ")-1)),LEFT(A282,FIND(" - ",A282&amp;" - ")-1),TRIM(A282)))</f>
        <v/>
      </c>
      <c r="M282">
        <f>IF(OR(K282="",K282=A282,A282=""),"",K282&amp;"|"&amp;L282)</f>
        <v/>
      </c>
      <c r="N282">
        <f>IF(M282="","",IF(ISNUMBER(B282),B282,IFERROR(_xlfn.NUMBERVALUE(B282,".",","),0)))</f>
        <v/>
      </c>
      <c r="O282">
        <f>IF(M282="","",IF(ISNUMBER(C282),C282,IFERROR(_xlfn.NUMBERVALUE(C282,".",","),0)))</f>
        <v/>
      </c>
    </row>
    <row r="283">
      <c r="K283">
        <f>IF(OR(LEFT(B283,9)="DOANH THU",LEFT(B283,8)="SỐ LƯỢNG"),A283,IF(A283="","",K282))</f>
        <v/>
      </c>
      <c r="L283">
        <f>IF(A283="","",IF(ISNUMBER(--LEFT(A283,FIND(" - ",A283&amp;" - ")-1)),LEFT(A283,FIND(" - ",A283&amp;" - ")-1),TRIM(A283)))</f>
        <v/>
      </c>
      <c r="M283">
        <f>IF(OR(K283="",K283=A283,A283=""),"",K283&amp;"|"&amp;L283)</f>
        <v/>
      </c>
      <c r="N283">
        <f>IF(M283="","",IF(ISNUMBER(B283),B283,IFERROR(_xlfn.NUMBERVALUE(B283,".",","),0)))</f>
        <v/>
      </c>
      <c r="O283">
        <f>IF(M283="","",IF(ISNUMBER(C283),C283,IFERROR(_xlfn.NUMBERVALUE(C283,".",","),0)))</f>
        <v/>
      </c>
    </row>
    <row r="284">
      <c r="K284">
        <f>IF(OR(LEFT(B284,9)="DOANH THU",LEFT(B284,8)="SỐ LƯỢNG"),A284,IF(A284="","",K283))</f>
        <v/>
      </c>
      <c r="L284">
        <f>IF(A284="","",IF(ISNUMBER(--LEFT(A284,FIND(" - ",A284&amp;" - ")-1)),LEFT(A284,FIND(" - ",A284&amp;" - ")-1),TRIM(A284)))</f>
        <v/>
      </c>
      <c r="M284">
        <f>IF(OR(K284="",K284=A284,A284=""),"",K284&amp;"|"&amp;L284)</f>
        <v/>
      </c>
      <c r="N284">
        <f>IF(M284="","",IF(ISNUMBER(B284),B284,IFERROR(_xlfn.NUMBERVALUE(B284,".",","),0)))</f>
        <v/>
      </c>
      <c r="O284">
        <f>IF(M284="","",IF(ISNUMBER(C284),C284,IFERROR(_xlfn.NUMBERVALUE(C284,".",","),0)))</f>
        <v/>
      </c>
    </row>
    <row r="285">
      <c r="K285">
        <f>IF(OR(LEFT(B285,9)="DOANH THU",LEFT(B285,8)="SỐ LƯỢNG"),A285,IF(A285="","",K284))</f>
        <v/>
      </c>
      <c r="L285">
        <f>IF(A285="","",IF(ISNUMBER(--LEFT(A285,FIND(" - ",A285&amp;" - ")-1)),LEFT(A285,FIND(" - ",A285&amp;" - ")-1),TRIM(A285)))</f>
        <v/>
      </c>
      <c r="M285">
        <f>IF(OR(K285="",K285=A285,A285=""),"",K285&amp;"|"&amp;L285)</f>
        <v/>
      </c>
      <c r="N285">
        <f>IF(M285="","",IF(ISNUMBER(B285),B285,IFERROR(_xlfn.NUMBERVALUE(B285,".",","),0)))</f>
        <v/>
      </c>
      <c r="O285">
        <f>IF(M285="","",IF(ISNUMBER(C285),C285,IFERROR(_xlfn.NUMBERVALUE(C285,".",","),0)))</f>
        <v/>
      </c>
    </row>
    <row r="286">
      <c r="K286">
        <f>IF(OR(LEFT(B286,9)="DOANH THU",LEFT(B286,8)="SỐ LƯỢNG"),A286,IF(A286="","",K285))</f>
        <v/>
      </c>
      <c r="L286">
        <f>IF(A286="","",IF(ISNUMBER(--LEFT(A286,FIND(" - ",A286&amp;" - ")-1)),LEFT(A286,FIND(" - ",A286&amp;" - ")-1),TRIM(A286)))</f>
        <v/>
      </c>
      <c r="M286">
        <f>IF(OR(K286="",K286=A286,A286=""),"",K286&amp;"|"&amp;L286)</f>
        <v/>
      </c>
      <c r="N286">
        <f>IF(M286="","",IF(ISNUMBER(B286),B286,IFERROR(_xlfn.NUMBERVALUE(B286,".",","),0)))</f>
        <v/>
      </c>
      <c r="O286">
        <f>IF(M286="","",IF(ISNUMBER(C286),C286,IFERROR(_xlfn.NUMBERVALUE(C286,".",","),0)))</f>
        <v/>
      </c>
    </row>
    <row r="287">
      <c r="K287">
        <f>IF(OR(LEFT(B287,9)="DOANH THU",LEFT(B287,8)="SỐ LƯỢNG"),A287,IF(A287="","",K286))</f>
        <v/>
      </c>
      <c r="L287">
        <f>IF(A287="","",IF(ISNUMBER(--LEFT(A287,FIND(" - ",A287&amp;" - ")-1)),LEFT(A287,FIND(" - ",A287&amp;" - ")-1),TRIM(A287)))</f>
        <v/>
      </c>
      <c r="M287">
        <f>IF(OR(K287="",K287=A287,A287=""),"",K287&amp;"|"&amp;L287)</f>
        <v/>
      </c>
      <c r="N287">
        <f>IF(M287="","",IF(ISNUMBER(B287),B287,IFERROR(_xlfn.NUMBERVALUE(B287,".",","),0)))</f>
        <v/>
      </c>
      <c r="O287">
        <f>IF(M287="","",IF(ISNUMBER(C287),C287,IFERROR(_xlfn.NUMBERVALUE(C287,".",","),0)))</f>
        <v/>
      </c>
    </row>
    <row r="288">
      <c r="K288">
        <f>IF(OR(LEFT(B288,9)="DOANH THU",LEFT(B288,8)="SỐ LƯỢNG"),A288,IF(A288="","",K287))</f>
        <v/>
      </c>
      <c r="L288">
        <f>IF(A288="","",IF(ISNUMBER(--LEFT(A288,FIND(" - ",A288&amp;" - ")-1)),LEFT(A288,FIND(" - ",A288&amp;" - ")-1),TRIM(A288)))</f>
        <v/>
      </c>
      <c r="M288">
        <f>IF(OR(K288="",K288=A288,A288=""),"",K288&amp;"|"&amp;L288)</f>
        <v/>
      </c>
      <c r="N288">
        <f>IF(M288="","",IF(ISNUMBER(B288),B288,IFERROR(_xlfn.NUMBERVALUE(B288,".",","),0)))</f>
        <v/>
      </c>
      <c r="O288">
        <f>IF(M288="","",IF(ISNUMBER(C288),C288,IFERROR(_xlfn.NUMBERVALUE(C288,".",","),0)))</f>
        <v/>
      </c>
    </row>
    <row r="289">
      <c r="K289">
        <f>IF(OR(LEFT(B289,9)="DOANH THU",LEFT(B289,8)="SỐ LƯỢNG"),A289,IF(A289="","",K288))</f>
        <v/>
      </c>
      <c r="L289">
        <f>IF(A289="","",IF(ISNUMBER(--LEFT(A289,FIND(" - ",A289&amp;" - ")-1)),LEFT(A289,FIND(" - ",A289&amp;" - ")-1),TRIM(A289)))</f>
        <v/>
      </c>
      <c r="M289">
        <f>IF(OR(K289="",K289=A289,A289=""),"",K289&amp;"|"&amp;L289)</f>
        <v/>
      </c>
      <c r="N289">
        <f>IF(M289="","",IF(ISNUMBER(B289),B289,IFERROR(_xlfn.NUMBERVALUE(B289,".",","),0)))</f>
        <v/>
      </c>
      <c r="O289">
        <f>IF(M289="","",IF(ISNUMBER(C289),C289,IFERROR(_xlfn.NUMBERVALUE(C289,".",","),0)))</f>
        <v/>
      </c>
    </row>
    <row r="290">
      <c r="K290">
        <f>IF(OR(LEFT(B290,9)="DOANH THU",LEFT(B290,8)="SỐ LƯỢNG"),A290,IF(A290="","",K289))</f>
        <v/>
      </c>
      <c r="L290">
        <f>IF(A290="","",IF(ISNUMBER(--LEFT(A290,FIND(" - ",A290&amp;" - ")-1)),LEFT(A290,FIND(" - ",A290&amp;" - ")-1),TRIM(A290)))</f>
        <v/>
      </c>
      <c r="M290">
        <f>IF(OR(K290="",K290=A290,A290=""),"",K290&amp;"|"&amp;L290)</f>
        <v/>
      </c>
      <c r="N290">
        <f>IF(M290="","",IF(ISNUMBER(B290),B290,IFERROR(_xlfn.NUMBERVALUE(B290,".",","),0)))</f>
        <v/>
      </c>
      <c r="O290">
        <f>IF(M290="","",IF(ISNUMBER(C290),C290,IFERROR(_xlfn.NUMBERVALUE(C290,".",","),0)))</f>
        <v/>
      </c>
    </row>
    <row r="291">
      <c r="K291">
        <f>IF(OR(LEFT(B291,9)="DOANH THU",LEFT(B291,8)="SỐ LƯỢNG"),A291,IF(A291="","",K290))</f>
        <v/>
      </c>
      <c r="L291">
        <f>IF(A291="","",IF(ISNUMBER(--LEFT(A291,FIND(" - ",A291&amp;" - ")-1)),LEFT(A291,FIND(" - ",A291&amp;" - ")-1),TRIM(A291)))</f>
        <v/>
      </c>
      <c r="M291">
        <f>IF(OR(K291="",K291=A291,A291=""),"",K291&amp;"|"&amp;L291)</f>
        <v/>
      </c>
      <c r="N291">
        <f>IF(M291="","",IF(ISNUMBER(B291),B291,IFERROR(_xlfn.NUMBERVALUE(B291,".",","),0)))</f>
        <v/>
      </c>
      <c r="O291">
        <f>IF(M291="","",IF(ISNUMBER(C291),C291,IFERROR(_xlfn.NUMBERVALUE(C291,".",","),0)))</f>
        <v/>
      </c>
    </row>
    <row r="292">
      <c r="K292">
        <f>IF(OR(LEFT(B292,9)="DOANH THU",LEFT(B292,8)="SỐ LƯỢNG"),A292,IF(A292="","",K291))</f>
        <v/>
      </c>
      <c r="L292">
        <f>IF(A292="","",IF(ISNUMBER(--LEFT(A292,FIND(" - ",A292&amp;" - ")-1)),LEFT(A292,FIND(" - ",A292&amp;" - ")-1),TRIM(A292)))</f>
        <v/>
      </c>
      <c r="M292">
        <f>IF(OR(K292="",K292=A292,A292=""),"",K292&amp;"|"&amp;L292)</f>
        <v/>
      </c>
      <c r="N292">
        <f>IF(M292="","",IF(ISNUMBER(B292),B292,IFERROR(_xlfn.NUMBERVALUE(B292,".",","),0)))</f>
        <v/>
      </c>
      <c r="O292">
        <f>IF(M292="","",IF(ISNUMBER(C292),C292,IFERROR(_xlfn.NUMBERVALUE(C292,".",","),0)))</f>
        <v/>
      </c>
    </row>
    <row r="293">
      <c r="K293">
        <f>IF(OR(LEFT(B293,9)="DOANH THU",LEFT(B293,8)="SỐ LƯỢNG"),A293,IF(A293="","",K292))</f>
        <v/>
      </c>
      <c r="L293">
        <f>IF(A293="","",IF(ISNUMBER(--LEFT(A293,FIND(" - ",A293&amp;" - ")-1)),LEFT(A293,FIND(" - ",A293&amp;" - ")-1),TRIM(A293)))</f>
        <v/>
      </c>
      <c r="M293">
        <f>IF(OR(K293="",K293=A293,A293=""),"",K293&amp;"|"&amp;L293)</f>
        <v/>
      </c>
      <c r="N293">
        <f>IF(M293="","",IF(ISNUMBER(B293),B293,IFERROR(_xlfn.NUMBERVALUE(B293,".",","),0)))</f>
        <v/>
      </c>
      <c r="O293">
        <f>IF(M293="","",IF(ISNUMBER(C293),C293,IFERROR(_xlfn.NUMBERVALUE(C293,".",","),0)))</f>
        <v/>
      </c>
    </row>
    <row r="294">
      <c r="K294">
        <f>IF(OR(LEFT(B294,9)="DOANH THU",LEFT(B294,8)="SỐ LƯỢNG"),A294,IF(A294="","",K293))</f>
        <v/>
      </c>
      <c r="L294">
        <f>IF(A294="","",IF(ISNUMBER(--LEFT(A294,FIND(" - ",A294&amp;" - ")-1)),LEFT(A294,FIND(" - ",A294&amp;" - ")-1),TRIM(A294)))</f>
        <v/>
      </c>
      <c r="M294">
        <f>IF(OR(K294="",K294=A294,A294=""),"",K294&amp;"|"&amp;L294)</f>
        <v/>
      </c>
      <c r="N294">
        <f>IF(M294="","",IF(ISNUMBER(B294),B294,IFERROR(_xlfn.NUMBERVALUE(B294,".",","),0)))</f>
        <v/>
      </c>
      <c r="O294">
        <f>IF(M294="","",IF(ISNUMBER(C294),C294,IFERROR(_xlfn.NUMBERVALUE(C294,".",","),0)))</f>
        <v/>
      </c>
    </row>
    <row r="295">
      <c r="K295">
        <f>IF(OR(LEFT(B295,9)="DOANH THU",LEFT(B295,8)="SỐ LƯỢNG"),A295,IF(A295="","",K294))</f>
        <v/>
      </c>
      <c r="L295">
        <f>IF(A295="","",IF(ISNUMBER(--LEFT(A295,FIND(" - ",A295&amp;" - ")-1)),LEFT(A295,FIND(" - ",A295&amp;" - ")-1),TRIM(A295)))</f>
        <v/>
      </c>
      <c r="M295">
        <f>IF(OR(K295="",K295=A295,A295=""),"",K295&amp;"|"&amp;L295)</f>
        <v/>
      </c>
      <c r="N295">
        <f>IF(M295="","",IF(ISNUMBER(B295),B295,IFERROR(_xlfn.NUMBERVALUE(B295,".",","),0)))</f>
        <v/>
      </c>
      <c r="O295">
        <f>IF(M295="","",IF(ISNUMBER(C295),C295,IFERROR(_xlfn.NUMBERVALUE(C295,".",","),0)))</f>
        <v/>
      </c>
    </row>
    <row r="296">
      <c r="K296">
        <f>IF(OR(LEFT(B296,9)="DOANH THU",LEFT(B296,8)="SỐ LƯỢNG"),A296,IF(A296="","",K295))</f>
        <v/>
      </c>
      <c r="L296">
        <f>IF(A296="","",IF(ISNUMBER(--LEFT(A296,FIND(" - ",A296&amp;" - ")-1)),LEFT(A296,FIND(" - ",A296&amp;" - ")-1),TRIM(A296)))</f>
        <v/>
      </c>
      <c r="M296">
        <f>IF(OR(K296="",K296=A296,A296=""),"",K296&amp;"|"&amp;L296)</f>
        <v/>
      </c>
      <c r="N296">
        <f>IF(M296="","",IF(ISNUMBER(B296),B296,IFERROR(_xlfn.NUMBERVALUE(B296,".",","),0)))</f>
        <v/>
      </c>
      <c r="O296">
        <f>IF(M296="","",IF(ISNUMBER(C296),C296,IFERROR(_xlfn.NUMBERVALUE(C296,".",","),0)))</f>
        <v/>
      </c>
    </row>
    <row r="297">
      <c r="K297">
        <f>IF(OR(LEFT(B297,9)="DOANH THU",LEFT(B297,8)="SỐ LƯỢNG"),A297,IF(A297="","",K296))</f>
        <v/>
      </c>
      <c r="L297">
        <f>IF(A297="","",IF(ISNUMBER(--LEFT(A297,FIND(" - ",A297&amp;" - ")-1)),LEFT(A297,FIND(" - ",A297&amp;" - ")-1),TRIM(A297)))</f>
        <v/>
      </c>
      <c r="M297">
        <f>IF(OR(K297="",K297=A297,A297=""),"",K297&amp;"|"&amp;L297)</f>
        <v/>
      </c>
      <c r="N297">
        <f>IF(M297="","",IF(ISNUMBER(B297),B297,IFERROR(_xlfn.NUMBERVALUE(B297,".",","),0)))</f>
        <v/>
      </c>
      <c r="O297">
        <f>IF(M297="","",IF(ISNUMBER(C297),C297,IFERROR(_xlfn.NUMBERVALUE(C297,".",","),0)))</f>
        <v/>
      </c>
    </row>
    <row r="298">
      <c r="K298">
        <f>IF(OR(LEFT(B298,9)="DOANH THU",LEFT(B298,8)="SỐ LƯỢNG"),A298,IF(A298="","",K297))</f>
        <v/>
      </c>
      <c r="L298">
        <f>IF(A298="","",IF(ISNUMBER(--LEFT(A298,FIND(" - ",A298&amp;" - ")-1)),LEFT(A298,FIND(" - ",A298&amp;" - ")-1),TRIM(A298)))</f>
        <v/>
      </c>
      <c r="M298">
        <f>IF(OR(K298="",K298=A298,A298=""),"",K298&amp;"|"&amp;L298)</f>
        <v/>
      </c>
      <c r="N298">
        <f>IF(M298="","",IF(ISNUMBER(B298),B298,IFERROR(_xlfn.NUMBERVALUE(B298,".",","),0)))</f>
        <v/>
      </c>
      <c r="O298">
        <f>IF(M298="","",IF(ISNUMBER(C298),C298,IFERROR(_xlfn.NUMBERVALUE(C298,".",","),0)))</f>
        <v/>
      </c>
    </row>
    <row r="299">
      <c r="K299">
        <f>IF(OR(LEFT(B299,9)="DOANH THU",LEFT(B299,8)="SỐ LƯỢNG"),A299,IF(A299="","",K298))</f>
        <v/>
      </c>
      <c r="L299">
        <f>IF(A299="","",IF(ISNUMBER(--LEFT(A299,FIND(" - ",A299&amp;" - ")-1)),LEFT(A299,FIND(" - ",A299&amp;" - ")-1),TRIM(A299)))</f>
        <v/>
      </c>
      <c r="M299">
        <f>IF(OR(K299="",K299=A299,A299=""),"",K299&amp;"|"&amp;L299)</f>
        <v/>
      </c>
      <c r="N299">
        <f>IF(M299="","",IF(ISNUMBER(B299),B299,IFERROR(_xlfn.NUMBERVALUE(B299,".",","),0)))</f>
        <v/>
      </c>
      <c r="O299">
        <f>IF(M299="","",IF(ISNUMBER(C299),C299,IFERROR(_xlfn.NUMBERVALUE(C299,".",","),0)))</f>
        <v/>
      </c>
    </row>
    <row r="300">
      <c r="K300">
        <f>IF(OR(LEFT(B300,9)="DOANH THU",LEFT(B300,8)="SỐ LƯỢNG"),A300,IF(A300="","",K299))</f>
        <v/>
      </c>
      <c r="L300">
        <f>IF(A300="","",IF(ISNUMBER(--LEFT(A300,FIND(" - ",A300&amp;" - ")-1)),LEFT(A300,FIND(" - ",A300&amp;" - ")-1),TRIM(A300)))</f>
        <v/>
      </c>
      <c r="M300">
        <f>IF(OR(K300="",K300=A300,A300=""),"",K300&amp;"|"&amp;L300)</f>
        <v/>
      </c>
      <c r="N300">
        <f>IF(M300="","",IF(ISNUMBER(B300),B300,IFERROR(_xlfn.NUMBERVALUE(B300,".",","),0)))</f>
        <v/>
      </c>
      <c r="O300">
        <f>IF(M300="","",IF(ISNUMBER(C300),C300,IFERROR(_xlfn.NUMBERVALUE(C300,".",","),0)))</f>
        <v/>
      </c>
    </row>
    <row r="301">
      <c r="K301">
        <f>IF(OR(LEFT(B301,9)="DOANH THU",LEFT(B301,8)="SỐ LƯỢNG"),A301,IF(A301="","",K300))</f>
        <v/>
      </c>
      <c r="L301">
        <f>IF(A301="","",IF(ISNUMBER(--LEFT(A301,FIND(" - ",A301&amp;" - ")-1)),LEFT(A301,FIND(" - ",A301&amp;" - ")-1),TRIM(A301)))</f>
        <v/>
      </c>
      <c r="M301">
        <f>IF(OR(K301="",K301=A301,A301=""),"",K301&amp;"|"&amp;L301)</f>
        <v/>
      </c>
      <c r="N301">
        <f>IF(M301="","",IF(ISNUMBER(B301),B301,IFERROR(_xlfn.NUMBERVALUE(B301,".",","),0)))</f>
        <v/>
      </c>
      <c r="O301">
        <f>IF(M301="","",IF(ISNUMBER(C301),C301,IFERROR(_xlfn.NUMBERVALUE(C301,".",","),0)))</f>
        <v/>
      </c>
    </row>
    <row r="302">
      <c r="K302">
        <f>IF(OR(LEFT(B302,9)="DOANH THU",LEFT(B302,8)="SỐ LƯỢNG"),A302,IF(A302="","",K301))</f>
        <v/>
      </c>
      <c r="L302">
        <f>IF(A302="","",IF(ISNUMBER(--LEFT(A302,FIND(" - ",A302&amp;" - ")-1)),LEFT(A302,FIND(" - ",A302&amp;" - ")-1),TRIM(A302)))</f>
        <v/>
      </c>
      <c r="M302">
        <f>IF(OR(K302="",K302=A302,A302=""),"",K302&amp;"|"&amp;L302)</f>
        <v/>
      </c>
      <c r="N302">
        <f>IF(M302="","",IF(ISNUMBER(B302),B302,IFERROR(_xlfn.NUMBERVALUE(B302,".",","),0)))</f>
        <v/>
      </c>
      <c r="O302">
        <f>IF(M302="","",IF(ISNUMBER(C302),C302,IFERROR(_xlfn.NUMBERVALUE(C302,".",","),0)))</f>
        <v/>
      </c>
    </row>
    <row r="303">
      <c r="K303">
        <f>IF(OR(LEFT(B303,9)="DOANH THU",LEFT(B303,8)="SỐ LƯỢNG"),A303,IF(A303="","",K302))</f>
        <v/>
      </c>
      <c r="L303">
        <f>IF(A303="","",IF(ISNUMBER(--LEFT(A303,FIND(" - ",A303&amp;" - ")-1)),LEFT(A303,FIND(" - ",A303&amp;" - ")-1),TRIM(A303)))</f>
        <v/>
      </c>
      <c r="M303">
        <f>IF(OR(K303="",K303=A303,A303=""),"",K303&amp;"|"&amp;L303)</f>
        <v/>
      </c>
      <c r="N303">
        <f>IF(M303="","",IF(ISNUMBER(B303),B303,IFERROR(_xlfn.NUMBERVALUE(B303,".",","),0)))</f>
        <v/>
      </c>
      <c r="O303">
        <f>IF(M303="","",IF(ISNUMBER(C303),C303,IFERROR(_xlfn.NUMBERVALUE(C303,".",","),0)))</f>
        <v/>
      </c>
    </row>
    <row r="304">
      <c r="K304">
        <f>IF(OR(LEFT(B304,9)="DOANH THU",LEFT(B304,8)="SỐ LƯỢNG"),A304,IF(A304="","",K303))</f>
        <v/>
      </c>
      <c r="L304">
        <f>IF(A304="","",IF(ISNUMBER(--LEFT(A304,FIND(" - ",A304&amp;" - ")-1)),LEFT(A304,FIND(" - ",A304&amp;" - ")-1),TRIM(A304)))</f>
        <v/>
      </c>
      <c r="M304">
        <f>IF(OR(K304="",K304=A304,A304=""),"",K304&amp;"|"&amp;L304)</f>
        <v/>
      </c>
      <c r="N304">
        <f>IF(M304="","",IF(ISNUMBER(B304),B304,IFERROR(_xlfn.NUMBERVALUE(B304,".",","),0)))</f>
        <v/>
      </c>
      <c r="O304">
        <f>IF(M304="","",IF(ISNUMBER(C304),C304,IFERROR(_xlfn.NUMBERVALUE(C304,".",","),0)))</f>
        <v/>
      </c>
    </row>
    <row r="305">
      <c r="K305">
        <f>IF(OR(LEFT(B305,9)="DOANH THU",LEFT(B305,8)="SỐ LƯỢNG"),A305,IF(A305="","",K304))</f>
        <v/>
      </c>
      <c r="L305">
        <f>IF(A305="","",IF(ISNUMBER(--LEFT(A305,FIND(" - ",A305&amp;" - ")-1)),LEFT(A305,FIND(" - ",A305&amp;" - ")-1),TRIM(A305)))</f>
        <v/>
      </c>
      <c r="M305">
        <f>IF(OR(K305="",K305=A305,A305=""),"",K305&amp;"|"&amp;L305)</f>
        <v/>
      </c>
      <c r="N305">
        <f>IF(M305="","",IF(ISNUMBER(B305),B305,IFERROR(_xlfn.NUMBERVALUE(B305,".",","),0)))</f>
        <v/>
      </c>
      <c r="O305">
        <f>IF(M305="","",IF(ISNUMBER(C305),C305,IFERROR(_xlfn.NUMBERVALUE(C305,".",","),0)))</f>
        <v/>
      </c>
    </row>
    <row r="306">
      <c r="K306">
        <f>IF(OR(LEFT(B306,9)="DOANH THU",LEFT(B306,8)="SỐ LƯỢNG"),A306,IF(A306="","",K305))</f>
        <v/>
      </c>
      <c r="L306">
        <f>IF(A306="","",IF(ISNUMBER(--LEFT(A306,FIND(" - ",A306&amp;" - ")-1)),LEFT(A306,FIND(" - ",A306&amp;" - ")-1),TRIM(A306)))</f>
        <v/>
      </c>
      <c r="M306">
        <f>IF(OR(K306="",K306=A306,A306=""),"",K306&amp;"|"&amp;L306)</f>
        <v/>
      </c>
      <c r="N306">
        <f>IF(M306="","",IF(ISNUMBER(B306),B306,IFERROR(_xlfn.NUMBERVALUE(B306,".",","),0)))</f>
        <v/>
      </c>
      <c r="O306">
        <f>IF(M306="","",IF(ISNUMBER(C306),C306,IFERROR(_xlfn.NUMBERVALUE(C306,".",","),0)))</f>
        <v/>
      </c>
    </row>
    <row r="307">
      <c r="K307">
        <f>IF(OR(LEFT(B307,9)="DOANH THU",LEFT(B307,8)="SỐ LƯỢNG"),A307,IF(A307="","",K306))</f>
        <v/>
      </c>
      <c r="L307">
        <f>IF(A307="","",IF(ISNUMBER(--LEFT(A307,FIND(" - ",A307&amp;" - ")-1)),LEFT(A307,FIND(" - ",A307&amp;" - ")-1),TRIM(A307)))</f>
        <v/>
      </c>
      <c r="M307">
        <f>IF(OR(K307="",K307=A307,A307=""),"",K307&amp;"|"&amp;L307)</f>
        <v/>
      </c>
      <c r="N307">
        <f>IF(M307="","",IF(ISNUMBER(B307),B307,IFERROR(_xlfn.NUMBERVALUE(B307,".",","),0)))</f>
        <v/>
      </c>
      <c r="O307">
        <f>IF(M307="","",IF(ISNUMBER(C307),C307,IFERROR(_xlfn.NUMBERVALUE(C307,".",","),0)))</f>
        <v/>
      </c>
    </row>
    <row r="308">
      <c r="K308">
        <f>IF(OR(LEFT(B308,9)="DOANH THU",LEFT(B308,8)="SỐ LƯỢNG"),A308,IF(A308="","",K307))</f>
        <v/>
      </c>
      <c r="L308">
        <f>IF(A308="","",IF(ISNUMBER(--LEFT(A308,FIND(" - ",A308&amp;" - ")-1)),LEFT(A308,FIND(" - ",A308&amp;" - ")-1),TRIM(A308)))</f>
        <v/>
      </c>
      <c r="M308">
        <f>IF(OR(K308="",K308=A308,A308=""),"",K308&amp;"|"&amp;L308)</f>
        <v/>
      </c>
      <c r="N308">
        <f>IF(M308="","",IF(ISNUMBER(B308),B308,IFERROR(_xlfn.NUMBERVALUE(B308,".",","),0)))</f>
        <v/>
      </c>
      <c r="O308">
        <f>IF(M308="","",IF(ISNUMBER(C308),C308,IFERROR(_xlfn.NUMBERVALUE(C308,".",","),0)))</f>
        <v/>
      </c>
    </row>
    <row r="309">
      <c r="K309">
        <f>IF(OR(LEFT(B309,9)="DOANH THU",LEFT(B309,8)="SỐ LƯỢNG"),A309,IF(A309="","",K308))</f>
        <v/>
      </c>
      <c r="L309">
        <f>IF(A309="","",IF(ISNUMBER(--LEFT(A309,FIND(" - ",A309&amp;" - ")-1)),LEFT(A309,FIND(" - ",A309&amp;" - ")-1),TRIM(A309)))</f>
        <v/>
      </c>
      <c r="M309">
        <f>IF(OR(K309="",K309=A309,A309=""),"",K309&amp;"|"&amp;L309)</f>
        <v/>
      </c>
      <c r="N309">
        <f>IF(M309="","",IF(ISNUMBER(B309),B309,IFERROR(_xlfn.NUMBERVALUE(B309,".",","),0)))</f>
        <v/>
      </c>
      <c r="O309">
        <f>IF(M309="","",IF(ISNUMBER(C309),C309,IFERROR(_xlfn.NUMBERVALUE(C309,".",","),0)))</f>
        <v/>
      </c>
    </row>
    <row r="310">
      <c r="K310">
        <f>IF(OR(LEFT(B310,9)="DOANH THU",LEFT(B310,8)="SỐ LƯỢNG"),A310,IF(A310="","",K309))</f>
        <v/>
      </c>
      <c r="L310">
        <f>IF(A310="","",IF(ISNUMBER(--LEFT(A310,FIND(" - ",A310&amp;" - ")-1)),LEFT(A310,FIND(" - ",A310&amp;" - ")-1),TRIM(A310)))</f>
        <v/>
      </c>
      <c r="M310">
        <f>IF(OR(K310="",K310=A310,A310=""),"",K310&amp;"|"&amp;L310)</f>
        <v/>
      </c>
      <c r="N310">
        <f>IF(M310="","",IF(ISNUMBER(B310),B310,IFERROR(_xlfn.NUMBERVALUE(B310,".",","),0)))</f>
        <v/>
      </c>
      <c r="O310">
        <f>IF(M310="","",IF(ISNUMBER(C310),C310,IFERROR(_xlfn.NUMBERVALUE(C310,".",","),0)))</f>
        <v/>
      </c>
    </row>
    <row r="311">
      <c r="K311">
        <f>IF(OR(LEFT(B311,9)="DOANH THU",LEFT(B311,8)="SỐ LƯỢNG"),A311,IF(A311="","",K310))</f>
        <v/>
      </c>
      <c r="L311">
        <f>IF(A311="","",IF(ISNUMBER(--LEFT(A311,FIND(" - ",A311&amp;" - ")-1)),LEFT(A311,FIND(" - ",A311&amp;" - ")-1),TRIM(A311)))</f>
        <v/>
      </c>
      <c r="M311">
        <f>IF(OR(K311="",K311=A311,A311=""),"",K311&amp;"|"&amp;L311)</f>
        <v/>
      </c>
      <c r="N311">
        <f>IF(M311="","",IF(ISNUMBER(B311),B311,IFERROR(_xlfn.NUMBERVALUE(B311,".",","),0)))</f>
        <v/>
      </c>
      <c r="O311">
        <f>IF(M311="","",IF(ISNUMBER(C311),C311,IFERROR(_xlfn.NUMBERVALUE(C311,".",","),0)))</f>
        <v/>
      </c>
    </row>
    <row r="312">
      <c r="K312">
        <f>IF(OR(LEFT(B312,9)="DOANH THU",LEFT(B312,8)="SỐ LƯỢNG"),A312,IF(A312="","",K311))</f>
        <v/>
      </c>
      <c r="L312">
        <f>IF(A312="","",IF(ISNUMBER(--LEFT(A312,FIND(" - ",A312&amp;" - ")-1)),LEFT(A312,FIND(" - ",A312&amp;" - ")-1),TRIM(A312)))</f>
        <v/>
      </c>
      <c r="M312">
        <f>IF(OR(K312="",K312=A312,A312=""),"",K312&amp;"|"&amp;L312)</f>
        <v/>
      </c>
      <c r="N312">
        <f>IF(M312="","",IF(ISNUMBER(B312),B312,IFERROR(_xlfn.NUMBERVALUE(B312,".",","),0)))</f>
        <v/>
      </c>
      <c r="O312">
        <f>IF(M312="","",IF(ISNUMBER(C312),C312,IFERROR(_xlfn.NUMBERVALUE(C312,".",","),0)))</f>
        <v/>
      </c>
    </row>
    <row r="313">
      <c r="K313">
        <f>IF(OR(LEFT(B313,9)="DOANH THU",LEFT(B313,8)="SỐ LƯỢNG"),A313,IF(A313="","",K312))</f>
        <v/>
      </c>
      <c r="L313">
        <f>IF(A313="","",IF(ISNUMBER(--LEFT(A313,FIND(" - ",A313&amp;" - ")-1)),LEFT(A313,FIND(" - ",A313&amp;" - ")-1),TRIM(A313)))</f>
        <v/>
      </c>
      <c r="M313">
        <f>IF(OR(K313="",K313=A313,A313=""),"",K313&amp;"|"&amp;L313)</f>
        <v/>
      </c>
      <c r="N313">
        <f>IF(M313="","",IF(ISNUMBER(B313),B313,IFERROR(_xlfn.NUMBERVALUE(B313,".",","),0)))</f>
        <v/>
      </c>
      <c r="O313">
        <f>IF(M313="","",IF(ISNUMBER(C313),C313,IFERROR(_xlfn.NUMBERVALUE(C313,".",","),0)))</f>
        <v/>
      </c>
    </row>
    <row r="314">
      <c r="K314">
        <f>IF(OR(LEFT(B314,9)="DOANH THU",LEFT(B314,8)="SỐ LƯỢNG"),A314,IF(A314="","",K313))</f>
        <v/>
      </c>
      <c r="L314">
        <f>IF(A314="","",IF(ISNUMBER(--LEFT(A314,FIND(" - ",A314&amp;" - ")-1)),LEFT(A314,FIND(" - ",A314&amp;" - ")-1),TRIM(A314)))</f>
        <v/>
      </c>
      <c r="M314">
        <f>IF(OR(K314="",K314=A314,A314=""),"",K314&amp;"|"&amp;L314)</f>
        <v/>
      </c>
      <c r="N314">
        <f>IF(M314="","",IF(ISNUMBER(B314),B314,IFERROR(_xlfn.NUMBERVALUE(B314,".",","),0)))</f>
        <v/>
      </c>
      <c r="O314">
        <f>IF(M314="","",IF(ISNUMBER(C314),C314,IFERROR(_xlfn.NUMBERVALUE(C314,".",","),0)))</f>
        <v/>
      </c>
    </row>
    <row r="315">
      <c r="K315">
        <f>IF(OR(LEFT(B315,9)="DOANH THU",LEFT(B315,8)="SỐ LƯỢNG"),A315,IF(A315="","",K314))</f>
        <v/>
      </c>
      <c r="L315">
        <f>IF(A315="","",IF(ISNUMBER(--LEFT(A315,FIND(" - ",A315&amp;" - ")-1)),LEFT(A315,FIND(" - ",A315&amp;" - ")-1),TRIM(A315)))</f>
        <v/>
      </c>
      <c r="M315">
        <f>IF(OR(K315="",K315=A315,A315=""),"",K315&amp;"|"&amp;L315)</f>
        <v/>
      </c>
      <c r="N315">
        <f>IF(M315="","",IF(ISNUMBER(B315),B315,IFERROR(_xlfn.NUMBERVALUE(B315,".",","),0)))</f>
        <v/>
      </c>
      <c r="O315">
        <f>IF(M315="","",IF(ISNUMBER(C315),C315,IFERROR(_xlfn.NUMBERVALUE(C315,".",","),0)))</f>
        <v/>
      </c>
    </row>
    <row r="316">
      <c r="K316">
        <f>IF(OR(LEFT(B316,9)="DOANH THU",LEFT(B316,8)="SỐ LƯỢNG"),A316,IF(A316="","",K315))</f>
        <v/>
      </c>
      <c r="L316">
        <f>IF(A316="","",IF(ISNUMBER(--LEFT(A316,FIND(" - ",A316&amp;" - ")-1)),LEFT(A316,FIND(" - ",A316&amp;" - ")-1),TRIM(A316)))</f>
        <v/>
      </c>
      <c r="M316">
        <f>IF(OR(K316="",K316=A316,A316=""),"",K316&amp;"|"&amp;L316)</f>
        <v/>
      </c>
      <c r="N316">
        <f>IF(M316="","",IF(ISNUMBER(B316),B316,IFERROR(_xlfn.NUMBERVALUE(B316,".",","),0)))</f>
        <v/>
      </c>
      <c r="O316">
        <f>IF(M316="","",IF(ISNUMBER(C316),C316,IFERROR(_xlfn.NUMBERVALUE(C316,".",","),0)))</f>
        <v/>
      </c>
    </row>
    <row r="317">
      <c r="K317">
        <f>IF(OR(LEFT(B317,9)="DOANH THU",LEFT(B317,8)="SỐ LƯỢNG"),A317,IF(A317="","",K316))</f>
        <v/>
      </c>
      <c r="L317">
        <f>IF(A317="","",IF(ISNUMBER(--LEFT(A317,FIND(" - ",A317&amp;" - ")-1)),LEFT(A317,FIND(" - ",A317&amp;" - ")-1),TRIM(A317)))</f>
        <v/>
      </c>
      <c r="M317">
        <f>IF(OR(K317="",K317=A317,A317=""),"",K317&amp;"|"&amp;L317)</f>
        <v/>
      </c>
      <c r="N317">
        <f>IF(M317="","",IF(ISNUMBER(B317),B317,IFERROR(_xlfn.NUMBERVALUE(B317,".",","),0)))</f>
        <v/>
      </c>
      <c r="O317">
        <f>IF(M317="","",IF(ISNUMBER(C317),C317,IFERROR(_xlfn.NUMBERVALUE(C317,".",","),0)))</f>
        <v/>
      </c>
    </row>
    <row r="318">
      <c r="K318">
        <f>IF(OR(LEFT(B318,9)="DOANH THU",LEFT(B318,8)="SỐ LƯỢNG"),A318,IF(A318="","",K317))</f>
        <v/>
      </c>
      <c r="L318">
        <f>IF(A318="","",IF(ISNUMBER(--LEFT(A318,FIND(" - ",A318&amp;" - ")-1)),LEFT(A318,FIND(" - ",A318&amp;" - ")-1),TRIM(A318)))</f>
        <v/>
      </c>
      <c r="M318">
        <f>IF(OR(K318="",K318=A318,A318=""),"",K318&amp;"|"&amp;L318)</f>
        <v/>
      </c>
      <c r="N318">
        <f>IF(M318="","",IF(ISNUMBER(B318),B318,IFERROR(_xlfn.NUMBERVALUE(B318,".",","),0)))</f>
        <v/>
      </c>
      <c r="O318">
        <f>IF(M318="","",IF(ISNUMBER(C318),C318,IFERROR(_xlfn.NUMBERVALUE(C318,".",","),0)))</f>
        <v/>
      </c>
    </row>
    <row r="319">
      <c r="K319">
        <f>IF(OR(LEFT(B319,9)="DOANH THU",LEFT(B319,8)="SỐ LƯỢNG"),A319,IF(A319="","",K318))</f>
        <v/>
      </c>
      <c r="L319">
        <f>IF(A319="","",IF(ISNUMBER(--LEFT(A319,FIND(" - ",A319&amp;" - ")-1)),LEFT(A319,FIND(" - ",A319&amp;" - ")-1),TRIM(A319)))</f>
        <v/>
      </c>
      <c r="M319">
        <f>IF(OR(K319="",K319=A319,A319=""),"",K319&amp;"|"&amp;L319)</f>
        <v/>
      </c>
      <c r="N319">
        <f>IF(M319="","",IF(ISNUMBER(B319),B319,IFERROR(_xlfn.NUMBERVALUE(B319,".",","),0)))</f>
        <v/>
      </c>
      <c r="O319">
        <f>IF(M319="","",IF(ISNUMBER(C319),C319,IFERROR(_xlfn.NUMBERVALUE(C319,".",","),0)))</f>
        <v/>
      </c>
    </row>
    <row r="320">
      <c r="K320">
        <f>IF(OR(LEFT(B320,9)="DOANH THU",LEFT(B320,8)="SỐ LƯỢNG"),A320,IF(A320="","",K319))</f>
        <v/>
      </c>
      <c r="L320">
        <f>IF(A320="","",IF(ISNUMBER(--LEFT(A320,FIND(" - ",A320&amp;" - ")-1)),LEFT(A320,FIND(" - ",A320&amp;" - ")-1),TRIM(A320)))</f>
        <v/>
      </c>
      <c r="M320">
        <f>IF(OR(K320="",K320=A320,A320=""),"",K320&amp;"|"&amp;L320)</f>
        <v/>
      </c>
      <c r="N320">
        <f>IF(M320="","",IF(ISNUMBER(B320),B320,IFERROR(_xlfn.NUMBERVALUE(B320,".",","),0)))</f>
        <v/>
      </c>
      <c r="O320">
        <f>IF(M320="","",IF(ISNUMBER(C320),C320,IFERROR(_xlfn.NUMBERVALUE(C320,".",","),0)))</f>
        <v/>
      </c>
    </row>
    <row r="321">
      <c r="K321">
        <f>IF(OR(LEFT(B321,9)="DOANH THU",LEFT(B321,8)="SỐ LƯỢNG"),A321,IF(A321="","",K320))</f>
        <v/>
      </c>
      <c r="L321">
        <f>IF(A321="","",IF(ISNUMBER(--LEFT(A321,FIND(" - ",A321&amp;" - ")-1)),LEFT(A321,FIND(" - ",A321&amp;" - ")-1),TRIM(A321)))</f>
        <v/>
      </c>
      <c r="M321">
        <f>IF(OR(K321="",K321=A321,A321=""),"",K321&amp;"|"&amp;L321)</f>
        <v/>
      </c>
      <c r="N321">
        <f>IF(M321="","",IF(ISNUMBER(B321),B321,IFERROR(_xlfn.NUMBERVALUE(B321,".",","),0)))</f>
        <v/>
      </c>
      <c r="O321">
        <f>IF(M321="","",IF(ISNUMBER(C321),C321,IFERROR(_xlfn.NUMBERVALUE(C321,".",","),0)))</f>
        <v/>
      </c>
    </row>
    <row r="322">
      <c r="K322">
        <f>IF(OR(LEFT(B322,9)="DOANH THU",LEFT(B322,8)="SỐ LƯỢNG"),A322,IF(A322="","",K321))</f>
        <v/>
      </c>
      <c r="L322">
        <f>IF(A322="","",IF(ISNUMBER(--LEFT(A322,FIND(" - ",A322&amp;" - ")-1)),LEFT(A322,FIND(" - ",A322&amp;" - ")-1),TRIM(A322)))</f>
        <v/>
      </c>
      <c r="M322">
        <f>IF(OR(K322="",K322=A322,A322=""),"",K322&amp;"|"&amp;L322)</f>
        <v/>
      </c>
      <c r="N322">
        <f>IF(M322="","",IF(ISNUMBER(B322),B322,IFERROR(_xlfn.NUMBERVALUE(B322,".",","),0)))</f>
        <v/>
      </c>
      <c r="O322">
        <f>IF(M322="","",IF(ISNUMBER(C322),C322,IFERROR(_xlfn.NUMBERVALUE(C322,".",","),0)))</f>
        <v/>
      </c>
    </row>
    <row r="323">
      <c r="K323">
        <f>IF(OR(LEFT(B323,9)="DOANH THU",LEFT(B323,8)="SỐ LƯỢNG"),A323,IF(A323="","",K322))</f>
        <v/>
      </c>
      <c r="L323">
        <f>IF(A323="","",IF(ISNUMBER(--LEFT(A323,FIND(" - ",A323&amp;" - ")-1)),LEFT(A323,FIND(" - ",A323&amp;" - ")-1),TRIM(A323)))</f>
        <v/>
      </c>
      <c r="M323">
        <f>IF(OR(K323="",K323=A323,A323=""),"",K323&amp;"|"&amp;L323)</f>
        <v/>
      </c>
      <c r="N323">
        <f>IF(M323="","",IF(ISNUMBER(B323),B323,IFERROR(_xlfn.NUMBERVALUE(B323,".",","),0)))</f>
        <v/>
      </c>
      <c r="O323">
        <f>IF(M323="","",IF(ISNUMBER(C323),C323,IFERROR(_xlfn.NUMBERVALUE(C323,".",","),0)))</f>
        <v/>
      </c>
    </row>
    <row r="324">
      <c r="K324">
        <f>IF(OR(LEFT(B324,9)="DOANH THU",LEFT(B324,8)="SỐ LƯỢNG"),A324,IF(A324="","",K323))</f>
        <v/>
      </c>
      <c r="L324">
        <f>IF(A324="","",IF(ISNUMBER(--LEFT(A324,FIND(" - ",A324&amp;" - ")-1)),LEFT(A324,FIND(" - ",A324&amp;" - ")-1),TRIM(A324)))</f>
        <v/>
      </c>
      <c r="M324">
        <f>IF(OR(K324="",K324=A324,A324=""),"",K324&amp;"|"&amp;L324)</f>
        <v/>
      </c>
      <c r="N324">
        <f>IF(M324="","",IF(ISNUMBER(B324),B324,IFERROR(_xlfn.NUMBERVALUE(B324,".",","),0)))</f>
        <v/>
      </c>
      <c r="O324">
        <f>IF(M324="","",IF(ISNUMBER(C324),C324,IFERROR(_xlfn.NUMBERVALUE(C324,".",","),0)))</f>
        <v/>
      </c>
    </row>
    <row r="325">
      <c r="K325">
        <f>IF(OR(LEFT(B325,9)="DOANH THU",LEFT(B325,8)="SỐ LƯỢNG"),A325,IF(A325="","",K324))</f>
        <v/>
      </c>
      <c r="L325">
        <f>IF(A325="","",IF(ISNUMBER(--LEFT(A325,FIND(" - ",A325&amp;" - ")-1)),LEFT(A325,FIND(" - ",A325&amp;" - ")-1),TRIM(A325)))</f>
        <v/>
      </c>
      <c r="M325">
        <f>IF(OR(K325="",K325=A325,A325=""),"",K325&amp;"|"&amp;L325)</f>
        <v/>
      </c>
      <c r="N325">
        <f>IF(M325="","",IF(ISNUMBER(B325),B325,IFERROR(_xlfn.NUMBERVALUE(B325,".",","),0)))</f>
        <v/>
      </c>
      <c r="O325">
        <f>IF(M325="","",IF(ISNUMBER(C325),C325,IFERROR(_xlfn.NUMBERVALUE(C325,".",","),0)))</f>
        <v/>
      </c>
    </row>
    <row r="326">
      <c r="K326">
        <f>IF(OR(LEFT(B326,9)="DOANH THU",LEFT(B326,8)="SỐ LƯỢNG"),A326,IF(A326="","",K325))</f>
        <v/>
      </c>
      <c r="L326">
        <f>IF(A326="","",IF(ISNUMBER(--LEFT(A326,FIND(" - ",A326&amp;" - ")-1)),LEFT(A326,FIND(" - ",A326&amp;" - ")-1),TRIM(A326)))</f>
        <v/>
      </c>
      <c r="M326">
        <f>IF(OR(K326="",K326=A326,A326=""),"",K326&amp;"|"&amp;L326)</f>
        <v/>
      </c>
      <c r="N326">
        <f>IF(M326="","",IF(ISNUMBER(B326),B326,IFERROR(_xlfn.NUMBERVALUE(B326,".",","),0)))</f>
        <v/>
      </c>
      <c r="O326">
        <f>IF(M326="","",IF(ISNUMBER(C326),C326,IFERROR(_xlfn.NUMBERVALUE(C326,".",","),0)))</f>
        <v/>
      </c>
    </row>
    <row r="327">
      <c r="K327">
        <f>IF(OR(LEFT(B327,9)="DOANH THU",LEFT(B327,8)="SỐ LƯỢNG"),A327,IF(A327="","",K326))</f>
        <v/>
      </c>
      <c r="L327">
        <f>IF(A327="","",IF(ISNUMBER(--LEFT(A327,FIND(" - ",A327&amp;" - ")-1)),LEFT(A327,FIND(" - ",A327&amp;" - ")-1),TRIM(A327)))</f>
        <v/>
      </c>
      <c r="M327">
        <f>IF(OR(K327="",K327=A327,A327=""),"",K327&amp;"|"&amp;L327)</f>
        <v/>
      </c>
      <c r="N327">
        <f>IF(M327="","",IF(ISNUMBER(B327),B327,IFERROR(_xlfn.NUMBERVALUE(B327,".",","),0)))</f>
        <v/>
      </c>
      <c r="O327">
        <f>IF(M327="","",IF(ISNUMBER(C327),C327,IFERROR(_xlfn.NUMBERVALUE(C327,".",","),0)))</f>
        <v/>
      </c>
    </row>
    <row r="328">
      <c r="K328">
        <f>IF(OR(LEFT(B328,9)="DOANH THU",LEFT(B328,8)="SỐ LƯỢNG"),A328,IF(A328="","",K327))</f>
        <v/>
      </c>
      <c r="L328">
        <f>IF(A328="","",IF(ISNUMBER(--LEFT(A328,FIND(" - ",A328&amp;" - ")-1)),LEFT(A328,FIND(" - ",A328&amp;" - ")-1),TRIM(A328)))</f>
        <v/>
      </c>
      <c r="M328">
        <f>IF(OR(K328="",K328=A328,A328=""),"",K328&amp;"|"&amp;L328)</f>
        <v/>
      </c>
      <c r="N328">
        <f>IF(M328="","",IF(ISNUMBER(B328),B328,IFERROR(_xlfn.NUMBERVALUE(B328,".",","),0)))</f>
        <v/>
      </c>
      <c r="O328">
        <f>IF(M328="","",IF(ISNUMBER(C328),C328,IFERROR(_xlfn.NUMBERVALUE(C328,".",","),0)))</f>
        <v/>
      </c>
    </row>
    <row r="329">
      <c r="K329">
        <f>IF(OR(LEFT(B329,9)="DOANH THU",LEFT(B329,8)="SỐ LƯỢNG"),A329,IF(A329="","",K328))</f>
        <v/>
      </c>
      <c r="L329">
        <f>IF(A329="","",IF(ISNUMBER(--LEFT(A329,FIND(" - ",A329&amp;" - ")-1)),LEFT(A329,FIND(" - ",A329&amp;" - ")-1),TRIM(A329)))</f>
        <v/>
      </c>
      <c r="M329">
        <f>IF(OR(K329="",K329=A329,A329=""),"",K329&amp;"|"&amp;L329)</f>
        <v/>
      </c>
      <c r="N329">
        <f>IF(M329="","",IF(ISNUMBER(B329),B329,IFERROR(_xlfn.NUMBERVALUE(B329,".",","),0)))</f>
        <v/>
      </c>
      <c r="O329">
        <f>IF(M329="","",IF(ISNUMBER(C329),C329,IFERROR(_xlfn.NUMBERVALUE(C329,".",","),0)))</f>
        <v/>
      </c>
    </row>
    <row r="330">
      <c r="K330">
        <f>IF(OR(LEFT(B330,9)="DOANH THU",LEFT(B330,8)="SỐ LƯỢNG"),A330,IF(A330="","",K329))</f>
        <v/>
      </c>
      <c r="L330">
        <f>IF(A330="","",IF(ISNUMBER(--LEFT(A330,FIND(" - ",A330&amp;" - ")-1)),LEFT(A330,FIND(" - ",A330&amp;" - ")-1),TRIM(A330)))</f>
        <v/>
      </c>
      <c r="M330">
        <f>IF(OR(K330="",K330=A330,A330=""),"",K330&amp;"|"&amp;L330)</f>
        <v/>
      </c>
      <c r="N330">
        <f>IF(M330="","",IF(ISNUMBER(B330),B330,IFERROR(_xlfn.NUMBERVALUE(B330,".",","),0)))</f>
        <v/>
      </c>
      <c r="O330">
        <f>IF(M330="","",IF(ISNUMBER(C330),C330,IFERROR(_xlfn.NUMBERVALUE(C330,".",","),0)))</f>
        <v/>
      </c>
    </row>
    <row r="331">
      <c r="K331">
        <f>IF(OR(LEFT(B331,9)="DOANH THU",LEFT(B331,8)="SỐ LƯỢNG"),A331,IF(A331="","",K330))</f>
        <v/>
      </c>
      <c r="L331">
        <f>IF(A331="","",IF(ISNUMBER(--LEFT(A331,FIND(" - ",A331&amp;" - ")-1)),LEFT(A331,FIND(" - ",A331&amp;" - ")-1),TRIM(A331)))</f>
        <v/>
      </c>
      <c r="M331">
        <f>IF(OR(K331="",K331=A331,A331=""),"",K331&amp;"|"&amp;L331)</f>
        <v/>
      </c>
      <c r="N331">
        <f>IF(M331="","",IF(ISNUMBER(B331),B331,IFERROR(_xlfn.NUMBERVALUE(B331,".",","),0)))</f>
        <v/>
      </c>
      <c r="O331">
        <f>IF(M331="","",IF(ISNUMBER(C331),C331,IFERROR(_xlfn.NUMBERVALUE(C331,".",","),0)))</f>
        <v/>
      </c>
    </row>
    <row r="332">
      <c r="K332">
        <f>IF(OR(LEFT(B332,9)="DOANH THU",LEFT(B332,8)="SỐ LƯỢNG"),A332,IF(A332="","",K331))</f>
        <v/>
      </c>
      <c r="L332">
        <f>IF(A332="","",IF(ISNUMBER(--LEFT(A332,FIND(" - ",A332&amp;" - ")-1)),LEFT(A332,FIND(" - ",A332&amp;" - ")-1),TRIM(A332)))</f>
        <v/>
      </c>
      <c r="M332">
        <f>IF(OR(K332="",K332=A332,A332=""),"",K332&amp;"|"&amp;L332)</f>
        <v/>
      </c>
      <c r="N332">
        <f>IF(M332="","",IF(ISNUMBER(B332),B332,IFERROR(_xlfn.NUMBERVALUE(B332,".",","),0)))</f>
        <v/>
      </c>
      <c r="O332">
        <f>IF(M332="","",IF(ISNUMBER(C332),C332,IFERROR(_xlfn.NUMBERVALUE(C332,".",","),0)))</f>
        <v/>
      </c>
    </row>
    <row r="333">
      <c r="K333">
        <f>IF(OR(LEFT(B333,9)="DOANH THU",LEFT(B333,8)="SỐ LƯỢNG"),A333,IF(A333="","",K332))</f>
        <v/>
      </c>
      <c r="L333">
        <f>IF(A333="","",IF(ISNUMBER(--LEFT(A333,FIND(" - ",A333&amp;" - ")-1)),LEFT(A333,FIND(" - ",A333&amp;" - ")-1),TRIM(A333)))</f>
        <v/>
      </c>
      <c r="M333">
        <f>IF(OR(K333="",K333=A333,A333=""),"",K333&amp;"|"&amp;L333)</f>
        <v/>
      </c>
      <c r="N333">
        <f>IF(M333="","",IF(ISNUMBER(B333),B333,IFERROR(_xlfn.NUMBERVALUE(B333,".",","),0)))</f>
        <v/>
      </c>
      <c r="O333">
        <f>IF(M333="","",IF(ISNUMBER(C333),C333,IFERROR(_xlfn.NUMBERVALUE(C333,".",","),0)))</f>
        <v/>
      </c>
    </row>
    <row r="334">
      <c r="K334">
        <f>IF(OR(LEFT(B334,9)="DOANH THU",LEFT(B334,8)="SỐ LƯỢNG"),A334,IF(A334="","",K333))</f>
        <v/>
      </c>
      <c r="L334">
        <f>IF(A334="","",IF(ISNUMBER(--LEFT(A334,FIND(" - ",A334&amp;" - ")-1)),LEFT(A334,FIND(" - ",A334&amp;" - ")-1),TRIM(A334)))</f>
        <v/>
      </c>
      <c r="M334">
        <f>IF(OR(K334="",K334=A334,A334=""),"",K334&amp;"|"&amp;L334)</f>
        <v/>
      </c>
      <c r="N334">
        <f>IF(M334="","",IF(ISNUMBER(B334),B334,IFERROR(_xlfn.NUMBERVALUE(B334,".",","),0)))</f>
        <v/>
      </c>
      <c r="O334">
        <f>IF(M334="","",IF(ISNUMBER(C334),C334,IFERROR(_xlfn.NUMBERVALUE(C334,".",","),0)))</f>
        <v/>
      </c>
    </row>
    <row r="335">
      <c r="K335">
        <f>IF(OR(LEFT(B335,9)="DOANH THU",LEFT(B335,8)="SỐ LƯỢNG"),A335,IF(A335="","",K334))</f>
        <v/>
      </c>
      <c r="L335">
        <f>IF(A335="","",IF(ISNUMBER(--LEFT(A335,FIND(" - ",A335&amp;" - ")-1)),LEFT(A335,FIND(" - ",A335&amp;" - ")-1),TRIM(A335)))</f>
        <v/>
      </c>
      <c r="M335">
        <f>IF(OR(K335="",K335=A335,A335=""),"",K335&amp;"|"&amp;L335)</f>
        <v/>
      </c>
      <c r="N335">
        <f>IF(M335="","",IF(ISNUMBER(B335),B335,IFERROR(_xlfn.NUMBERVALUE(B335,".",","),0)))</f>
        <v/>
      </c>
      <c r="O335">
        <f>IF(M335="","",IF(ISNUMBER(C335),C335,IFERROR(_xlfn.NUMBERVALUE(C335,".",","),0)))</f>
        <v/>
      </c>
    </row>
    <row r="336">
      <c r="K336">
        <f>IF(OR(LEFT(B336,9)="DOANH THU",LEFT(B336,8)="SỐ LƯỢNG"),A336,IF(A336="","",K335))</f>
        <v/>
      </c>
      <c r="L336">
        <f>IF(A336="","",IF(ISNUMBER(--LEFT(A336,FIND(" - ",A336&amp;" - ")-1)),LEFT(A336,FIND(" - ",A336&amp;" - ")-1),TRIM(A336)))</f>
        <v/>
      </c>
      <c r="M336">
        <f>IF(OR(K336="",K336=A336,A336=""),"",K336&amp;"|"&amp;L336)</f>
        <v/>
      </c>
      <c r="N336">
        <f>IF(M336="","",IF(ISNUMBER(B336),B336,IFERROR(_xlfn.NUMBERVALUE(B336,".",","),0)))</f>
        <v/>
      </c>
      <c r="O336">
        <f>IF(M336="","",IF(ISNUMBER(C336),C336,IFERROR(_xlfn.NUMBERVALUE(C336,".",","),0)))</f>
        <v/>
      </c>
    </row>
    <row r="337">
      <c r="K337">
        <f>IF(OR(LEFT(B337,9)="DOANH THU",LEFT(B337,8)="SỐ LƯỢNG"),A337,IF(A337="","",K336))</f>
        <v/>
      </c>
      <c r="L337">
        <f>IF(A337="","",IF(ISNUMBER(--LEFT(A337,FIND(" - ",A337&amp;" - ")-1)),LEFT(A337,FIND(" - ",A337&amp;" - ")-1),TRIM(A337)))</f>
        <v/>
      </c>
      <c r="M337">
        <f>IF(OR(K337="",K337=A337,A337=""),"",K337&amp;"|"&amp;L337)</f>
        <v/>
      </c>
      <c r="N337">
        <f>IF(M337="","",IF(ISNUMBER(B337),B337,IFERROR(_xlfn.NUMBERVALUE(B337,".",","),0)))</f>
        <v/>
      </c>
      <c r="O337">
        <f>IF(M337="","",IF(ISNUMBER(C337),C337,IFERROR(_xlfn.NUMBERVALUE(C337,".",","),0)))</f>
        <v/>
      </c>
    </row>
    <row r="338">
      <c r="K338">
        <f>IF(OR(LEFT(B338,9)="DOANH THU",LEFT(B338,8)="SỐ LƯỢNG"),A338,IF(A338="","",K337))</f>
        <v/>
      </c>
      <c r="L338">
        <f>IF(A338="","",IF(ISNUMBER(--LEFT(A338,FIND(" - ",A338&amp;" - ")-1)),LEFT(A338,FIND(" - ",A338&amp;" - ")-1),TRIM(A338)))</f>
        <v/>
      </c>
      <c r="M338">
        <f>IF(OR(K338="",K338=A338,A338=""),"",K338&amp;"|"&amp;L338)</f>
        <v/>
      </c>
      <c r="N338">
        <f>IF(M338="","",IF(ISNUMBER(B338),B338,IFERROR(_xlfn.NUMBERVALUE(B338,".",","),0)))</f>
        <v/>
      </c>
      <c r="O338">
        <f>IF(M338="","",IF(ISNUMBER(C338),C338,IFERROR(_xlfn.NUMBERVALUE(C338,".",","),0)))</f>
        <v/>
      </c>
    </row>
    <row r="339">
      <c r="K339">
        <f>IF(OR(LEFT(B339,9)="DOANH THU",LEFT(B339,8)="SỐ LƯỢNG"),A339,IF(A339="","",K338))</f>
        <v/>
      </c>
      <c r="L339">
        <f>IF(A339="","",IF(ISNUMBER(--LEFT(A339,FIND(" - ",A339&amp;" - ")-1)),LEFT(A339,FIND(" - ",A339&amp;" - ")-1),TRIM(A339)))</f>
        <v/>
      </c>
      <c r="M339">
        <f>IF(OR(K339="",K339=A339,A339=""),"",K339&amp;"|"&amp;L339)</f>
        <v/>
      </c>
      <c r="N339">
        <f>IF(M339="","",IF(ISNUMBER(B339),B339,IFERROR(_xlfn.NUMBERVALUE(B339,".",","),0)))</f>
        <v/>
      </c>
      <c r="O339">
        <f>IF(M339="","",IF(ISNUMBER(C339),C339,IFERROR(_xlfn.NUMBERVALUE(C339,".",","),0)))</f>
        <v/>
      </c>
    </row>
    <row r="340">
      <c r="K340">
        <f>IF(OR(LEFT(B340,9)="DOANH THU",LEFT(B340,8)="SỐ LƯỢNG"),A340,IF(A340="","",K339))</f>
        <v/>
      </c>
      <c r="L340">
        <f>IF(A340="","",IF(ISNUMBER(--LEFT(A340,FIND(" - ",A340&amp;" - ")-1)),LEFT(A340,FIND(" - ",A340&amp;" - ")-1),TRIM(A340)))</f>
        <v/>
      </c>
      <c r="M340">
        <f>IF(OR(K340="",K340=A340,A340=""),"",K340&amp;"|"&amp;L340)</f>
        <v/>
      </c>
      <c r="N340">
        <f>IF(M340="","",IF(ISNUMBER(B340),B340,IFERROR(_xlfn.NUMBERVALUE(B340,".",","),0)))</f>
        <v/>
      </c>
      <c r="O340">
        <f>IF(M340="","",IF(ISNUMBER(C340),C340,IFERROR(_xlfn.NUMBERVALUE(C340,".",","),0)))</f>
        <v/>
      </c>
    </row>
    <row r="341">
      <c r="K341">
        <f>IF(OR(LEFT(B341,9)="DOANH THU",LEFT(B341,8)="SỐ LƯỢNG"),A341,IF(A341="","",K340))</f>
        <v/>
      </c>
      <c r="L341">
        <f>IF(A341="","",IF(ISNUMBER(--LEFT(A341,FIND(" - ",A341&amp;" - ")-1)),LEFT(A341,FIND(" - ",A341&amp;" - ")-1),TRIM(A341)))</f>
        <v/>
      </c>
      <c r="M341">
        <f>IF(OR(K341="",K341=A341,A341=""),"",K341&amp;"|"&amp;L341)</f>
        <v/>
      </c>
      <c r="N341">
        <f>IF(M341="","",IF(ISNUMBER(B341),B341,IFERROR(_xlfn.NUMBERVALUE(B341,".",","),0)))</f>
        <v/>
      </c>
      <c r="O341">
        <f>IF(M341="","",IF(ISNUMBER(C341),C341,IFERROR(_xlfn.NUMBERVALUE(C341,".",","),0)))</f>
        <v/>
      </c>
    </row>
    <row r="342">
      <c r="K342">
        <f>IF(OR(LEFT(B342,9)="DOANH THU",LEFT(B342,8)="SỐ LƯỢNG"),A342,IF(A342="","",K341))</f>
        <v/>
      </c>
      <c r="L342">
        <f>IF(A342="","",IF(ISNUMBER(--LEFT(A342,FIND(" - ",A342&amp;" - ")-1)),LEFT(A342,FIND(" - ",A342&amp;" - ")-1),TRIM(A342)))</f>
        <v/>
      </c>
      <c r="M342">
        <f>IF(OR(K342="",K342=A342,A342=""),"",K342&amp;"|"&amp;L342)</f>
        <v/>
      </c>
      <c r="N342">
        <f>IF(M342="","",IF(ISNUMBER(B342),B342,IFERROR(_xlfn.NUMBERVALUE(B342,".",","),0)))</f>
        <v/>
      </c>
      <c r="O342">
        <f>IF(M342="","",IF(ISNUMBER(C342),C342,IFERROR(_xlfn.NUMBERVALUE(C342,".",","),0)))</f>
        <v/>
      </c>
    </row>
    <row r="343">
      <c r="K343">
        <f>IF(OR(LEFT(B343,9)="DOANH THU",LEFT(B343,8)="SỐ LƯỢNG"),A343,IF(A343="","",K342))</f>
        <v/>
      </c>
      <c r="L343">
        <f>IF(A343="","",IF(ISNUMBER(--LEFT(A343,FIND(" - ",A343&amp;" - ")-1)),LEFT(A343,FIND(" - ",A343&amp;" - ")-1),TRIM(A343)))</f>
        <v/>
      </c>
      <c r="M343">
        <f>IF(OR(K343="",K343=A343,A343=""),"",K343&amp;"|"&amp;L343)</f>
        <v/>
      </c>
      <c r="N343">
        <f>IF(M343="","",IF(ISNUMBER(B343),B343,IFERROR(_xlfn.NUMBERVALUE(B343,".",","),0)))</f>
        <v/>
      </c>
      <c r="O343">
        <f>IF(M343="","",IF(ISNUMBER(C343),C343,IFERROR(_xlfn.NUMBERVALUE(C343,".",","),0)))</f>
        <v/>
      </c>
    </row>
    <row r="344">
      <c r="K344">
        <f>IF(OR(LEFT(B344,9)="DOANH THU",LEFT(B344,8)="SỐ LƯỢNG"),A344,IF(A344="","",K343))</f>
        <v/>
      </c>
      <c r="L344">
        <f>IF(A344="","",IF(ISNUMBER(--LEFT(A344,FIND(" - ",A344&amp;" - ")-1)),LEFT(A344,FIND(" - ",A344&amp;" - ")-1),TRIM(A344)))</f>
        <v/>
      </c>
      <c r="M344">
        <f>IF(OR(K344="",K344=A344,A344=""),"",K344&amp;"|"&amp;L344)</f>
        <v/>
      </c>
      <c r="N344">
        <f>IF(M344="","",IF(ISNUMBER(B344),B344,IFERROR(_xlfn.NUMBERVALUE(B344,".",","),0)))</f>
        <v/>
      </c>
      <c r="O344">
        <f>IF(M344="","",IF(ISNUMBER(C344),C344,IFERROR(_xlfn.NUMBERVALUE(C344,".",","),0)))</f>
        <v/>
      </c>
    </row>
    <row r="345">
      <c r="K345">
        <f>IF(OR(LEFT(B345,9)="DOANH THU",LEFT(B345,8)="SỐ LƯỢNG"),A345,IF(A345="","",K344))</f>
        <v/>
      </c>
      <c r="L345">
        <f>IF(A345="","",IF(ISNUMBER(--LEFT(A345,FIND(" - ",A345&amp;" - ")-1)),LEFT(A345,FIND(" - ",A345&amp;" - ")-1),TRIM(A345)))</f>
        <v/>
      </c>
      <c r="M345">
        <f>IF(OR(K345="",K345=A345,A345=""),"",K345&amp;"|"&amp;L345)</f>
        <v/>
      </c>
      <c r="N345">
        <f>IF(M345="","",IF(ISNUMBER(B345),B345,IFERROR(_xlfn.NUMBERVALUE(B345,".",","),0)))</f>
        <v/>
      </c>
      <c r="O345">
        <f>IF(M345="","",IF(ISNUMBER(C345),C345,IFERROR(_xlfn.NUMBERVALUE(C345,".",","),0)))</f>
        <v/>
      </c>
    </row>
    <row r="346">
      <c r="K346">
        <f>IF(OR(LEFT(B346,9)="DOANH THU",LEFT(B346,8)="SỐ LƯỢNG"),A346,IF(A346="","",K345))</f>
        <v/>
      </c>
      <c r="L346">
        <f>IF(A346="","",IF(ISNUMBER(--LEFT(A346,FIND(" - ",A346&amp;" - ")-1)),LEFT(A346,FIND(" - ",A346&amp;" - ")-1),TRIM(A346)))</f>
        <v/>
      </c>
      <c r="M346">
        <f>IF(OR(K346="",K346=A346,A346=""),"",K346&amp;"|"&amp;L346)</f>
        <v/>
      </c>
      <c r="N346">
        <f>IF(M346="","",IF(ISNUMBER(B346),B346,IFERROR(_xlfn.NUMBERVALUE(B346,".",","),0)))</f>
        <v/>
      </c>
      <c r="O346">
        <f>IF(M346="","",IF(ISNUMBER(C346),C346,IFERROR(_xlfn.NUMBERVALUE(C346,".",","),0)))</f>
        <v/>
      </c>
    </row>
    <row r="347">
      <c r="K347">
        <f>IF(OR(LEFT(B347,9)="DOANH THU",LEFT(B347,8)="SỐ LƯỢNG"),A347,IF(A347="","",K346))</f>
        <v/>
      </c>
      <c r="L347">
        <f>IF(A347="","",IF(ISNUMBER(--LEFT(A347,FIND(" - ",A347&amp;" - ")-1)),LEFT(A347,FIND(" - ",A347&amp;" - ")-1),TRIM(A347)))</f>
        <v/>
      </c>
      <c r="M347">
        <f>IF(OR(K347="",K347=A347,A347=""),"",K347&amp;"|"&amp;L347)</f>
        <v/>
      </c>
      <c r="N347">
        <f>IF(M347="","",IF(ISNUMBER(B347),B347,IFERROR(_xlfn.NUMBERVALUE(B347,".",","),0)))</f>
        <v/>
      </c>
      <c r="O347">
        <f>IF(M347="","",IF(ISNUMBER(C347),C347,IFERROR(_xlfn.NUMBERVALUE(C347,".",","),0)))</f>
        <v/>
      </c>
    </row>
    <row r="348">
      <c r="K348">
        <f>IF(OR(LEFT(B348,9)="DOANH THU",LEFT(B348,8)="SỐ LƯỢNG"),A348,IF(A348="","",K347))</f>
        <v/>
      </c>
      <c r="L348">
        <f>IF(A348="","",IF(ISNUMBER(--LEFT(A348,FIND(" - ",A348&amp;" - ")-1)),LEFT(A348,FIND(" - ",A348&amp;" - ")-1),TRIM(A348)))</f>
        <v/>
      </c>
      <c r="M348">
        <f>IF(OR(K348="",K348=A348,A348=""),"",K348&amp;"|"&amp;L348)</f>
        <v/>
      </c>
      <c r="N348">
        <f>IF(M348="","",IF(ISNUMBER(B348),B348,IFERROR(_xlfn.NUMBERVALUE(B348,".",","),0)))</f>
        <v/>
      </c>
      <c r="O348">
        <f>IF(M348="","",IF(ISNUMBER(C348),C348,IFERROR(_xlfn.NUMBERVALUE(C348,".",","),0)))</f>
        <v/>
      </c>
    </row>
    <row r="349">
      <c r="K349">
        <f>IF(OR(LEFT(B349,9)="DOANH THU",LEFT(B349,8)="SỐ LƯỢNG"),A349,IF(A349="","",K348))</f>
        <v/>
      </c>
      <c r="L349">
        <f>IF(A349="","",IF(ISNUMBER(--LEFT(A349,FIND(" - ",A349&amp;" - ")-1)),LEFT(A349,FIND(" - ",A349&amp;" - ")-1),TRIM(A349)))</f>
        <v/>
      </c>
      <c r="M349">
        <f>IF(OR(K349="",K349=A349,A349=""),"",K349&amp;"|"&amp;L349)</f>
        <v/>
      </c>
      <c r="N349">
        <f>IF(M349="","",IF(ISNUMBER(B349),B349,IFERROR(_xlfn.NUMBERVALUE(B349,".",","),0)))</f>
        <v/>
      </c>
      <c r="O349">
        <f>IF(M349="","",IF(ISNUMBER(C349),C349,IFERROR(_xlfn.NUMBERVALUE(C349,".",","),0)))</f>
        <v/>
      </c>
    </row>
    <row r="350">
      <c r="K350">
        <f>IF(OR(LEFT(B350,9)="DOANH THU",LEFT(B350,8)="SỐ LƯỢNG"),A350,IF(A350="","",K349))</f>
        <v/>
      </c>
      <c r="L350">
        <f>IF(A350="","",IF(ISNUMBER(--LEFT(A350,FIND(" - ",A350&amp;" - ")-1)),LEFT(A350,FIND(" - ",A350&amp;" - ")-1),TRIM(A350)))</f>
        <v/>
      </c>
      <c r="M350">
        <f>IF(OR(K350="",K350=A350,A350=""),"",K350&amp;"|"&amp;L350)</f>
        <v/>
      </c>
      <c r="N350">
        <f>IF(M350="","",IF(ISNUMBER(B350),B350,IFERROR(_xlfn.NUMBERVALUE(B350,".",","),0)))</f>
        <v/>
      </c>
      <c r="O350">
        <f>IF(M350="","",IF(ISNUMBER(C350),C350,IFERROR(_xlfn.NUMBERVALUE(C350,".",","),0)))</f>
        <v/>
      </c>
    </row>
    <row r="351">
      <c r="K351">
        <f>IF(OR(LEFT(B351,9)="DOANH THU",LEFT(B351,8)="SỐ LƯỢNG"),A351,IF(A351="","",K350))</f>
        <v/>
      </c>
      <c r="L351">
        <f>IF(A351="","",IF(ISNUMBER(--LEFT(A351,FIND(" - ",A351&amp;" - ")-1)),LEFT(A351,FIND(" - ",A351&amp;" - ")-1),TRIM(A351)))</f>
        <v/>
      </c>
      <c r="M351">
        <f>IF(OR(K351="",K351=A351,A351=""),"",K351&amp;"|"&amp;L351)</f>
        <v/>
      </c>
      <c r="N351">
        <f>IF(M351="","",IF(ISNUMBER(B351),B351,IFERROR(_xlfn.NUMBERVALUE(B351,".",","),0)))</f>
        <v/>
      </c>
      <c r="O351">
        <f>IF(M351="","",IF(ISNUMBER(C351),C351,IFERROR(_xlfn.NUMBERVALUE(C351,".",","),0)))</f>
        <v/>
      </c>
    </row>
    <row r="352">
      <c r="K352">
        <f>IF(OR(LEFT(B352,9)="DOANH THU",LEFT(B352,8)="SỐ LƯỢNG"),A352,IF(A352="","",K351))</f>
        <v/>
      </c>
      <c r="L352">
        <f>IF(A352="","",IF(ISNUMBER(--LEFT(A352,FIND(" - ",A352&amp;" - ")-1)),LEFT(A352,FIND(" - ",A352&amp;" - ")-1),TRIM(A352)))</f>
        <v/>
      </c>
      <c r="M352">
        <f>IF(OR(K352="",K352=A352,A352=""),"",K352&amp;"|"&amp;L352)</f>
        <v/>
      </c>
      <c r="N352">
        <f>IF(M352="","",IF(ISNUMBER(B352),B352,IFERROR(_xlfn.NUMBERVALUE(B352,".",","),0)))</f>
        <v/>
      </c>
      <c r="O352">
        <f>IF(M352="","",IF(ISNUMBER(C352),C352,IFERROR(_xlfn.NUMBERVALUE(C352,".",","),0)))</f>
        <v/>
      </c>
    </row>
    <row r="353">
      <c r="K353">
        <f>IF(OR(LEFT(B353,9)="DOANH THU",LEFT(B353,8)="SỐ LƯỢNG"),A353,IF(A353="","",K352))</f>
        <v/>
      </c>
      <c r="L353">
        <f>IF(A353="","",IF(ISNUMBER(--LEFT(A353,FIND(" - ",A353&amp;" - ")-1)),LEFT(A353,FIND(" - ",A353&amp;" - ")-1),TRIM(A353)))</f>
        <v/>
      </c>
      <c r="M353">
        <f>IF(OR(K353="",K353=A353,A353=""),"",K353&amp;"|"&amp;L353)</f>
        <v/>
      </c>
      <c r="N353">
        <f>IF(M353="","",IF(ISNUMBER(B353),B353,IFERROR(_xlfn.NUMBERVALUE(B353,".",","),0)))</f>
        <v/>
      </c>
      <c r="O353">
        <f>IF(M353="","",IF(ISNUMBER(C353),C353,IFERROR(_xlfn.NUMBERVALUE(C353,".",","),0)))</f>
        <v/>
      </c>
    </row>
    <row r="354">
      <c r="K354">
        <f>IF(OR(LEFT(B354,9)="DOANH THU",LEFT(B354,8)="SỐ LƯỢNG"),A354,IF(A354="","",K353))</f>
        <v/>
      </c>
      <c r="L354">
        <f>IF(A354="","",IF(ISNUMBER(--LEFT(A354,FIND(" - ",A354&amp;" - ")-1)),LEFT(A354,FIND(" - ",A354&amp;" - ")-1),TRIM(A354)))</f>
        <v/>
      </c>
      <c r="M354">
        <f>IF(OR(K354="",K354=A354,A354=""),"",K354&amp;"|"&amp;L354)</f>
        <v/>
      </c>
      <c r="N354">
        <f>IF(M354="","",IF(ISNUMBER(B354),B354,IFERROR(_xlfn.NUMBERVALUE(B354,".",","),0)))</f>
        <v/>
      </c>
      <c r="O354">
        <f>IF(M354="","",IF(ISNUMBER(C354),C354,IFERROR(_xlfn.NUMBERVALUE(C354,".",","),0)))</f>
        <v/>
      </c>
    </row>
    <row r="355">
      <c r="K355">
        <f>IF(OR(LEFT(B355,9)="DOANH THU",LEFT(B355,8)="SỐ LƯỢNG"),A355,IF(A355="","",K354))</f>
        <v/>
      </c>
      <c r="L355">
        <f>IF(A355="","",IF(ISNUMBER(--LEFT(A355,FIND(" - ",A355&amp;" - ")-1)),LEFT(A355,FIND(" - ",A355&amp;" - ")-1),TRIM(A355)))</f>
        <v/>
      </c>
      <c r="M355">
        <f>IF(OR(K355="",K355=A355,A355=""),"",K355&amp;"|"&amp;L355)</f>
        <v/>
      </c>
      <c r="N355">
        <f>IF(M355="","",IF(ISNUMBER(B355),B355,IFERROR(_xlfn.NUMBERVALUE(B355,".",","),0)))</f>
        <v/>
      </c>
      <c r="O355">
        <f>IF(M355="","",IF(ISNUMBER(C355),C355,IFERROR(_xlfn.NUMBERVALUE(C355,".",","),0)))</f>
        <v/>
      </c>
    </row>
    <row r="356">
      <c r="K356">
        <f>IF(OR(LEFT(B356,9)="DOANH THU",LEFT(B356,8)="SỐ LƯỢNG"),A356,IF(A356="","",K355))</f>
        <v/>
      </c>
      <c r="L356">
        <f>IF(A356="","",IF(ISNUMBER(--LEFT(A356,FIND(" - ",A356&amp;" - ")-1)),LEFT(A356,FIND(" - ",A356&amp;" - ")-1),TRIM(A356)))</f>
        <v/>
      </c>
      <c r="M356">
        <f>IF(OR(K356="",K356=A356,A356=""),"",K356&amp;"|"&amp;L356)</f>
        <v/>
      </c>
      <c r="N356">
        <f>IF(M356="","",IF(ISNUMBER(B356),B356,IFERROR(_xlfn.NUMBERVALUE(B356,".",","),0)))</f>
        <v/>
      </c>
      <c r="O356">
        <f>IF(M356="","",IF(ISNUMBER(C356),C356,IFERROR(_xlfn.NUMBERVALUE(C356,".",","),0)))</f>
        <v/>
      </c>
    </row>
    <row r="357">
      <c r="K357">
        <f>IF(OR(LEFT(B357,9)="DOANH THU",LEFT(B357,8)="SỐ LƯỢNG"),A357,IF(A357="","",K356))</f>
        <v/>
      </c>
      <c r="L357">
        <f>IF(A357="","",IF(ISNUMBER(--LEFT(A357,FIND(" - ",A357&amp;" - ")-1)),LEFT(A357,FIND(" - ",A357&amp;" - ")-1),TRIM(A357)))</f>
        <v/>
      </c>
      <c r="M357">
        <f>IF(OR(K357="",K357=A357,A357=""),"",K357&amp;"|"&amp;L357)</f>
        <v/>
      </c>
      <c r="N357">
        <f>IF(M357="","",IF(ISNUMBER(B357),B357,IFERROR(_xlfn.NUMBERVALUE(B357,".",","),0)))</f>
        <v/>
      </c>
      <c r="O357">
        <f>IF(M357="","",IF(ISNUMBER(C357),C357,IFERROR(_xlfn.NUMBERVALUE(C357,".",","),0)))</f>
        <v/>
      </c>
    </row>
    <row r="358">
      <c r="K358">
        <f>IF(OR(LEFT(B358,9)="DOANH THU",LEFT(B358,8)="SỐ LƯỢNG"),A358,IF(A358="","",K357))</f>
        <v/>
      </c>
      <c r="L358">
        <f>IF(A358="","",IF(ISNUMBER(--LEFT(A358,FIND(" - ",A358&amp;" - ")-1)),LEFT(A358,FIND(" - ",A358&amp;" - ")-1),TRIM(A358)))</f>
        <v/>
      </c>
      <c r="M358">
        <f>IF(OR(K358="",K358=A358,A358=""),"",K358&amp;"|"&amp;L358)</f>
        <v/>
      </c>
      <c r="N358">
        <f>IF(M358="","",IF(ISNUMBER(B358),B358,IFERROR(_xlfn.NUMBERVALUE(B358,".",","),0)))</f>
        <v/>
      </c>
      <c r="O358">
        <f>IF(M358="","",IF(ISNUMBER(C358),C358,IFERROR(_xlfn.NUMBERVALUE(C358,".",","),0)))</f>
        <v/>
      </c>
    </row>
    <row r="359">
      <c r="K359">
        <f>IF(OR(LEFT(B359,9)="DOANH THU",LEFT(B359,8)="SỐ LƯỢNG"),A359,IF(A359="","",K358))</f>
        <v/>
      </c>
      <c r="L359">
        <f>IF(A359="","",IF(ISNUMBER(--LEFT(A359,FIND(" - ",A359&amp;" - ")-1)),LEFT(A359,FIND(" - ",A359&amp;" - ")-1),TRIM(A359)))</f>
        <v/>
      </c>
      <c r="M359">
        <f>IF(OR(K359="",K359=A359,A359=""),"",K359&amp;"|"&amp;L359)</f>
        <v/>
      </c>
      <c r="N359">
        <f>IF(M359="","",IF(ISNUMBER(B359),B359,IFERROR(_xlfn.NUMBERVALUE(B359,".",","),0)))</f>
        <v/>
      </c>
      <c r="O359">
        <f>IF(M359="","",IF(ISNUMBER(C359),C359,IFERROR(_xlfn.NUMBERVALUE(C359,".",","),0)))</f>
        <v/>
      </c>
    </row>
    <row r="360">
      <c r="K360">
        <f>IF(OR(LEFT(B360,9)="DOANH THU",LEFT(B360,8)="SỐ LƯỢNG"),A360,IF(A360="","",K359))</f>
        <v/>
      </c>
      <c r="L360">
        <f>IF(A360="","",IF(ISNUMBER(--LEFT(A360,FIND(" - ",A360&amp;" - ")-1)),LEFT(A360,FIND(" - ",A360&amp;" - ")-1),TRIM(A360)))</f>
        <v/>
      </c>
      <c r="M360">
        <f>IF(OR(K360="",K360=A360,A360=""),"",K360&amp;"|"&amp;L360)</f>
        <v/>
      </c>
      <c r="N360">
        <f>IF(M360="","",IF(ISNUMBER(B360),B360,IFERROR(_xlfn.NUMBERVALUE(B360,".",","),0)))</f>
        <v/>
      </c>
      <c r="O360">
        <f>IF(M360="","",IF(ISNUMBER(C360),C360,IFERROR(_xlfn.NUMBERVALUE(C360,".",","),0)))</f>
        <v/>
      </c>
    </row>
    <row r="361">
      <c r="K361">
        <f>IF(OR(LEFT(B361,9)="DOANH THU",LEFT(B361,8)="SỐ LƯỢNG"),A361,IF(A361="","",K360))</f>
        <v/>
      </c>
      <c r="L361">
        <f>IF(A361="","",IF(ISNUMBER(--LEFT(A361,FIND(" - ",A361&amp;" - ")-1)),LEFT(A361,FIND(" - ",A361&amp;" - ")-1),TRIM(A361)))</f>
        <v/>
      </c>
      <c r="M361">
        <f>IF(OR(K361="",K361=A361,A361=""),"",K361&amp;"|"&amp;L361)</f>
        <v/>
      </c>
      <c r="N361">
        <f>IF(M361="","",IF(ISNUMBER(B361),B361,IFERROR(_xlfn.NUMBERVALUE(B361,".",","),0)))</f>
        <v/>
      </c>
      <c r="O361">
        <f>IF(M361="","",IF(ISNUMBER(C361),C361,IFERROR(_xlfn.NUMBERVALUE(C361,".",","),0)))</f>
        <v/>
      </c>
    </row>
    <row r="362">
      <c r="K362">
        <f>IF(OR(LEFT(B362,9)="DOANH THU",LEFT(B362,8)="SỐ LƯỢNG"),A362,IF(A362="","",K361))</f>
        <v/>
      </c>
      <c r="L362">
        <f>IF(A362="","",IF(ISNUMBER(--LEFT(A362,FIND(" - ",A362&amp;" - ")-1)),LEFT(A362,FIND(" - ",A362&amp;" - ")-1),TRIM(A362)))</f>
        <v/>
      </c>
      <c r="M362">
        <f>IF(OR(K362="",K362=A362,A362=""),"",K362&amp;"|"&amp;L362)</f>
        <v/>
      </c>
      <c r="N362">
        <f>IF(M362="","",IF(ISNUMBER(B362),B362,IFERROR(_xlfn.NUMBERVALUE(B362,".",","),0)))</f>
        <v/>
      </c>
      <c r="O362">
        <f>IF(M362="","",IF(ISNUMBER(C362),C362,IFERROR(_xlfn.NUMBERVALUE(C362,".",","),0)))</f>
        <v/>
      </c>
    </row>
    <row r="363">
      <c r="K363">
        <f>IF(OR(LEFT(B363,9)="DOANH THU",LEFT(B363,8)="SỐ LƯỢNG"),A363,IF(A363="","",K362))</f>
        <v/>
      </c>
      <c r="L363">
        <f>IF(A363="","",IF(ISNUMBER(--LEFT(A363,FIND(" - ",A363&amp;" - ")-1)),LEFT(A363,FIND(" - ",A363&amp;" - ")-1),TRIM(A363)))</f>
        <v/>
      </c>
      <c r="M363">
        <f>IF(OR(K363="",K363=A363,A363=""),"",K363&amp;"|"&amp;L363)</f>
        <v/>
      </c>
      <c r="N363">
        <f>IF(M363="","",IF(ISNUMBER(B363),B363,IFERROR(_xlfn.NUMBERVALUE(B363,".",","),0)))</f>
        <v/>
      </c>
      <c r="O363">
        <f>IF(M363="","",IF(ISNUMBER(C363),C363,IFERROR(_xlfn.NUMBERVALUE(C363,".",","),0)))</f>
        <v/>
      </c>
    </row>
    <row r="364">
      <c r="K364">
        <f>IF(OR(LEFT(B364,9)="DOANH THU",LEFT(B364,8)="SỐ LƯỢNG"),A364,IF(A364="","",K363))</f>
        <v/>
      </c>
      <c r="L364">
        <f>IF(A364="","",IF(ISNUMBER(--LEFT(A364,FIND(" - ",A364&amp;" - ")-1)),LEFT(A364,FIND(" - ",A364&amp;" - ")-1),TRIM(A364)))</f>
        <v/>
      </c>
      <c r="M364">
        <f>IF(OR(K364="",K364=A364,A364=""),"",K364&amp;"|"&amp;L364)</f>
        <v/>
      </c>
      <c r="N364">
        <f>IF(M364="","",IF(ISNUMBER(B364),B364,IFERROR(_xlfn.NUMBERVALUE(B364,".",","),0)))</f>
        <v/>
      </c>
      <c r="O364">
        <f>IF(M364="","",IF(ISNUMBER(C364),C364,IFERROR(_xlfn.NUMBERVALUE(C364,".",","),0)))</f>
        <v/>
      </c>
    </row>
    <row r="365">
      <c r="K365">
        <f>IF(OR(LEFT(B365,9)="DOANH THU",LEFT(B365,8)="SỐ LƯỢNG"),A365,IF(A365="","",K364))</f>
        <v/>
      </c>
      <c r="L365">
        <f>IF(A365="","",IF(ISNUMBER(--LEFT(A365,FIND(" - ",A365&amp;" - ")-1)),LEFT(A365,FIND(" - ",A365&amp;" - ")-1),TRIM(A365)))</f>
        <v/>
      </c>
      <c r="M365">
        <f>IF(OR(K365="",K365=A365,A365=""),"",K365&amp;"|"&amp;L365)</f>
        <v/>
      </c>
      <c r="N365">
        <f>IF(M365="","",IF(ISNUMBER(B365),B365,IFERROR(_xlfn.NUMBERVALUE(B365,".",","),0)))</f>
        <v/>
      </c>
      <c r="O365">
        <f>IF(M365="","",IF(ISNUMBER(C365),C365,IFERROR(_xlfn.NUMBERVALUE(C365,".",","),0)))</f>
        <v/>
      </c>
    </row>
    <row r="366">
      <c r="K366">
        <f>IF(OR(LEFT(B366,9)="DOANH THU",LEFT(B366,8)="SỐ LƯỢNG"),A366,IF(A366="","",K365))</f>
        <v/>
      </c>
      <c r="L366">
        <f>IF(A366="","",IF(ISNUMBER(--LEFT(A366,FIND(" - ",A366&amp;" - ")-1)),LEFT(A366,FIND(" - ",A366&amp;" - ")-1),TRIM(A366)))</f>
        <v/>
      </c>
      <c r="M366">
        <f>IF(OR(K366="",K366=A366,A366=""),"",K366&amp;"|"&amp;L366)</f>
        <v/>
      </c>
      <c r="N366">
        <f>IF(M366="","",IF(ISNUMBER(B366),B366,IFERROR(_xlfn.NUMBERVALUE(B366,".",","),0)))</f>
        <v/>
      </c>
      <c r="O366">
        <f>IF(M366="","",IF(ISNUMBER(C366),C366,IFERROR(_xlfn.NUMBERVALUE(C366,".",","),0)))</f>
        <v/>
      </c>
    </row>
    <row r="367">
      <c r="K367">
        <f>IF(OR(LEFT(B367,9)="DOANH THU",LEFT(B367,8)="SỐ LƯỢNG"),A367,IF(A367="","",K366))</f>
        <v/>
      </c>
      <c r="L367">
        <f>IF(A367="","",IF(ISNUMBER(--LEFT(A367,FIND(" - ",A367&amp;" - ")-1)),LEFT(A367,FIND(" - ",A367&amp;" - ")-1),TRIM(A367)))</f>
        <v/>
      </c>
      <c r="M367">
        <f>IF(OR(K367="",K367=A367,A367=""),"",K367&amp;"|"&amp;L367)</f>
        <v/>
      </c>
      <c r="N367">
        <f>IF(M367="","",IF(ISNUMBER(B367),B367,IFERROR(_xlfn.NUMBERVALUE(B367,".",","),0)))</f>
        <v/>
      </c>
      <c r="O367">
        <f>IF(M367="","",IF(ISNUMBER(C367),C367,IFERROR(_xlfn.NUMBERVALUE(C367,".",","),0)))</f>
        <v/>
      </c>
    </row>
    <row r="368">
      <c r="K368">
        <f>IF(OR(LEFT(B368,9)="DOANH THU",LEFT(B368,8)="SỐ LƯỢNG"),A368,IF(A368="","",K367))</f>
        <v/>
      </c>
      <c r="L368">
        <f>IF(A368="","",IF(ISNUMBER(--LEFT(A368,FIND(" - ",A368&amp;" - ")-1)),LEFT(A368,FIND(" - ",A368&amp;" - ")-1),TRIM(A368)))</f>
        <v/>
      </c>
      <c r="M368">
        <f>IF(OR(K368="",K368=A368,A368=""),"",K368&amp;"|"&amp;L368)</f>
        <v/>
      </c>
      <c r="N368">
        <f>IF(M368="","",IF(ISNUMBER(B368),B368,IFERROR(_xlfn.NUMBERVALUE(B368,".",","),0)))</f>
        <v/>
      </c>
      <c r="O368">
        <f>IF(M368="","",IF(ISNUMBER(C368),C368,IFERROR(_xlfn.NUMBERVALUE(C368,".",","),0)))</f>
        <v/>
      </c>
    </row>
    <row r="369">
      <c r="K369">
        <f>IF(OR(LEFT(B369,9)="DOANH THU",LEFT(B369,8)="SỐ LƯỢNG"),A369,IF(A369="","",K368))</f>
        <v/>
      </c>
      <c r="L369">
        <f>IF(A369="","",IF(ISNUMBER(--LEFT(A369,FIND(" - ",A369&amp;" - ")-1)),LEFT(A369,FIND(" - ",A369&amp;" - ")-1),TRIM(A369)))</f>
        <v/>
      </c>
      <c r="M369">
        <f>IF(OR(K369="",K369=A369,A369=""),"",K369&amp;"|"&amp;L369)</f>
        <v/>
      </c>
      <c r="N369">
        <f>IF(M369="","",IF(ISNUMBER(B369),B369,IFERROR(_xlfn.NUMBERVALUE(B369,".",","),0)))</f>
        <v/>
      </c>
      <c r="O369">
        <f>IF(M369="","",IF(ISNUMBER(C369),C369,IFERROR(_xlfn.NUMBERVALUE(C369,".",","),0)))</f>
        <v/>
      </c>
    </row>
    <row r="370">
      <c r="K370">
        <f>IF(OR(LEFT(B370,9)="DOANH THU",LEFT(B370,8)="SỐ LƯỢNG"),A370,IF(A370="","",K369))</f>
        <v/>
      </c>
      <c r="L370">
        <f>IF(A370="","",IF(ISNUMBER(--LEFT(A370,FIND(" - ",A370&amp;" - ")-1)),LEFT(A370,FIND(" - ",A370&amp;" - ")-1),TRIM(A370)))</f>
        <v/>
      </c>
      <c r="M370">
        <f>IF(OR(K370="",K370=A370,A370=""),"",K370&amp;"|"&amp;L370)</f>
        <v/>
      </c>
      <c r="N370">
        <f>IF(M370="","",IF(ISNUMBER(B370),B370,IFERROR(_xlfn.NUMBERVALUE(B370,".",","),0)))</f>
        <v/>
      </c>
      <c r="O370">
        <f>IF(M370="","",IF(ISNUMBER(C370),C370,IFERROR(_xlfn.NUMBERVALUE(C370,".",","),0)))</f>
        <v/>
      </c>
    </row>
    <row r="371">
      <c r="K371">
        <f>IF(OR(LEFT(B371,9)="DOANH THU",LEFT(B371,8)="SỐ LƯỢNG"),A371,IF(A371="","",K370))</f>
        <v/>
      </c>
      <c r="L371">
        <f>IF(A371="","",IF(ISNUMBER(--LEFT(A371,FIND(" - ",A371&amp;" - ")-1)),LEFT(A371,FIND(" - ",A371&amp;" - ")-1),TRIM(A371)))</f>
        <v/>
      </c>
      <c r="M371">
        <f>IF(OR(K371="",K371=A371,A371=""),"",K371&amp;"|"&amp;L371)</f>
        <v/>
      </c>
      <c r="N371">
        <f>IF(M371="","",IF(ISNUMBER(B371),B371,IFERROR(_xlfn.NUMBERVALUE(B371,".",","),0)))</f>
        <v/>
      </c>
      <c r="O371">
        <f>IF(M371="","",IF(ISNUMBER(C371),C371,IFERROR(_xlfn.NUMBERVALUE(C371,".",","),0)))</f>
        <v/>
      </c>
    </row>
    <row r="372">
      <c r="K372">
        <f>IF(OR(LEFT(B372,9)="DOANH THU",LEFT(B372,8)="SỐ LƯỢNG"),A372,IF(A372="","",K371))</f>
        <v/>
      </c>
      <c r="L372">
        <f>IF(A372="","",IF(ISNUMBER(--LEFT(A372,FIND(" - ",A372&amp;" - ")-1)),LEFT(A372,FIND(" - ",A372&amp;" - ")-1),TRIM(A372)))</f>
        <v/>
      </c>
      <c r="M372">
        <f>IF(OR(K372="",K372=A372,A372=""),"",K372&amp;"|"&amp;L372)</f>
        <v/>
      </c>
      <c r="N372">
        <f>IF(M372="","",IF(ISNUMBER(B372),B372,IFERROR(_xlfn.NUMBERVALUE(B372,".",","),0)))</f>
        <v/>
      </c>
      <c r="O372">
        <f>IF(M372="","",IF(ISNUMBER(C372),C372,IFERROR(_xlfn.NUMBERVALUE(C372,".",","),0)))</f>
        <v/>
      </c>
    </row>
    <row r="373">
      <c r="K373">
        <f>IF(OR(LEFT(B373,9)="DOANH THU",LEFT(B373,8)="SỐ LƯỢNG"),A373,IF(A373="","",K372))</f>
        <v/>
      </c>
      <c r="L373">
        <f>IF(A373="","",IF(ISNUMBER(--LEFT(A373,FIND(" - ",A373&amp;" - ")-1)),LEFT(A373,FIND(" - ",A373&amp;" - ")-1),TRIM(A373)))</f>
        <v/>
      </c>
      <c r="M373">
        <f>IF(OR(K373="",K373=A373,A373=""),"",K373&amp;"|"&amp;L373)</f>
        <v/>
      </c>
      <c r="N373">
        <f>IF(M373="","",IF(ISNUMBER(B373),B373,IFERROR(_xlfn.NUMBERVALUE(B373,".",","),0)))</f>
        <v/>
      </c>
      <c r="O373">
        <f>IF(M373="","",IF(ISNUMBER(C373),C373,IFERROR(_xlfn.NUMBERVALUE(C373,".",","),0)))</f>
        <v/>
      </c>
    </row>
    <row r="374">
      <c r="K374">
        <f>IF(OR(LEFT(B374,9)="DOANH THU",LEFT(B374,8)="SỐ LƯỢNG"),A374,IF(A374="","",K373))</f>
        <v/>
      </c>
      <c r="L374">
        <f>IF(A374="","",IF(ISNUMBER(--LEFT(A374,FIND(" - ",A374&amp;" - ")-1)),LEFT(A374,FIND(" - ",A374&amp;" - ")-1),TRIM(A374)))</f>
        <v/>
      </c>
      <c r="M374">
        <f>IF(OR(K374="",K374=A374,A374=""),"",K374&amp;"|"&amp;L374)</f>
        <v/>
      </c>
      <c r="N374">
        <f>IF(M374="","",IF(ISNUMBER(B374),B374,IFERROR(_xlfn.NUMBERVALUE(B374,".",","),0)))</f>
        <v/>
      </c>
      <c r="O374">
        <f>IF(M374="","",IF(ISNUMBER(C374),C374,IFERROR(_xlfn.NUMBERVALUE(C374,".",","),0)))</f>
        <v/>
      </c>
    </row>
    <row r="375">
      <c r="K375">
        <f>IF(OR(LEFT(B375,9)="DOANH THU",LEFT(B375,8)="SỐ LƯỢNG"),A375,IF(A375="","",K374))</f>
        <v/>
      </c>
      <c r="L375">
        <f>IF(A375="","",IF(ISNUMBER(--LEFT(A375,FIND(" - ",A375&amp;" - ")-1)),LEFT(A375,FIND(" - ",A375&amp;" - ")-1),TRIM(A375)))</f>
        <v/>
      </c>
      <c r="M375">
        <f>IF(OR(K375="",K375=A375,A375=""),"",K375&amp;"|"&amp;L375)</f>
        <v/>
      </c>
      <c r="N375">
        <f>IF(M375="","",IF(ISNUMBER(B375),B375,IFERROR(_xlfn.NUMBERVALUE(B375,".",","),0)))</f>
        <v/>
      </c>
      <c r="O375">
        <f>IF(M375="","",IF(ISNUMBER(C375),C375,IFERROR(_xlfn.NUMBERVALUE(C375,".",","),0)))</f>
        <v/>
      </c>
    </row>
    <row r="376">
      <c r="K376">
        <f>IF(OR(LEFT(B376,9)="DOANH THU",LEFT(B376,8)="SỐ LƯỢNG"),A376,IF(A376="","",K375))</f>
        <v/>
      </c>
      <c r="L376">
        <f>IF(A376="","",IF(ISNUMBER(--LEFT(A376,FIND(" - ",A376&amp;" - ")-1)),LEFT(A376,FIND(" - ",A376&amp;" - ")-1),TRIM(A376)))</f>
        <v/>
      </c>
      <c r="M376">
        <f>IF(OR(K376="",K376=A376,A376=""),"",K376&amp;"|"&amp;L376)</f>
        <v/>
      </c>
      <c r="N376">
        <f>IF(M376="","",IF(ISNUMBER(B376),B376,IFERROR(_xlfn.NUMBERVALUE(B376,".",","),0)))</f>
        <v/>
      </c>
      <c r="O376">
        <f>IF(M376="","",IF(ISNUMBER(C376),C376,IFERROR(_xlfn.NUMBERVALUE(C376,".",","),0)))</f>
        <v/>
      </c>
    </row>
    <row r="377">
      <c r="K377">
        <f>IF(OR(LEFT(B377,9)="DOANH THU",LEFT(B377,8)="SỐ LƯỢNG"),A377,IF(A377="","",K376))</f>
        <v/>
      </c>
      <c r="L377">
        <f>IF(A377="","",IF(ISNUMBER(--LEFT(A377,FIND(" - ",A377&amp;" - ")-1)),LEFT(A377,FIND(" - ",A377&amp;" - ")-1),TRIM(A377)))</f>
        <v/>
      </c>
      <c r="M377">
        <f>IF(OR(K377="",K377=A377,A377=""),"",K377&amp;"|"&amp;L377)</f>
        <v/>
      </c>
      <c r="N377">
        <f>IF(M377="","",IF(ISNUMBER(B377),B377,IFERROR(_xlfn.NUMBERVALUE(B377,".",","),0)))</f>
        <v/>
      </c>
      <c r="O377">
        <f>IF(M377="","",IF(ISNUMBER(C377),C377,IFERROR(_xlfn.NUMBERVALUE(C377,".",","),0)))</f>
        <v/>
      </c>
    </row>
    <row r="378">
      <c r="K378">
        <f>IF(OR(LEFT(B378,9)="DOANH THU",LEFT(B378,8)="SỐ LƯỢNG"),A378,IF(A378="","",K377))</f>
        <v/>
      </c>
      <c r="L378">
        <f>IF(A378="","",IF(ISNUMBER(--LEFT(A378,FIND(" - ",A378&amp;" - ")-1)),LEFT(A378,FIND(" - ",A378&amp;" - ")-1),TRIM(A378)))</f>
        <v/>
      </c>
      <c r="M378">
        <f>IF(OR(K378="",K378=A378,A378=""),"",K378&amp;"|"&amp;L378)</f>
        <v/>
      </c>
      <c r="N378">
        <f>IF(M378="","",IF(ISNUMBER(B378),B378,IFERROR(_xlfn.NUMBERVALUE(B378,".",","),0)))</f>
        <v/>
      </c>
      <c r="O378">
        <f>IF(M378="","",IF(ISNUMBER(C378),C378,IFERROR(_xlfn.NUMBERVALUE(C378,".",","),0)))</f>
        <v/>
      </c>
    </row>
    <row r="379">
      <c r="K379">
        <f>IF(OR(LEFT(B379,9)="DOANH THU",LEFT(B379,8)="SỐ LƯỢNG"),A379,IF(A379="","",K378))</f>
        <v/>
      </c>
      <c r="L379">
        <f>IF(A379="","",IF(ISNUMBER(--LEFT(A379,FIND(" - ",A379&amp;" - ")-1)),LEFT(A379,FIND(" - ",A379&amp;" - ")-1),TRIM(A379)))</f>
        <v/>
      </c>
      <c r="M379">
        <f>IF(OR(K379="",K379=A379,A379=""),"",K379&amp;"|"&amp;L379)</f>
        <v/>
      </c>
      <c r="N379">
        <f>IF(M379="","",IF(ISNUMBER(B379),B379,IFERROR(_xlfn.NUMBERVALUE(B379,".",","),0)))</f>
        <v/>
      </c>
      <c r="O379">
        <f>IF(M379="","",IF(ISNUMBER(C379),C379,IFERROR(_xlfn.NUMBERVALUE(C379,".",","),0)))</f>
        <v/>
      </c>
    </row>
    <row r="380">
      <c r="K380">
        <f>IF(OR(LEFT(B380,9)="DOANH THU",LEFT(B380,8)="SỐ LƯỢNG"),A380,IF(A380="","",K379))</f>
        <v/>
      </c>
      <c r="L380">
        <f>IF(A380="","",IF(ISNUMBER(--LEFT(A380,FIND(" - ",A380&amp;" - ")-1)),LEFT(A380,FIND(" - ",A380&amp;" - ")-1),TRIM(A380)))</f>
        <v/>
      </c>
      <c r="M380">
        <f>IF(OR(K380="",K380=A380,A380=""),"",K380&amp;"|"&amp;L380)</f>
        <v/>
      </c>
      <c r="N380">
        <f>IF(M380="","",IF(ISNUMBER(B380),B380,IFERROR(_xlfn.NUMBERVALUE(B380,".",","),0)))</f>
        <v/>
      </c>
      <c r="O380">
        <f>IF(M380="","",IF(ISNUMBER(C380),C380,IFERROR(_xlfn.NUMBERVALUE(C380,".",","),0)))</f>
        <v/>
      </c>
    </row>
    <row r="381">
      <c r="K381">
        <f>IF(OR(LEFT(B381,9)="DOANH THU",LEFT(B381,8)="SỐ LƯỢNG"),A381,IF(A381="","",K380))</f>
        <v/>
      </c>
      <c r="L381">
        <f>IF(A381="","",IF(ISNUMBER(--LEFT(A381,FIND(" - ",A381&amp;" - ")-1)),LEFT(A381,FIND(" - ",A381&amp;" - ")-1),TRIM(A381)))</f>
        <v/>
      </c>
      <c r="M381">
        <f>IF(OR(K381="",K381=A381,A381=""),"",K381&amp;"|"&amp;L381)</f>
        <v/>
      </c>
      <c r="N381">
        <f>IF(M381="","",IF(ISNUMBER(B381),B381,IFERROR(_xlfn.NUMBERVALUE(B381,".",","),0)))</f>
        <v/>
      </c>
      <c r="O381">
        <f>IF(M381="","",IF(ISNUMBER(C381),C381,IFERROR(_xlfn.NUMBERVALUE(C381,".",","),0)))</f>
        <v/>
      </c>
    </row>
    <row r="382">
      <c r="K382">
        <f>IF(OR(LEFT(B382,9)="DOANH THU",LEFT(B382,8)="SỐ LƯỢNG"),A382,IF(A382="","",K381))</f>
        <v/>
      </c>
      <c r="L382">
        <f>IF(A382="","",IF(ISNUMBER(--LEFT(A382,FIND(" - ",A382&amp;" - ")-1)),LEFT(A382,FIND(" - ",A382&amp;" - ")-1),TRIM(A382)))</f>
        <v/>
      </c>
      <c r="M382">
        <f>IF(OR(K382="",K382=A382,A382=""),"",K382&amp;"|"&amp;L382)</f>
        <v/>
      </c>
      <c r="N382">
        <f>IF(M382="","",IF(ISNUMBER(B382),B382,IFERROR(_xlfn.NUMBERVALUE(B382,".",","),0)))</f>
        <v/>
      </c>
      <c r="O382">
        <f>IF(M382="","",IF(ISNUMBER(C382),C382,IFERROR(_xlfn.NUMBERVALUE(C382,".",","),0)))</f>
        <v/>
      </c>
    </row>
    <row r="383">
      <c r="K383">
        <f>IF(OR(LEFT(B383,9)="DOANH THU",LEFT(B383,8)="SỐ LƯỢNG"),A383,IF(A383="","",K382))</f>
        <v/>
      </c>
      <c r="L383">
        <f>IF(A383="","",IF(ISNUMBER(--LEFT(A383,FIND(" - ",A383&amp;" - ")-1)),LEFT(A383,FIND(" - ",A383&amp;" - ")-1),TRIM(A383)))</f>
        <v/>
      </c>
      <c r="M383">
        <f>IF(OR(K383="",K383=A383,A383=""),"",K383&amp;"|"&amp;L383)</f>
        <v/>
      </c>
      <c r="N383">
        <f>IF(M383="","",IF(ISNUMBER(B383),B383,IFERROR(_xlfn.NUMBERVALUE(B383,".",","),0)))</f>
        <v/>
      </c>
      <c r="O383">
        <f>IF(M383="","",IF(ISNUMBER(C383),C383,IFERROR(_xlfn.NUMBERVALUE(C383,".",","),0)))</f>
        <v/>
      </c>
    </row>
    <row r="384">
      <c r="K384">
        <f>IF(OR(LEFT(B384,9)="DOANH THU",LEFT(B384,8)="SỐ LƯỢNG"),A384,IF(A384="","",K383))</f>
        <v/>
      </c>
      <c r="L384">
        <f>IF(A384="","",IF(ISNUMBER(--LEFT(A384,FIND(" - ",A384&amp;" - ")-1)),LEFT(A384,FIND(" - ",A384&amp;" - ")-1),TRIM(A384)))</f>
        <v/>
      </c>
      <c r="M384">
        <f>IF(OR(K384="",K384=A384,A384=""),"",K384&amp;"|"&amp;L384)</f>
        <v/>
      </c>
      <c r="N384">
        <f>IF(M384="","",IF(ISNUMBER(B384),B384,IFERROR(_xlfn.NUMBERVALUE(B384,".",","),0)))</f>
        <v/>
      </c>
      <c r="O384">
        <f>IF(M384="","",IF(ISNUMBER(C384),C384,IFERROR(_xlfn.NUMBERVALUE(C384,".",","),0)))</f>
        <v/>
      </c>
    </row>
    <row r="385">
      <c r="K385">
        <f>IF(OR(LEFT(B385,9)="DOANH THU",LEFT(B385,8)="SỐ LƯỢNG"),A385,IF(A385="","",K384))</f>
        <v/>
      </c>
      <c r="L385">
        <f>IF(A385="","",IF(ISNUMBER(--LEFT(A385,FIND(" - ",A385&amp;" - ")-1)),LEFT(A385,FIND(" - ",A385&amp;" - ")-1),TRIM(A385)))</f>
        <v/>
      </c>
      <c r="M385">
        <f>IF(OR(K385="",K385=A385,A385=""),"",K385&amp;"|"&amp;L385)</f>
        <v/>
      </c>
      <c r="N385">
        <f>IF(M385="","",IF(ISNUMBER(B385),B385,IFERROR(_xlfn.NUMBERVALUE(B385,".",","),0)))</f>
        <v/>
      </c>
      <c r="O385">
        <f>IF(M385="","",IF(ISNUMBER(C385),C385,IFERROR(_xlfn.NUMBERVALUE(C385,".",","),0)))</f>
        <v/>
      </c>
    </row>
    <row r="386">
      <c r="K386">
        <f>IF(OR(LEFT(B386,9)="DOANH THU",LEFT(B386,8)="SỐ LƯỢNG"),A386,IF(A386="","",K385))</f>
        <v/>
      </c>
      <c r="L386">
        <f>IF(A386="","",IF(ISNUMBER(--LEFT(A386,FIND(" - ",A386&amp;" - ")-1)),LEFT(A386,FIND(" - ",A386&amp;" - ")-1),TRIM(A386)))</f>
        <v/>
      </c>
      <c r="M386">
        <f>IF(OR(K386="",K386=A386,A386=""),"",K386&amp;"|"&amp;L386)</f>
        <v/>
      </c>
      <c r="N386">
        <f>IF(M386="","",IF(ISNUMBER(B386),B386,IFERROR(_xlfn.NUMBERVALUE(B386,".",","),0)))</f>
        <v/>
      </c>
      <c r="O386">
        <f>IF(M386="","",IF(ISNUMBER(C386),C386,IFERROR(_xlfn.NUMBERVALUE(C386,".",","),0)))</f>
        <v/>
      </c>
    </row>
    <row r="387">
      <c r="K387">
        <f>IF(OR(LEFT(B387,9)="DOANH THU",LEFT(B387,8)="SỐ LƯỢNG"),A387,IF(A387="","",K386))</f>
        <v/>
      </c>
      <c r="L387">
        <f>IF(A387="","",IF(ISNUMBER(--LEFT(A387,FIND(" - ",A387&amp;" - ")-1)),LEFT(A387,FIND(" - ",A387&amp;" - ")-1),TRIM(A387)))</f>
        <v/>
      </c>
      <c r="M387">
        <f>IF(OR(K387="",K387=A387,A387=""),"",K387&amp;"|"&amp;L387)</f>
        <v/>
      </c>
      <c r="N387">
        <f>IF(M387="","",IF(ISNUMBER(B387),B387,IFERROR(_xlfn.NUMBERVALUE(B387,".",","),0)))</f>
        <v/>
      </c>
      <c r="O387">
        <f>IF(M387="","",IF(ISNUMBER(C387),C387,IFERROR(_xlfn.NUMBERVALUE(C387,".",","),0)))</f>
        <v/>
      </c>
    </row>
    <row r="388">
      <c r="K388">
        <f>IF(OR(LEFT(B388,9)="DOANH THU",LEFT(B388,8)="SỐ LƯỢNG"),A388,IF(A388="","",K387))</f>
        <v/>
      </c>
      <c r="L388">
        <f>IF(A388="","",IF(ISNUMBER(--LEFT(A388,FIND(" - ",A388&amp;" - ")-1)),LEFT(A388,FIND(" - ",A388&amp;" - ")-1),TRIM(A388)))</f>
        <v/>
      </c>
      <c r="M388">
        <f>IF(OR(K388="",K388=A388,A388=""),"",K388&amp;"|"&amp;L388)</f>
        <v/>
      </c>
      <c r="N388">
        <f>IF(M388="","",IF(ISNUMBER(B388),B388,IFERROR(_xlfn.NUMBERVALUE(B388,".",","),0)))</f>
        <v/>
      </c>
      <c r="O388">
        <f>IF(M388="","",IF(ISNUMBER(C388),C388,IFERROR(_xlfn.NUMBERVALUE(C388,".",","),0)))</f>
        <v/>
      </c>
    </row>
    <row r="389">
      <c r="K389">
        <f>IF(OR(LEFT(B389,9)="DOANH THU",LEFT(B389,8)="SỐ LƯỢNG"),A389,IF(A389="","",K388))</f>
        <v/>
      </c>
      <c r="L389">
        <f>IF(A389="","",IF(ISNUMBER(--LEFT(A389,FIND(" - ",A389&amp;" - ")-1)),LEFT(A389,FIND(" - ",A389&amp;" - ")-1),TRIM(A389)))</f>
        <v/>
      </c>
      <c r="M389">
        <f>IF(OR(K389="",K389=A389,A389=""),"",K389&amp;"|"&amp;L389)</f>
        <v/>
      </c>
      <c r="N389">
        <f>IF(M389="","",IF(ISNUMBER(B389),B389,IFERROR(_xlfn.NUMBERVALUE(B389,".",","),0)))</f>
        <v/>
      </c>
      <c r="O389">
        <f>IF(M389="","",IF(ISNUMBER(C389),C389,IFERROR(_xlfn.NUMBERVALUE(C389,".",","),0)))</f>
        <v/>
      </c>
    </row>
    <row r="390">
      <c r="K390">
        <f>IF(OR(LEFT(B390,9)="DOANH THU",LEFT(B390,8)="SỐ LƯỢNG"),A390,IF(A390="","",K389))</f>
        <v/>
      </c>
      <c r="L390">
        <f>IF(A390="","",IF(ISNUMBER(--LEFT(A390,FIND(" - ",A390&amp;" - ")-1)),LEFT(A390,FIND(" - ",A390&amp;" - ")-1),TRIM(A390)))</f>
        <v/>
      </c>
      <c r="M390">
        <f>IF(OR(K390="",K390=A390,A390=""),"",K390&amp;"|"&amp;L390)</f>
        <v/>
      </c>
      <c r="N390">
        <f>IF(M390="","",IF(ISNUMBER(B390),B390,IFERROR(_xlfn.NUMBERVALUE(B390,".",","),0)))</f>
        <v/>
      </c>
      <c r="O390">
        <f>IF(M390="","",IF(ISNUMBER(C390),C390,IFERROR(_xlfn.NUMBERVALUE(C390,".",","),0)))</f>
        <v/>
      </c>
    </row>
    <row r="391">
      <c r="K391">
        <f>IF(OR(LEFT(B391,9)="DOANH THU",LEFT(B391,8)="SỐ LƯỢNG"),A391,IF(A391="","",K390))</f>
        <v/>
      </c>
      <c r="L391">
        <f>IF(A391="","",IF(ISNUMBER(--LEFT(A391,FIND(" - ",A391&amp;" - ")-1)),LEFT(A391,FIND(" - ",A391&amp;" - ")-1),TRIM(A391)))</f>
        <v/>
      </c>
      <c r="M391">
        <f>IF(OR(K391="",K391=A391,A391=""),"",K391&amp;"|"&amp;L391)</f>
        <v/>
      </c>
      <c r="N391">
        <f>IF(M391="","",IF(ISNUMBER(B391),B391,IFERROR(_xlfn.NUMBERVALUE(B391,".",","),0)))</f>
        <v/>
      </c>
      <c r="O391">
        <f>IF(M391="","",IF(ISNUMBER(C391),C391,IFERROR(_xlfn.NUMBERVALUE(C391,".",","),0)))</f>
        <v/>
      </c>
    </row>
    <row r="392">
      <c r="K392">
        <f>IF(OR(LEFT(B392,9)="DOANH THU",LEFT(B392,8)="SỐ LƯỢNG"),A392,IF(A392="","",K391))</f>
        <v/>
      </c>
      <c r="L392">
        <f>IF(A392="","",IF(ISNUMBER(--LEFT(A392,FIND(" - ",A392&amp;" - ")-1)),LEFT(A392,FIND(" - ",A392&amp;" - ")-1),TRIM(A392)))</f>
        <v/>
      </c>
      <c r="M392">
        <f>IF(OR(K392="",K392=A392,A392=""),"",K392&amp;"|"&amp;L392)</f>
        <v/>
      </c>
      <c r="N392">
        <f>IF(M392="","",IF(ISNUMBER(B392),B392,IFERROR(_xlfn.NUMBERVALUE(B392,".",","),0)))</f>
        <v/>
      </c>
      <c r="O392">
        <f>IF(M392="","",IF(ISNUMBER(C392),C392,IFERROR(_xlfn.NUMBERVALUE(C392,".",","),0)))</f>
        <v/>
      </c>
    </row>
    <row r="393">
      <c r="K393">
        <f>IF(OR(LEFT(B393,9)="DOANH THU",LEFT(B393,8)="SỐ LƯỢNG"),A393,IF(A393="","",K392))</f>
        <v/>
      </c>
      <c r="L393">
        <f>IF(A393="","",IF(ISNUMBER(--LEFT(A393,FIND(" - ",A393&amp;" - ")-1)),LEFT(A393,FIND(" - ",A393&amp;" - ")-1),TRIM(A393)))</f>
        <v/>
      </c>
      <c r="M393">
        <f>IF(OR(K393="",K393=A393,A393=""),"",K393&amp;"|"&amp;L393)</f>
        <v/>
      </c>
      <c r="N393">
        <f>IF(M393="","",IF(ISNUMBER(B393),B393,IFERROR(_xlfn.NUMBERVALUE(B393,".",","),0)))</f>
        <v/>
      </c>
      <c r="O393">
        <f>IF(M393="","",IF(ISNUMBER(C393),C393,IFERROR(_xlfn.NUMBERVALUE(C393,".",","),0)))</f>
        <v/>
      </c>
    </row>
    <row r="394">
      <c r="K394">
        <f>IF(OR(LEFT(B394,9)="DOANH THU",LEFT(B394,8)="SỐ LƯỢNG"),A394,IF(A394="","",K393))</f>
        <v/>
      </c>
      <c r="L394">
        <f>IF(A394="","",IF(ISNUMBER(--LEFT(A394,FIND(" - ",A394&amp;" - ")-1)),LEFT(A394,FIND(" - ",A394&amp;" - ")-1),TRIM(A394)))</f>
        <v/>
      </c>
      <c r="M394">
        <f>IF(OR(K394="",K394=A394,A394=""),"",K394&amp;"|"&amp;L394)</f>
        <v/>
      </c>
      <c r="N394">
        <f>IF(M394="","",IF(ISNUMBER(B394),B394,IFERROR(_xlfn.NUMBERVALUE(B394,".",","),0)))</f>
        <v/>
      </c>
      <c r="O394">
        <f>IF(M394="","",IF(ISNUMBER(C394),C394,IFERROR(_xlfn.NUMBERVALUE(C394,".",","),0)))</f>
        <v/>
      </c>
    </row>
    <row r="395">
      <c r="K395">
        <f>IF(OR(LEFT(B395,9)="DOANH THU",LEFT(B395,8)="SỐ LƯỢNG"),A395,IF(A395="","",K394))</f>
        <v/>
      </c>
      <c r="L395">
        <f>IF(A395="","",IF(ISNUMBER(--LEFT(A395,FIND(" - ",A395&amp;" - ")-1)),LEFT(A395,FIND(" - ",A395&amp;" - ")-1),TRIM(A395)))</f>
        <v/>
      </c>
      <c r="M395">
        <f>IF(OR(K395="",K395=A395,A395=""),"",K395&amp;"|"&amp;L395)</f>
        <v/>
      </c>
      <c r="N395">
        <f>IF(M395="","",IF(ISNUMBER(B395),B395,IFERROR(_xlfn.NUMBERVALUE(B395,".",","),0)))</f>
        <v/>
      </c>
      <c r="O395">
        <f>IF(M395="","",IF(ISNUMBER(C395),C395,IFERROR(_xlfn.NUMBERVALUE(C395,".",","),0)))</f>
        <v/>
      </c>
    </row>
    <row r="396">
      <c r="K396">
        <f>IF(OR(LEFT(B396,9)="DOANH THU",LEFT(B396,8)="SỐ LƯỢNG"),A396,IF(A396="","",K395))</f>
        <v/>
      </c>
      <c r="L396">
        <f>IF(A396="","",IF(ISNUMBER(--LEFT(A396,FIND(" - ",A396&amp;" - ")-1)),LEFT(A396,FIND(" - ",A396&amp;" - ")-1),TRIM(A396)))</f>
        <v/>
      </c>
      <c r="M396">
        <f>IF(OR(K396="",K396=A396,A396=""),"",K396&amp;"|"&amp;L396)</f>
        <v/>
      </c>
      <c r="N396">
        <f>IF(M396="","",IF(ISNUMBER(B396),B396,IFERROR(_xlfn.NUMBERVALUE(B396,".",","),0)))</f>
        <v/>
      </c>
      <c r="O396">
        <f>IF(M396="","",IF(ISNUMBER(C396),C396,IFERROR(_xlfn.NUMBERVALUE(C396,".",","),0)))</f>
        <v/>
      </c>
    </row>
    <row r="397">
      <c r="K397">
        <f>IF(OR(LEFT(B397,9)="DOANH THU",LEFT(B397,8)="SỐ LƯỢNG"),A397,IF(A397="","",K396))</f>
        <v/>
      </c>
      <c r="L397">
        <f>IF(A397="","",IF(ISNUMBER(--LEFT(A397,FIND(" - ",A397&amp;" - ")-1)),LEFT(A397,FIND(" - ",A397&amp;" - ")-1),TRIM(A397)))</f>
        <v/>
      </c>
      <c r="M397">
        <f>IF(OR(K397="",K397=A397,A397=""),"",K397&amp;"|"&amp;L397)</f>
        <v/>
      </c>
      <c r="N397">
        <f>IF(M397="","",IF(ISNUMBER(B397),B397,IFERROR(_xlfn.NUMBERVALUE(B397,".",","),0)))</f>
        <v/>
      </c>
      <c r="O397">
        <f>IF(M397="","",IF(ISNUMBER(C397),C397,IFERROR(_xlfn.NUMBERVALUE(C397,".",","),0)))</f>
        <v/>
      </c>
    </row>
    <row r="398">
      <c r="K398">
        <f>IF(OR(LEFT(B398,9)="DOANH THU",LEFT(B398,8)="SỐ LƯỢNG"),A398,IF(A398="","",K397))</f>
        <v/>
      </c>
      <c r="L398">
        <f>IF(A398="","",IF(ISNUMBER(--LEFT(A398,FIND(" - ",A398&amp;" - ")-1)),LEFT(A398,FIND(" - ",A398&amp;" - ")-1),TRIM(A398)))</f>
        <v/>
      </c>
      <c r="M398">
        <f>IF(OR(K398="",K398=A398,A398=""),"",K398&amp;"|"&amp;L398)</f>
        <v/>
      </c>
      <c r="N398">
        <f>IF(M398="","",IF(ISNUMBER(B398),B398,IFERROR(_xlfn.NUMBERVALUE(B398,".",","),0)))</f>
        <v/>
      </c>
      <c r="O398">
        <f>IF(M398="","",IF(ISNUMBER(C398),C398,IFERROR(_xlfn.NUMBERVALUE(C398,".",","),0)))</f>
        <v/>
      </c>
    </row>
    <row r="399">
      <c r="K399">
        <f>IF(OR(LEFT(B399,9)="DOANH THU",LEFT(B399,8)="SỐ LƯỢNG"),A399,IF(A399="","",K398))</f>
        <v/>
      </c>
      <c r="L399">
        <f>IF(A399="","",IF(ISNUMBER(--LEFT(A399,FIND(" - ",A399&amp;" - ")-1)),LEFT(A399,FIND(" - ",A399&amp;" - ")-1),TRIM(A399)))</f>
        <v/>
      </c>
      <c r="M399">
        <f>IF(OR(K399="",K399=A399,A399=""),"",K399&amp;"|"&amp;L399)</f>
        <v/>
      </c>
      <c r="N399">
        <f>IF(M399="","",IF(ISNUMBER(B399),B399,IFERROR(_xlfn.NUMBERVALUE(B399,".",","),0)))</f>
        <v/>
      </c>
      <c r="O399">
        <f>IF(M399="","",IF(ISNUMBER(C399),C399,IFERROR(_xlfn.NUMBERVALUE(C399,".",","),0)))</f>
        <v/>
      </c>
    </row>
    <row r="400">
      <c r="K400">
        <f>IF(OR(LEFT(B400,9)="DOANH THU",LEFT(B400,8)="SỐ LƯỢNG"),A400,IF(A400="","",K399))</f>
        <v/>
      </c>
      <c r="L400">
        <f>IF(A400="","",IF(ISNUMBER(--LEFT(A400,FIND(" - ",A400&amp;" - ")-1)),LEFT(A400,FIND(" - ",A400&amp;" - ")-1),TRIM(A400)))</f>
        <v/>
      </c>
      <c r="M400">
        <f>IF(OR(K400="",K400=A400,A400=""),"",K400&amp;"|"&amp;L400)</f>
        <v/>
      </c>
      <c r="N400">
        <f>IF(M400="","",IF(ISNUMBER(B400),B400,IFERROR(_xlfn.NUMBERVALUE(B400,".",","),0)))</f>
        <v/>
      </c>
      <c r="O400">
        <f>IF(M400="","",IF(ISNUMBER(C400),C400,IFERROR(_xlfn.NUMBERVALUE(C400,".",","),0)))</f>
        <v/>
      </c>
    </row>
    <row r="401">
      <c r="K401">
        <f>IF(OR(LEFT(B401,9)="DOANH THU",LEFT(B401,8)="SỐ LƯỢNG"),A401,IF(A401="","",K400))</f>
        <v/>
      </c>
      <c r="L401">
        <f>IF(A401="","",IF(ISNUMBER(--LEFT(A401,FIND(" - ",A401&amp;" - ")-1)),LEFT(A401,FIND(" - ",A401&amp;" - ")-1),TRIM(A401)))</f>
        <v/>
      </c>
      <c r="M401">
        <f>IF(OR(K401="",K401=A401,A401=""),"",K401&amp;"|"&amp;L401)</f>
        <v/>
      </c>
      <c r="N401">
        <f>IF(M401="","",IF(ISNUMBER(B401),B401,IFERROR(_xlfn.NUMBERVALUE(B401,".",","),0)))</f>
        <v/>
      </c>
      <c r="O401">
        <f>IF(M401="","",IF(ISNUMBER(C401),C401,IFERROR(_xlfn.NUMBERVALUE(C401,".",","),0)))</f>
        <v/>
      </c>
    </row>
    <row r="402">
      <c r="K402">
        <f>IF(OR(LEFT(B402,9)="DOANH THU",LEFT(B402,8)="SỐ LƯỢNG"),A402,IF(A402="","",K401))</f>
        <v/>
      </c>
      <c r="L402">
        <f>IF(A402="","",IF(ISNUMBER(--LEFT(A402,FIND(" - ",A402&amp;" - ")-1)),LEFT(A402,FIND(" - ",A402&amp;" - ")-1),TRIM(A402)))</f>
        <v/>
      </c>
      <c r="M402">
        <f>IF(OR(K402="",K402=A402,A402=""),"",K402&amp;"|"&amp;L402)</f>
        <v/>
      </c>
      <c r="N402">
        <f>IF(M402="","",IF(ISNUMBER(B402),B402,IFERROR(_xlfn.NUMBERVALUE(B402,".",","),0)))</f>
        <v/>
      </c>
      <c r="O402">
        <f>IF(M402="","",IF(ISNUMBER(C402),C402,IFERROR(_xlfn.NUMBERVALUE(C402,".",","),0)))</f>
        <v/>
      </c>
    </row>
    <row r="403">
      <c r="K403">
        <f>IF(OR(LEFT(B403,9)="DOANH THU",LEFT(B403,8)="SỐ LƯỢNG"),A403,IF(A403="","",K402))</f>
        <v/>
      </c>
      <c r="L403">
        <f>IF(A403="","",IF(ISNUMBER(--LEFT(A403,FIND(" - ",A403&amp;" - ")-1)),LEFT(A403,FIND(" - ",A403&amp;" - ")-1),TRIM(A403)))</f>
        <v/>
      </c>
      <c r="M403">
        <f>IF(OR(K403="",K403=A403,A403=""),"",K403&amp;"|"&amp;L403)</f>
        <v/>
      </c>
      <c r="N403">
        <f>IF(M403="","",IF(ISNUMBER(B403),B403,IFERROR(_xlfn.NUMBERVALUE(B403,".",","),0)))</f>
        <v/>
      </c>
      <c r="O403">
        <f>IF(M403="","",IF(ISNUMBER(C403),C403,IFERROR(_xlfn.NUMBERVALUE(C403,".",","),0)))</f>
        <v/>
      </c>
    </row>
    <row r="404">
      <c r="K404">
        <f>IF(OR(LEFT(B404,9)="DOANH THU",LEFT(B404,8)="SỐ LƯỢNG"),A404,IF(A404="","",K403))</f>
        <v/>
      </c>
      <c r="L404">
        <f>IF(A404="","",IF(ISNUMBER(--LEFT(A404,FIND(" - ",A404&amp;" - ")-1)),LEFT(A404,FIND(" - ",A404&amp;" - ")-1),TRIM(A404)))</f>
        <v/>
      </c>
      <c r="M404">
        <f>IF(OR(K404="",K404=A404,A404=""),"",K404&amp;"|"&amp;L404)</f>
        <v/>
      </c>
      <c r="N404">
        <f>IF(M404="","",IF(ISNUMBER(B404),B404,IFERROR(_xlfn.NUMBERVALUE(B404,".",","),0)))</f>
        <v/>
      </c>
      <c r="O404">
        <f>IF(M404="","",IF(ISNUMBER(C404),C404,IFERROR(_xlfn.NUMBERVALUE(C404,".",","),0)))</f>
        <v/>
      </c>
    </row>
    <row r="405">
      <c r="K405">
        <f>IF(OR(LEFT(B405,9)="DOANH THU",LEFT(B405,8)="SỐ LƯỢNG"),A405,IF(A405="","",K404))</f>
        <v/>
      </c>
      <c r="L405">
        <f>IF(A405="","",IF(ISNUMBER(--LEFT(A405,FIND(" - ",A405&amp;" - ")-1)),LEFT(A405,FIND(" - ",A405&amp;" - ")-1),TRIM(A405)))</f>
        <v/>
      </c>
      <c r="M405">
        <f>IF(OR(K405="",K405=A405,A405=""),"",K405&amp;"|"&amp;L405)</f>
        <v/>
      </c>
      <c r="N405">
        <f>IF(M405="","",IF(ISNUMBER(B405),B405,IFERROR(_xlfn.NUMBERVALUE(B405,".",","),0)))</f>
        <v/>
      </c>
      <c r="O405">
        <f>IF(M405="","",IF(ISNUMBER(C405),C405,IFERROR(_xlfn.NUMBERVALUE(C405,".",","),0)))</f>
        <v/>
      </c>
    </row>
    <row r="406">
      <c r="K406">
        <f>IF(OR(LEFT(B406,9)="DOANH THU",LEFT(B406,8)="SỐ LƯỢNG"),A406,IF(A406="","",K405))</f>
        <v/>
      </c>
      <c r="L406">
        <f>IF(A406="","",IF(ISNUMBER(--LEFT(A406,FIND(" - ",A406&amp;" - ")-1)),LEFT(A406,FIND(" - ",A406&amp;" - ")-1),TRIM(A406)))</f>
        <v/>
      </c>
      <c r="M406">
        <f>IF(OR(K406="",K406=A406,A406=""),"",K406&amp;"|"&amp;L406)</f>
        <v/>
      </c>
      <c r="N406">
        <f>IF(M406="","",IF(ISNUMBER(B406),B406,IFERROR(_xlfn.NUMBERVALUE(B406,".",","),0)))</f>
        <v/>
      </c>
      <c r="O406">
        <f>IF(M406="","",IF(ISNUMBER(C406),C406,IFERROR(_xlfn.NUMBERVALUE(C406,".",","),0)))</f>
        <v/>
      </c>
    </row>
    <row r="407">
      <c r="K407">
        <f>IF(OR(LEFT(B407,9)="DOANH THU",LEFT(B407,8)="SỐ LƯỢNG"),A407,IF(A407="","",K406))</f>
        <v/>
      </c>
      <c r="L407">
        <f>IF(A407="","",IF(ISNUMBER(--LEFT(A407,FIND(" - ",A407&amp;" - ")-1)),LEFT(A407,FIND(" - ",A407&amp;" - ")-1),TRIM(A407)))</f>
        <v/>
      </c>
      <c r="M407">
        <f>IF(OR(K407="",K407=A407,A407=""),"",K407&amp;"|"&amp;L407)</f>
        <v/>
      </c>
      <c r="N407">
        <f>IF(M407="","",IF(ISNUMBER(B407),B407,IFERROR(_xlfn.NUMBERVALUE(B407,".",","),0)))</f>
        <v/>
      </c>
      <c r="O407">
        <f>IF(M407="","",IF(ISNUMBER(C407),C407,IFERROR(_xlfn.NUMBERVALUE(C407,".",","),0)))</f>
        <v/>
      </c>
    </row>
    <row r="408">
      <c r="K408">
        <f>IF(OR(LEFT(B408,9)="DOANH THU",LEFT(B408,8)="SỐ LƯỢNG"),A408,IF(A408="","",K407))</f>
        <v/>
      </c>
      <c r="L408">
        <f>IF(A408="","",IF(ISNUMBER(--LEFT(A408,FIND(" - ",A408&amp;" - ")-1)),LEFT(A408,FIND(" - ",A408&amp;" - ")-1),TRIM(A408)))</f>
        <v/>
      </c>
      <c r="M408">
        <f>IF(OR(K408="",K408=A408,A408=""),"",K408&amp;"|"&amp;L408)</f>
        <v/>
      </c>
      <c r="N408">
        <f>IF(M408="","",IF(ISNUMBER(B408),B408,IFERROR(_xlfn.NUMBERVALUE(B408,".",","),0)))</f>
        <v/>
      </c>
      <c r="O408">
        <f>IF(M408="","",IF(ISNUMBER(C408),C408,IFERROR(_xlfn.NUMBERVALUE(C408,".",","),0)))</f>
        <v/>
      </c>
    </row>
    <row r="409">
      <c r="K409">
        <f>IF(OR(LEFT(B409,9)="DOANH THU",LEFT(B409,8)="SỐ LƯỢNG"),A409,IF(A409="","",K408))</f>
        <v/>
      </c>
      <c r="L409">
        <f>IF(A409="","",IF(ISNUMBER(--LEFT(A409,FIND(" - ",A409&amp;" - ")-1)),LEFT(A409,FIND(" - ",A409&amp;" - ")-1),TRIM(A409)))</f>
        <v/>
      </c>
      <c r="M409">
        <f>IF(OR(K409="",K409=A409,A409=""),"",K409&amp;"|"&amp;L409)</f>
        <v/>
      </c>
      <c r="N409">
        <f>IF(M409="","",IF(ISNUMBER(B409),B409,IFERROR(_xlfn.NUMBERVALUE(B409,".",","),0)))</f>
        <v/>
      </c>
      <c r="O409">
        <f>IF(M409="","",IF(ISNUMBER(C409),C409,IFERROR(_xlfn.NUMBERVALUE(C409,".",","),0)))</f>
        <v/>
      </c>
    </row>
    <row r="410">
      <c r="K410">
        <f>IF(OR(LEFT(B410,9)="DOANH THU",LEFT(B410,8)="SỐ LƯỢNG"),A410,IF(A410="","",K409))</f>
        <v/>
      </c>
      <c r="L410">
        <f>IF(A410="","",IF(ISNUMBER(--LEFT(A410,FIND(" - ",A410&amp;" - ")-1)),LEFT(A410,FIND(" - ",A410&amp;" - ")-1),TRIM(A410)))</f>
        <v/>
      </c>
      <c r="M410">
        <f>IF(OR(K410="",K410=A410,A410=""),"",K410&amp;"|"&amp;L410)</f>
        <v/>
      </c>
      <c r="N410">
        <f>IF(M410="","",IF(ISNUMBER(B410),B410,IFERROR(_xlfn.NUMBERVALUE(B410,".",","),0)))</f>
        <v/>
      </c>
      <c r="O410">
        <f>IF(M410="","",IF(ISNUMBER(C410),C410,IFERROR(_xlfn.NUMBERVALUE(C410,".",","),0)))</f>
        <v/>
      </c>
    </row>
    <row r="411">
      <c r="K411">
        <f>IF(OR(LEFT(B411,9)="DOANH THU",LEFT(B411,8)="SỐ LƯỢNG"),A411,IF(A411="","",K410))</f>
        <v/>
      </c>
      <c r="L411">
        <f>IF(A411="","",IF(ISNUMBER(--LEFT(A411,FIND(" - ",A411&amp;" - ")-1)),LEFT(A411,FIND(" - ",A411&amp;" - ")-1),TRIM(A411)))</f>
        <v/>
      </c>
      <c r="M411">
        <f>IF(OR(K411="",K411=A411,A411=""),"",K411&amp;"|"&amp;L411)</f>
        <v/>
      </c>
      <c r="N411">
        <f>IF(M411="","",IF(ISNUMBER(B411),B411,IFERROR(_xlfn.NUMBERVALUE(B411,".",","),0)))</f>
        <v/>
      </c>
      <c r="O411">
        <f>IF(M411="","",IF(ISNUMBER(C411),C411,IFERROR(_xlfn.NUMBERVALUE(C411,".",","),0)))</f>
        <v/>
      </c>
    </row>
    <row r="412">
      <c r="K412">
        <f>IF(OR(LEFT(B412,9)="DOANH THU",LEFT(B412,8)="SỐ LƯỢNG"),A412,IF(A412="","",K411))</f>
        <v/>
      </c>
      <c r="L412">
        <f>IF(A412="","",IF(ISNUMBER(--LEFT(A412,FIND(" - ",A412&amp;" - ")-1)),LEFT(A412,FIND(" - ",A412&amp;" - ")-1),TRIM(A412)))</f>
        <v/>
      </c>
      <c r="M412">
        <f>IF(OR(K412="",K412=A412,A412=""),"",K412&amp;"|"&amp;L412)</f>
        <v/>
      </c>
      <c r="N412">
        <f>IF(M412="","",IF(ISNUMBER(B412),B412,IFERROR(_xlfn.NUMBERVALUE(B412,".",","),0)))</f>
        <v/>
      </c>
      <c r="O412">
        <f>IF(M412="","",IF(ISNUMBER(C412),C412,IFERROR(_xlfn.NUMBERVALUE(C412,".",","),0)))</f>
        <v/>
      </c>
    </row>
    <row r="413">
      <c r="K413">
        <f>IF(OR(LEFT(B413,9)="DOANH THU",LEFT(B413,8)="SỐ LƯỢNG"),A413,IF(A413="","",K412))</f>
        <v/>
      </c>
      <c r="L413">
        <f>IF(A413="","",IF(ISNUMBER(--LEFT(A413,FIND(" - ",A413&amp;" - ")-1)),LEFT(A413,FIND(" - ",A413&amp;" - ")-1),TRIM(A413)))</f>
        <v/>
      </c>
      <c r="M413">
        <f>IF(OR(K413="",K413=A413,A413=""),"",K413&amp;"|"&amp;L413)</f>
        <v/>
      </c>
      <c r="N413">
        <f>IF(M413="","",IF(ISNUMBER(B413),B413,IFERROR(_xlfn.NUMBERVALUE(B413,".",","),0)))</f>
        <v/>
      </c>
      <c r="O413">
        <f>IF(M413="","",IF(ISNUMBER(C413),C413,IFERROR(_xlfn.NUMBERVALUE(C413,".",","),0)))</f>
        <v/>
      </c>
    </row>
    <row r="414">
      <c r="K414">
        <f>IF(OR(LEFT(B414,9)="DOANH THU",LEFT(B414,8)="SỐ LƯỢNG"),A414,IF(A414="","",K413))</f>
        <v/>
      </c>
      <c r="L414">
        <f>IF(A414="","",IF(ISNUMBER(--LEFT(A414,FIND(" - ",A414&amp;" - ")-1)),LEFT(A414,FIND(" - ",A414&amp;" - ")-1),TRIM(A414)))</f>
        <v/>
      </c>
      <c r="M414">
        <f>IF(OR(K414="",K414=A414,A414=""),"",K414&amp;"|"&amp;L414)</f>
        <v/>
      </c>
      <c r="N414">
        <f>IF(M414="","",IF(ISNUMBER(B414),B414,IFERROR(_xlfn.NUMBERVALUE(B414,".",","),0)))</f>
        <v/>
      </c>
      <c r="O414">
        <f>IF(M414="","",IF(ISNUMBER(C414),C414,IFERROR(_xlfn.NUMBERVALUE(C414,".",","),0)))</f>
        <v/>
      </c>
    </row>
    <row r="415">
      <c r="K415">
        <f>IF(OR(LEFT(B415,9)="DOANH THU",LEFT(B415,8)="SỐ LƯỢNG"),A415,IF(A415="","",K414))</f>
        <v/>
      </c>
      <c r="L415">
        <f>IF(A415="","",IF(ISNUMBER(--LEFT(A415,FIND(" - ",A415&amp;" - ")-1)),LEFT(A415,FIND(" - ",A415&amp;" - ")-1),TRIM(A415)))</f>
        <v/>
      </c>
      <c r="M415">
        <f>IF(OR(K415="",K415=A415,A415=""),"",K415&amp;"|"&amp;L415)</f>
        <v/>
      </c>
      <c r="N415">
        <f>IF(M415="","",IF(ISNUMBER(B415),B415,IFERROR(_xlfn.NUMBERVALUE(B415,".",","),0)))</f>
        <v/>
      </c>
      <c r="O415">
        <f>IF(M415="","",IF(ISNUMBER(C415),C415,IFERROR(_xlfn.NUMBERVALUE(C415,".",","),0)))</f>
        <v/>
      </c>
    </row>
    <row r="416">
      <c r="K416">
        <f>IF(OR(LEFT(B416,9)="DOANH THU",LEFT(B416,8)="SỐ LƯỢNG"),A416,IF(A416="","",K415))</f>
        <v/>
      </c>
      <c r="L416">
        <f>IF(A416="","",IF(ISNUMBER(--LEFT(A416,FIND(" - ",A416&amp;" - ")-1)),LEFT(A416,FIND(" - ",A416&amp;" - ")-1),TRIM(A416)))</f>
        <v/>
      </c>
      <c r="M416">
        <f>IF(OR(K416="",K416=A416,A416=""),"",K416&amp;"|"&amp;L416)</f>
        <v/>
      </c>
      <c r="N416">
        <f>IF(M416="","",IF(ISNUMBER(B416),B416,IFERROR(_xlfn.NUMBERVALUE(B416,".",","),0)))</f>
        <v/>
      </c>
      <c r="O416">
        <f>IF(M416="","",IF(ISNUMBER(C416),C416,IFERROR(_xlfn.NUMBERVALUE(C416,".",","),0)))</f>
        <v/>
      </c>
    </row>
    <row r="417">
      <c r="K417">
        <f>IF(OR(LEFT(B417,9)="DOANH THU",LEFT(B417,8)="SỐ LƯỢNG"),A417,IF(A417="","",K416))</f>
        <v/>
      </c>
      <c r="L417">
        <f>IF(A417="","",IF(ISNUMBER(--LEFT(A417,FIND(" - ",A417&amp;" - ")-1)),LEFT(A417,FIND(" - ",A417&amp;" - ")-1),TRIM(A417)))</f>
        <v/>
      </c>
      <c r="M417">
        <f>IF(OR(K417="",K417=A417,A417=""),"",K417&amp;"|"&amp;L417)</f>
        <v/>
      </c>
      <c r="N417">
        <f>IF(M417="","",IF(ISNUMBER(B417),B417,IFERROR(_xlfn.NUMBERVALUE(B417,".",","),0)))</f>
        <v/>
      </c>
      <c r="O417">
        <f>IF(M417="","",IF(ISNUMBER(C417),C417,IFERROR(_xlfn.NUMBERVALUE(C417,".",","),0)))</f>
        <v/>
      </c>
    </row>
    <row r="418">
      <c r="K418">
        <f>IF(OR(LEFT(B418,9)="DOANH THU",LEFT(B418,8)="SỐ LƯỢNG"),A418,IF(A418="","",K417))</f>
        <v/>
      </c>
      <c r="L418">
        <f>IF(A418="","",IF(ISNUMBER(--LEFT(A418,FIND(" - ",A418&amp;" - ")-1)),LEFT(A418,FIND(" - ",A418&amp;" - ")-1),TRIM(A418)))</f>
        <v/>
      </c>
      <c r="M418">
        <f>IF(OR(K418="",K418=A418,A418=""),"",K418&amp;"|"&amp;L418)</f>
        <v/>
      </c>
      <c r="N418">
        <f>IF(M418="","",IF(ISNUMBER(B418),B418,IFERROR(_xlfn.NUMBERVALUE(B418,".",","),0)))</f>
        <v/>
      </c>
      <c r="O418">
        <f>IF(M418="","",IF(ISNUMBER(C418),C418,IFERROR(_xlfn.NUMBERVALUE(C418,".",","),0)))</f>
        <v/>
      </c>
    </row>
    <row r="419">
      <c r="K419">
        <f>IF(OR(LEFT(B419,9)="DOANH THU",LEFT(B419,8)="SỐ LƯỢNG"),A419,IF(A419="","",K418))</f>
        <v/>
      </c>
      <c r="L419">
        <f>IF(A419="","",IF(ISNUMBER(--LEFT(A419,FIND(" - ",A419&amp;" - ")-1)),LEFT(A419,FIND(" - ",A419&amp;" - ")-1),TRIM(A419)))</f>
        <v/>
      </c>
      <c r="M419">
        <f>IF(OR(K419="",K419=A419,A419=""),"",K419&amp;"|"&amp;L419)</f>
        <v/>
      </c>
      <c r="N419">
        <f>IF(M419="","",IF(ISNUMBER(B419),B419,IFERROR(_xlfn.NUMBERVALUE(B419,".",","),0)))</f>
        <v/>
      </c>
      <c r="O419">
        <f>IF(M419="","",IF(ISNUMBER(C419),C419,IFERROR(_xlfn.NUMBERVALUE(C419,".",","),0)))</f>
        <v/>
      </c>
    </row>
    <row r="420">
      <c r="K420">
        <f>IF(OR(LEFT(B420,9)="DOANH THU",LEFT(B420,8)="SỐ LƯỢNG"),A420,IF(A420="","",K419))</f>
        <v/>
      </c>
      <c r="L420">
        <f>IF(A420="","",IF(ISNUMBER(--LEFT(A420,FIND(" - ",A420&amp;" - ")-1)),LEFT(A420,FIND(" - ",A420&amp;" - ")-1),TRIM(A420)))</f>
        <v/>
      </c>
      <c r="M420">
        <f>IF(OR(K420="",K420=A420,A420=""),"",K420&amp;"|"&amp;L420)</f>
        <v/>
      </c>
      <c r="N420">
        <f>IF(M420="","",IF(ISNUMBER(B420),B420,IFERROR(_xlfn.NUMBERVALUE(B420,".",","),0)))</f>
        <v/>
      </c>
      <c r="O420">
        <f>IF(M420="","",IF(ISNUMBER(C420),C420,IFERROR(_xlfn.NUMBERVALUE(C420,".",","),0)))</f>
        <v/>
      </c>
    </row>
    <row r="421">
      <c r="K421">
        <f>IF(OR(LEFT(B421,9)="DOANH THU",LEFT(B421,8)="SỐ LƯỢNG"),A421,IF(A421="","",K420))</f>
        <v/>
      </c>
      <c r="L421">
        <f>IF(A421="","",IF(ISNUMBER(--LEFT(A421,FIND(" - ",A421&amp;" - ")-1)),LEFT(A421,FIND(" - ",A421&amp;" - ")-1),TRIM(A421)))</f>
        <v/>
      </c>
      <c r="M421">
        <f>IF(OR(K421="",K421=A421,A421=""),"",K421&amp;"|"&amp;L421)</f>
        <v/>
      </c>
      <c r="N421">
        <f>IF(M421="","",IF(ISNUMBER(B421),B421,IFERROR(_xlfn.NUMBERVALUE(B421,".",","),0)))</f>
        <v/>
      </c>
      <c r="O421">
        <f>IF(M421="","",IF(ISNUMBER(C421),C421,IFERROR(_xlfn.NUMBERVALUE(C421,".",","),0)))</f>
        <v/>
      </c>
    </row>
    <row r="422">
      <c r="K422">
        <f>IF(OR(LEFT(B422,9)="DOANH THU",LEFT(B422,8)="SỐ LƯỢNG"),A422,IF(A422="","",K421))</f>
        <v/>
      </c>
      <c r="L422">
        <f>IF(A422="","",IF(ISNUMBER(--LEFT(A422,FIND(" - ",A422&amp;" - ")-1)),LEFT(A422,FIND(" - ",A422&amp;" - ")-1),TRIM(A422)))</f>
        <v/>
      </c>
      <c r="M422">
        <f>IF(OR(K422="",K422=A422,A422=""),"",K422&amp;"|"&amp;L422)</f>
        <v/>
      </c>
      <c r="N422">
        <f>IF(M422="","",IF(ISNUMBER(B422),B422,IFERROR(_xlfn.NUMBERVALUE(B422,".",","),0)))</f>
        <v/>
      </c>
      <c r="O422">
        <f>IF(M422="","",IF(ISNUMBER(C422),C422,IFERROR(_xlfn.NUMBERVALUE(C422,".",","),0)))</f>
        <v/>
      </c>
    </row>
    <row r="423">
      <c r="K423">
        <f>IF(OR(LEFT(B423,9)="DOANH THU",LEFT(B423,8)="SỐ LƯỢNG"),A423,IF(A423="","",K422))</f>
        <v/>
      </c>
      <c r="L423">
        <f>IF(A423="","",IF(ISNUMBER(--LEFT(A423,FIND(" - ",A423&amp;" - ")-1)),LEFT(A423,FIND(" - ",A423&amp;" - ")-1),TRIM(A423)))</f>
        <v/>
      </c>
      <c r="M423">
        <f>IF(OR(K423="",K423=A423,A423=""),"",K423&amp;"|"&amp;L423)</f>
        <v/>
      </c>
      <c r="N423">
        <f>IF(M423="","",IF(ISNUMBER(B423),B423,IFERROR(_xlfn.NUMBERVALUE(B423,".",","),0)))</f>
        <v/>
      </c>
      <c r="O423">
        <f>IF(M423="","",IF(ISNUMBER(C423),C423,IFERROR(_xlfn.NUMBERVALUE(C423,".",","),0)))</f>
        <v/>
      </c>
    </row>
    <row r="424">
      <c r="K424">
        <f>IF(OR(LEFT(B424,9)="DOANH THU",LEFT(B424,8)="SỐ LƯỢNG"),A424,IF(A424="","",K423))</f>
        <v/>
      </c>
      <c r="L424">
        <f>IF(A424="","",IF(ISNUMBER(--LEFT(A424,FIND(" - ",A424&amp;" - ")-1)),LEFT(A424,FIND(" - ",A424&amp;" - ")-1),TRIM(A424)))</f>
        <v/>
      </c>
      <c r="M424">
        <f>IF(OR(K424="",K424=A424,A424=""),"",K424&amp;"|"&amp;L424)</f>
        <v/>
      </c>
      <c r="N424">
        <f>IF(M424="","",IF(ISNUMBER(B424),B424,IFERROR(_xlfn.NUMBERVALUE(B424,".",","),0)))</f>
        <v/>
      </c>
      <c r="O424">
        <f>IF(M424="","",IF(ISNUMBER(C424),C424,IFERROR(_xlfn.NUMBERVALUE(C424,".",","),0)))</f>
        <v/>
      </c>
    </row>
    <row r="425">
      <c r="K425">
        <f>IF(OR(LEFT(B425,9)="DOANH THU",LEFT(B425,8)="SỐ LƯỢNG"),A425,IF(A425="","",K424))</f>
        <v/>
      </c>
      <c r="L425">
        <f>IF(A425="","",IF(ISNUMBER(--LEFT(A425,FIND(" - ",A425&amp;" - ")-1)),LEFT(A425,FIND(" - ",A425&amp;" - ")-1),TRIM(A425)))</f>
        <v/>
      </c>
      <c r="M425">
        <f>IF(OR(K425="",K425=A425,A425=""),"",K425&amp;"|"&amp;L425)</f>
        <v/>
      </c>
      <c r="N425">
        <f>IF(M425="","",IF(ISNUMBER(B425),B425,IFERROR(_xlfn.NUMBERVALUE(B425,".",","),0)))</f>
        <v/>
      </c>
      <c r="O425">
        <f>IF(M425="","",IF(ISNUMBER(C425),C425,IFERROR(_xlfn.NUMBERVALUE(C425,".",","),0)))</f>
        <v/>
      </c>
    </row>
    <row r="426">
      <c r="K426">
        <f>IF(OR(LEFT(B426,9)="DOANH THU",LEFT(B426,8)="SỐ LƯỢNG"),A426,IF(A426="","",K425))</f>
        <v/>
      </c>
      <c r="L426">
        <f>IF(A426="","",IF(ISNUMBER(--LEFT(A426,FIND(" - ",A426&amp;" - ")-1)),LEFT(A426,FIND(" - ",A426&amp;" - ")-1),TRIM(A426)))</f>
        <v/>
      </c>
      <c r="M426">
        <f>IF(OR(K426="",K426=A426,A426=""),"",K426&amp;"|"&amp;L426)</f>
        <v/>
      </c>
      <c r="N426">
        <f>IF(M426="","",IF(ISNUMBER(B426),B426,IFERROR(_xlfn.NUMBERVALUE(B426,".",","),0)))</f>
        <v/>
      </c>
      <c r="O426">
        <f>IF(M426="","",IF(ISNUMBER(C426),C426,IFERROR(_xlfn.NUMBERVALUE(C426,".",","),0)))</f>
        <v/>
      </c>
    </row>
    <row r="427">
      <c r="K427">
        <f>IF(OR(LEFT(B427,9)="DOANH THU",LEFT(B427,8)="SỐ LƯỢNG"),A427,IF(A427="","",K426))</f>
        <v/>
      </c>
      <c r="L427">
        <f>IF(A427="","",IF(ISNUMBER(--LEFT(A427,FIND(" - ",A427&amp;" - ")-1)),LEFT(A427,FIND(" - ",A427&amp;" - ")-1),TRIM(A427)))</f>
        <v/>
      </c>
      <c r="M427">
        <f>IF(OR(K427="",K427=A427,A427=""),"",K427&amp;"|"&amp;L427)</f>
        <v/>
      </c>
      <c r="N427">
        <f>IF(M427="","",IF(ISNUMBER(B427),B427,IFERROR(_xlfn.NUMBERVALUE(B427,".",","),0)))</f>
        <v/>
      </c>
      <c r="O427">
        <f>IF(M427="","",IF(ISNUMBER(C427),C427,IFERROR(_xlfn.NUMBERVALUE(C427,".",","),0)))</f>
        <v/>
      </c>
    </row>
    <row r="428">
      <c r="K428">
        <f>IF(OR(LEFT(B428,9)="DOANH THU",LEFT(B428,8)="SỐ LƯỢNG"),A428,IF(A428="","",K427))</f>
        <v/>
      </c>
      <c r="L428">
        <f>IF(A428="","",IF(ISNUMBER(--LEFT(A428,FIND(" - ",A428&amp;" - ")-1)),LEFT(A428,FIND(" - ",A428&amp;" - ")-1),TRIM(A428)))</f>
        <v/>
      </c>
      <c r="M428">
        <f>IF(OR(K428="",K428=A428,A428=""),"",K428&amp;"|"&amp;L428)</f>
        <v/>
      </c>
      <c r="N428">
        <f>IF(M428="","",IF(ISNUMBER(B428),B428,IFERROR(_xlfn.NUMBERVALUE(B428,".",","),0)))</f>
        <v/>
      </c>
      <c r="O428">
        <f>IF(M428="","",IF(ISNUMBER(C428),C428,IFERROR(_xlfn.NUMBERVALUE(C428,".",","),0)))</f>
        <v/>
      </c>
    </row>
    <row r="429">
      <c r="K429">
        <f>IF(OR(LEFT(B429,9)="DOANH THU",LEFT(B429,8)="SỐ LƯỢNG"),A429,IF(A429="","",K428))</f>
        <v/>
      </c>
      <c r="L429">
        <f>IF(A429="","",IF(ISNUMBER(--LEFT(A429,FIND(" - ",A429&amp;" - ")-1)),LEFT(A429,FIND(" - ",A429&amp;" - ")-1),TRIM(A429)))</f>
        <v/>
      </c>
      <c r="M429">
        <f>IF(OR(K429="",K429=A429,A429=""),"",K429&amp;"|"&amp;L429)</f>
        <v/>
      </c>
      <c r="N429">
        <f>IF(M429="","",IF(ISNUMBER(B429),B429,IFERROR(_xlfn.NUMBERVALUE(B429,".",","),0)))</f>
        <v/>
      </c>
      <c r="O429">
        <f>IF(M429="","",IF(ISNUMBER(C429),C429,IFERROR(_xlfn.NUMBERVALUE(C429,".",","),0)))</f>
        <v/>
      </c>
    </row>
    <row r="430">
      <c r="K430">
        <f>IF(OR(LEFT(B430,9)="DOANH THU",LEFT(B430,8)="SỐ LƯỢNG"),A430,IF(A430="","",K429))</f>
        <v/>
      </c>
      <c r="L430">
        <f>IF(A430="","",IF(ISNUMBER(--LEFT(A430,FIND(" - ",A430&amp;" - ")-1)),LEFT(A430,FIND(" - ",A430&amp;" - ")-1),TRIM(A430)))</f>
        <v/>
      </c>
      <c r="M430">
        <f>IF(OR(K430="",K430=A430,A430=""),"",K430&amp;"|"&amp;L430)</f>
        <v/>
      </c>
      <c r="N430">
        <f>IF(M430="","",IF(ISNUMBER(B430),B430,IFERROR(_xlfn.NUMBERVALUE(B430,".",","),0)))</f>
        <v/>
      </c>
      <c r="O430">
        <f>IF(M430="","",IF(ISNUMBER(C430),C430,IFERROR(_xlfn.NUMBERVALUE(C430,".",","),0)))</f>
        <v/>
      </c>
    </row>
    <row r="431">
      <c r="K431">
        <f>IF(OR(LEFT(B431,9)="DOANH THU",LEFT(B431,8)="SỐ LƯỢNG"),A431,IF(A431="","",K430))</f>
        <v/>
      </c>
      <c r="L431">
        <f>IF(A431="","",IF(ISNUMBER(--LEFT(A431,FIND(" - ",A431&amp;" - ")-1)),LEFT(A431,FIND(" - ",A431&amp;" - ")-1),TRIM(A431)))</f>
        <v/>
      </c>
      <c r="M431">
        <f>IF(OR(K431="",K431=A431,A431=""),"",K431&amp;"|"&amp;L431)</f>
        <v/>
      </c>
      <c r="N431">
        <f>IF(M431="","",IF(ISNUMBER(B431),B431,IFERROR(_xlfn.NUMBERVALUE(B431,".",","),0)))</f>
        <v/>
      </c>
      <c r="O431">
        <f>IF(M431="","",IF(ISNUMBER(C431),C431,IFERROR(_xlfn.NUMBERVALUE(C431,".",","),0)))</f>
        <v/>
      </c>
    </row>
    <row r="432">
      <c r="K432">
        <f>IF(OR(LEFT(B432,9)="DOANH THU",LEFT(B432,8)="SỐ LƯỢNG"),A432,IF(A432="","",K431))</f>
        <v/>
      </c>
      <c r="L432">
        <f>IF(A432="","",IF(ISNUMBER(--LEFT(A432,FIND(" - ",A432&amp;" - ")-1)),LEFT(A432,FIND(" - ",A432&amp;" - ")-1),TRIM(A432)))</f>
        <v/>
      </c>
      <c r="M432">
        <f>IF(OR(K432="",K432=A432,A432=""),"",K432&amp;"|"&amp;L432)</f>
        <v/>
      </c>
      <c r="N432">
        <f>IF(M432="","",IF(ISNUMBER(B432),B432,IFERROR(_xlfn.NUMBERVALUE(B432,".",","),0)))</f>
        <v/>
      </c>
      <c r="O432">
        <f>IF(M432="","",IF(ISNUMBER(C432),C432,IFERROR(_xlfn.NUMBERVALUE(C432,".",","),0)))</f>
        <v/>
      </c>
    </row>
    <row r="433">
      <c r="K433">
        <f>IF(OR(LEFT(B433,9)="DOANH THU",LEFT(B433,8)="SỐ LƯỢNG"),A433,IF(A433="","",K432))</f>
        <v/>
      </c>
      <c r="L433">
        <f>IF(A433="","",IF(ISNUMBER(--LEFT(A433,FIND(" - ",A433&amp;" - ")-1)),LEFT(A433,FIND(" - ",A433&amp;" - ")-1),TRIM(A433)))</f>
        <v/>
      </c>
      <c r="M433">
        <f>IF(OR(K433="",K433=A433,A433=""),"",K433&amp;"|"&amp;L433)</f>
        <v/>
      </c>
      <c r="N433">
        <f>IF(M433="","",IF(ISNUMBER(B433),B433,IFERROR(_xlfn.NUMBERVALUE(B433,".",","),0)))</f>
        <v/>
      </c>
      <c r="O433">
        <f>IF(M433="","",IF(ISNUMBER(C433),C433,IFERROR(_xlfn.NUMBERVALUE(C433,".",","),0)))</f>
        <v/>
      </c>
    </row>
    <row r="434">
      <c r="K434">
        <f>IF(OR(LEFT(B434,9)="DOANH THU",LEFT(B434,8)="SỐ LƯỢNG"),A434,IF(A434="","",K433))</f>
        <v/>
      </c>
      <c r="L434">
        <f>IF(A434="","",IF(ISNUMBER(--LEFT(A434,FIND(" - ",A434&amp;" - ")-1)),LEFT(A434,FIND(" - ",A434&amp;" - ")-1),TRIM(A434)))</f>
        <v/>
      </c>
      <c r="M434">
        <f>IF(OR(K434="",K434=A434,A434=""),"",K434&amp;"|"&amp;L434)</f>
        <v/>
      </c>
      <c r="N434">
        <f>IF(M434="","",IF(ISNUMBER(B434),B434,IFERROR(_xlfn.NUMBERVALUE(B434,".",","),0)))</f>
        <v/>
      </c>
      <c r="O434">
        <f>IF(M434="","",IF(ISNUMBER(C434),C434,IFERROR(_xlfn.NUMBERVALUE(C434,".",","),0)))</f>
        <v/>
      </c>
    </row>
    <row r="435">
      <c r="K435">
        <f>IF(OR(LEFT(B435,9)="DOANH THU",LEFT(B435,8)="SỐ LƯỢNG"),A435,IF(A435="","",K434))</f>
        <v/>
      </c>
      <c r="L435">
        <f>IF(A435="","",IF(ISNUMBER(--LEFT(A435,FIND(" - ",A435&amp;" - ")-1)),LEFT(A435,FIND(" - ",A435&amp;" - ")-1),TRIM(A435)))</f>
        <v/>
      </c>
      <c r="M435">
        <f>IF(OR(K435="",K435=A435,A435=""),"",K435&amp;"|"&amp;L435)</f>
        <v/>
      </c>
      <c r="N435">
        <f>IF(M435="","",IF(ISNUMBER(B435),B435,IFERROR(_xlfn.NUMBERVALUE(B435,".",","),0)))</f>
        <v/>
      </c>
      <c r="O435">
        <f>IF(M435="","",IF(ISNUMBER(C435),C435,IFERROR(_xlfn.NUMBERVALUE(C435,".",","),0)))</f>
        <v/>
      </c>
    </row>
    <row r="436">
      <c r="K436">
        <f>IF(OR(LEFT(B436,9)="DOANH THU",LEFT(B436,8)="SỐ LƯỢNG"),A436,IF(A436="","",K435))</f>
        <v/>
      </c>
      <c r="L436">
        <f>IF(A436="","",IF(ISNUMBER(--LEFT(A436,FIND(" - ",A436&amp;" - ")-1)),LEFT(A436,FIND(" - ",A436&amp;" - ")-1),TRIM(A436)))</f>
        <v/>
      </c>
      <c r="M436">
        <f>IF(OR(K436="",K436=A436,A436=""),"",K436&amp;"|"&amp;L436)</f>
        <v/>
      </c>
      <c r="N436">
        <f>IF(M436="","",IF(ISNUMBER(B436),B436,IFERROR(_xlfn.NUMBERVALUE(B436,".",","),0)))</f>
        <v/>
      </c>
      <c r="O436">
        <f>IF(M436="","",IF(ISNUMBER(C436),C436,IFERROR(_xlfn.NUMBERVALUE(C436,".",","),0)))</f>
        <v/>
      </c>
    </row>
    <row r="437">
      <c r="K437">
        <f>IF(OR(LEFT(B437,9)="DOANH THU",LEFT(B437,8)="SỐ LƯỢNG"),A437,IF(A437="","",K436))</f>
        <v/>
      </c>
      <c r="L437">
        <f>IF(A437="","",IF(ISNUMBER(--LEFT(A437,FIND(" - ",A437&amp;" - ")-1)),LEFT(A437,FIND(" - ",A437&amp;" - ")-1),TRIM(A437)))</f>
        <v/>
      </c>
      <c r="M437">
        <f>IF(OR(K437="",K437=A437,A437=""),"",K437&amp;"|"&amp;L437)</f>
        <v/>
      </c>
      <c r="N437">
        <f>IF(M437="","",IF(ISNUMBER(B437),B437,IFERROR(_xlfn.NUMBERVALUE(B437,".",","),0)))</f>
        <v/>
      </c>
      <c r="O437">
        <f>IF(M437="","",IF(ISNUMBER(C437),C437,IFERROR(_xlfn.NUMBERVALUE(C437,".",","),0)))</f>
        <v/>
      </c>
    </row>
    <row r="438">
      <c r="K438">
        <f>IF(OR(LEFT(B438,9)="DOANH THU",LEFT(B438,8)="SỐ LƯỢNG"),A438,IF(A438="","",K437))</f>
        <v/>
      </c>
      <c r="L438">
        <f>IF(A438="","",IF(ISNUMBER(--LEFT(A438,FIND(" - ",A438&amp;" - ")-1)),LEFT(A438,FIND(" - ",A438&amp;" - ")-1),TRIM(A438)))</f>
        <v/>
      </c>
      <c r="M438">
        <f>IF(OR(K438="",K438=A438,A438=""),"",K438&amp;"|"&amp;L438)</f>
        <v/>
      </c>
      <c r="N438">
        <f>IF(M438="","",IF(ISNUMBER(B438),B438,IFERROR(_xlfn.NUMBERVALUE(B438,".",","),0)))</f>
        <v/>
      </c>
      <c r="O438">
        <f>IF(M438="","",IF(ISNUMBER(C438),C438,IFERROR(_xlfn.NUMBERVALUE(C438,".",","),0)))</f>
        <v/>
      </c>
    </row>
    <row r="439">
      <c r="K439">
        <f>IF(OR(LEFT(B439,9)="DOANH THU",LEFT(B439,8)="SỐ LƯỢNG"),A439,IF(A439="","",K438))</f>
        <v/>
      </c>
      <c r="L439">
        <f>IF(A439="","",IF(ISNUMBER(--LEFT(A439,FIND(" - ",A439&amp;" - ")-1)),LEFT(A439,FIND(" - ",A439&amp;" - ")-1),TRIM(A439)))</f>
        <v/>
      </c>
      <c r="M439">
        <f>IF(OR(K439="",K439=A439,A439=""),"",K439&amp;"|"&amp;L439)</f>
        <v/>
      </c>
      <c r="N439">
        <f>IF(M439="","",IF(ISNUMBER(B439),B439,IFERROR(_xlfn.NUMBERVALUE(B439,".",","),0)))</f>
        <v/>
      </c>
      <c r="O439">
        <f>IF(M439="","",IF(ISNUMBER(C439),C439,IFERROR(_xlfn.NUMBERVALUE(C439,".",","),0)))</f>
        <v/>
      </c>
    </row>
    <row r="440">
      <c r="K440">
        <f>IF(OR(LEFT(B440,9)="DOANH THU",LEFT(B440,8)="SỐ LƯỢNG"),A440,IF(A440="","",K439))</f>
        <v/>
      </c>
      <c r="L440">
        <f>IF(A440="","",IF(ISNUMBER(--LEFT(A440,FIND(" - ",A440&amp;" - ")-1)),LEFT(A440,FIND(" - ",A440&amp;" - ")-1),TRIM(A440)))</f>
        <v/>
      </c>
      <c r="M440">
        <f>IF(OR(K440="",K440=A440,A440=""),"",K440&amp;"|"&amp;L440)</f>
        <v/>
      </c>
      <c r="N440">
        <f>IF(M440="","",IF(ISNUMBER(B440),B440,IFERROR(_xlfn.NUMBERVALUE(B440,".",","),0)))</f>
        <v/>
      </c>
      <c r="O440">
        <f>IF(M440="","",IF(ISNUMBER(C440),C440,IFERROR(_xlfn.NUMBERVALUE(C440,".",","),0)))</f>
        <v/>
      </c>
    </row>
    <row r="441">
      <c r="K441">
        <f>IF(OR(LEFT(B441,9)="DOANH THU",LEFT(B441,8)="SỐ LƯỢNG"),A441,IF(A441="","",K440))</f>
        <v/>
      </c>
      <c r="L441">
        <f>IF(A441="","",IF(ISNUMBER(--LEFT(A441,FIND(" - ",A441&amp;" - ")-1)),LEFT(A441,FIND(" - ",A441&amp;" - ")-1),TRIM(A441)))</f>
        <v/>
      </c>
      <c r="M441">
        <f>IF(OR(K441="",K441=A441,A441=""),"",K441&amp;"|"&amp;L441)</f>
        <v/>
      </c>
      <c r="N441">
        <f>IF(M441="","",IF(ISNUMBER(B441),B441,IFERROR(_xlfn.NUMBERVALUE(B441,".",","),0)))</f>
        <v/>
      </c>
      <c r="O441">
        <f>IF(M441="","",IF(ISNUMBER(C441),C441,IFERROR(_xlfn.NUMBERVALUE(C441,".",","),0)))</f>
        <v/>
      </c>
    </row>
    <row r="442">
      <c r="K442">
        <f>IF(OR(LEFT(B442,9)="DOANH THU",LEFT(B442,8)="SỐ LƯỢNG"),A442,IF(A442="","",K441))</f>
        <v/>
      </c>
      <c r="L442">
        <f>IF(A442="","",IF(ISNUMBER(--LEFT(A442,FIND(" - ",A442&amp;" - ")-1)),LEFT(A442,FIND(" - ",A442&amp;" - ")-1),TRIM(A442)))</f>
        <v/>
      </c>
      <c r="M442">
        <f>IF(OR(K442="",K442=A442,A442=""),"",K442&amp;"|"&amp;L442)</f>
        <v/>
      </c>
      <c r="N442">
        <f>IF(M442="","",IF(ISNUMBER(B442),B442,IFERROR(_xlfn.NUMBERVALUE(B442,".",","),0)))</f>
        <v/>
      </c>
      <c r="O442">
        <f>IF(M442="","",IF(ISNUMBER(C442),C442,IFERROR(_xlfn.NUMBERVALUE(C442,".",","),0)))</f>
        <v/>
      </c>
    </row>
    <row r="443">
      <c r="K443">
        <f>IF(OR(LEFT(B443,9)="DOANH THU",LEFT(B443,8)="SỐ LƯỢNG"),A443,IF(A443="","",K442))</f>
        <v/>
      </c>
      <c r="L443">
        <f>IF(A443="","",IF(ISNUMBER(--LEFT(A443,FIND(" - ",A443&amp;" - ")-1)),LEFT(A443,FIND(" - ",A443&amp;" - ")-1),TRIM(A443)))</f>
        <v/>
      </c>
      <c r="M443">
        <f>IF(OR(K443="",K443=A443,A443=""),"",K443&amp;"|"&amp;L443)</f>
        <v/>
      </c>
      <c r="N443">
        <f>IF(M443="","",IF(ISNUMBER(B443),B443,IFERROR(_xlfn.NUMBERVALUE(B443,".",","),0)))</f>
        <v/>
      </c>
      <c r="O443">
        <f>IF(M443="","",IF(ISNUMBER(C443),C443,IFERROR(_xlfn.NUMBERVALUE(C443,".",","),0)))</f>
        <v/>
      </c>
    </row>
    <row r="444">
      <c r="K444">
        <f>IF(OR(LEFT(B444,9)="DOANH THU",LEFT(B444,8)="SỐ LƯỢNG"),A444,IF(A444="","",K443))</f>
        <v/>
      </c>
      <c r="L444">
        <f>IF(A444="","",IF(ISNUMBER(--LEFT(A444,FIND(" - ",A444&amp;" - ")-1)),LEFT(A444,FIND(" - ",A444&amp;" - ")-1),TRIM(A444)))</f>
        <v/>
      </c>
      <c r="M444">
        <f>IF(OR(K444="",K444=A444,A444=""),"",K444&amp;"|"&amp;L444)</f>
        <v/>
      </c>
      <c r="N444">
        <f>IF(M444="","",IF(ISNUMBER(B444),B444,IFERROR(_xlfn.NUMBERVALUE(B444,".",","),0)))</f>
        <v/>
      </c>
      <c r="O444">
        <f>IF(M444="","",IF(ISNUMBER(C444),C444,IFERROR(_xlfn.NUMBERVALUE(C444,".",","),0)))</f>
        <v/>
      </c>
    </row>
    <row r="445">
      <c r="K445">
        <f>IF(OR(LEFT(B445,9)="DOANH THU",LEFT(B445,8)="SỐ LƯỢNG"),A445,IF(A445="","",K444))</f>
        <v/>
      </c>
      <c r="L445">
        <f>IF(A445="","",IF(ISNUMBER(--LEFT(A445,FIND(" - ",A445&amp;" - ")-1)),LEFT(A445,FIND(" - ",A445&amp;" - ")-1),TRIM(A445)))</f>
        <v/>
      </c>
      <c r="M445">
        <f>IF(OR(K445="",K445=A445,A445=""),"",K445&amp;"|"&amp;L445)</f>
        <v/>
      </c>
      <c r="N445">
        <f>IF(M445="","",IF(ISNUMBER(B445),B445,IFERROR(_xlfn.NUMBERVALUE(B445,".",","),0)))</f>
        <v/>
      </c>
      <c r="O445">
        <f>IF(M445="","",IF(ISNUMBER(C445),C445,IFERROR(_xlfn.NUMBERVALUE(C445,".",","),0)))</f>
        <v/>
      </c>
    </row>
    <row r="446">
      <c r="K446">
        <f>IF(OR(LEFT(B446,9)="DOANH THU",LEFT(B446,8)="SỐ LƯỢNG"),A446,IF(A446="","",K445))</f>
        <v/>
      </c>
      <c r="L446">
        <f>IF(A446="","",IF(ISNUMBER(--LEFT(A446,FIND(" - ",A446&amp;" - ")-1)),LEFT(A446,FIND(" - ",A446&amp;" - ")-1),TRIM(A446)))</f>
        <v/>
      </c>
      <c r="M446">
        <f>IF(OR(K446="",K446=A446,A446=""),"",K446&amp;"|"&amp;L446)</f>
        <v/>
      </c>
      <c r="N446">
        <f>IF(M446="","",IF(ISNUMBER(B446),B446,IFERROR(_xlfn.NUMBERVALUE(B446,".",","),0)))</f>
        <v/>
      </c>
      <c r="O446">
        <f>IF(M446="","",IF(ISNUMBER(C446),C446,IFERROR(_xlfn.NUMBERVALUE(C446,".",","),0)))</f>
        <v/>
      </c>
    </row>
    <row r="447">
      <c r="K447">
        <f>IF(OR(LEFT(B447,9)="DOANH THU",LEFT(B447,8)="SỐ LƯỢNG"),A447,IF(A447="","",K446))</f>
        <v/>
      </c>
      <c r="L447">
        <f>IF(A447="","",IF(ISNUMBER(--LEFT(A447,FIND(" - ",A447&amp;" - ")-1)),LEFT(A447,FIND(" - ",A447&amp;" - ")-1),TRIM(A447)))</f>
        <v/>
      </c>
      <c r="M447">
        <f>IF(OR(K447="",K447=A447,A447=""),"",K447&amp;"|"&amp;L447)</f>
        <v/>
      </c>
      <c r="N447">
        <f>IF(M447="","",IF(ISNUMBER(B447),B447,IFERROR(_xlfn.NUMBERVALUE(B447,".",","),0)))</f>
        <v/>
      </c>
      <c r="O447">
        <f>IF(M447="","",IF(ISNUMBER(C447),C447,IFERROR(_xlfn.NUMBERVALUE(C447,".",","),0)))</f>
        <v/>
      </c>
    </row>
    <row r="448">
      <c r="K448">
        <f>IF(OR(LEFT(B448,9)="DOANH THU",LEFT(B448,8)="SỐ LƯỢNG"),A448,IF(A448="","",K447))</f>
        <v/>
      </c>
      <c r="L448">
        <f>IF(A448="","",IF(ISNUMBER(--LEFT(A448,FIND(" - ",A448&amp;" - ")-1)),LEFT(A448,FIND(" - ",A448&amp;" - ")-1),TRIM(A448)))</f>
        <v/>
      </c>
      <c r="M448">
        <f>IF(OR(K448="",K448=A448,A448=""),"",K448&amp;"|"&amp;L448)</f>
        <v/>
      </c>
      <c r="N448">
        <f>IF(M448="","",IF(ISNUMBER(B448),B448,IFERROR(_xlfn.NUMBERVALUE(B448,".",","),0)))</f>
        <v/>
      </c>
      <c r="O448">
        <f>IF(M448="","",IF(ISNUMBER(C448),C448,IFERROR(_xlfn.NUMBERVALUE(C448,".",","),0)))</f>
        <v/>
      </c>
    </row>
    <row r="449">
      <c r="K449">
        <f>IF(OR(LEFT(B449,9)="DOANH THU",LEFT(B449,8)="SỐ LƯỢNG"),A449,IF(A449="","",K448))</f>
        <v/>
      </c>
      <c r="L449">
        <f>IF(A449="","",IF(ISNUMBER(--LEFT(A449,FIND(" - ",A449&amp;" - ")-1)),LEFT(A449,FIND(" - ",A449&amp;" - ")-1),TRIM(A449)))</f>
        <v/>
      </c>
      <c r="M449">
        <f>IF(OR(K449="",K449=A449,A449=""),"",K449&amp;"|"&amp;L449)</f>
        <v/>
      </c>
      <c r="N449">
        <f>IF(M449="","",IF(ISNUMBER(B449),B449,IFERROR(_xlfn.NUMBERVALUE(B449,".",","),0)))</f>
        <v/>
      </c>
      <c r="O449">
        <f>IF(M449="","",IF(ISNUMBER(C449),C449,IFERROR(_xlfn.NUMBERVALUE(C449,".",","),0)))</f>
        <v/>
      </c>
    </row>
    <row r="450">
      <c r="K450">
        <f>IF(OR(LEFT(B450,9)="DOANH THU",LEFT(B450,8)="SỐ LƯỢNG"),A450,IF(A450="","",K449))</f>
        <v/>
      </c>
      <c r="L450">
        <f>IF(A450="","",IF(ISNUMBER(--LEFT(A450,FIND(" - ",A450&amp;" - ")-1)),LEFT(A450,FIND(" - ",A450&amp;" - ")-1),TRIM(A450)))</f>
        <v/>
      </c>
      <c r="M450">
        <f>IF(OR(K450="",K450=A450,A450=""),"",K450&amp;"|"&amp;L450)</f>
        <v/>
      </c>
      <c r="N450">
        <f>IF(M450="","",IF(ISNUMBER(B450),B450,IFERROR(_xlfn.NUMBERVALUE(B450,".",","),0)))</f>
        <v/>
      </c>
      <c r="O450">
        <f>IF(M450="","",IF(ISNUMBER(C450),C450,IFERROR(_xlfn.NUMBERVALUE(C450,".",","),0)))</f>
        <v/>
      </c>
    </row>
    <row r="451">
      <c r="K451">
        <f>IF(OR(LEFT(B451,9)="DOANH THU",LEFT(B451,8)="SỐ LƯỢNG"),A451,IF(A451="","",K450))</f>
        <v/>
      </c>
      <c r="L451">
        <f>IF(A451="","",IF(ISNUMBER(--LEFT(A451,FIND(" - ",A451&amp;" - ")-1)),LEFT(A451,FIND(" - ",A451&amp;" - ")-1),TRIM(A451)))</f>
        <v/>
      </c>
      <c r="M451">
        <f>IF(OR(K451="",K451=A451,A451=""),"",K451&amp;"|"&amp;L451)</f>
        <v/>
      </c>
      <c r="N451">
        <f>IF(M451="","",IF(ISNUMBER(B451),B451,IFERROR(_xlfn.NUMBERVALUE(B451,".",","),0)))</f>
        <v/>
      </c>
      <c r="O451">
        <f>IF(M451="","",IF(ISNUMBER(C451),C451,IFERROR(_xlfn.NUMBERVALUE(C451,".",","),0)))</f>
        <v/>
      </c>
    </row>
    <row r="452">
      <c r="K452">
        <f>IF(OR(LEFT(B452,9)="DOANH THU",LEFT(B452,8)="SỐ LƯỢNG"),A452,IF(A452="","",K451))</f>
        <v/>
      </c>
      <c r="L452">
        <f>IF(A452="","",IF(ISNUMBER(--LEFT(A452,FIND(" - ",A452&amp;" - ")-1)),LEFT(A452,FIND(" - ",A452&amp;" - ")-1),TRIM(A452)))</f>
        <v/>
      </c>
      <c r="M452">
        <f>IF(OR(K452="",K452=A452,A452=""),"",K452&amp;"|"&amp;L452)</f>
        <v/>
      </c>
      <c r="N452">
        <f>IF(M452="","",IF(ISNUMBER(B452),B452,IFERROR(_xlfn.NUMBERVALUE(B452,".",","),0)))</f>
        <v/>
      </c>
      <c r="O452">
        <f>IF(M452="","",IF(ISNUMBER(C452),C452,IFERROR(_xlfn.NUMBERVALUE(C452,".",","),0)))</f>
        <v/>
      </c>
    </row>
    <row r="453">
      <c r="K453">
        <f>IF(OR(LEFT(B453,9)="DOANH THU",LEFT(B453,8)="SỐ LƯỢNG"),A453,IF(A453="","",K452))</f>
        <v/>
      </c>
      <c r="L453">
        <f>IF(A453="","",IF(ISNUMBER(--LEFT(A453,FIND(" - ",A453&amp;" - ")-1)),LEFT(A453,FIND(" - ",A453&amp;" - ")-1),TRIM(A453)))</f>
        <v/>
      </c>
      <c r="M453">
        <f>IF(OR(K453="",K453=A453,A453=""),"",K453&amp;"|"&amp;L453)</f>
        <v/>
      </c>
      <c r="N453">
        <f>IF(M453="","",IF(ISNUMBER(B453),B453,IFERROR(_xlfn.NUMBERVALUE(B453,".",","),0)))</f>
        <v/>
      </c>
      <c r="O453">
        <f>IF(M453="","",IF(ISNUMBER(C453),C453,IFERROR(_xlfn.NUMBERVALUE(C453,".",","),0)))</f>
        <v/>
      </c>
    </row>
    <row r="454">
      <c r="K454">
        <f>IF(OR(LEFT(B454,9)="DOANH THU",LEFT(B454,8)="SỐ LƯỢNG"),A454,IF(A454="","",K453))</f>
        <v/>
      </c>
      <c r="L454">
        <f>IF(A454="","",IF(ISNUMBER(--LEFT(A454,FIND(" - ",A454&amp;" - ")-1)),LEFT(A454,FIND(" - ",A454&amp;" - ")-1),TRIM(A454)))</f>
        <v/>
      </c>
      <c r="M454">
        <f>IF(OR(K454="",K454=A454,A454=""),"",K454&amp;"|"&amp;L454)</f>
        <v/>
      </c>
      <c r="N454">
        <f>IF(M454="","",IF(ISNUMBER(B454),B454,IFERROR(_xlfn.NUMBERVALUE(B454,".",","),0)))</f>
        <v/>
      </c>
      <c r="O454">
        <f>IF(M454="","",IF(ISNUMBER(C454),C454,IFERROR(_xlfn.NUMBERVALUE(C454,".",","),0)))</f>
        <v/>
      </c>
    </row>
    <row r="455">
      <c r="K455">
        <f>IF(OR(LEFT(B455,9)="DOANH THU",LEFT(B455,8)="SỐ LƯỢNG"),A455,IF(A455="","",K454))</f>
        <v/>
      </c>
      <c r="L455">
        <f>IF(A455="","",IF(ISNUMBER(--LEFT(A455,FIND(" - ",A455&amp;" - ")-1)),LEFT(A455,FIND(" - ",A455&amp;" - ")-1),TRIM(A455)))</f>
        <v/>
      </c>
      <c r="M455">
        <f>IF(OR(K455="",K455=A455,A455=""),"",K455&amp;"|"&amp;L455)</f>
        <v/>
      </c>
      <c r="N455">
        <f>IF(M455="","",IF(ISNUMBER(B455),B455,IFERROR(_xlfn.NUMBERVALUE(B455,".",","),0)))</f>
        <v/>
      </c>
      <c r="O455">
        <f>IF(M455="","",IF(ISNUMBER(C455),C455,IFERROR(_xlfn.NUMBERVALUE(C455,".",","),0)))</f>
        <v/>
      </c>
    </row>
    <row r="456">
      <c r="K456">
        <f>IF(OR(LEFT(B456,9)="DOANH THU",LEFT(B456,8)="SỐ LƯỢNG"),A456,IF(A456="","",K455))</f>
        <v/>
      </c>
      <c r="L456">
        <f>IF(A456="","",IF(ISNUMBER(--LEFT(A456,FIND(" - ",A456&amp;" - ")-1)),LEFT(A456,FIND(" - ",A456&amp;" - ")-1),TRIM(A456)))</f>
        <v/>
      </c>
      <c r="M456">
        <f>IF(OR(K456="",K456=A456,A456=""),"",K456&amp;"|"&amp;L456)</f>
        <v/>
      </c>
      <c r="N456">
        <f>IF(M456="","",IF(ISNUMBER(B456),B456,IFERROR(_xlfn.NUMBERVALUE(B456,".",","),0)))</f>
        <v/>
      </c>
      <c r="O456">
        <f>IF(M456="","",IF(ISNUMBER(C456),C456,IFERROR(_xlfn.NUMBERVALUE(C456,".",","),0)))</f>
        <v/>
      </c>
    </row>
    <row r="457">
      <c r="K457">
        <f>IF(OR(LEFT(B457,9)="DOANH THU",LEFT(B457,8)="SỐ LƯỢNG"),A457,IF(A457="","",K456))</f>
        <v/>
      </c>
      <c r="L457">
        <f>IF(A457="","",IF(ISNUMBER(--LEFT(A457,FIND(" - ",A457&amp;" - ")-1)),LEFT(A457,FIND(" - ",A457&amp;" - ")-1),TRIM(A457)))</f>
        <v/>
      </c>
      <c r="M457">
        <f>IF(OR(K457="",K457=A457,A457=""),"",K457&amp;"|"&amp;L457)</f>
        <v/>
      </c>
      <c r="N457">
        <f>IF(M457="","",IF(ISNUMBER(B457),B457,IFERROR(_xlfn.NUMBERVALUE(B457,".",","),0)))</f>
        <v/>
      </c>
      <c r="O457">
        <f>IF(M457="","",IF(ISNUMBER(C457),C457,IFERROR(_xlfn.NUMBERVALUE(C457,".",","),0)))</f>
        <v/>
      </c>
    </row>
    <row r="458">
      <c r="K458">
        <f>IF(OR(LEFT(B458,9)="DOANH THU",LEFT(B458,8)="SỐ LƯỢNG"),A458,IF(A458="","",K457))</f>
        <v/>
      </c>
      <c r="L458">
        <f>IF(A458="","",IF(ISNUMBER(--LEFT(A458,FIND(" - ",A458&amp;" - ")-1)),LEFT(A458,FIND(" - ",A458&amp;" - ")-1),TRIM(A458)))</f>
        <v/>
      </c>
      <c r="M458">
        <f>IF(OR(K458="",K458=A458,A458=""),"",K458&amp;"|"&amp;L458)</f>
        <v/>
      </c>
      <c r="N458">
        <f>IF(M458="","",IF(ISNUMBER(B458),B458,IFERROR(_xlfn.NUMBERVALUE(B458,".",","),0)))</f>
        <v/>
      </c>
      <c r="O458">
        <f>IF(M458="","",IF(ISNUMBER(C458),C458,IFERROR(_xlfn.NUMBERVALUE(C458,".",","),0)))</f>
        <v/>
      </c>
    </row>
    <row r="459">
      <c r="K459">
        <f>IF(OR(LEFT(B459,9)="DOANH THU",LEFT(B459,8)="SỐ LƯỢNG"),A459,IF(A459="","",K458))</f>
        <v/>
      </c>
      <c r="L459">
        <f>IF(A459="","",IF(ISNUMBER(--LEFT(A459,FIND(" - ",A459&amp;" - ")-1)),LEFT(A459,FIND(" - ",A459&amp;" - ")-1),TRIM(A459)))</f>
        <v/>
      </c>
      <c r="M459">
        <f>IF(OR(K459="",K459=A459,A459=""),"",K459&amp;"|"&amp;L459)</f>
        <v/>
      </c>
      <c r="N459">
        <f>IF(M459="","",IF(ISNUMBER(B459),B459,IFERROR(_xlfn.NUMBERVALUE(B459,".",","),0)))</f>
        <v/>
      </c>
      <c r="O459">
        <f>IF(M459="","",IF(ISNUMBER(C459),C459,IFERROR(_xlfn.NUMBERVALUE(C459,".",","),0)))</f>
        <v/>
      </c>
    </row>
    <row r="460">
      <c r="K460">
        <f>IF(OR(LEFT(B460,9)="DOANH THU",LEFT(B460,8)="SỐ LƯỢNG"),A460,IF(A460="","",K459))</f>
        <v/>
      </c>
      <c r="L460">
        <f>IF(A460="","",IF(ISNUMBER(--LEFT(A460,FIND(" - ",A460&amp;" - ")-1)),LEFT(A460,FIND(" - ",A460&amp;" - ")-1),TRIM(A460)))</f>
        <v/>
      </c>
      <c r="M460">
        <f>IF(OR(K460="",K460=A460,A460=""),"",K460&amp;"|"&amp;L460)</f>
        <v/>
      </c>
      <c r="N460">
        <f>IF(M460="","",IF(ISNUMBER(B460),B460,IFERROR(_xlfn.NUMBERVALUE(B460,".",","),0)))</f>
        <v/>
      </c>
      <c r="O460">
        <f>IF(M460="","",IF(ISNUMBER(C460),C460,IFERROR(_xlfn.NUMBERVALUE(C460,".",","),0)))</f>
        <v/>
      </c>
    </row>
    <row r="461">
      <c r="K461">
        <f>IF(OR(LEFT(B461,9)="DOANH THU",LEFT(B461,8)="SỐ LƯỢNG"),A461,IF(A461="","",K460))</f>
        <v/>
      </c>
      <c r="L461">
        <f>IF(A461="","",IF(ISNUMBER(--LEFT(A461,FIND(" - ",A461&amp;" - ")-1)),LEFT(A461,FIND(" - ",A461&amp;" - ")-1),TRIM(A461)))</f>
        <v/>
      </c>
      <c r="M461">
        <f>IF(OR(K461="",K461=A461,A461=""),"",K461&amp;"|"&amp;L461)</f>
        <v/>
      </c>
      <c r="N461">
        <f>IF(M461="","",IF(ISNUMBER(B461),B461,IFERROR(_xlfn.NUMBERVALUE(B461,".",","),0)))</f>
        <v/>
      </c>
      <c r="O461">
        <f>IF(M461="","",IF(ISNUMBER(C461),C461,IFERROR(_xlfn.NUMBERVALUE(C461,".",","),0)))</f>
        <v/>
      </c>
    </row>
    <row r="462">
      <c r="K462">
        <f>IF(OR(LEFT(B462,9)="DOANH THU",LEFT(B462,8)="SỐ LƯỢNG"),A462,IF(A462="","",K461))</f>
        <v/>
      </c>
      <c r="L462">
        <f>IF(A462="","",IF(ISNUMBER(--LEFT(A462,FIND(" - ",A462&amp;" - ")-1)),LEFT(A462,FIND(" - ",A462&amp;" - ")-1),TRIM(A462)))</f>
        <v/>
      </c>
      <c r="M462">
        <f>IF(OR(K462="",K462=A462,A462=""),"",K462&amp;"|"&amp;L462)</f>
        <v/>
      </c>
      <c r="N462">
        <f>IF(M462="","",IF(ISNUMBER(B462),B462,IFERROR(_xlfn.NUMBERVALUE(B462,".",","),0)))</f>
        <v/>
      </c>
      <c r="O462">
        <f>IF(M462="","",IF(ISNUMBER(C462),C462,IFERROR(_xlfn.NUMBERVALUE(C462,".",","),0)))</f>
        <v/>
      </c>
    </row>
    <row r="463">
      <c r="K463">
        <f>IF(OR(LEFT(B463,9)="DOANH THU",LEFT(B463,8)="SỐ LƯỢNG"),A463,IF(A463="","",K462))</f>
        <v/>
      </c>
      <c r="L463">
        <f>IF(A463="","",IF(ISNUMBER(--LEFT(A463,FIND(" - ",A463&amp;" - ")-1)),LEFT(A463,FIND(" - ",A463&amp;" - ")-1),TRIM(A463)))</f>
        <v/>
      </c>
      <c r="M463">
        <f>IF(OR(K463="",K463=A463,A463=""),"",K463&amp;"|"&amp;L463)</f>
        <v/>
      </c>
      <c r="N463">
        <f>IF(M463="","",IF(ISNUMBER(B463),B463,IFERROR(_xlfn.NUMBERVALUE(B463,".",","),0)))</f>
        <v/>
      </c>
      <c r="O463">
        <f>IF(M463="","",IF(ISNUMBER(C463),C463,IFERROR(_xlfn.NUMBERVALUE(C463,".",","),0)))</f>
        <v/>
      </c>
    </row>
    <row r="464">
      <c r="K464">
        <f>IF(OR(LEFT(B464,9)="DOANH THU",LEFT(B464,8)="SỐ LƯỢNG"),A464,IF(A464="","",K463))</f>
        <v/>
      </c>
      <c r="L464">
        <f>IF(A464="","",IF(ISNUMBER(--LEFT(A464,FIND(" - ",A464&amp;" - ")-1)),LEFT(A464,FIND(" - ",A464&amp;" - ")-1),TRIM(A464)))</f>
        <v/>
      </c>
      <c r="M464">
        <f>IF(OR(K464="",K464=A464,A464=""),"",K464&amp;"|"&amp;L464)</f>
        <v/>
      </c>
      <c r="N464">
        <f>IF(M464="","",IF(ISNUMBER(B464),B464,IFERROR(_xlfn.NUMBERVALUE(B464,".",","),0)))</f>
        <v/>
      </c>
      <c r="O464">
        <f>IF(M464="","",IF(ISNUMBER(C464),C464,IFERROR(_xlfn.NUMBERVALUE(C464,".",","),0)))</f>
        <v/>
      </c>
    </row>
    <row r="465">
      <c r="K465">
        <f>IF(OR(LEFT(B465,9)="DOANH THU",LEFT(B465,8)="SỐ LƯỢNG"),A465,IF(A465="","",K464))</f>
        <v/>
      </c>
      <c r="L465">
        <f>IF(A465="","",IF(ISNUMBER(--LEFT(A465,FIND(" - ",A465&amp;" - ")-1)),LEFT(A465,FIND(" - ",A465&amp;" - ")-1),TRIM(A465)))</f>
        <v/>
      </c>
      <c r="M465">
        <f>IF(OR(K465="",K465=A465,A465=""),"",K465&amp;"|"&amp;L465)</f>
        <v/>
      </c>
      <c r="N465">
        <f>IF(M465="","",IF(ISNUMBER(B465),B465,IFERROR(_xlfn.NUMBERVALUE(B465,".",","),0)))</f>
        <v/>
      </c>
      <c r="O465">
        <f>IF(M465="","",IF(ISNUMBER(C465),C465,IFERROR(_xlfn.NUMBERVALUE(C465,".",","),0)))</f>
        <v/>
      </c>
    </row>
    <row r="466">
      <c r="K466">
        <f>IF(OR(LEFT(B466,9)="DOANH THU",LEFT(B466,8)="SỐ LƯỢNG"),A466,IF(A466="","",K465))</f>
        <v/>
      </c>
      <c r="L466">
        <f>IF(A466="","",IF(ISNUMBER(--LEFT(A466,FIND(" - ",A466&amp;" - ")-1)),LEFT(A466,FIND(" - ",A466&amp;" - ")-1),TRIM(A466)))</f>
        <v/>
      </c>
      <c r="M466">
        <f>IF(OR(K466="",K466=A466,A466=""),"",K466&amp;"|"&amp;L466)</f>
        <v/>
      </c>
      <c r="N466">
        <f>IF(M466="","",IF(ISNUMBER(B466),B466,IFERROR(_xlfn.NUMBERVALUE(B466,".",","),0)))</f>
        <v/>
      </c>
      <c r="O466">
        <f>IF(M466="","",IF(ISNUMBER(C466),C466,IFERROR(_xlfn.NUMBERVALUE(C466,".",","),0)))</f>
        <v/>
      </c>
    </row>
    <row r="467">
      <c r="K467">
        <f>IF(OR(LEFT(B467,9)="DOANH THU",LEFT(B467,8)="SỐ LƯỢNG"),A467,IF(A467="","",K466))</f>
        <v/>
      </c>
      <c r="L467">
        <f>IF(A467="","",IF(ISNUMBER(--LEFT(A467,FIND(" - ",A467&amp;" - ")-1)),LEFT(A467,FIND(" - ",A467&amp;" - ")-1),TRIM(A467)))</f>
        <v/>
      </c>
      <c r="M467">
        <f>IF(OR(K467="",K467=A467,A467=""),"",K467&amp;"|"&amp;L467)</f>
        <v/>
      </c>
      <c r="N467">
        <f>IF(M467="","",IF(ISNUMBER(B467),B467,IFERROR(_xlfn.NUMBERVALUE(B467,".",","),0)))</f>
        <v/>
      </c>
      <c r="O467">
        <f>IF(M467="","",IF(ISNUMBER(C467),C467,IFERROR(_xlfn.NUMBERVALUE(C467,".",","),0)))</f>
        <v/>
      </c>
    </row>
    <row r="468">
      <c r="K468">
        <f>IF(OR(LEFT(B468,9)="DOANH THU",LEFT(B468,8)="SỐ LƯỢNG"),A468,IF(A468="","",K467))</f>
        <v/>
      </c>
      <c r="L468">
        <f>IF(A468="","",IF(ISNUMBER(--LEFT(A468,FIND(" - ",A468&amp;" - ")-1)),LEFT(A468,FIND(" - ",A468&amp;" - ")-1),TRIM(A468)))</f>
        <v/>
      </c>
      <c r="M468">
        <f>IF(OR(K468="",K468=A468,A468=""),"",K468&amp;"|"&amp;L468)</f>
        <v/>
      </c>
      <c r="N468">
        <f>IF(M468="","",IF(ISNUMBER(B468),B468,IFERROR(_xlfn.NUMBERVALUE(B468,".",","),0)))</f>
        <v/>
      </c>
      <c r="O468">
        <f>IF(M468="","",IF(ISNUMBER(C468),C468,IFERROR(_xlfn.NUMBERVALUE(C468,".",","),0)))</f>
        <v/>
      </c>
    </row>
    <row r="469">
      <c r="K469">
        <f>IF(OR(LEFT(B469,9)="DOANH THU",LEFT(B469,8)="SỐ LƯỢNG"),A469,IF(A469="","",K468))</f>
        <v/>
      </c>
      <c r="L469">
        <f>IF(A469="","",IF(ISNUMBER(--LEFT(A469,FIND(" - ",A469&amp;" - ")-1)),LEFT(A469,FIND(" - ",A469&amp;" - ")-1),TRIM(A469)))</f>
        <v/>
      </c>
      <c r="M469">
        <f>IF(OR(K469="",K469=A469,A469=""),"",K469&amp;"|"&amp;L469)</f>
        <v/>
      </c>
      <c r="N469">
        <f>IF(M469="","",IF(ISNUMBER(B469),B469,IFERROR(_xlfn.NUMBERVALUE(B469,".",","),0)))</f>
        <v/>
      </c>
      <c r="O469">
        <f>IF(M469="","",IF(ISNUMBER(C469),C469,IFERROR(_xlfn.NUMBERVALUE(C469,".",","),0)))</f>
        <v/>
      </c>
    </row>
    <row r="470">
      <c r="K470">
        <f>IF(OR(LEFT(B470,9)="DOANH THU",LEFT(B470,8)="SỐ LƯỢNG"),A470,IF(A470="","",K469))</f>
        <v/>
      </c>
      <c r="L470">
        <f>IF(A470="","",IF(ISNUMBER(--LEFT(A470,FIND(" - ",A470&amp;" - ")-1)),LEFT(A470,FIND(" - ",A470&amp;" - ")-1),TRIM(A470)))</f>
        <v/>
      </c>
      <c r="M470">
        <f>IF(OR(K470="",K470=A470,A470=""),"",K470&amp;"|"&amp;L470)</f>
        <v/>
      </c>
      <c r="N470">
        <f>IF(M470="","",IF(ISNUMBER(B470),B470,IFERROR(_xlfn.NUMBERVALUE(B470,".",","),0)))</f>
        <v/>
      </c>
      <c r="O470">
        <f>IF(M470="","",IF(ISNUMBER(C470),C470,IFERROR(_xlfn.NUMBERVALUE(C470,".",","),0)))</f>
        <v/>
      </c>
    </row>
    <row r="471">
      <c r="K471">
        <f>IF(OR(LEFT(B471,9)="DOANH THU",LEFT(B471,8)="SỐ LƯỢNG"),A471,IF(A471="","",K470))</f>
        <v/>
      </c>
      <c r="L471">
        <f>IF(A471="","",IF(ISNUMBER(--LEFT(A471,FIND(" - ",A471&amp;" - ")-1)),LEFT(A471,FIND(" - ",A471&amp;" - ")-1),TRIM(A471)))</f>
        <v/>
      </c>
      <c r="M471">
        <f>IF(OR(K471="",K471=A471,A471=""),"",K471&amp;"|"&amp;L471)</f>
        <v/>
      </c>
      <c r="N471">
        <f>IF(M471="","",IF(ISNUMBER(B471),B471,IFERROR(_xlfn.NUMBERVALUE(B471,".",","),0)))</f>
        <v/>
      </c>
      <c r="O471">
        <f>IF(M471="","",IF(ISNUMBER(C471),C471,IFERROR(_xlfn.NUMBERVALUE(C471,".",","),0)))</f>
        <v/>
      </c>
    </row>
    <row r="472">
      <c r="K472">
        <f>IF(OR(LEFT(B472,9)="DOANH THU",LEFT(B472,8)="SỐ LƯỢNG"),A472,IF(A472="","",K471))</f>
        <v/>
      </c>
      <c r="L472">
        <f>IF(A472="","",IF(ISNUMBER(--LEFT(A472,FIND(" - ",A472&amp;" - ")-1)),LEFT(A472,FIND(" - ",A472&amp;" - ")-1),TRIM(A472)))</f>
        <v/>
      </c>
      <c r="M472">
        <f>IF(OR(K472="",K472=A472,A472=""),"",K472&amp;"|"&amp;L472)</f>
        <v/>
      </c>
      <c r="N472">
        <f>IF(M472="","",IF(ISNUMBER(B472),B472,IFERROR(_xlfn.NUMBERVALUE(B472,".",","),0)))</f>
        <v/>
      </c>
      <c r="O472">
        <f>IF(M472="","",IF(ISNUMBER(C472),C472,IFERROR(_xlfn.NUMBERVALUE(C472,".",","),0)))</f>
        <v/>
      </c>
    </row>
    <row r="473">
      <c r="K473">
        <f>IF(OR(LEFT(B473,9)="DOANH THU",LEFT(B473,8)="SỐ LƯỢNG"),A473,IF(A473="","",K472))</f>
        <v/>
      </c>
      <c r="L473">
        <f>IF(A473="","",IF(ISNUMBER(--LEFT(A473,FIND(" - ",A473&amp;" - ")-1)),LEFT(A473,FIND(" - ",A473&amp;" - ")-1),TRIM(A473)))</f>
        <v/>
      </c>
      <c r="M473">
        <f>IF(OR(K473="",K473=A473,A473=""),"",K473&amp;"|"&amp;L473)</f>
        <v/>
      </c>
      <c r="N473">
        <f>IF(M473="","",IF(ISNUMBER(B473),B473,IFERROR(_xlfn.NUMBERVALUE(B473,".",","),0)))</f>
        <v/>
      </c>
      <c r="O473">
        <f>IF(M473="","",IF(ISNUMBER(C473),C473,IFERROR(_xlfn.NUMBERVALUE(C473,".",","),0)))</f>
        <v/>
      </c>
    </row>
    <row r="474">
      <c r="K474">
        <f>IF(OR(LEFT(B474,9)="DOANH THU",LEFT(B474,8)="SỐ LƯỢNG"),A474,IF(A474="","",K473))</f>
        <v/>
      </c>
      <c r="L474">
        <f>IF(A474="","",IF(ISNUMBER(--LEFT(A474,FIND(" - ",A474&amp;" - ")-1)),LEFT(A474,FIND(" - ",A474&amp;" - ")-1),TRIM(A474)))</f>
        <v/>
      </c>
      <c r="M474">
        <f>IF(OR(K474="",K474=A474,A474=""),"",K474&amp;"|"&amp;L474)</f>
        <v/>
      </c>
      <c r="N474">
        <f>IF(M474="","",IF(ISNUMBER(B474),B474,IFERROR(_xlfn.NUMBERVALUE(B474,".",","),0)))</f>
        <v/>
      </c>
      <c r="O474">
        <f>IF(M474="","",IF(ISNUMBER(C474),C474,IFERROR(_xlfn.NUMBERVALUE(C474,".",","),0)))</f>
        <v/>
      </c>
    </row>
    <row r="475">
      <c r="K475">
        <f>IF(OR(LEFT(B475,9)="DOANH THU",LEFT(B475,8)="SỐ LƯỢNG"),A475,IF(A475="","",K474))</f>
        <v/>
      </c>
      <c r="L475">
        <f>IF(A475="","",IF(ISNUMBER(--LEFT(A475,FIND(" - ",A475&amp;" - ")-1)),LEFT(A475,FIND(" - ",A475&amp;" - ")-1),TRIM(A475)))</f>
        <v/>
      </c>
      <c r="M475">
        <f>IF(OR(K475="",K475=A475,A475=""),"",K475&amp;"|"&amp;L475)</f>
        <v/>
      </c>
      <c r="N475">
        <f>IF(M475="","",IF(ISNUMBER(B475),B475,IFERROR(_xlfn.NUMBERVALUE(B475,".",","),0)))</f>
        <v/>
      </c>
      <c r="O475">
        <f>IF(M475="","",IF(ISNUMBER(C475),C475,IFERROR(_xlfn.NUMBERVALUE(C475,".",","),0)))</f>
        <v/>
      </c>
    </row>
    <row r="476">
      <c r="K476">
        <f>IF(OR(LEFT(B476,9)="DOANH THU",LEFT(B476,8)="SỐ LƯỢNG"),A476,IF(A476="","",K475))</f>
        <v/>
      </c>
      <c r="L476">
        <f>IF(A476="","",IF(ISNUMBER(--LEFT(A476,FIND(" - ",A476&amp;" - ")-1)),LEFT(A476,FIND(" - ",A476&amp;" - ")-1),TRIM(A476)))</f>
        <v/>
      </c>
      <c r="M476">
        <f>IF(OR(K476="",K476=A476,A476=""),"",K476&amp;"|"&amp;L476)</f>
        <v/>
      </c>
      <c r="N476">
        <f>IF(M476="","",IF(ISNUMBER(B476),B476,IFERROR(_xlfn.NUMBERVALUE(B476,".",","),0)))</f>
        <v/>
      </c>
      <c r="O476">
        <f>IF(M476="","",IF(ISNUMBER(C476),C476,IFERROR(_xlfn.NUMBERVALUE(C476,".",","),0)))</f>
        <v/>
      </c>
    </row>
    <row r="477">
      <c r="K477">
        <f>IF(OR(LEFT(B477,9)="DOANH THU",LEFT(B477,8)="SỐ LƯỢNG"),A477,IF(A477="","",K476))</f>
        <v/>
      </c>
      <c r="L477">
        <f>IF(A477="","",IF(ISNUMBER(--LEFT(A477,FIND(" - ",A477&amp;" - ")-1)),LEFT(A477,FIND(" - ",A477&amp;" - ")-1),TRIM(A477)))</f>
        <v/>
      </c>
      <c r="M477">
        <f>IF(OR(K477="",K477=A477,A477=""),"",K477&amp;"|"&amp;L477)</f>
        <v/>
      </c>
      <c r="N477">
        <f>IF(M477="","",IF(ISNUMBER(B477),B477,IFERROR(_xlfn.NUMBERVALUE(B477,".",","),0)))</f>
        <v/>
      </c>
      <c r="O477">
        <f>IF(M477="","",IF(ISNUMBER(C477),C477,IFERROR(_xlfn.NUMBERVALUE(C477,".",","),0)))</f>
        <v/>
      </c>
    </row>
    <row r="478">
      <c r="K478">
        <f>IF(OR(LEFT(B478,9)="DOANH THU",LEFT(B478,8)="SỐ LƯỢNG"),A478,IF(A478="","",K477))</f>
        <v/>
      </c>
      <c r="L478">
        <f>IF(A478="","",IF(ISNUMBER(--LEFT(A478,FIND(" - ",A478&amp;" - ")-1)),LEFT(A478,FIND(" - ",A478&amp;" - ")-1),TRIM(A478)))</f>
        <v/>
      </c>
      <c r="M478">
        <f>IF(OR(K478="",K478=A478,A478=""),"",K478&amp;"|"&amp;L478)</f>
        <v/>
      </c>
      <c r="N478">
        <f>IF(M478="","",IF(ISNUMBER(B478),B478,IFERROR(_xlfn.NUMBERVALUE(B478,".",","),0)))</f>
        <v/>
      </c>
      <c r="O478">
        <f>IF(M478="","",IF(ISNUMBER(C478),C478,IFERROR(_xlfn.NUMBERVALUE(C478,".",","),0)))</f>
        <v/>
      </c>
    </row>
    <row r="479">
      <c r="K479">
        <f>IF(OR(LEFT(B479,9)="DOANH THU",LEFT(B479,8)="SỐ LƯỢNG"),A479,IF(A479="","",K478))</f>
        <v/>
      </c>
      <c r="L479">
        <f>IF(A479="","",IF(ISNUMBER(--LEFT(A479,FIND(" - ",A479&amp;" - ")-1)),LEFT(A479,FIND(" - ",A479&amp;" - ")-1),TRIM(A479)))</f>
        <v/>
      </c>
      <c r="M479">
        <f>IF(OR(K479="",K479=A479,A479=""),"",K479&amp;"|"&amp;L479)</f>
        <v/>
      </c>
      <c r="N479">
        <f>IF(M479="","",IF(ISNUMBER(B479),B479,IFERROR(_xlfn.NUMBERVALUE(B479,".",","),0)))</f>
        <v/>
      </c>
      <c r="O479">
        <f>IF(M479="","",IF(ISNUMBER(C479),C479,IFERROR(_xlfn.NUMBERVALUE(C479,".",","),0)))</f>
        <v/>
      </c>
    </row>
    <row r="480">
      <c r="K480">
        <f>IF(OR(LEFT(B480,9)="DOANH THU",LEFT(B480,8)="SỐ LƯỢNG"),A480,IF(A480="","",K479))</f>
        <v/>
      </c>
      <c r="L480">
        <f>IF(A480="","",IF(ISNUMBER(--LEFT(A480,FIND(" - ",A480&amp;" - ")-1)),LEFT(A480,FIND(" - ",A480&amp;" - ")-1),TRIM(A480)))</f>
        <v/>
      </c>
      <c r="M480">
        <f>IF(OR(K480="",K480=A480,A480=""),"",K480&amp;"|"&amp;L480)</f>
        <v/>
      </c>
      <c r="N480">
        <f>IF(M480="","",IF(ISNUMBER(B480),B480,IFERROR(_xlfn.NUMBERVALUE(B480,".",","),0)))</f>
        <v/>
      </c>
      <c r="O480">
        <f>IF(M480="","",IF(ISNUMBER(C480),C480,IFERROR(_xlfn.NUMBERVALUE(C480,".",","),0)))</f>
        <v/>
      </c>
    </row>
    <row r="481">
      <c r="K481">
        <f>IF(OR(LEFT(B481,9)="DOANH THU",LEFT(B481,8)="SỐ LƯỢNG"),A481,IF(A481="","",K480))</f>
        <v/>
      </c>
      <c r="L481">
        <f>IF(A481="","",IF(ISNUMBER(--LEFT(A481,FIND(" - ",A481&amp;" - ")-1)),LEFT(A481,FIND(" - ",A481&amp;" - ")-1),TRIM(A481)))</f>
        <v/>
      </c>
      <c r="M481">
        <f>IF(OR(K481="",K481=A481,A481=""),"",K481&amp;"|"&amp;L481)</f>
        <v/>
      </c>
      <c r="N481">
        <f>IF(M481="","",IF(ISNUMBER(B481),B481,IFERROR(_xlfn.NUMBERVALUE(B481,".",","),0)))</f>
        <v/>
      </c>
      <c r="O481">
        <f>IF(M481="","",IF(ISNUMBER(C481),C481,IFERROR(_xlfn.NUMBERVALUE(C481,".",","),0)))</f>
        <v/>
      </c>
    </row>
    <row r="482">
      <c r="K482">
        <f>IF(OR(LEFT(B482,9)="DOANH THU",LEFT(B482,8)="SỐ LƯỢNG"),A482,IF(A482="","",K481))</f>
        <v/>
      </c>
      <c r="L482">
        <f>IF(A482="","",IF(ISNUMBER(--LEFT(A482,FIND(" - ",A482&amp;" - ")-1)),LEFT(A482,FIND(" - ",A482&amp;" - ")-1),TRIM(A482)))</f>
        <v/>
      </c>
      <c r="M482">
        <f>IF(OR(K482="",K482=A482,A482=""),"",K482&amp;"|"&amp;L482)</f>
        <v/>
      </c>
      <c r="N482">
        <f>IF(M482="","",IF(ISNUMBER(B482),B482,IFERROR(_xlfn.NUMBERVALUE(B482,".",","),0)))</f>
        <v/>
      </c>
      <c r="O482">
        <f>IF(M482="","",IF(ISNUMBER(C482),C482,IFERROR(_xlfn.NUMBERVALUE(C482,".",","),0)))</f>
        <v/>
      </c>
    </row>
    <row r="483">
      <c r="K483">
        <f>IF(OR(LEFT(B483,9)="DOANH THU",LEFT(B483,8)="SỐ LƯỢNG"),A483,IF(A483="","",K482))</f>
        <v/>
      </c>
      <c r="L483">
        <f>IF(A483="","",IF(ISNUMBER(--LEFT(A483,FIND(" - ",A483&amp;" - ")-1)),LEFT(A483,FIND(" - ",A483&amp;" - ")-1),TRIM(A483)))</f>
        <v/>
      </c>
      <c r="M483">
        <f>IF(OR(K483="",K483=A483,A483=""),"",K483&amp;"|"&amp;L483)</f>
        <v/>
      </c>
      <c r="N483">
        <f>IF(M483="","",IF(ISNUMBER(B483),B483,IFERROR(_xlfn.NUMBERVALUE(B483,".",","),0)))</f>
        <v/>
      </c>
      <c r="O483">
        <f>IF(M483="","",IF(ISNUMBER(C483),C483,IFERROR(_xlfn.NUMBERVALUE(C483,".",","),0)))</f>
        <v/>
      </c>
    </row>
    <row r="484">
      <c r="K484">
        <f>IF(OR(LEFT(B484,9)="DOANH THU",LEFT(B484,8)="SỐ LƯỢNG"),A484,IF(A484="","",K483))</f>
        <v/>
      </c>
      <c r="L484">
        <f>IF(A484="","",IF(ISNUMBER(--LEFT(A484,FIND(" - ",A484&amp;" - ")-1)),LEFT(A484,FIND(" - ",A484&amp;" - ")-1),TRIM(A484)))</f>
        <v/>
      </c>
      <c r="M484">
        <f>IF(OR(K484="",K484=A484,A484=""),"",K484&amp;"|"&amp;L484)</f>
        <v/>
      </c>
      <c r="N484">
        <f>IF(M484="","",IF(ISNUMBER(B484),B484,IFERROR(_xlfn.NUMBERVALUE(B484,".",","),0)))</f>
        <v/>
      </c>
      <c r="O484">
        <f>IF(M484="","",IF(ISNUMBER(C484),C484,IFERROR(_xlfn.NUMBERVALUE(C484,".",","),0)))</f>
        <v/>
      </c>
    </row>
    <row r="485">
      <c r="K485">
        <f>IF(OR(LEFT(B485,9)="DOANH THU",LEFT(B485,8)="SỐ LƯỢNG"),A485,IF(A485="","",K484))</f>
        <v/>
      </c>
      <c r="L485">
        <f>IF(A485="","",IF(ISNUMBER(--LEFT(A485,FIND(" - ",A485&amp;" - ")-1)),LEFT(A485,FIND(" - ",A485&amp;" - ")-1),TRIM(A485)))</f>
        <v/>
      </c>
      <c r="M485">
        <f>IF(OR(K485="",K485=A485,A485=""),"",K485&amp;"|"&amp;L485)</f>
        <v/>
      </c>
      <c r="N485">
        <f>IF(M485="","",IF(ISNUMBER(B485),B485,IFERROR(_xlfn.NUMBERVALUE(B485,".",","),0)))</f>
        <v/>
      </c>
      <c r="O485">
        <f>IF(M485="","",IF(ISNUMBER(C485),C485,IFERROR(_xlfn.NUMBERVALUE(C485,".",","),0)))</f>
        <v/>
      </c>
    </row>
    <row r="486">
      <c r="K486">
        <f>IF(OR(LEFT(B486,9)="DOANH THU",LEFT(B486,8)="SỐ LƯỢNG"),A486,IF(A486="","",K485))</f>
        <v/>
      </c>
      <c r="L486">
        <f>IF(A486="","",IF(ISNUMBER(--LEFT(A486,FIND(" - ",A486&amp;" - ")-1)),LEFT(A486,FIND(" - ",A486&amp;" - ")-1),TRIM(A486)))</f>
        <v/>
      </c>
      <c r="M486">
        <f>IF(OR(K486="",K486=A486,A486=""),"",K486&amp;"|"&amp;L486)</f>
        <v/>
      </c>
      <c r="N486">
        <f>IF(M486="","",IF(ISNUMBER(B486),B486,IFERROR(_xlfn.NUMBERVALUE(B486,".",","),0)))</f>
        <v/>
      </c>
      <c r="O486">
        <f>IF(M486="","",IF(ISNUMBER(C486),C486,IFERROR(_xlfn.NUMBERVALUE(C486,".",","),0)))</f>
        <v/>
      </c>
    </row>
    <row r="487">
      <c r="K487">
        <f>IF(OR(LEFT(B487,9)="DOANH THU",LEFT(B487,8)="SỐ LƯỢNG"),A487,IF(A487="","",K486))</f>
        <v/>
      </c>
      <c r="L487">
        <f>IF(A487="","",IF(ISNUMBER(--LEFT(A487,FIND(" - ",A487&amp;" - ")-1)),LEFT(A487,FIND(" - ",A487&amp;" - ")-1),TRIM(A487)))</f>
        <v/>
      </c>
      <c r="M487">
        <f>IF(OR(K487="",K487=A487,A487=""),"",K487&amp;"|"&amp;L487)</f>
        <v/>
      </c>
      <c r="N487">
        <f>IF(M487="","",IF(ISNUMBER(B487),B487,IFERROR(_xlfn.NUMBERVALUE(B487,".",","),0)))</f>
        <v/>
      </c>
      <c r="O487">
        <f>IF(M487="","",IF(ISNUMBER(C487),C487,IFERROR(_xlfn.NUMBERVALUE(C487,".",","),0)))</f>
        <v/>
      </c>
    </row>
    <row r="488">
      <c r="K488">
        <f>IF(OR(LEFT(B488,9)="DOANH THU",LEFT(B488,8)="SỐ LƯỢNG"),A488,IF(A488="","",K487))</f>
        <v/>
      </c>
      <c r="L488">
        <f>IF(A488="","",IF(ISNUMBER(--LEFT(A488,FIND(" - ",A488&amp;" - ")-1)),LEFT(A488,FIND(" - ",A488&amp;" - ")-1),TRIM(A488)))</f>
        <v/>
      </c>
      <c r="M488">
        <f>IF(OR(K488="",K488=A488,A488=""),"",K488&amp;"|"&amp;L488)</f>
        <v/>
      </c>
      <c r="N488">
        <f>IF(M488="","",IF(ISNUMBER(B488),B488,IFERROR(_xlfn.NUMBERVALUE(B488,".",","),0)))</f>
        <v/>
      </c>
      <c r="O488">
        <f>IF(M488="","",IF(ISNUMBER(C488),C488,IFERROR(_xlfn.NUMBERVALUE(C488,".",","),0)))</f>
        <v/>
      </c>
    </row>
    <row r="489">
      <c r="K489">
        <f>IF(OR(LEFT(B489,9)="DOANH THU",LEFT(B489,8)="SỐ LƯỢNG"),A489,IF(A489="","",K488))</f>
        <v/>
      </c>
      <c r="L489">
        <f>IF(A489="","",IF(ISNUMBER(--LEFT(A489,FIND(" - ",A489&amp;" - ")-1)),LEFT(A489,FIND(" - ",A489&amp;" - ")-1),TRIM(A489)))</f>
        <v/>
      </c>
      <c r="M489">
        <f>IF(OR(K489="",K489=A489,A489=""),"",K489&amp;"|"&amp;L489)</f>
        <v/>
      </c>
      <c r="N489">
        <f>IF(M489="","",IF(ISNUMBER(B489),B489,IFERROR(_xlfn.NUMBERVALUE(B489,".",","),0)))</f>
        <v/>
      </c>
      <c r="O489">
        <f>IF(M489="","",IF(ISNUMBER(C489),C489,IFERROR(_xlfn.NUMBERVALUE(C489,".",","),0)))</f>
        <v/>
      </c>
    </row>
    <row r="490">
      <c r="K490">
        <f>IF(OR(LEFT(B490,9)="DOANH THU",LEFT(B490,8)="SỐ LƯỢNG"),A490,IF(A490="","",K489))</f>
        <v/>
      </c>
      <c r="L490">
        <f>IF(A490="","",IF(ISNUMBER(--LEFT(A490,FIND(" - ",A490&amp;" - ")-1)),LEFT(A490,FIND(" - ",A490&amp;" - ")-1),TRIM(A490)))</f>
        <v/>
      </c>
      <c r="M490">
        <f>IF(OR(K490="",K490=A490,A490=""),"",K490&amp;"|"&amp;L490)</f>
        <v/>
      </c>
      <c r="N490">
        <f>IF(M490="","",IF(ISNUMBER(B490),B490,IFERROR(_xlfn.NUMBERVALUE(B490,".",","),0)))</f>
        <v/>
      </c>
      <c r="O490">
        <f>IF(M490="","",IF(ISNUMBER(C490),C490,IFERROR(_xlfn.NUMBERVALUE(C490,".",","),0)))</f>
        <v/>
      </c>
    </row>
    <row r="491">
      <c r="K491">
        <f>IF(OR(LEFT(B491,9)="DOANH THU",LEFT(B491,8)="SỐ LƯỢNG"),A491,IF(A491="","",K490))</f>
        <v/>
      </c>
      <c r="L491">
        <f>IF(A491="","",IF(ISNUMBER(--LEFT(A491,FIND(" - ",A491&amp;" - ")-1)),LEFT(A491,FIND(" - ",A491&amp;" - ")-1),TRIM(A491)))</f>
        <v/>
      </c>
      <c r="M491">
        <f>IF(OR(K491="",K491=A491,A491=""),"",K491&amp;"|"&amp;L491)</f>
        <v/>
      </c>
      <c r="N491">
        <f>IF(M491="","",IF(ISNUMBER(B491),B491,IFERROR(_xlfn.NUMBERVALUE(B491,".",","),0)))</f>
        <v/>
      </c>
      <c r="O491">
        <f>IF(M491="","",IF(ISNUMBER(C491),C491,IFERROR(_xlfn.NUMBERVALUE(C491,".",","),0)))</f>
        <v/>
      </c>
    </row>
    <row r="492">
      <c r="K492">
        <f>IF(OR(LEFT(B492,9)="DOANH THU",LEFT(B492,8)="SỐ LƯỢNG"),A492,IF(A492="","",K491))</f>
        <v/>
      </c>
      <c r="L492">
        <f>IF(A492="","",IF(ISNUMBER(--LEFT(A492,FIND(" - ",A492&amp;" - ")-1)),LEFT(A492,FIND(" - ",A492&amp;" - ")-1),TRIM(A492)))</f>
        <v/>
      </c>
      <c r="M492">
        <f>IF(OR(K492="",K492=A492,A492=""),"",K492&amp;"|"&amp;L492)</f>
        <v/>
      </c>
      <c r="N492">
        <f>IF(M492="","",IF(ISNUMBER(B492),B492,IFERROR(_xlfn.NUMBERVALUE(B492,".",","),0)))</f>
        <v/>
      </c>
      <c r="O492">
        <f>IF(M492="","",IF(ISNUMBER(C492),C492,IFERROR(_xlfn.NUMBERVALUE(C492,".",","),0)))</f>
        <v/>
      </c>
    </row>
    <row r="493">
      <c r="K493">
        <f>IF(OR(LEFT(B493,9)="DOANH THU",LEFT(B493,8)="SỐ LƯỢNG"),A493,IF(A493="","",K492))</f>
        <v/>
      </c>
      <c r="L493">
        <f>IF(A493="","",IF(ISNUMBER(--LEFT(A493,FIND(" - ",A493&amp;" - ")-1)),LEFT(A493,FIND(" - ",A493&amp;" - ")-1),TRIM(A493)))</f>
        <v/>
      </c>
      <c r="M493">
        <f>IF(OR(K493="",K493=A493,A493=""),"",K493&amp;"|"&amp;L493)</f>
        <v/>
      </c>
      <c r="N493">
        <f>IF(M493="","",IF(ISNUMBER(B493),B493,IFERROR(_xlfn.NUMBERVALUE(B493,".",","),0)))</f>
        <v/>
      </c>
      <c r="O493">
        <f>IF(M493="","",IF(ISNUMBER(C493),C493,IFERROR(_xlfn.NUMBERVALUE(C493,".",","),0)))</f>
        <v/>
      </c>
    </row>
    <row r="494">
      <c r="K494">
        <f>IF(OR(LEFT(B494,9)="DOANH THU",LEFT(B494,8)="SỐ LƯỢNG"),A494,IF(A494="","",K493))</f>
        <v/>
      </c>
      <c r="L494">
        <f>IF(A494="","",IF(ISNUMBER(--LEFT(A494,FIND(" - ",A494&amp;" - ")-1)),LEFT(A494,FIND(" - ",A494&amp;" - ")-1),TRIM(A494)))</f>
        <v/>
      </c>
      <c r="M494">
        <f>IF(OR(K494="",K494=A494,A494=""),"",K494&amp;"|"&amp;L494)</f>
        <v/>
      </c>
      <c r="N494">
        <f>IF(M494="","",IF(ISNUMBER(B494),B494,IFERROR(_xlfn.NUMBERVALUE(B494,".",","),0)))</f>
        <v/>
      </c>
      <c r="O494">
        <f>IF(M494="","",IF(ISNUMBER(C494),C494,IFERROR(_xlfn.NUMBERVALUE(C494,".",","),0)))</f>
        <v/>
      </c>
    </row>
    <row r="495">
      <c r="K495">
        <f>IF(OR(LEFT(B495,9)="DOANH THU",LEFT(B495,8)="SỐ LƯỢNG"),A495,IF(A495="","",K494))</f>
        <v/>
      </c>
      <c r="L495">
        <f>IF(A495="","",IF(ISNUMBER(--LEFT(A495,FIND(" - ",A495&amp;" - ")-1)),LEFT(A495,FIND(" - ",A495&amp;" - ")-1),TRIM(A495)))</f>
        <v/>
      </c>
      <c r="M495">
        <f>IF(OR(K495="",K495=A495,A495=""),"",K495&amp;"|"&amp;L495)</f>
        <v/>
      </c>
      <c r="N495">
        <f>IF(M495="","",IF(ISNUMBER(B495),B495,IFERROR(_xlfn.NUMBERVALUE(B495,".",","),0)))</f>
        <v/>
      </c>
      <c r="O495">
        <f>IF(M495="","",IF(ISNUMBER(C495),C495,IFERROR(_xlfn.NUMBERVALUE(C495,".",","),0)))</f>
        <v/>
      </c>
    </row>
    <row r="496">
      <c r="K496">
        <f>IF(OR(LEFT(B496,9)="DOANH THU",LEFT(B496,8)="SỐ LƯỢNG"),A496,IF(A496="","",K495))</f>
        <v/>
      </c>
      <c r="L496">
        <f>IF(A496="","",IF(ISNUMBER(--LEFT(A496,FIND(" - ",A496&amp;" - ")-1)),LEFT(A496,FIND(" - ",A496&amp;" - ")-1),TRIM(A496)))</f>
        <v/>
      </c>
      <c r="M496">
        <f>IF(OR(K496="",K496=A496,A496=""),"",K496&amp;"|"&amp;L496)</f>
        <v/>
      </c>
      <c r="N496">
        <f>IF(M496="","",IF(ISNUMBER(B496),B496,IFERROR(_xlfn.NUMBERVALUE(B496,".",","),0)))</f>
        <v/>
      </c>
      <c r="O496">
        <f>IF(M496="","",IF(ISNUMBER(C496),C496,IFERROR(_xlfn.NUMBERVALUE(C496,".",","),0)))</f>
        <v/>
      </c>
    </row>
    <row r="497">
      <c r="K497">
        <f>IF(OR(LEFT(B497,9)="DOANH THU",LEFT(B497,8)="SỐ LƯỢNG"),A497,IF(A497="","",K496))</f>
        <v/>
      </c>
      <c r="L497">
        <f>IF(A497="","",IF(ISNUMBER(--LEFT(A497,FIND(" - ",A497&amp;" - ")-1)),LEFT(A497,FIND(" - ",A497&amp;" - ")-1),TRIM(A497)))</f>
        <v/>
      </c>
      <c r="M497">
        <f>IF(OR(K497="",K497=A497,A497=""),"",K497&amp;"|"&amp;L497)</f>
        <v/>
      </c>
      <c r="N497">
        <f>IF(M497="","",IF(ISNUMBER(B497),B497,IFERROR(_xlfn.NUMBERVALUE(B497,".",","),0)))</f>
        <v/>
      </c>
      <c r="O497">
        <f>IF(M497="","",IF(ISNUMBER(C497),C497,IFERROR(_xlfn.NUMBERVALUE(C497,".",","),0)))</f>
        <v/>
      </c>
    </row>
    <row r="498">
      <c r="K498">
        <f>IF(OR(LEFT(B498,9)="DOANH THU",LEFT(B498,8)="SỐ LƯỢNG"),A498,IF(A498="","",K497))</f>
        <v/>
      </c>
      <c r="L498">
        <f>IF(A498="","",IF(ISNUMBER(--LEFT(A498,FIND(" - ",A498&amp;" - ")-1)),LEFT(A498,FIND(" - ",A498&amp;" - ")-1),TRIM(A498)))</f>
        <v/>
      </c>
      <c r="M498">
        <f>IF(OR(K498="",K498=A498,A498=""),"",K498&amp;"|"&amp;L498)</f>
        <v/>
      </c>
      <c r="N498">
        <f>IF(M498="","",IF(ISNUMBER(B498),B498,IFERROR(_xlfn.NUMBERVALUE(B498,".",","),0)))</f>
        <v/>
      </c>
      <c r="O498">
        <f>IF(M498="","",IF(ISNUMBER(C498),C498,IFERROR(_xlfn.NUMBERVALUE(C498,".",","),0)))</f>
        <v/>
      </c>
    </row>
    <row r="499">
      <c r="K499">
        <f>IF(OR(LEFT(B499,9)="DOANH THU",LEFT(B499,8)="SỐ LƯỢNG"),A499,IF(A499="","",K498))</f>
        <v/>
      </c>
      <c r="L499">
        <f>IF(A499="","",IF(ISNUMBER(--LEFT(A499,FIND(" - ",A499&amp;" - ")-1)),LEFT(A499,FIND(" - ",A499&amp;" - ")-1),TRIM(A499)))</f>
        <v/>
      </c>
      <c r="M499">
        <f>IF(OR(K499="",K499=A499,A499=""),"",K499&amp;"|"&amp;L499)</f>
        <v/>
      </c>
      <c r="N499">
        <f>IF(M499="","",IF(ISNUMBER(B499),B499,IFERROR(_xlfn.NUMBERVALUE(B499,".",","),0)))</f>
        <v/>
      </c>
      <c r="O499">
        <f>IF(M499="","",IF(ISNUMBER(C499),C499,IFERROR(_xlfn.NUMBERVALUE(C499,".",","),0)))</f>
        <v/>
      </c>
    </row>
    <row r="500">
      <c r="K500">
        <f>IF(OR(LEFT(B500,9)="DOANH THU",LEFT(B500,8)="SỐ LƯỢNG"),A500,IF(A500="","",K499))</f>
        <v/>
      </c>
      <c r="L500">
        <f>IF(A500="","",IF(ISNUMBER(--LEFT(A500,FIND(" - ",A500&amp;" - ")-1)),LEFT(A500,FIND(" - ",A500&amp;" - ")-1),TRIM(A500)))</f>
        <v/>
      </c>
      <c r="M500">
        <f>IF(OR(K500="",K500=A500,A500=""),"",K500&amp;"|"&amp;L500)</f>
        <v/>
      </c>
      <c r="N500">
        <f>IF(M500="","",IF(ISNUMBER(B500),B500,IFERROR(_xlfn.NUMBERVALUE(B500,".",","),0)))</f>
        <v/>
      </c>
      <c r="O500">
        <f>IF(M500="","",IF(ISNUMBER(C500),C500,IFERROR(_xlfn.NUMBERVALUE(C500,".",","),0)))</f>
        <v/>
      </c>
    </row>
    <row r="501">
      <c r="K501">
        <f>IF(OR(LEFT(B501,9)="DOANH THU",LEFT(B501,8)="SỐ LƯỢNG"),A501,IF(A501="","",K500))</f>
        <v/>
      </c>
      <c r="L501">
        <f>IF(A501="","",IF(ISNUMBER(--LEFT(A501,FIND(" - ",A501&amp;" - ")-1)),LEFT(A501,FIND(" - ",A501&amp;" - ")-1),TRIM(A501)))</f>
        <v/>
      </c>
      <c r="M501">
        <f>IF(OR(K501="",K501=A501,A501=""),"",K501&amp;"|"&amp;L501)</f>
        <v/>
      </c>
      <c r="N501">
        <f>IF(M501="","",IF(ISNUMBER(B501),B501,IFERROR(_xlfn.NUMBERVALUE(B501,".",","),0)))</f>
        <v/>
      </c>
      <c r="O501">
        <f>IF(M501="","",IF(ISNUMBER(C501),C501,IFERROR(_xlfn.NUMBERVALUE(C501,".",","),0)))</f>
        <v/>
      </c>
    </row>
    <row r="502">
      <c r="K502">
        <f>IF(OR(LEFT(B502,9)="DOANH THU",LEFT(B502,8)="SỐ LƯỢNG"),A502,IF(A502="","",K501))</f>
        <v/>
      </c>
      <c r="L502">
        <f>IF(A502="","",IF(ISNUMBER(--LEFT(A502,FIND(" - ",A502&amp;" - ")-1)),LEFT(A502,FIND(" - ",A502&amp;" - ")-1),TRIM(A502)))</f>
        <v/>
      </c>
      <c r="M502">
        <f>IF(OR(K502="",K502=A502,A502=""),"",K502&amp;"|"&amp;L502)</f>
        <v/>
      </c>
      <c r="N502">
        <f>IF(M502="","",IF(ISNUMBER(B502),B502,IFERROR(_xlfn.NUMBERVALUE(B502,".",","),0)))</f>
        <v/>
      </c>
      <c r="O502">
        <f>IF(M502="","",IF(ISNUMBER(C502),C502,IFERROR(_xlfn.NUMBERVALUE(C502,".",","),0)))</f>
        <v/>
      </c>
    </row>
    <row r="503">
      <c r="K503">
        <f>IF(OR(LEFT(B503,9)="DOANH THU",LEFT(B503,8)="SỐ LƯỢNG"),A503,IF(A503="","",K502))</f>
        <v/>
      </c>
      <c r="L503">
        <f>IF(A503="","",IF(ISNUMBER(--LEFT(A503,FIND(" - ",A503&amp;" - ")-1)),LEFT(A503,FIND(" - ",A503&amp;" - ")-1),TRIM(A503)))</f>
        <v/>
      </c>
      <c r="M503">
        <f>IF(OR(K503="",K503=A503,A503=""),"",K503&amp;"|"&amp;L503)</f>
        <v/>
      </c>
      <c r="N503">
        <f>IF(M503="","",IF(ISNUMBER(B503),B503,IFERROR(_xlfn.NUMBERVALUE(B503,".",","),0)))</f>
        <v/>
      </c>
      <c r="O503">
        <f>IF(M503="","",IF(ISNUMBER(C503),C503,IFERROR(_xlfn.NUMBERVALUE(C503,".",","),0)))</f>
        <v/>
      </c>
    </row>
    <row r="504">
      <c r="K504">
        <f>IF(OR(LEFT(B504,9)="DOANH THU",LEFT(B504,8)="SỐ LƯỢNG"),A504,IF(A504="","",K503))</f>
        <v/>
      </c>
      <c r="L504">
        <f>IF(A504="","",IF(ISNUMBER(--LEFT(A504,FIND(" - ",A504&amp;" - ")-1)),LEFT(A504,FIND(" - ",A504&amp;" - ")-1),TRIM(A504)))</f>
        <v/>
      </c>
      <c r="M504">
        <f>IF(OR(K504="",K504=A504,A504=""),"",K504&amp;"|"&amp;L504)</f>
        <v/>
      </c>
      <c r="N504">
        <f>IF(M504="","",IF(ISNUMBER(B504),B504,IFERROR(_xlfn.NUMBERVALUE(B504,".",","),0)))</f>
        <v/>
      </c>
      <c r="O504">
        <f>IF(M504="","",IF(ISNUMBER(C504),C504,IFERROR(_xlfn.NUMBERVALUE(C504,".",","),0)))</f>
        <v/>
      </c>
    </row>
    <row r="505">
      <c r="K505">
        <f>IF(OR(LEFT(B505,9)="DOANH THU",LEFT(B505,8)="SỐ LƯỢNG"),A505,IF(A505="","",K504))</f>
        <v/>
      </c>
      <c r="L505">
        <f>IF(A505="","",IF(ISNUMBER(--LEFT(A505,FIND(" - ",A505&amp;" - ")-1)),LEFT(A505,FIND(" - ",A505&amp;" - ")-1),TRIM(A505)))</f>
        <v/>
      </c>
      <c r="M505">
        <f>IF(OR(K505="",K505=A505,A505=""),"",K505&amp;"|"&amp;L505)</f>
        <v/>
      </c>
      <c r="N505">
        <f>IF(M505="","",IF(ISNUMBER(B505),B505,IFERROR(_xlfn.NUMBERVALUE(B505,".",","),0)))</f>
        <v/>
      </c>
      <c r="O505">
        <f>IF(M505="","",IF(ISNUMBER(C505),C505,IFERROR(_xlfn.NUMBERVALUE(C505,".",","),0)))</f>
        <v/>
      </c>
    </row>
    <row r="506">
      <c r="K506">
        <f>IF(OR(LEFT(B506,9)="DOANH THU",LEFT(B506,8)="SỐ LƯỢNG"),A506,IF(A506="","",K505))</f>
        <v/>
      </c>
      <c r="L506">
        <f>IF(A506="","",IF(ISNUMBER(--LEFT(A506,FIND(" - ",A506&amp;" - ")-1)),LEFT(A506,FIND(" - ",A506&amp;" - ")-1),TRIM(A506)))</f>
        <v/>
      </c>
      <c r="M506">
        <f>IF(OR(K506="",K506=A506,A506=""),"",K506&amp;"|"&amp;L506)</f>
        <v/>
      </c>
      <c r="N506">
        <f>IF(M506="","",IF(ISNUMBER(B506),B506,IFERROR(_xlfn.NUMBERVALUE(B506,".",","),0)))</f>
        <v/>
      </c>
      <c r="O506">
        <f>IF(M506="","",IF(ISNUMBER(C506),C506,IFERROR(_xlfn.NUMBERVALUE(C506,".",","),0)))</f>
        <v/>
      </c>
    </row>
    <row r="507">
      <c r="K507">
        <f>IF(OR(LEFT(B507,9)="DOANH THU",LEFT(B507,8)="SỐ LƯỢNG"),A507,IF(A507="","",K506))</f>
        <v/>
      </c>
      <c r="L507">
        <f>IF(A507="","",IF(ISNUMBER(--LEFT(A507,FIND(" - ",A507&amp;" - ")-1)),LEFT(A507,FIND(" - ",A507&amp;" - ")-1),TRIM(A507)))</f>
        <v/>
      </c>
      <c r="M507">
        <f>IF(OR(K507="",K507=A507,A507=""),"",K507&amp;"|"&amp;L507)</f>
        <v/>
      </c>
      <c r="N507">
        <f>IF(M507="","",IF(ISNUMBER(B507),B507,IFERROR(_xlfn.NUMBERVALUE(B507,".",","),0)))</f>
        <v/>
      </c>
      <c r="O507">
        <f>IF(M507="","",IF(ISNUMBER(C507),C507,IFERROR(_xlfn.NUMBERVALUE(C507,".",","),0)))</f>
        <v/>
      </c>
    </row>
    <row r="508">
      <c r="K508">
        <f>IF(OR(LEFT(B508,9)="DOANH THU",LEFT(B508,8)="SỐ LƯỢNG"),A508,IF(A508="","",K507))</f>
        <v/>
      </c>
      <c r="L508">
        <f>IF(A508="","",IF(ISNUMBER(--LEFT(A508,FIND(" - ",A508&amp;" - ")-1)),LEFT(A508,FIND(" - ",A508&amp;" - ")-1),TRIM(A508)))</f>
        <v/>
      </c>
      <c r="M508">
        <f>IF(OR(K508="",K508=A508,A508=""),"",K508&amp;"|"&amp;L508)</f>
        <v/>
      </c>
      <c r="N508">
        <f>IF(M508="","",IF(ISNUMBER(B508),B508,IFERROR(_xlfn.NUMBERVALUE(B508,".",","),0)))</f>
        <v/>
      </c>
      <c r="O508">
        <f>IF(M508="","",IF(ISNUMBER(C508),C508,IFERROR(_xlfn.NUMBERVALUE(C508,".",","),0)))</f>
        <v/>
      </c>
    </row>
    <row r="509">
      <c r="K509">
        <f>IF(OR(LEFT(B509,9)="DOANH THU",LEFT(B509,8)="SỐ LƯỢNG"),A509,IF(A509="","",K508))</f>
        <v/>
      </c>
      <c r="L509">
        <f>IF(A509="","",IF(ISNUMBER(--LEFT(A509,FIND(" - ",A509&amp;" - ")-1)),LEFT(A509,FIND(" - ",A509&amp;" - ")-1),TRIM(A509)))</f>
        <v/>
      </c>
      <c r="M509">
        <f>IF(OR(K509="",K509=A509,A509=""),"",K509&amp;"|"&amp;L509)</f>
        <v/>
      </c>
      <c r="N509">
        <f>IF(M509="","",IF(ISNUMBER(B509),B509,IFERROR(_xlfn.NUMBERVALUE(B509,".",","),0)))</f>
        <v/>
      </c>
      <c r="O509">
        <f>IF(M509="","",IF(ISNUMBER(C509),C509,IFERROR(_xlfn.NUMBERVALUE(C509,".",","),0)))</f>
        <v/>
      </c>
    </row>
    <row r="510">
      <c r="K510">
        <f>IF(OR(LEFT(B510,9)="DOANH THU",LEFT(B510,8)="SỐ LƯỢNG"),A510,IF(A510="","",K509))</f>
        <v/>
      </c>
      <c r="L510">
        <f>IF(A510="","",IF(ISNUMBER(--LEFT(A510,FIND(" - ",A510&amp;" - ")-1)),LEFT(A510,FIND(" - ",A510&amp;" - ")-1),TRIM(A510)))</f>
        <v/>
      </c>
      <c r="M510">
        <f>IF(OR(K510="",K510=A510,A510=""),"",K510&amp;"|"&amp;L510)</f>
        <v/>
      </c>
      <c r="N510">
        <f>IF(M510="","",IF(ISNUMBER(B510),B510,IFERROR(_xlfn.NUMBERVALUE(B510,".",","),0)))</f>
        <v/>
      </c>
      <c r="O510">
        <f>IF(M510="","",IF(ISNUMBER(C510),C510,IFERROR(_xlfn.NUMBERVALUE(C510,".",","),0)))</f>
        <v/>
      </c>
    </row>
    <row r="511">
      <c r="K511">
        <f>IF(OR(LEFT(B511,9)="DOANH THU",LEFT(B511,8)="SỐ LƯỢNG"),A511,IF(A511="","",K510))</f>
        <v/>
      </c>
      <c r="L511">
        <f>IF(A511="","",IF(ISNUMBER(--LEFT(A511,FIND(" - ",A511&amp;" - ")-1)),LEFT(A511,FIND(" - ",A511&amp;" - ")-1),TRIM(A511)))</f>
        <v/>
      </c>
      <c r="M511">
        <f>IF(OR(K511="",K511=A511,A511=""),"",K511&amp;"|"&amp;L511)</f>
        <v/>
      </c>
      <c r="N511">
        <f>IF(M511="","",IF(ISNUMBER(B511),B511,IFERROR(_xlfn.NUMBERVALUE(B511,".",","),0)))</f>
        <v/>
      </c>
      <c r="O511">
        <f>IF(M511="","",IF(ISNUMBER(C511),C511,IFERROR(_xlfn.NUMBERVALUE(C511,".",","),0)))</f>
        <v/>
      </c>
    </row>
    <row r="512">
      <c r="K512">
        <f>IF(OR(LEFT(B512,9)="DOANH THU",LEFT(B512,8)="SỐ LƯỢNG"),A512,IF(A512="","",K511))</f>
        <v/>
      </c>
      <c r="L512">
        <f>IF(A512="","",IF(ISNUMBER(--LEFT(A512,FIND(" - ",A512&amp;" - ")-1)),LEFT(A512,FIND(" - ",A512&amp;" - ")-1),TRIM(A512)))</f>
        <v/>
      </c>
      <c r="M512">
        <f>IF(OR(K512="",K512=A512,A512=""),"",K512&amp;"|"&amp;L512)</f>
        <v/>
      </c>
      <c r="N512">
        <f>IF(M512="","",IF(ISNUMBER(B512),B512,IFERROR(_xlfn.NUMBERVALUE(B512,".",","),0)))</f>
        <v/>
      </c>
      <c r="O512">
        <f>IF(M512="","",IF(ISNUMBER(C512),C512,IFERROR(_xlfn.NUMBERVALUE(C512,".",","),0)))</f>
        <v/>
      </c>
    </row>
    <row r="513">
      <c r="K513">
        <f>IF(OR(LEFT(B513,9)="DOANH THU",LEFT(B513,8)="SỐ LƯỢNG"),A513,IF(A513="","",K512))</f>
        <v/>
      </c>
      <c r="L513">
        <f>IF(A513="","",IF(ISNUMBER(--LEFT(A513,FIND(" - ",A513&amp;" - ")-1)),LEFT(A513,FIND(" - ",A513&amp;" - ")-1),TRIM(A513)))</f>
        <v/>
      </c>
      <c r="M513">
        <f>IF(OR(K513="",K513=A513,A513=""),"",K513&amp;"|"&amp;L513)</f>
        <v/>
      </c>
      <c r="N513">
        <f>IF(M513="","",IF(ISNUMBER(B513),B513,IFERROR(_xlfn.NUMBERVALUE(B513,".",","),0)))</f>
        <v/>
      </c>
      <c r="O513">
        <f>IF(M513="","",IF(ISNUMBER(C513),C513,IFERROR(_xlfn.NUMBERVALUE(C513,".",","),0)))</f>
        <v/>
      </c>
    </row>
    <row r="514">
      <c r="K514">
        <f>IF(OR(LEFT(B514,9)="DOANH THU",LEFT(B514,8)="SỐ LƯỢNG"),A514,IF(A514="","",K513))</f>
        <v/>
      </c>
      <c r="L514">
        <f>IF(A514="","",IF(ISNUMBER(--LEFT(A514,FIND(" - ",A514&amp;" - ")-1)),LEFT(A514,FIND(" - ",A514&amp;" - ")-1),TRIM(A514)))</f>
        <v/>
      </c>
      <c r="M514">
        <f>IF(OR(K514="",K514=A514,A514=""),"",K514&amp;"|"&amp;L514)</f>
        <v/>
      </c>
      <c r="N514">
        <f>IF(M514="","",IF(ISNUMBER(B514),B514,IFERROR(_xlfn.NUMBERVALUE(B514,".",","),0)))</f>
        <v/>
      </c>
      <c r="O514">
        <f>IF(M514="","",IF(ISNUMBER(C514),C514,IFERROR(_xlfn.NUMBERVALUE(C514,".",","),0)))</f>
        <v/>
      </c>
    </row>
    <row r="515">
      <c r="K515">
        <f>IF(OR(LEFT(B515,9)="DOANH THU",LEFT(B515,8)="SỐ LƯỢNG"),A515,IF(A515="","",K514))</f>
        <v/>
      </c>
      <c r="L515">
        <f>IF(A515="","",IF(ISNUMBER(--LEFT(A515,FIND(" - ",A515&amp;" - ")-1)),LEFT(A515,FIND(" - ",A515&amp;" - ")-1),TRIM(A515)))</f>
        <v/>
      </c>
      <c r="M515">
        <f>IF(OR(K515="",K515=A515,A515=""),"",K515&amp;"|"&amp;L515)</f>
        <v/>
      </c>
      <c r="N515">
        <f>IF(M515="","",IF(ISNUMBER(B515),B515,IFERROR(_xlfn.NUMBERVALUE(B515,".",","),0)))</f>
        <v/>
      </c>
      <c r="O515">
        <f>IF(M515="","",IF(ISNUMBER(C515),C515,IFERROR(_xlfn.NUMBERVALUE(C515,".",","),0)))</f>
        <v/>
      </c>
    </row>
    <row r="516">
      <c r="K516">
        <f>IF(OR(LEFT(B516,9)="DOANH THU",LEFT(B516,8)="SỐ LƯỢNG"),A516,IF(A516="","",K515))</f>
        <v/>
      </c>
      <c r="L516">
        <f>IF(A516="","",IF(ISNUMBER(--LEFT(A516,FIND(" - ",A516&amp;" - ")-1)),LEFT(A516,FIND(" - ",A516&amp;" - ")-1),TRIM(A516)))</f>
        <v/>
      </c>
      <c r="M516">
        <f>IF(OR(K516="",K516=A516,A516=""),"",K516&amp;"|"&amp;L516)</f>
        <v/>
      </c>
      <c r="N516">
        <f>IF(M516="","",IF(ISNUMBER(B516),B516,IFERROR(_xlfn.NUMBERVALUE(B516,".",","),0)))</f>
        <v/>
      </c>
      <c r="O516">
        <f>IF(M516="","",IF(ISNUMBER(C516),C516,IFERROR(_xlfn.NUMBERVALUE(C516,".",","),0)))</f>
        <v/>
      </c>
    </row>
    <row r="517">
      <c r="K517">
        <f>IF(OR(LEFT(B517,9)="DOANH THU",LEFT(B517,8)="SỐ LƯỢNG"),A517,IF(A517="","",K516))</f>
        <v/>
      </c>
      <c r="L517">
        <f>IF(A517="","",IF(ISNUMBER(--LEFT(A517,FIND(" - ",A517&amp;" - ")-1)),LEFT(A517,FIND(" - ",A517&amp;" - ")-1),TRIM(A517)))</f>
        <v/>
      </c>
      <c r="M517">
        <f>IF(OR(K517="",K517=A517,A517=""),"",K517&amp;"|"&amp;L517)</f>
        <v/>
      </c>
      <c r="N517">
        <f>IF(M517="","",IF(ISNUMBER(B517),B517,IFERROR(_xlfn.NUMBERVALUE(B517,".",","),0)))</f>
        <v/>
      </c>
      <c r="O517">
        <f>IF(M517="","",IF(ISNUMBER(C517),C517,IFERROR(_xlfn.NUMBERVALUE(C517,".",","),0)))</f>
        <v/>
      </c>
    </row>
    <row r="518">
      <c r="K518">
        <f>IF(OR(LEFT(B518,9)="DOANH THU",LEFT(B518,8)="SỐ LƯỢNG"),A518,IF(A518="","",K517))</f>
        <v/>
      </c>
      <c r="L518">
        <f>IF(A518="","",IF(ISNUMBER(--LEFT(A518,FIND(" - ",A518&amp;" - ")-1)),LEFT(A518,FIND(" - ",A518&amp;" - ")-1),TRIM(A518)))</f>
        <v/>
      </c>
      <c r="M518">
        <f>IF(OR(K518="",K518=A518,A518=""),"",K518&amp;"|"&amp;L518)</f>
        <v/>
      </c>
      <c r="N518">
        <f>IF(M518="","",IF(ISNUMBER(B518),B518,IFERROR(_xlfn.NUMBERVALUE(B518,".",","),0)))</f>
        <v/>
      </c>
      <c r="O518">
        <f>IF(M518="","",IF(ISNUMBER(C518),C518,IFERROR(_xlfn.NUMBERVALUE(C518,".",","),0)))</f>
        <v/>
      </c>
    </row>
    <row r="519">
      <c r="K519">
        <f>IF(OR(LEFT(B519,9)="DOANH THU",LEFT(B519,8)="SỐ LƯỢNG"),A519,IF(A519="","",K518))</f>
        <v/>
      </c>
      <c r="L519">
        <f>IF(A519="","",IF(ISNUMBER(--LEFT(A519,FIND(" - ",A519&amp;" - ")-1)),LEFT(A519,FIND(" - ",A519&amp;" - ")-1),TRIM(A519)))</f>
        <v/>
      </c>
      <c r="M519">
        <f>IF(OR(K519="",K519=A519,A519=""),"",K519&amp;"|"&amp;L519)</f>
        <v/>
      </c>
      <c r="N519">
        <f>IF(M519="","",IF(ISNUMBER(B519),B519,IFERROR(_xlfn.NUMBERVALUE(B519,".",","),0)))</f>
        <v/>
      </c>
      <c r="O519">
        <f>IF(M519="","",IF(ISNUMBER(C519),C519,IFERROR(_xlfn.NUMBERVALUE(C519,".",","),0)))</f>
        <v/>
      </c>
    </row>
    <row r="520">
      <c r="K520">
        <f>IF(OR(LEFT(B520,9)="DOANH THU",LEFT(B520,8)="SỐ LƯỢNG"),A520,IF(A520="","",K519))</f>
        <v/>
      </c>
      <c r="L520">
        <f>IF(A520="","",IF(ISNUMBER(--LEFT(A520,FIND(" - ",A520&amp;" - ")-1)),LEFT(A520,FIND(" - ",A520&amp;" - ")-1),TRIM(A520)))</f>
        <v/>
      </c>
      <c r="M520">
        <f>IF(OR(K520="",K520=A520,A520=""),"",K520&amp;"|"&amp;L520)</f>
        <v/>
      </c>
      <c r="N520">
        <f>IF(M520="","",IF(ISNUMBER(B520),B520,IFERROR(_xlfn.NUMBERVALUE(B520,".",","),0)))</f>
        <v/>
      </c>
      <c r="O520">
        <f>IF(M520="","",IF(ISNUMBER(C520),C520,IFERROR(_xlfn.NUMBERVALUE(C520,".",","),0)))</f>
        <v/>
      </c>
    </row>
    <row r="521">
      <c r="K521">
        <f>IF(OR(LEFT(B521,9)="DOANH THU",LEFT(B521,8)="SỐ LƯỢNG"),A521,IF(A521="","",K520))</f>
        <v/>
      </c>
      <c r="L521">
        <f>IF(A521="","",IF(ISNUMBER(--LEFT(A521,FIND(" - ",A521&amp;" - ")-1)),LEFT(A521,FIND(" - ",A521&amp;" - ")-1),TRIM(A521)))</f>
        <v/>
      </c>
      <c r="M521">
        <f>IF(OR(K521="",K521=A521,A521=""),"",K521&amp;"|"&amp;L521)</f>
        <v/>
      </c>
      <c r="N521">
        <f>IF(M521="","",IF(ISNUMBER(B521),B521,IFERROR(_xlfn.NUMBERVALUE(B521,".",","),0)))</f>
        <v/>
      </c>
      <c r="O521">
        <f>IF(M521="","",IF(ISNUMBER(C521),C521,IFERROR(_xlfn.NUMBERVALUE(C521,".",","),0)))</f>
        <v/>
      </c>
    </row>
    <row r="522">
      <c r="K522">
        <f>IF(OR(LEFT(B522,9)="DOANH THU",LEFT(B522,8)="SỐ LƯỢNG"),A522,IF(A522="","",K521))</f>
        <v/>
      </c>
      <c r="L522">
        <f>IF(A522="","",IF(ISNUMBER(--LEFT(A522,FIND(" - ",A522&amp;" - ")-1)),LEFT(A522,FIND(" - ",A522&amp;" - ")-1),TRIM(A522)))</f>
        <v/>
      </c>
      <c r="M522">
        <f>IF(OR(K522="",K522=A522,A522=""),"",K522&amp;"|"&amp;L522)</f>
        <v/>
      </c>
      <c r="N522">
        <f>IF(M522="","",IF(ISNUMBER(B522),B522,IFERROR(_xlfn.NUMBERVALUE(B522,".",","),0)))</f>
        <v/>
      </c>
      <c r="O522">
        <f>IF(M522="","",IF(ISNUMBER(C522),C522,IFERROR(_xlfn.NUMBERVALUE(C522,".",","),0)))</f>
        <v/>
      </c>
    </row>
    <row r="523">
      <c r="K523">
        <f>IF(OR(LEFT(B523,9)="DOANH THU",LEFT(B523,8)="SỐ LƯỢNG"),A523,IF(A523="","",K522))</f>
        <v/>
      </c>
      <c r="L523">
        <f>IF(A523="","",IF(ISNUMBER(--LEFT(A523,FIND(" - ",A523&amp;" - ")-1)),LEFT(A523,FIND(" - ",A523&amp;" - ")-1),TRIM(A523)))</f>
        <v/>
      </c>
      <c r="M523">
        <f>IF(OR(K523="",K523=A523,A523=""),"",K523&amp;"|"&amp;L523)</f>
        <v/>
      </c>
      <c r="N523">
        <f>IF(M523="","",IF(ISNUMBER(B523),B523,IFERROR(_xlfn.NUMBERVALUE(B523,".",","),0)))</f>
        <v/>
      </c>
      <c r="O523">
        <f>IF(M523="","",IF(ISNUMBER(C523),C523,IFERROR(_xlfn.NUMBERVALUE(C523,".",","),0)))</f>
        <v/>
      </c>
    </row>
    <row r="524">
      <c r="K524">
        <f>IF(OR(LEFT(B524,9)="DOANH THU",LEFT(B524,8)="SỐ LƯỢNG"),A524,IF(A524="","",K523))</f>
        <v/>
      </c>
      <c r="L524">
        <f>IF(A524="","",IF(ISNUMBER(--LEFT(A524,FIND(" - ",A524&amp;" - ")-1)),LEFT(A524,FIND(" - ",A524&amp;" - ")-1),TRIM(A524)))</f>
        <v/>
      </c>
      <c r="M524">
        <f>IF(OR(K524="",K524=A524,A524=""),"",K524&amp;"|"&amp;L524)</f>
        <v/>
      </c>
      <c r="N524">
        <f>IF(M524="","",IF(ISNUMBER(B524),B524,IFERROR(_xlfn.NUMBERVALUE(B524,".",","),0)))</f>
        <v/>
      </c>
      <c r="O524">
        <f>IF(M524="","",IF(ISNUMBER(C524),C524,IFERROR(_xlfn.NUMBERVALUE(C524,".",","),0)))</f>
        <v/>
      </c>
    </row>
    <row r="525">
      <c r="K525">
        <f>IF(OR(LEFT(B525,9)="DOANH THU",LEFT(B525,8)="SỐ LƯỢNG"),A525,IF(A525="","",K524))</f>
        <v/>
      </c>
      <c r="L525">
        <f>IF(A525="","",IF(ISNUMBER(--LEFT(A525,FIND(" - ",A525&amp;" - ")-1)),LEFT(A525,FIND(" - ",A525&amp;" - ")-1),TRIM(A525)))</f>
        <v/>
      </c>
      <c r="M525">
        <f>IF(OR(K525="",K525=A525,A525=""),"",K525&amp;"|"&amp;L525)</f>
        <v/>
      </c>
      <c r="N525">
        <f>IF(M525="","",IF(ISNUMBER(B525),B525,IFERROR(_xlfn.NUMBERVALUE(B525,".",","),0)))</f>
        <v/>
      </c>
      <c r="O525">
        <f>IF(M525="","",IF(ISNUMBER(C525),C525,IFERROR(_xlfn.NUMBERVALUE(C525,".",","),0)))</f>
        <v/>
      </c>
    </row>
    <row r="526">
      <c r="K526">
        <f>IF(OR(LEFT(B526,9)="DOANH THU",LEFT(B526,8)="SỐ LƯỢNG"),A526,IF(A526="","",K525))</f>
        <v/>
      </c>
      <c r="L526">
        <f>IF(A526="","",IF(ISNUMBER(--LEFT(A526,FIND(" - ",A526&amp;" - ")-1)),LEFT(A526,FIND(" - ",A526&amp;" - ")-1),TRIM(A526)))</f>
        <v/>
      </c>
      <c r="M526">
        <f>IF(OR(K526="",K526=A526,A526=""),"",K526&amp;"|"&amp;L526)</f>
        <v/>
      </c>
      <c r="N526">
        <f>IF(M526="","",IF(ISNUMBER(B526),B526,IFERROR(_xlfn.NUMBERVALUE(B526,".",","),0)))</f>
        <v/>
      </c>
      <c r="O526">
        <f>IF(M526="","",IF(ISNUMBER(C526),C526,IFERROR(_xlfn.NUMBERVALUE(C526,".",","),0)))</f>
        <v/>
      </c>
    </row>
    <row r="527">
      <c r="K527">
        <f>IF(OR(LEFT(B527,9)="DOANH THU",LEFT(B527,8)="SỐ LƯỢNG"),A527,IF(A527="","",K526))</f>
        <v/>
      </c>
      <c r="L527">
        <f>IF(A527="","",IF(ISNUMBER(--LEFT(A527,FIND(" - ",A527&amp;" - ")-1)),LEFT(A527,FIND(" - ",A527&amp;" - ")-1),TRIM(A527)))</f>
        <v/>
      </c>
      <c r="M527">
        <f>IF(OR(K527="",K527=A527,A527=""),"",K527&amp;"|"&amp;L527)</f>
        <v/>
      </c>
      <c r="N527">
        <f>IF(M527="","",IF(ISNUMBER(B527),B527,IFERROR(_xlfn.NUMBERVALUE(B527,".",","),0)))</f>
        <v/>
      </c>
      <c r="O527">
        <f>IF(M527="","",IF(ISNUMBER(C527),C527,IFERROR(_xlfn.NUMBERVALUE(C527,".",","),0)))</f>
        <v/>
      </c>
    </row>
    <row r="528">
      <c r="K528">
        <f>IF(OR(LEFT(B528,9)="DOANH THU",LEFT(B528,8)="SỐ LƯỢNG"),A528,IF(A528="","",K527))</f>
        <v/>
      </c>
      <c r="L528">
        <f>IF(A528="","",IF(ISNUMBER(--LEFT(A528,FIND(" - ",A528&amp;" - ")-1)),LEFT(A528,FIND(" - ",A528&amp;" - ")-1),TRIM(A528)))</f>
        <v/>
      </c>
      <c r="M528">
        <f>IF(OR(K528="",K528=A528,A528=""),"",K528&amp;"|"&amp;L528)</f>
        <v/>
      </c>
      <c r="N528">
        <f>IF(M528="","",IF(ISNUMBER(B528),B528,IFERROR(_xlfn.NUMBERVALUE(B528,".",","),0)))</f>
        <v/>
      </c>
      <c r="O528">
        <f>IF(M528="","",IF(ISNUMBER(C528),C528,IFERROR(_xlfn.NUMBERVALUE(C528,".",","),0)))</f>
        <v/>
      </c>
    </row>
    <row r="529">
      <c r="K529">
        <f>IF(OR(LEFT(B529,9)="DOANH THU",LEFT(B529,8)="SỐ LƯỢNG"),A529,IF(A529="","",K528))</f>
        <v/>
      </c>
      <c r="L529">
        <f>IF(A529="","",IF(ISNUMBER(--LEFT(A529,FIND(" - ",A529&amp;" - ")-1)),LEFT(A529,FIND(" - ",A529&amp;" - ")-1),TRIM(A529)))</f>
        <v/>
      </c>
      <c r="M529">
        <f>IF(OR(K529="",K529=A529,A529=""),"",K529&amp;"|"&amp;L529)</f>
        <v/>
      </c>
      <c r="N529">
        <f>IF(M529="","",IF(ISNUMBER(B529),B529,IFERROR(_xlfn.NUMBERVALUE(B529,".",","),0)))</f>
        <v/>
      </c>
      <c r="O529">
        <f>IF(M529="","",IF(ISNUMBER(C529),C529,IFERROR(_xlfn.NUMBERVALUE(C529,".",","),0)))</f>
        <v/>
      </c>
    </row>
    <row r="530">
      <c r="K530">
        <f>IF(OR(LEFT(B530,9)="DOANH THU",LEFT(B530,8)="SỐ LƯỢNG"),A530,IF(A530="","",K529))</f>
        <v/>
      </c>
      <c r="L530">
        <f>IF(A530="","",IF(ISNUMBER(--LEFT(A530,FIND(" - ",A530&amp;" - ")-1)),LEFT(A530,FIND(" - ",A530&amp;" - ")-1),TRIM(A530)))</f>
        <v/>
      </c>
      <c r="M530">
        <f>IF(OR(K530="",K530=A530,A530=""),"",K530&amp;"|"&amp;L530)</f>
        <v/>
      </c>
      <c r="N530">
        <f>IF(M530="","",IF(ISNUMBER(B530),B530,IFERROR(_xlfn.NUMBERVALUE(B530,".",","),0)))</f>
        <v/>
      </c>
      <c r="O530">
        <f>IF(M530="","",IF(ISNUMBER(C530),C530,IFERROR(_xlfn.NUMBERVALUE(C530,".",","),0)))</f>
        <v/>
      </c>
    </row>
    <row r="531">
      <c r="K531">
        <f>IF(OR(LEFT(B531,9)="DOANH THU",LEFT(B531,8)="SỐ LƯỢNG"),A531,IF(A531="","",K530))</f>
        <v/>
      </c>
      <c r="L531">
        <f>IF(A531="","",IF(ISNUMBER(--LEFT(A531,FIND(" - ",A531&amp;" - ")-1)),LEFT(A531,FIND(" - ",A531&amp;" - ")-1),TRIM(A531)))</f>
        <v/>
      </c>
      <c r="M531">
        <f>IF(OR(K531="",K531=A531,A531=""),"",K531&amp;"|"&amp;L531)</f>
        <v/>
      </c>
      <c r="N531">
        <f>IF(M531="","",IF(ISNUMBER(B531),B531,IFERROR(_xlfn.NUMBERVALUE(B531,".",","),0)))</f>
        <v/>
      </c>
      <c r="O531">
        <f>IF(M531="","",IF(ISNUMBER(C531),C531,IFERROR(_xlfn.NUMBERVALUE(C531,".",","),0)))</f>
        <v/>
      </c>
    </row>
    <row r="532">
      <c r="K532">
        <f>IF(OR(LEFT(B532,9)="DOANH THU",LEFT(B532,8)="SỐ LƯỢNG"),A532,IF(A532="","",K531))</f>
        <v/>
      </c>
      <c r="L532">
        <f>IF(A532="","",IF(ISNUMBER(--LEFT(A532,FIND(" - ",A532&amp;" - ")-1)),LEFT(A532,FIND(" - ",A532&amp;" - ")-1),TRIM(A532)))</f>
        <v/>
      </c>
      <c r="M532">
        <f>IF(OR(K532="",K532=A532,A532=""),"",K532&amp;"|"&amp;L532)</f>
        <v/>
      </c>
      <c r="N532">
        <f>IF(M532="","",IF(ISNUMBER(B532),B532,IFERROR(_xlfn.NUMBERVALUE(B532,".",","),0)))</f>
        <v/>
      </c>
      <c r="O532">
        <f>IF(M532="","",IF(ISNUMBER(C532),C532,IFERROR(_xlfn.NUMBERVALUE(C532,".",","),0)))</f>
        <v/>
      </c>
    </row>
    <row r="533">
      <c r="K533">
        <f>IF(OR(LEFT(B533,9)="DOANH THU",LEFT(B533,8)="SỐ LƯỢNG"),A533,IF(A533="","",K532))</f>
        <v/>
      </c>
      <c r="L533">
        <f>IF(A533="","",IF(ISNUMBER(--LEFT(A533,FIND(" - ",A533&amp;" - ")-1)),LEFT(A533,FIND(" - ",A533&amp;" - ")-1),TRIM(A533)))</f>
        <v/>
      </c>
      <c r="M533">
        <f>IF(OR(K533="",K533=A533,A533=""),"",K533&amp;"|"&amp;L533)</f>
        <v/>
      </c>
      <c r="N533">
        <f>IF(M533="","",IF(ISNUMBER(B533),B533,IFERROR(_xlfn.NUMBERVALUE(B533,".",","),0)))</f>
        <v/>
      </c>
      <c r="O533">
        <f>IF(M533="","",IF(ISNUMBER(C533),C533,IFERROR(_xlfn.NUMBERVALUE(C533,".",","),0)))</f>
        <v/>
      </c>
    </row>
    <row r="534">
      <c r="K534">
        <f>IF(OR(LEFT(B534,9)="DOANH THU",LEFT(B534,8)="SỐ LƯỢNG"),A534,IF(A534="","",K533))</f>
        <v/>
      </c>
      <c r="L534">
        <f>IF(A534="","",IF(ISNUMBER(--LEFT(A534,FIND(" - ",A534&amp;" - ")-1)),LEFT(A534,FIND(" - ",A534&amp;" - ")-1),TRIM(A534)))</f>
        <v/>
      </c>
      <c r="M534">
        <f>IF(OR(K534="",K534=A534,A534=""),"",K534&amp;"|"&amp;L534)</f>
        <v/>
      </c>
      <c r="N534">
        <f>IF(M534="","",IF(ISNUMBER(B534),B534,IFERROR(_xlfn.NUMBERVALUE(B534,".",","),0)))</f>
        <v/>
      </c>
      <c r="O534">
        <f>IF(M534="","",IF(ISNUMBER(C534),C534,IFERROR(_xlfn.NUMBERVALUE(C534,".",","),0)))</f>
        <v/>
      </c>
    </row>
    <row r="535">
      <c r="K535">
        <f>IF(OR(LEFT(B535,9)="DOANH THU",LEFT(B535,8)="SỐ LƯỢNG"),A535,IF(A535="","",K534))</f>
        <v/>
      </c>
      <c r="L535">
        <f>IF(A535="","",IF(ISNUMBER(--LEFT(A535,FIND(" - ",A535&amp;" - ")-1)),LEFT(A535,FIND(" - ",A535&amp;" - ")-1),TRIM(A535)))</f>
        <v/>
      </c>
      <c r="M535">
        <f>IF(OR(K535="",K535=A535,A535=""),"",K535&amp;"|"&amp;L535)</f>
        <v/>
      </c>
      <c r="N535">
        <f>IF(M535="","",IF(ISNUMBER(B535),B535,IFERROR(_xlfn.NUMBERVALUE(B535,".",","),0)))</f>
        <v/>
      </c>
      <c r="O535">
        <f>IF(M535="","",IF(ISNUMBER(C535),C535,IFERROR(_xlfn.NUMBERVALUE(C535,".",","),0)))</f>
        <v/>
      </c>
    </row>
    <row r="536">
      <c r="K536">
        <f>IF(OR(LEFT(B536,9)="DOANH THU",LEFT(B536,8)="SỐ LƯỢNG"),A536,IF(A536="","",K535))</f>
        <v/>
      </c>
      <c r="L536">
        <f>IF(A536="","",IF(ISNUMBER(--LEFT(A536,FIND(" - ",A536&amp;" - ")-1)),LEFT(A536,FIND(" - ",A536&amp;" - ")-1),TRIM(A536)))</f>
        <v/>
      </c>
      <c r="M536">
        <f>IF(OR(K536="",K536=A536,A536=""),"",K536&amp;"|"&amp;L536)</f>
        <v/>
      </c>
      <c r="N536">
        <f>IF(M536="","",IF(ISNUMBER(B536),B536,IFERROR(_xlfn.NUMBERVALUE(B536,".",","),0)))</f>
        <v/>
      </c>
      <c r="O536">
        <f>IF(M536="","",IF(ISNUMBER(C536),C536,IFERROR(_xlfn.NUMBERVALUE(C536,".",","),0)))</f>
        <v/>
      </c>
    </row>
    <row r="537">
      <c r="K537">
        <f>IF(OR(LEFT(B537,9)="DOANH THU",LEFT(B537,8)="SỐ LƯỢNG"),A537,IF(A537="","",K536))</f>
        <v/>
      </c>
      <c r="L537">
        <f>IF(A537="","",IF(ISNUMBER(--LEFT(A537,FIND(" - ",A537&amp;" - ")-1)),LEFT(A537,FIND(" - ",A537&amp;" - ")-1),TRIM(A537)))</f>
        <v/>
      </c>
      <c r="M537">
        <f>IF(OR(K537="",K537=A537,A537=""),"",K537&amp;"|"&amp;L537)</f>
        <v/>
      </c>
      <c r="N537">
        <f>IF(M537="","",IF(ISNUMBER(B537),B537,IFERROR(_xlfn.NUMBERVALUE(B537,".",","),0)))</f>
        <v/>
      </c>
      <c r="O537">
        <f>IF(M537="","",IF(ISNUMBER(C537),C537,IFERROR(_xlfn.NUMBERVALUE(C537,".",","),0)))</f>
        <v/>
      </c>
    </row>
    <row r="538">
      <c r="K538">
        <f>IF(OR(LEFT(B538,9)="DOANH THU",LEFT(B538,8)="SỐ LƯỢNG"),A538,IF(A538="","",K537))</f>
        <v/>
      </c>
      <c r="L538">
        <f>IF(A538="","",IF(ISNUMBER(--LEFT(A538,FIND(" - ",A538&amp;" - ")-1)),LEFT(A538,FIND(" - ",A538&amp;" - ")-1),TRIM(A538)))</f>
        <v/>
      </c>
      <c r="M538">
        <f>IF(OR(K538="",K538=A538,A538=""),"",K538&amp;"|"&amp;L538)</f>
        <v/>
      </c>
      <c r="N538">
        <f>IF(M538="","",IF(ISNUMBER(B538),B538,IFERROR(_xlfn.NUMBERVALUE(B538,".",","),0)))</f>
        <v/>
      </c>
      <c r="O538">
        <f>IF(M538="","",IF(ISNUMBER(C538),C538,IFERROR(_xlfn.NUMBERVALUE(C538,".",","),0)))</f>
        <v/>
      </c>
    </row>
    <row r="539">
      <c r="K539">
        <f>IF(OR(LEFT(B539,9)="DOANH THU",LEFT(B539,8)="SỐ LƯỢNG"),A539,IF(A539="","",K538))</f>
        <v/>
      </c>
      <c r="L539">
        <f>IF(A539="","",IF(ISNUMBER(--LEFT(A539,FIND(" - ",A539&amp;" - ")-1)),LEFT(A539,FIND(" - ",A539&amp;" - ")-1),TRIM(A539)))</f>
        <v/>
      </c>
      <c r="M539">
        <f>IF(OR(K539="",K539=A539,A539=""),"",K539&amp;"|"&amp;L539)</f>
        <v/>
      </c>
      <c r="N539">
        <f>IF(M539="","",IF(ISNUMBER(B539),B539,IFERROR(_xlfn.NUMBERVALUE(B539,".",","),0)))</f>
        <v/>
      </c>
      <c r="O539">
        <f>IF(M539="","",IF(ISNUMBER(C539),C539,IFERROR(_xlfn.NUMBERVALUE(C539,".",","),0)))</f>
        <v/>
      </c>
    </row>
    <row r="540">
      <c r="K540">
        <f>IF(OR(LEFT(B540,9)="DOANH THU",LEFT(B540,8)="SỐ LƯỢNG"),A540,IF(A540="","",K539))</f>
        <v/>
      </c>
      <c r="L540">
        <f>IF(A540="","",IF(ISNUMBER(--LEFT(A540,FIND(" - ",A540&amp;" - ")-1)),LEFT(A540,FIND(" - ",A540&amp;" - ")-1),TRIM(A540)))</f>
        <v/>
      </c>
      <c r="M540">
        <f>IF(OR(K540="",K540=A540,A540=""),"",K540&amp;"|"&amp;L540)</f>
        <v/>
      </c>
      <c r="N540">
        <f>IF(M540="","",IF(ISNUMBER(B540),B540,IFERROR(_xlfn.NUMBERVALUE(B540,".",","),0)))</f>
        <v/>
      </c>
      <c r="O540">
        <f>IF(M540="","",IF(ISNUMBER(C540),C540,IFERROR(_xlfn.NUMBERVALUE(C540,".",","),0)))</f>
        <v/>
      </c>
    </row>
    <row r="541">
      <c r="K541">
        <f>IF(OR(LEFT(B541,9)="DOANH THU",LEFT(B541,8)="SỐ LƯỢNG"),A541,IF(A541="","",K540))</f>
        <v/>
      </c>
      <c r="L541">
        <f>IF(A541="","",IF(ISNUMBER(--LEFT(A541,FIND(" - ",A541&amp;" - ")-1)),LEFT(A541,FIND(" - ",A541&amp;" - ")-1),TRIM(A541)))</f>
        <v/>
      </c>
      <c r="M541">
        <f>IF(OR(K541="",K541=A541,A541=""),"",K541&amp;"|"&amp;L541)</f>
        <v/>
      </c>
      <c r="N541">
        <f>IF(M541="","",IF(ISNUMBER(B541),B541,IFERROR(_xlfn.NUMBERVALUE(B541,".",","),0)))</f>
        <v/>
      </c>
      <c r="O541">
        <f>IF(M541="","",IF(ISNUMBER(C541),C541,IFERROR(_xlfn.NUMBERVALUE(C541,".",","),0)))</f>
        <v/>
      </c>
    </row>
    <row r="542">
      <c r="K542">
        <f>IF(OR(LEFT(B542,9)="DOANH THU",LEFT(B542,8)="SỐ LƯỢNG"),A542,IF(A542="","",K541))</f>
        <v/>
      </c>
      <c r="L542">
        <f>IF(A542="","",IF(ISNUMBER(--LEFT(A542,FIND(" - ",A542&amp;" - ")-1)),LEFT(A542,FIND(" - ",A542&amp;" - ")-1),TRIM(A542)))</f>
        <v/>
      </c>
      <c r="M542">
        <f>IF(OR(K542="",K542=A542,A542=""),"",K542&amp;"|"&amp;L542)</f>
        <v/>
      </c>
      <c r="N542">
        <f>IF(M542="","",IF(ISNUMBER(B542),B542,IFERROR(_xlfn.NUMBERVALUE(B542,".",","),0)))</f>
        <v/>
      </c>
      <c r="O542">
        <f>IF(M542="","",IF(ISNUMBER(C542),C542,IFERROR(_xlfn.NUMBERVALUE(C542,".",","),0)))</f>
        <v/>
      </c>
    </row>
    <row r="543">
      <c r="K543">
        <f>IF(OR(LEFT(B543,9)="DOANH THU",LEFT(B543,8)="SỐ LƯỢNG"),A543,IF(A543="","",K542))</f>
        <v/>
      </c>
      <c r="L543">
        <f>IF(A543="","",IF(ISNUMBER(--LEFT(A543,FIND(" - ",A543&amp;" - ")-1)),LEFT(A543,FIND(" - ",A543&amp;" - ")-1),TRIM(A543)))</f>
        <v/>
      </c>
      <c r="M543">
        <f>IF(OR(K543="",K543=A543,A543=""),"",K543&amp;"|"&amp;L543)</f>
        <v/>
      </c>
      <c r="N543">
        <f>IF(M543="","",IF(ISNUMBER(B543),B543,IFERROR(_xlfn.NUMBERVALUE(B543,".",","),0)))</f>
        <v/>
      </c>
      <c r="O543">
        <f>IF(M543="","",IF(ISNUMBER(C543),C543,IFERROR(_xlfn.NUMBERVALUE(C543,".",","),0)))</f>
        <v/>
      </c>
    </row>
    <row r="544">
      <c r="K544">
        <f>IF(OR(LEFT(B544,9)="DOANH THU",LEFT(B544,8)="SỐ LƯỢNG"),A544,IF(A544="","",K543))</f>
        <v/>
      </c>
      <c r="L544">
        <f>IF(A544="","",IF(ISNUMBER(--LEFT(A544,FIND(" - ",A544&amp;" - ")-1)),LEFT(A544,FIND(" - ",A544&amp;" - ")-1),TRIM(A544)))</f>
        <v/>
      </c>
      <c r="M544">
        <f>IF(OR(K544="",K544=A544,A544=""),"",K544&amp;"|"&amp;L544)</f>
        <v/>
      </c>
      <c r="N544">
        <f>IF(M544="","",IF(ISNUMBER(B544),B544,IFERROR(_xlfn.NUMBERVALUE(B544,".",","),0)))</f>
        <v/>
      </c>
      <c r="O544">
        <f>IF(M544="","",IF(ISNUMBER(C544),C544,IFERROR(_xlfn.NUMBERVALUE(C544,".",","),0)))</f>
        <v/>
      </c>
    </row>
    <row r="545">
      <c r="K545">
        <f>IF(OR(LEFT(B545,9)="DOANH THU",LEFT(B545,8)="SỐ LƯỢNG"),A545,IF(A545="","",K544))</f>
        <v/>
      </c>
      <c r="L545">
        <f>IF(A545="","",IF(ISNUMBER(--LEFT(A545,FIND(" - ",A545&amp;" - ")-1)),LEFT(A545,FIND(" - ",A545&amp;" - ")-1),TRIM(A545)))</f>
        <v/>
      </c>
      <c r="M545">
        <f>IF(OR(K545="",K545=A545,A545=""),"",K545&amp;"|"&amp;L545)</f>
        <v/>
      </c>
      <c r="N545">
        <f>IF(M545="","",IF(ISNUMBER(B545),B545,IFERROR(_xlfn.NUMBERVALUE(B545,".",","),0)))</f>
        <v/>
      </c>
      <c r="O545">
        <f>IF(M545="","",IF(ISNUMBER(C545),C545,IFERROR(_xlfn.NUMBERVALUE(C545,".",","),0)))</f>
        <v/>
      </c>
    </row>
    <row r="546">
      <c r="K546">
        <f>IF(OR(LEFT(B546,9)="DOANH THU",LEFT(B546,8)="SỐ LƯỢNG"),A546,IF(A546="","",K545))</f>
        <v/>
      </c>
      <c r="L546">
        <f>IF(A546="","",IF(ISNUMBER(--LEFT(A546,FIND(" - ",A546&amp;" - ")-1)),LEFT(A546,FIND(" - ",A546&amp;" - ")-1),TRIM(A546)))</f>
        <v/>
      </c>
      <c r="M546">
        <f>IF(OR(K546="",K546=A546,A546=""),"",K546&amp;"|"&amp;L546)</f>
        <v/>
      </c>
      <c r="N546">
        <f>IF(M546="","",IF(ISNUMBER(B546),B546,IFERROR(_xlfn.NUMBERVALUE(B546,".",","),0)))</f>
        <v/>
      </c>
      <c r="O546">
        <f>IF(M546="","",IF(ISNUMBER(C546),C546,IFERROR(_xlfn.NUMBERVALUE(C546,".",","),0)))</f>
        <v/>
      </c>
    </row>
    <row r="547">
      <c r="K547">
        <f>IF(OR(LEFT(B547,9)="DOANH THU",LEFT(B547,8)="SỐ LƯỢNG"),A547,IF(A547="","",K546))</f>
        <v/>
      </c>
      <c r="L547">
        <f>IF(A547="","",IF(ISNUMBER(--LEFT(A547,FIND(" - ",A547&amp;" - ")-1)),LEFT(A547,FIND(" - ",A547&amp;" - ")-1),TRIM(A547)))</f>
        <v/>
      </c>
      <c r="M547">
        <f>IF(OR(K547="",K547=A547,A547=""),"",K547&amp;"|"&amp;L547)</f>
        <v/>
      </c>
      <c r="N547">
        <f>IF(M547="","",IF(ISNUMBER(B547),B547,IFERROR(_xlfn.NUMBERVALUE(B547,".",","),0)))</f>
        <v/>
      </c>
      <c r="O547">
        <f>IF(M547="","",IF(ISNUMBER(C547),C547,IFERROR(_xlfn.NUMBERVALUE(C547,".",","),0)))</f>
        <v/>
      </c>
    </row>
    <row r="548">
      <c r="K548">
        <f>IF(OR(LEFT(B548,9)="DOANH THU",LEFT(B548,8)="SỐ LƯỢNG"),A548,IF(A548="","",K547))</f>
        <v/>
      </c>
      <c r="L548">
        <f>IF(A548="","",IF(ISNUMBER(--LEFT(A548,FIND(" - ",A548&amp;" - ")-1)),LEFT(A548,FIND(" - ",A548&amp;" - ")-1),TRIM(A548)))</f>
        <v/>
      </c>
      <c r="M548">
        <f>IF(OR(K548="",K548=A548,A548=""),"",K548&amp;"|"&amp;L548)</f>
        <v/>
      </c>
      <c r="N548">
        <f>IF(M548="","",IF(ISNUMBER(B548),B548,IFERROR(_xlfn.NUMBERVALUE(B548,".",","),0)))</f>
        <v/>
      </c>
      <c r="O548">
        <f>IF(M548="","",IF(ISNUMBER(C548),C548,IFERROR(_xlfn.NUMBERVALUE(C548,".",","),0)))</f>
        <v/>
      </c>
    </row>
    <row r="549">
      <c r="K549">
        <f>IF(OR(LEFT(B549,9)="DOANH THU",LEFT(B549,8)="SỐ LƯỢNG"),A549,IF(A549="","",K548))</f>
        <v/>
      </c>
      <c r="L549">
        <f>IF(A549="","",IF(ISNUMBER(--LEFT(A549,FIND(" - ",A549&amp;" - ")-1)),LEFT(A549,FIND(" - ",A549&amp;" - ")-1),TRIM(A549)))</f>
        <v/>
      </c>
      <c r="M549">
        <f>IF(OR(K549="",K549=A549,A549=""),"",K549&amp;"|"&amp;L549)</f>
        <v/>
      </c>
      <c r="N549">
        <f>IF(M549="","",IF(ISNUMBER(B549),B549,IFERROR(_xlfn.NUMBERVALUE(B549,".",","),0)))</f>
        <v/>
      </c>
      <c r="O549">
        <f>IF(M549="","",IF(ISNUMBER(C549),C549,IFERROR(_xlfn.NUMBERVALUE(C549,".",","),0)))</f>
        <v/>
      </c>
    </row>
    <row r="550">
      <c r="K550">
        <f>IF(OR(LEFT(B550,9)="DOANH THU",LEFT(B550,8)="SỐ LƯỢNG"),A550,IF(A550="","",K549))</f>
        <v/>
      </c>
      <c r="L550">
        <f>IF(A550="","",IF(ISNUMBER(--LEFT(A550,FIND(" - ",A550&amp;" - ")-1)),LEFT(A550,FIND(" - ",A550&amp;" - ")-1),TRIM(A550)))</f>
        <v/>
      </c>
      <c r="M550">
        <f>IF(OR(K550="",K550=A550,A550=""),"",K550&amp;"|"&amp;L550)</f>
        <v/>
      </c>
      <c r="N550">
        <f>IF(M550="","",IF(ISNUMBER(B550),B550,IFERROR(_xlfn.NUMBERVALUE(B550,".",","),0)))</f>
        <v/>
      </c>
      <c r="O550">
        <f>IF(M550="","",IF(ISNUMBER(C550),C550,IFERROR(_xlfn.NUMBERVALUE(C550,".",","),0)))</f>
        <v/>
      </c>
    </row>
    <row r="551">
      <c r="K551">
        <f>IF(OR(LEFT(B551,9)="DOANH THU",LEFT(B551,8)="SỐ LƯỢNG"),A551,IF(A551="","",K550))</f>
        <v/>
      </c>
      <c r="L551">
        <f>IF(A551="","",IF(ISNUMBER(--LEFT(A551,FIND(" - ",A551&amp;" - ")-1)),LEFT(A551,FIND(" - ",A551&amp;" - ")-1),TRIM(A551)))</f>
        <v/>
      </c>
      <c r="M551">
        <f>IF(OR(K551="",K551=A551,A551=""),"",K551&amp;"|"&amp;L551)</f>
        <v/>
      </c>
      <c r="N551">
        <f>IF(M551="","",IF(ISNUMBER(B551),B551,IFERROR(_xlfn.NUMBERVALUE(B551,".",","),0)))</f>
        <v/>
      </c>
      <c r="O551">
        <f>IF(M551="","",IF(ISNUMBER(C551),C551,IFERROR(_xlfn.NUMBERVALUE(C551,".",","),0)))</f>
        <v/>
      </c>
    </row>
    <row r="552">
      <c r="K552">
        <f>IF(OR(LEFT(B552,9)="DOANH THU",LEFT(B552,8)="SỐ LƯỢNG"),A552,IF(A552="","",K551))</f>
        <v/>
      </c>
      <c r="L552">
        <f>IF(A552="","",IF(ISNUMBER(--LEFT(A552,FIND(" - ",A552&amp;" - ")-1)),LEFT(A552,FIND(" - ",A552&amp;" - ")-1),TRIM(A552)))</f>
        <v/>
      </c>
      <c r="M552">
        <f>IF(OR(K552="",K552=A552,A552=""),"",K552&amp;"|"&amp;L552)</f>
        <v/>
      </c>
      <c r="N552">
        <f>IF(M552="","",IF(ISNUMBER(B552),B552,IFERROR(_xlfn.NUMBERVALUE(B552,".",","),0)))</f>
        <v/>
      </c>
      <c r="O552">
        <f>IF(M552="","",IF(ISNUMBER(C552),C552,IFERROR(_xlfn.NUMBERVALUE(C552,".",","),0)))</f>
        <v/>
      </c>
    </row>
    <row r="553">
      <c r="K553">
        <f>IF(OR(LEFT(B553,9)="DOANH THU",LEFT(B553,8)="SỐ LƯỢNG"),A553,IF(A553="","",K552))</f>
        <v/>
      </c>
      <c r="L553">
        <f>IF(A553="","",IF(ISNUMBER(--LEFT(A553,FIND(" - ",A553&amp;" - ")-1)),LEFT(A553,FIND(" - ",A553&amp;" - ")-1),TRIM(A553)))</f>
        <v/>
      </c>
      <c r="M553">
        <f>IF(OR(K553="",K553=A553,A553=""),"",K553&amp;"|"&amp;L553)</f>
        <v/>
      </c>
      <c r="N553">
        <f>IF(M553="","",IF(ISNUMBER(B553),B553,IFERROR(_xlfn.NUMBERVALUE(B553,".",","),0)))</f>
        <v/>
      </c>
      <c r="O553">
        <f>IF(M553="","",IF(ISNUMBER(C553),C553,IFERROR(_xlfn.NUMBERVALUE(C553,".",","),0)))</f>
        <v/>
      </c>
    </row>
    <row r="554">
      <c r="K554">
        <f>IF(OR(LEFT(B554,9)="DOANH THU",LEFT(B554,8)="SỐ LƯỢNG"),A554,IF(A554="","",K553))</f>
        <v/>
      </c>
      <c r="L554">
        <f>IF(A554="","",IF(ISNUMBER(--LEFT(A554,FIND(" - ",A554&amp;" - ")-1)),LEFT(A554,FIND(" - ",A554&amp;" - ")-1),TRIM(A554)))</f>
        <v/>
      </c>
      <c r="M554">
        <f>IF(OR(K554="",K554=A554,A554=""),"",K554&amp;"|"&amp;L554)</f>
        <v/>
      </c>
      <c r="N554">
        <f>IF(M554="","",IF(ISNUMBER(B554),B554,IFERROR(_xlfn.NUMBERVALUE(B554,".",","),0)))</f>
        <v/>
      </c>
      <c r="O554">
        <f>IF(M554="","",IF(ISNUMBER(C554),C554,IFERROR(_xlfn.NUMBERVALUE(C554,".",","),0)))</f>
        <v/>
      </c>
    </row>
    <row r="555">
      <c r="K555">
        <f>IF(OR(LEFT(B555,9)="DOANH THU",LEFT(B555,8)="SỐ LƯỢNG"),A555,IF(A555="","",K554))</f>
        <v/>
      </c>
      <c r="L555">
        <f>IF(A555="","",IF(ISNUMBER(--LEFT(A555,FIND(" - ",A555&amp;" - ")-1)),LEFT(A555,FIND(" - ",A555&amp;" - ")-1),TRIM(A555)))</f>
        <v/>
      </c>
      <c r="M555">
        <f>IF(OR(K555="",K555=A555,A555=""),"",K555&amp;"|"&amp;L555)</f>
        <v/>
      </c>
      <c r="N555">
        <f>IF(M555="","",IF(ISNUMBER(B555),B555,IFERROR(_xlfn.NUMBERVALUE(B555,".",","),0)))</f>
        <v/>
      </c>
      <c r="O555">
        <f>IF(M555="","",IF(ISNUMBER(C555),C555,IFERROR(_xlfn.NUMBERVALUE(C555,".",","),0)))</f>
        <v/>
      </c>
    </row>
    <row r="556">
      <c r="K556">
        <f>IF(OR(LEFT(B556,9)="DOANH THU",LEFT(B556,8)="SỐ LƯỢNG"),A556,IF(A556="","",K555))</f>
        <v/>
      </c>
      <c r="L556">
        <f>IF(A556="","",IF(ISNUMBER(--LEFT(A556,FIND(" - ",A556&amp;" - ")-1)),LEFT(A556,FIND(" - ",A556&amp;" - ")-1),TRIM(A556)))</f>
        <v/>
      </c>
      <c r="M556">
        <f>IF(OR(K556="",K556=A556,A556=""),"",K556&amp;"|"&amp;L556)</f>
        <v/>
      </c>
      <c r="N556">
        <f>IF(M556="","",IF(ISNUMBER(B556),B556,IFERROR(_xlfn.NUMBERVALUE(B556,".",","),0)))</f>
        <v/>
      </c>
      <c r="O556">
        <f>IF(M556="","",IF(ISNUMBER(C556),C556,IFERROR(_xlfn.NUMBERVALUE(C556,".",","),0)))</f>
        <v/>
      </c>
    </row>
    <row r="557">
      <c r="K557">
        <f>IF(OR(LEFT(B557,9)="DOANH THU",LEFT(B557,8)="SỐ LƯỢNG"),A557,IF(A557="","",K556))</f>
        <v/>
      </c>
      <c r="L557">
        <f>IF(A557="","",IF(ISNUMBER(--LEFT(A557,FIND(" - ",A557&amp;" - ")-1)),LEFT(A557,FIND(" - ",A557&amp;" - ")-1),TRIM(A557)))</f>
        <v/>
      </c>
      <c r="M557">
        <f>IF(OR(K557="",K557=A557,A557=""),"",K557&amp;"|"&amp;L557)</f>
        <v/>
      </c>
      <c r="N557">
        <f>IF(M557="","",IF(ISNUMBER(B557),B557,IFERROR(_xlfn.NUMBERVALUE(B557,".",","),0)))</f>
        <v/>
      </c>
      <c r="O557">
        <f>IF(M557="","",IF(ISNUMBER(C557),C557,IFERROR(_xlfn.NUMBERVALUE(C557,".",","),0)))</f>
        <v/>
      </c>
    </row>
    <row r="558">
      <c r="K558">
        <f>IF(OR(LEFT(B558,9)="DOANH THU",LEFT(B558,8)="SỐ LƯỢNG"),A558,IF(A558="","",K557))</f>
        <v/>
      </c>
      <c r="L558">
        <f>IF(A558="","",IF(ISNUMBER(--LEFT(A558,FIND(" - ",A558&amp;" - ")-1)),LEFT(A558,FIND(" - ",A558&amp;" - ")-1),TRIM(A558)))</f>
        <v/>
      </c>
      <c r="M558">
        <f>IF(OR(K558="",K558=A558,A558=""),"",K558&amp;"|"&amp;L558)</f>
        <v/>
      </c>
      <c r="N558">
        <f>IF(M558="","",IF(ISNUMBER(B558),B558,IFERROR(_xlfn.NUMBERVALUE(B558,".",","),0)))</f>
        <v/>
      </c>
      <c r="O558">
        <f>IF(M558="","",IF(ISNUMBER(C558),C558,IFERROR(_xlfn.NUMBERVALUE(C558,".",","),0)))</f>
        <v/>
      </c>
    </row>
    <row r="559">
      <c r="K559">
        <f>IF(OR(LEFT(B559,9)="DOANH THU",LEFT(B559,8)="SỐ LƯỢNG"),A559,IF(A559="","",K558))</f>
        <v/>
      </c>
      <c r="L559">
        <f>IF(A559="","",IF(ISNUMBER(--LEFT(A559,FIND(" - ",A559&amp;" - ")-1)),LEFT(A559,FIND(" - ",A559&amp;" - ")-1),TRIM(A559)))</f>
        <v/>
      </c>
      <c r="M559">
        <f>IF(OR(K559="",K559=A559,A559=""),"",K559&amp;"|"&amp;L559)</f>
        <v/>
      </c>
      <c r="N559">
        <f>IF(M559="","",IF(ISNUMBER(B559),B559,IFERROR(_xlfn.NUMBERVALUE(B559,".",","),0)))</f>
        <v/>
      </c>
      <c r="O559">
        <f>IF(M559="","",IF(ISNUMBER(C559),C559,IFERROR(_xlfn.NUMBERVALUE(C559,".",","),0)))</f>
        <v/>
      </c>
    </row>
    <row r="560">
      <c r="K560">
        <f>IF(OR(LEFT(B560,9)="DOANH THU",LEFT(B560,8)="SỐ LƯỢNG"),A560,IF(A560="","",K559))</f>
        <v/>
      </c>
      <c r="L560">
        <f>IF(A560="","",IF(ISNUMBER(--LEFT(A560,FIND(" - ",A560&amp;" - ")-1)),LEFT(A560,FIND(" - ",A560&amp;" - ")-1),TRIM(A560)))</f>
        <v/>
      </c>
      <c r="M560">
        <f>IF(OR(K560="",K560=A560,A560=""),"",K560&amp;"|"&amp;L560)</f>
        <v/>
      </c>
      <c r="N560">
        <f>IF(M560="","",IF(ISNUMBER(B560),B560,IFERROR(_xlfn.NUMBERVALUE(B560,".",","),0)))</f>
        <v/>
      </c>
      <c r="O560">
        <f>IF(M560="","",IF(ISNUMBER(C560),C560,IFERROR(_xlfn.NUMBERVALUE(C560,".",","),0)))</f>
        <v/>
      </c>
    </row>
    <row r="561">
      <c r="K561">
        <f>IF(OR(LEFT(B561,9)="DOANH THU",LEFT(B561,8)="SỐ LƯỢNG"),A561,IF(A561="","",K560))</f>
        <v/>
      </c>
      <c r="L561">
        <f>IF(A561="","",IF(ISNUMBER(--LEFT(A561,FIND(" - ",A561&amp;" - ")-1)),LEFT(A561,FIND(" - ",A561&amp;" - ")-1),TRIM(A561)))</f>
        <v/>
      </c>
      <c r="M561">
        <f>IF(OR(K561="",K561=A561,A561=""),"",K561&amp;"|"&amp;L561)</f>
        <v/>
      </c>
      <c r="N561">
        <f>IF(M561="","",IF(ISNUMBER(B561),B561,IFERROR(_xlfn.NUMBERVALUE(B561,".",","),0)))</f>
        <v/>
      </c>
      <c r="O561">
        <f>IF(M561="","",IF(ISNUMBER(C561),C561,IFERROR(_xlfn.NUMBERVALUE(C561,".",","),0)))</f>
        <v/>
      </c>
    </row>
    <row r="562">
      <c r="K562">
        <f>IF(OR(LEFT(B562,9)="DOANH THU",LEFT(B562,8)="SỐ LƯỢNG"),A562,IF(A562="","",K561))</f>
        <v/>
      </c>
      <c r="L562">
        <f>IF(A562="","",IF(ISNUMBER(--LEFT(A562,FIND(" - ",A562&amp;" - ")-1)),LEFT(A562,FIND(" - ",A562&amp;" - ")-1),TRIM(A562)))</f>
        <v/>
      </c>
      <c r="M562">
        <f>IF(OR(K562="",K562=A562,A562=""),"",K562&amp;"|"&amp;L562)</f>
        <v/>
      </c>
      <c r="N562">
        <f>IF(M562="","",IF(ISNUMBER(B562),B562,IFERROR(_xlfn.NUMBERVALUE(B562,".",","),0)))</f>
        <v/>
      </c>
      <c r="O562">
        <f>IF(M562="","",IF(ISNUMBER(C562),C562,IFERROR(_xlfn.NUMBERVALUE(C562,".",","),0)))</f>
        <v/>
      </c>
    </row>
    <row r="563">
      <c r="K563">
        <f>IF(OR(LEFT(B563,9)="DOANH THU",LEFT(B563,8)="SỐ LƯỢNG"),A563,IF(A563="","",K562))</f>
        <v/>
      </c>
      <c r="L563">
        <f>IF(A563="","",IF(ISNUMBER(--LEFT(A563,FIND(" - ",A563&amp;" - ")-1)),LEFT(A563,FIND(" - ",A563&amp;" - ")-1),TRIM(A563)))</f>
        <v/>
      </c>
      <c r="M563">
        <f>IF(OR(K563="",K563=A563,A563=""),"",K563&amp;"|"&amp;L563)</f>
        <v/>
      </c>
      <c r="N563">
        <f>IF(M563="","",IF(ISNUMBER(B563),B563,IFERROR(_xlfn.NUMBERVALUE(B563,".",","),0)))</f>
        <v/>
      </c>
      <c r="O563">
        <f>IF(M563="","",IF(ISNUMBER(C563),C563,IFERROR(_xlfn.NUMBERVALUE(C563,".",","),0)))</f>
        <v/>
      </c>
    </row>
    <row r="564">
      <c r="K564">
        <f>IF(OR(LEFT(B564,9)="DOANH THU",LEFT(B564,8)="SỐ LƯỢNG"),A564,IF(A564="","",K563))</f>
        <v/>
      </c>
      <c r="L564">
        <f>IF(A564="","",IF(ISNUMBER(--LEFT(A564,FIND(" - ",A564&amp;" - ")-1)),LEFT(A564,FIND(" - ",A564&amp;" - ")-1),TRIM(A564)))</f>
        <v/>
      </c>
      <c r="M564">
        <f>IF(OR(K564="",K564=A564,A564=""),"",K564&amp;"|"&amp;L564)</f>
        <v/>
      </c>
      <c r="N564">
        <f>IF(M564="","",IF(ISNUMBER(B564),B564,IFERROR(_xlfn.NUMBERVALUE(B564,".",","),0)))</f>
        <v/>
      </c>
      <c r="O564">
        <f>IF(M564="","",IF(ISNUMBER(C564),C564,IFERROR(_xlfn.NUMBERVALUE(C564,".",","),0)))</f>
        <v/>
      </c>
    </row>
    <row r="565">
      <c r="K565">
        <f>IF(OR(LEFT(B565,9)="DOANH THU",LEFT(B565,8)="SỐ LƯỢNG"),A565,IF(A565="","",K564))</f>
        <v/>
      </c>
      <c r="L565">
        <f>IF(A565="","",IF(ISNUMBER(--LEFT(A565,FIND(" - ",A565&amp;" - ")-1)),LEFT(A565,FIND(" - ",A565&amp;" - ")-1),TRIM(A565)))</f>
        <v/>
      </c>
      <c r="M565">
        <f>IF(OR(K565="",K565=A565,A565=""),"",K565&amp;"|"&amp;L565)</f>
        <v/>
      </c>
      <c r="N565">
        <f>IF(M565="","",IF(ISNUMBER(B565),B565,IFERROR(_xlfn.NUMBERVALUE(B565,".",","),0)))</f>
        <v/>
      </c>
      <c r="O565">
        <f>IF(M565="","",IF(ISNUMBER(C565),C565,IFERROR(_xlfn.NUMBERVALUE(C565,".",","),0)))</f>
        <v/>
      </c>
    </row>
    <row r="566">
      <c r="K566">
        <f>IF(OR(LEFT(B566,9)="DOANH THU",LEFT(B566,8)="SỐ LƯỢNG"),A566,IF(A566="","",K565))</f>
        <v/>
      </c>
      <c r="L566">
        <f>IF(A566="","",IF(ISNUMBER(--LEFT(A566,FIND(" - ",A566&amp;" - ")-1)),LEFT(A566,FIND(" - ",A566&amp;" - ")-1),TRIM(A566)))</f>
        <v/>
      </c>
      <c r="M566">
        <f>IF(OR(K566="",K566=A566,A566=""),"",K566&amp;"|"&amp;L566)</f>
        <v/>
      </c>
      <c r="N566">
        <f>IF(M566="","",IF(ISNUMBER(B566),B566,IFERROR(_xlfn.NUMBERVALUE(B566,".",","),0)))</f>
        <v/>
      </c>
      <c r="O566">
        <f>IF(M566="","",IF(ISNUMBER(C566),C566,IFERROR(_xlfn.NUMBERVALUE(C566,".",","),0)))</f>
        <v/>
      </c>
    </row>
    <row r="567">
      <c r="K567">
        <f>IF(OR(LEFT(B567,9)="DOANH THU",LEFT(B567,8)="SỐ LƯỢNG"),A567,IF(A567="","",K566))</f>
        <v/>
      </c>
      <c r="L567">
        <f>IF(A567="","",IF(ISNUMBER(--LEFT(A567,FIND(" - ",A567&amp;" - ")-1)),LEFT(A567,FIND(" - ",A567&amp;" - ")-1),TRIM(A567)))</f>
        <v/>
      </c>
      <c r="M567">
        <f>IF(OR(K567="",K567=A567,A567=""),"",K567&amp;"|"&amp;L567)</f>
        <v/>
      </c>
      <c r="N567">
        <f>IF(M567="","",IF(ISNUMBER(B567),B567,IFERROR(_xlfn.NUMBERVALUE(B567,".",","),0)))</f>
        <v/>
      </c>
      <c r="O567">
        <f>IF(M567="","",IF(ISNUMBER(C567),C567,IFERROR(_xlfn.NUMBERVALUE(C567,".",","),0)))</f>
        <v/>
      </c>
    </row>
    <row r="568">
      <c r="K568">
        <f>IF(OR(LEFT(B568,9)="DOANH THU",LEFT(B568,8)="SỐ LƯỢNG"),A568,IF(A568="","",K567))</f>
        <v/>
      </c>
      <c r="L568">
        <f>IF(A568="","",IF(ISNUMBER(--LEFT(A568,FIND(" - ",A568&amp;" - ")-1)),LEFT(A568,FIND(" - ",A568&amp;" - ")-1),TRIM(A568)))</f>
        <v/>
      </c>
      <c r="M568">
        <f>IF(OR(K568="",K568=A568,A568=""),"",K568&amp;"|"&amp;L568)</f>
        <v/>
      </c>
      <c r="N568">
        <f>IF(M568="","",IF(ISNUMBER(B568),B568,IFERROR(_xlfn.NUMBERVALUE(B568,".",","),0)))</f>
        <v/>
      </c>
      <c r="O568">
        <f>IF(M568="","",IF(ISNUMBER(C568),C568,IFERROR(_xlfn.NUMBERVALUE(C568,".",","),0)))</f>
        <v/>
      </c>
    </row>
    <row r="569">
      <c r="K569">
        <f>IF(OR(LEFT(B569,9)="DOANH THU",LEFT(B569,8)="SỐ LƯỢNG"),A569,IF(A569="","",K568))</f>
        <v/>
      </c>
      <c r="L569">
        <f>IF(A569="","",IF(ISNUMBER(--LEFT(A569,FIND(" - ",A569&amp;" - ")-1)),LEFT(A569,FIND(" - ",A569&amp;" - ")-1),TRIM(A569)))</f>
        <v/>
      </c>
      <c r="M569">
        <f>IF(OR(K569="",K569=A569,A569=""),"",K569&amp;"|"&amp;L569)</f>
        <v/>
      </c>
      <c r="N569">
        <f>IF(M569="","",IF(ISNUMBER(B569),B569,IFERROR(_xlfn.NUMBERVALUE(B569,".",","),0)))</f>
        <v/>
      </c>
      <c r="O569">
        <f>IF(M569="","",IF(ISNUMBER(C569),C569,IFERROR(_xlfn.NUMBERVALUE(C569,".",","),0)))</f>
        <v/>
      </c>
    </row>
    <row r="570">
      <c r="K570">
        <f>IF(OR(LEFT(B570,9)="DOANH THU",LEFT(B570,8)="SỐ LƯỢNG"),A570,IF(A570="","",K569))</f>
        <v/>
      </c>
      <c r="L570">
        <f>IF(A570="","",IF(ISNUMBER(--LEFT(A570,FIND(" - ",A570&amp;" - ")-1)),LEFT(A570,FIND(" - ",A570&amp;" - ")-1),TRIM(A570)))</f>
        <v/>
      </c>
      <c r="M570">
        <f>IF(OR(K570="",K570=A570,A570=""),"",K570&amp;"|"&amp;L570)</f>
        <v/>
      </c>
      <c r="N570">
        <f>IF(M570="","",IF(ISNUMBER(B570),B570,IFERROR(_xlfn.NUMBERVALUE(B570,".",","),0)))</f>
        <v/>
      </c>
      <c r="O570">
        <f>IF(M570="","",IF(ISNUMBER(C570),C570,IFERROR(_xlfn.NUMBERVALUE(C570,".",","),0)))</f>
        <v/>
      </c>
    </row>
    <row r="571">
      <c r="K571">
        <f>IF(OR(LEFT(B571,9)="DOANH THU",LEFT(B571,8)="SỐ LƯỢNG"),A571,IF(A571="","",K570))</f>
        <v/>
      </c>
      <c r="L571">
        <f>IF(A571="","",IF(ISNUMBER(--LEFT(A571,FIND(" - ",A571&amp;" - ")-1)),LEFT(A571,FIND(" - ",A571&amp;" - ")-1),TRIM(A571)))</f>
        <v/>
      </c>
      <c r="M571">
        <f>IF(OR(K571="",K571=A571,A571=""),"",K571&amp;"|"&amp;L571)</f>
        <v/>
      </c>
      <c r="N571">
        <f>IF(M571="","",IF(ISNUMBER(B571),B571,IFERROR(_xlfn.NUMBERVALUE(B571,".",","),0)))</f>
        <v/>
      </c>
      <c r="O571">
        <f>IF(M571="","",IF(ISNUMBER(C571),C571,IFERROR(_xlfn.NUMBERVALUE(C571,".",","),0)))</f>
        <v/>
      </c>
    </row>
    <row r="572">
      <c r="K572">
        <f>IF(OR(LEFT(B572,9)="DOANH THU",LEFT(B572,8)="SỐ LƯỢNG"),A572,IF(A572="","",K571))</f>
        <v/>
      </c>
      <c r="L572">
        <f>IF(A572="","",IF(ISNUMBER(--LEFT(A572,FIND(" - ",A572&amp;" - ")-1)),LEFT(A572,FIND(" - ",A572&amp;" - ")-1),TRIM(A572)))</f>
        <v/>
      </c>
      <c r="M572">
        <f>IF(OR(K572="",K572=A572,A572=""),"",K572&amp;"|"&amp;L572)</f>
        <v/>
      </c>
      <c r="N572">
        <f>IF(M572="","",IF(ISNUMBER(B572),B572,IFERROR(_xlfn.NUMBERVALUE(B572,".",","),0)))</f>
        <v/>
      </c>
      <c r="O572">
        <f>IF(M572="","",IF(ISNUMBER(C572),C572,IFERROR(_xlfn.NUMBERVALUE(C572,".",","),0)))</f>
        <v/>
      </c>
    </row>
    <row r="573">
      <c r="K573">
        <f>IF(OR(LEFT(B573,9)="DOANH THU",LEFT(B573,8)="SỐ LƯỢNG"),A573,IF(A573="","",K572))</f>
        <v/>
      </c>
      <c r="L573">
        <f>IF(A573="","",IF(ISNUMBER(--LEFT(A573,FIND(" - ",A573&amp;" - ")-1)),LEFT(A573,FIND(" - ",A573&amp;" - ")-1),TRIM(A573)))</f>
        <v/>
      </c>
      <c r="M573">
        <f>IF(OR(K573="",K573=A573,A573=""),"",K573&amp;"|"&amp;L573)</f>
        <v/>
      </c>
      <c r="N573">
        <f>IF(M573="","",IF(ISNUMBER(B573),B573,IFERROR(_xlfn.NUMBERVALUE(B573,".",","),0)))</f>
        <v/>
      </c>
      <c r="O573">
        <f>IF(M573="","",IF(ISNUMBER(C573),C573,IFERROR(_xlfn.NUMBERVALUE(C573,".",","),0)))</f>
        <v/>
      </c>
    </row>
    <row r="574">
      <c r="K574">
        <f>IF(OR(LEFT(B574,9)="DOANH THU",LEFT(B574,8)="SỐ LƯỢNG"),A574,IF(A574="","",K573))</f>
        <v/>
      </c>
      <c r="L574">
        <f>IF(A574="","",IF(ISNUMBER(--LEFT(A574,FIND(" - ",A574&amp;" - ")-1)),LEFT(A574,FIND(" - ",A574&amp;" - ")-1),TRIM(A574)))</f>
        <v/>
      </c>
      <c r="M574">
        <f>IF(OR(K574="",K574=A574,A574=""),"",K574&amp;"|"&amp;L574)</f>
        <v/>
      </c>
      <c r="N574">
        <f>IF(M574="","",IF(ISNUMBER(B574),B574,IFERROR(_xlfn.NUMBERVALUE(B574,".",","),0)))</f>
        <v/>
      </c>
      <c r="O574">
        <f>IF(M574="","",IF(ISNUMBER(C574),C574,IFERROR(_xlfn.NUMBERVALUE(C574,".",","),0)))</f>
        <v/>
      </c>
    </row>
    <row r="575">
      <c r="K575">
        <f>IF(OR(LEFT(B575,9)="DOANH THU",LEFT(B575,8)="SỐ LƯỢNG"),A575,IF(A575="","",K574))</f>
        <v/>
      </c>
      <c r="L575">
        <f>IF(A575="","",IF(ISNUMBER(--LEFT(A575,FIND(" - ",A575&amp;" - ")-1)),LEFT(A575,FIND(" - ",A575&amp;" - ")-1),TRIM(A575)))</f>
        <v/>
      </c>
      <c r="M575">
        <f>IF(OR(K575="",K575=A575,A575=""),"",K575&amp;"|"&amp;L575)</f>
        <v/>
      </c>
      <c r="N575">
        <f>IF(M575="","",IF(ISNUMBER(B575),B575,IFERROR(_xlfn.NUMBERVALUE(B575,".",","),0)))</f>
        <v/>
      </c>
      <c r="O575">
        <f>IF(M575="","",IF(ISNUMBER(C575),C575,IFERROR(_xlfn.NUMBERVALUE(C575,".",","),0)))</f>
        <v/>
      </c>
    </row>
    <row r="576">
      <c r="K576">
        <f>IF(OR(LEFT(B576,9)="DOANH THU",LEFT(B576,8)="SỐ LƯỢNG"),A576,IF(A576="","",K575))</f>
        <v/>
      </c>
      <c r="L576">
        <f>IF(A576="","",IF(ISNUMBER(--LEFT(A576,FIND(" - ",A576&amp;" - ")-1)),LEFT(A576,FIND(" - ",A576&amp;" - ")-1),TRIM(A576)))</f>
        <v/>
      </c>
      <c r="M576">
        <f>IF(OR(K576="",K576=A576,A576=""),"",K576&amp;"|"&amp;L576)</f>
        <v/>
      </c>
      <c r="N576">
        <f>IF(M576="","",IF(ISNUMBER(B576),B576,IFERROR(_xlfn.NUMBERVALUE(B576,".",","),0)))</f>
        <v/>
      </c>
      <c r="O576">
        <f>IF(M576="","",IF(ISNUMBER(C576),C576,IFERROR(_xlfn.NUMBERVALUE(C576,".",","),0)))</f>
        <v/>
      </c>
    </row>
    <row r="577">
      <c r="K577">
        <f>IF(OR(LEFT(B577,9)="DOANH THU",LEFT(B577,8)="SỐ LƯỢNG"),A577,IF(A577="","",K576))</f>
        <v/>
      </c>
      <c r="L577">
        <f>IF(A577="","",IF(ISNUMBER(--LEFT(A577,FIND(" - ",A577&amp;" - ")-1)),LEFT(A577,FIND(" - ",A577&amp;" - ")-1),TRIM(A577)))</f>
        <v/>
      </c>
      <c r="M577">
        <f>IF(OR(K577="",K577=A577,A577=""),"",K577&amp;"|"&amp;L577)</f>
        <v/>
      </c>
      <c r="N577">
        <f>IF(M577="","",IF(ISNUMBER(B577),B577,IFERROR(_xlfn.NUMBERVALUE(B577,".",","),0)))</f>
        <v/>
      </c>
      <c r="O577">
        <f>IF(M577="","",IF(ISNUMBER(C577),C577,IFERROR(_xlfn.NUMBERVALUE(C577,".",","),0)))</f>
        <v/>
      </c>
    </row>
    <row r="578">
      <c r="K578">
        <f>IF(OR(LEFT(B578,9)="DOANH THU",LEFT(B578,8)="SỐ LƯỢNG"),A578,IF(A578="","",K577))</f>
        <v/>
      </c>
      <c r="L578">
        <f>IF(A578="","",IF(ISNUMBER(--LEFT(A578,FIND(" - ",A578&amp;" - ")-1)),LEFT(A578,FIND(" - ",A578&amp;" - ")-1),TRIM(A578)))</f>
        <v/>
      </c>
      <c r="M578">
        <f>IF(OR(K578="",K578=A578,A578=""),"",K578&amp;"|"&amp;L578)</f>
        <v/>
      </c>
      <c r="N578">
        <f>IF(M578="","",IF(ISNUMBER(B578),B578,IFERROR(_xlfn.NUMBERVALUE(B578,".",","),0)))</f>
        <v/>
      </c>
      <c r="O578">
        <f>IF(M578="","",IF(ISNUMBER(C578),C578,IFERROR(_xlfn.NUMBERVALUE(C578,".",","),0)))</f>
        <v/>
      </c>
    </row>
    <row r="579">
      <c r="K579">
        <f>IF(OR(LEFT(B579,9)="DOANH THU",LEFT(B579,8)="SỐ LƯỢNG"),A579,IF(A579="","",K578))</f>
        <v/>
      </c>
      <c r="L579">
        <f>IF(A579="","",IF(ISNUMBER(--LEFT(A579,FIND(" - ",A579&amp;" - ")-1)),LEFT(A579,FIND(" - ",A579&amp;" - ")-1),TRIM(A579)))</f>
        <v/>
      </c>
      <c r="M579">
        <f>IF(OR(K579="",K579=A579,A579=""),"",K579&amp;"|"&amp;L579)</f>
        <v/>
      </c>
      <c r="N579">
        <f>IF(M579="","",IF(ISNUMBER(B579),B579,IFERROR(_xlfn.NUMBERVALUE(B579,".",","),0)))</f>
        <v/>
      </c>
      <c r="O579">
        <f>IF(M579="","",IF(ISNUMBER(C579),C579,IFERROR(_xlfn.NUMBERVALUE(C579,".",","),0)))</f>
        <v/>
      </c>
    </row>
    <row r="580">
      <c r="K580">
        <f>IF(OR(LEFT(B580,9)="DOANH THU",LEFT(B580,8)="SỐ LƯỢNG"),A580,IF(A580="","",K579))</f>
        <v/>
      </c>
      <c r="L580">
        <f>IF(A580="","",IF(ISNUMBER(--LEFT(A580,FIND(" - ",A580&amp;" - ")-1)),LEFT(A580,FIND(" - ",A580&amp;" - ")-1),TRIM(A580)))</f>
        <v/>
      </c>
      <c r="M580">
        <f>IF(OR(K580="",K580=A580,A580=""),"",K580&amp;"|"&amp;L580)</f>
        <v/>
      </c>
      <c r="N580">
        <f>IF(M580="","",IF(ISNUMBER(B580),B580,IFERROR(_xlfn.NUMBERVALUE(B580,".",","),0)))</f>
        <v/>
      </c>
      <c r="O580">
        <f>IF(M580="","",IF(ISNUMBER(C580),C580,IFERROR(_xlfn.NUMBERVALUE(C580,".",","),0)))</f>
        <v/>
      </c>
    </row>
    <row r="581">
      <c r="K581">
        <f>IF(OR(LEFT(B581,9)="DOANH THU",LEFT(B581,8)="SỐ LƯỢNG"),A581,IF(A581="","",K580))</f>
        <v/>
      </c>
      <c r="L581">
        <f>IF(A581="","",IF(ISNUMBER(--LEFT(A581,FIND(" - ",A581&amp;" - ")-1)),LEFT(A581,FIND(" - ",A581&amp;" - ")-1),TRIM(A581)))</f>
        <v/>
      </c>
      <c r="M581">
        <f>IF(OR(K581="",K581=A581,A581=""),"",K581&amp;"|"&amp;L581)</f>
        <v/>
      </c>
      <c r="N581">
        <f>IF(M581="","",IF(ISNUMBER(B581),B581,IFERROR(_xlfn.NUMBERVALUE(B581,".",","),0)))</f>
        <v/>
      </c>
      <c r="O581">
        <f>IF(M581="","",IF(ISNUMBER(C581),C581,IFERROR(_xlfn.NUMBERVALUE(C581,".",","),0)))</f>
        <v/>
      </c>
    </row>
    <row r="582">
      <c r="K582">
        <f>IF(OR(LEFT(B582,9)="DOANH THU",LEFT(B582,8)="SỐ LƯỢNG"),A582,IF(A582="","",K581))</f>
        <v/>
      </c>
      <c r="L582">
        <f>IF(A582="","",IF(ISNUMBER(--LEFT(A582,FIND(" - ",A582&amp;" - ")-1)),LEFT(A582,FIND(" - ",A582&amp;" - ")-1),TRIM(A582)))</f>
        <v/>
      </c>
      <c r="M582">
        <f>IF(OR(K582="",K582=A582,A582=""),"",K582&amp;"|"&amp;L582)</f>
        <v/>
      </c>
      <c r="N582">
        <f>IF(M582="","",IF(ISNUMBER(B582),B582,IFERROR(_xlfn.NUMBERVALUE(B582,".",","),0)))</f>
        <v/>
      </c>
      <c r="O582">
        <f>IF(M582="","",IF(ISNUMBER(C582),C582,IFERROR(_xlfn.NUMBERVALUE(C582,".",","),0)))</f>
        <v/>
      </c>
    </row>
    <row r="583">
      <c r="K583">
        <f>IF(OR(LEFT(B583,9)="DOANH THU",LEFT(B583,8)="SỐ LƯỢNG"),A583,IF(A583="","",K582))</f>
        <v/>
      </c>
      <c r="L583">
        <f>IF(A583="","",IF(ISNUMBER(--LEFT(A583,FIND(" - ",A583&amp;" - ")-1)),LEFT(A583,FIND(" - ",A583&amp;" - ")-1),TRIM(A583)))</f>
        <v/>
      </c>
      <c r="M583">
        <f>IF(OR(K583="",K583=A583,A583=""),"",K583&amp;"|"&amp;L583)</f>
        <v/>
      </c>
      <c r="N583">
        <f>IF(M583="","",IF(ISNUMBER(B583),B583,IFERROR(_xlfn.NUMBERVALUE(B583,".",","),0)))</f>
        <v/>
      </c>
      <c r="O583">
        <f>IF(M583="","",IF(ISNUMBER(C583),C583,IFERROR(_xlfn.NUMBERVALUE(C583,".",","),0)))</f>
        <v/>
      </c>
    </row>
    <row r="584">
      <c r="K584">
        <f>IF(OR(LEFT(B584,9)="DOANH THU",LEFT(B584,8)="SỐ LƯỢNG"),A584,IF(A584="","",K583))</f>
        <v/>
      </c>
      <c r="L584">
        <f>IF(A584="","",IF(ISNUMBER(--LEFT(A584,FIND(" - ",A584&amp;" - ")-1)),LEFT(A584,FIND(" - ",A584&amp;" - ")-1),TRIM(A584)))</f>
        <v/>
      </c>
      <c r="M584">
        <f>IF(OR(K584="",K584=A584,A584=""),"",K584&amp;"|"&amp;L584)</f>
        <v/>
      </c>
      <c r="N584">
        <f>IF(M584="","",IF(ISNUMBER(B584),B584,IFERROR(_xlfn.NUMBERVALUE(B584,".",","),0)))</f>
        <v/>
      </c>
      <c r="O584">
        <f>IF(M584="","",IF(ISNUMBER(C584),C584,IFERROR(_xlfn.NUMBERVALUE(C584,".",","),0)))</f>
        <v/>
      </c>
    </row>
    <row r="585">
      <c r="K585">
        <f>IF(OR(LEFT(B585,9)="DOANH THU",LEFT(B585,8)="SỐ LƯỢNG"),A585,IF(A585="","",K584))</f>
        <v/>
      </c>
      <c r="L585">
        <f>IF(A585="","",IF(ISNUMBER(--LEFT(A585,FIND(" - ",A585&amp;" - ")-1)),LEFT(A585,FIND(" - ",A585&amp;" - ")-1),TRIM(A585)))</f>
        <v/>
      </c>
      <c r="M585">
        <f>IF(OR(K585="",K585=A585,A585=""),"",K585&amp;"|"&amp;L585)</f>
        <v/>
      </c>
      <c r="N585">
        <f>IF(M585="","",IF(ISNUMBER(B585),B585,IFERROR(_xlfn.NUMBERVALUE(B585,".",","),0)))</f>
        <v/>
      </c>
      <c r="O585">
        <f>IF(M585="","",IF(ISNUMBER(C585),C585,IFERROR(_xlfn.NUMBERVALUE(C585,".",","),0)))</f>
        <v/>
      </c>
    </row>
    <row r="586">
      <c r="K586">
        <f>IF(OR(LEFT(B586,9)="DOANH THU",LEFT(B586,8)="SỐ LƯỢNG"),A586,IF(A586="","",K585))</f>
        <v/>
      </c>
      <c r="L586">
        <f>IF(A586="","",IF(ISNUMBER(--LEFT(A586,FIND(" - ",A586&amp;" - ")-1)),LEFT(A586,FIND(" - ",A586&amp;" - ")-1),TRIM(A586)))</f>
        <v/>
      </c>
      <c r="M586">
        <f>IF(OR(K586="",K586=A586,A586=""),"",K586&amp;"|"&amp;L586)</f>
        <v/>
      </c>
      <c r="N586">
        <f>IF(M586="","",IF(ISNUMBER(B586),B586,IFERROR(_xlfn.NUMBERVALUE(B586,".",","),0)))</f>
        <v/>
      </c>
      <c r="O586">
        <f>IF(M586="","",IF(ISNUMBER(C586),C586,IFERROR(_xlfn.NUMBERVALUE(C586,".",","),0)))</f>
        <v/>
      </c>
    </row>
    <row r="587">
      <c r="K587">
        <f>IF(OR(LEFT(B587,9)="DOANH THU",LEFT(B587,8)="SỐ LƯỢNG"),A587,IF(A587="","",K586))</f>
        <v/>
      </c>
      <c r="L587">
        <f>IF(A587="","",IF(ISNUMBER(--LEFT(A587,FIND(" - ",A587&amp;" - ")-1)),LEFT(A587,FIND(" - ",A587&amp;" - ")-1),TRIM(A587)))</f>
        <v/>
      </c>
      <c r="M587">
        <f>IF(OR(K587="",K587=A587,A587=""),"",K587&amp;"|"&amp;L587)</f>
        <v/>
      </c>
      <c r="N587">
        <f>IF(M587="","",IF(ISNUMBER(B587),B587,IFERROR(_xlfn.NUMBERVALUE(B587,".",","),0)))</f>
        <v/>
      </c>
      <c r="O587">
        <f>IF(M587="","",IF(ISNUMBER(C587),C587,IFERROR(_xlfn.NUMBERVALUE(C587,".",","),0)))</f>
        <v/>
      </c>
    </row>
    <row r="588">
      <c r="K588">
        <f>IF(OR(LEFT(B588,9)="DOANH THU",LEFT(B588,8)="SỐ LƯỢNG"),A588,IF(A588="","",K587))</f>
        <v/>
      </c>
      <c r="L588">
        <f>IF(A588="","",IF(ISNUMBER(--LEFT(A588,FIND(" - ",A588&amp;" - ")-1)),LEFT(A588,FIND(" - ",A588&amp;" - ")-1),TRIM(A588)))</f>
        <v/>
      </c>
      <c r="M588">
        <f>IF(OR(K588="",K588=A588,A588=""),"",K588&amp;"|"&amp;L588)</f>
        <v/>
      </c>
      <c r="N588">
        <f>IF(M588="","",IF(ISNUMBER(B588),B588,IFERROR(_xlfn.NUMBERVALUE(B588,".",","),0)))</f>
        <v/>
      </c>
      <c r="O588">
        <f>IF(M588="","",IF(ISNUMBER(C588),C588,IFERROR(_xlfn.NUMBERVALUE(C588,".",","),0)))</f>
        <v/>
      </c>
    </row>
    <row r="589">
      <c r="K589">
        <f>IF(OR(LEFT(B589,9)="DOANH THU",LEFT(B589,8)="SỐ LƯỢNG"),A589,IF(A589="","",K588))</f>
        <v/>
      </c>
      <c r="L589">
        <f>IF(A589="","",IF(ISNUMBER(--LEFT(A589,FIND(" - ",A589&amp;" - ")-1)),LEFT(A589,FIND(" - ",A589&amp;" - ")-1),TRIM(A589)))</f>
        <v/>
      </c>
      <c r="M589">
        <f>IF(OR(K589="",K589=A589,A589=""),"",K589&amp;"|"&amp;L589)</f>
        <v/>
      </c>
      <c r="N589">
        <f>IF(M589="","",IF(ISNUMBER(B589),B589,IFERROR(_xlfn.NUMBERVALUE(B589,".",","),0)))</f>
        <v/>
      </c>
      <c r="O589">
        <f>IF(M589="","",IF(ISNUMBER(C589),C589,IFERROR(_xlfn.NUMBERVALUE(C589,".",","),0)))</f>
        <v/>
      </c>
    </row>
    <row r="590">
      <c r="K590">
        <f>IF(OR(LEFT(B590,9)="DOANH THU",LEFT(B590,8)="SỐ LƯỢNG"),A590,IF(A590="","",K589))</f>
        <v/>
      </c>
      <c r="L590">
        <f>IF(A590="","",IF(ISNUMBER(--LEFT(A590,FIND(" - ",A590&amp;" - ")-1)),LEFT(A590,FIND(" - ",A590&amp;" - ")-1),TRIM(A590)))</f>
        <v/>
      </c>
      <c r="M590">
        <f>IF(OR(K590="",K590=A590,A590=""),"",K590&amp;"|"&amp;L590)</f>
        <v/>
      </c>
      <c r="N590">
        <f>IF(M590="","",IF(ISNUMBER(B590),B590,IFERROR(_xlfn.NUMBERVALUE(B590,".",","),0)))</f>
        <v/>
      </c>
      <c r="O590">
        <f>IF(M590="","",IF(ISNUMBER(C590),C590,IFERROR(_xlfn.NUMBERVALUE(C590,".",","),0)))</f>
        <v/>
      </c>
    </row>
    <row r="591">
      <c r="K591">
        <f>IF(OR(LEFT(B591,9)="DOANH THU",LEFT(B591,8)="SỐ LƯỢNG"),A591,IF(A591="","",K590))</f>
        <v/>
      </c>
      <c r="L591">
        <f>IF(A591="","",IF(ISNUMBER(--LEFT(A591,FIND(" - ",A591&amp;" - ")-1)),LEFT(A591,FIND(" - ",A591&amp;" - ")-1),TRIM(A591)))</f>
        <v/>
      </c>
      <c r="M591">
        <f>IF(OR(K591="",K591=A591,A591=""),"",K591&amp;"|"&amp;L591)</f>
        <v/>
      </c>
      <c r="N591">
        <f>IF(M591="","",IF(ISNUMBER(B591),B591,IFERROR(_xlfn.NUMBERVALUE(B591,".",","),0)))</f>
        <v/>
      </c>
      <c r="O591">
        <f>IF(M591="","",IF(ISNUMBER(C591),C591,IFERROR(_xlfn.NUMBERVALUE(C591,".",","),0)))</f>
        <v/>
      </c>
    </row>
    <row r="592">
      <c r="K592">
        <f>IF(OR(LEFT(B592,9)="DOANH THU",LEFT(B592,8)="SỐ LƯỢNG"),A592,IF(A592="","",K591))</f>
        <v/>
      </c>
      <c r="L592">
        <f>IF(A592="","",IF(ISNUMBER(--LEFT(A592,FIND(" - ",A592&amp;" - ")-1)),LEFT(A592,FIND(" - ",A592&amp;" - ")-1),TRIM(A592)))</f>
        <v/>
      </c>
      <c r="M592">
        <f>IF(OR(K592="",K592=A592,A592=""),"",K592&amp;"|"&amp;L592)</f>
        <v/>
      </c>
      <c r="N592">
        <f>IF(M592="","",IF(ISNUMBER(B592),B592,IFERROR(_xlfn.NUMBERVALUE(B592,".",","),0)))</f>
        <v/>
      </c>
      <c r="O592">
        <f>IF(M592="","",IF(ISNUMBER(C592),C592,IFERROR(_xlfn.NUMBERVALUE(C592,".",","),0)))</f>
        <v/>
      </c>
    </row>
    <row r="593">
      <c r="K593">
        <f>IF(OR(LEFT(B593,9)="DOANH THU",LEFT(B593,8)="SỐ LƯỢNG"),A593,IF(A593="","",K592))</f>
        <v/>
      </c>
      <c r="L593">
        <f>IF(A593="","",IF(ISNUMBER(--LEFT(A593,FIND(" - ",A593&amp;" - ")-1)),LEFT(A593,FIND(" - ",A593&amp;" - ")-1),TRIM(A593)))</f>
        <v/>
      </c>
      <c r="M593">
        <f>IF(OR(K593="",K593=A593,A593=""),"",K593&amp;"|"&amp;L593)</f>
        <v/>
      </c>
      <c r="N593">
        <f>IF(M593="","",IF(ISNUMBER(B593),B593,IFERROR(_xlfn.NUMBERVALUE(B593,".",","),0)))</f>
        <v/>
      </c>
      <c r="O593">
        <f>IF(M593="","",IF(ISNUMBER(C593),C593,IFERROR(_xlfn.NUMBERVALUE(C593,".",","),0)))</f>
        <v/>
      </c>
    </row>
    <row r="594">
      <c r="K594">
        <f>IF(OR(LEFT(B594,9)="DOANH THU",LEFT(B594,8)="SỐ LƯỢNG"),A594,IF(A594="","",K593))</f>
        <v/>
      </c>
      <c r="L594">
        <f>IF(A594="","",IF(ISNUMBER(--LEFT(A594,FIND(" - ",A594&amp;" - ")-1)),LEFT(A594,FIND(" - ",A594&amp;" - ")-1),TRIM(A594)))</f>
        <v/>
      </c>
      <c r="M594">
        <f>IF(OR(K594="",K594=A594,A594=""),"",K594&amp;"|"&amp;L594)</f>
        <v/>
      </c>
      <c r="N594">
        <f>IF(M594="","",IF(ISNUMBER(B594),B594,IFERROR(_xlfn.NUMBERVALUE(B594,".",","),0)))</f>
        <v/>
      </c>
      <c r="O594">
        <f>IF(M594="","",IF(ISNUMBER(C594),C594,IFERROR(_xlfn.NUMBERVALUE(C594,".",","),0)))</f>
        <v/>
      </c>
    </row>
    <row r="595">
      <c r="K595">
        <f>IF(OR(LEFT(B595,9)="DOANH THU",LEFT(B595,8)="SỐ LƯỢNG"),A595,IF(A595="","",K594))</f>
        <v/>
      </c>
      <c r="L595">
        <f>IF(A595="","",IF(ISNUMBER(--LEFT(A595,FIND(" - ",A595&amp;" - ")-1)),LEFT(A595,FIND(" - ",A595&amp;" - ")-1),TRIM(A595)))</f>
        <v/>
      </c>
      <c r="M595">
        <f>IF(OR(K595="",K595=A595,A595=""),"",K595&amp;"|"&amp;L595)</f>
        <v/>
      </c>
      <c r="N595">
        <f>IF(M595="","",IF(ISNUMBER(B595),B595,IFERROR(_xlfn.NUMBERVALUE(B595,".",","),0)))</f>
        <v/>
      </c>
      <c r="O595">
        <f>IF(M595="","",IF(ISNUMBER(C595),C595,IFERROR(_xlfn.NUMBERVALUE(C595,".",","),0)))</f>
        <v/>
      </c>
    </row>
    <row r="596">
      <c r="K596">
        <f>IF(OR(LEFT(B596,9)="DOANH THU",LEFT(B596,8)="SỐ LƯỢNG"),A596,IF(A596="","",K595))</f>
        <v/>
      </c>
      <c r="L596">
        <f>IF(A596="","",IF(ISNUMBER(--LEFT(A596,FIND(" - ",A596&amp;" - ")-1)),LEFT(A596,FIND(" - ",A596&amp;" - ")-1),TRIM(A596)))</f>
        <v/>
      </c>
      <c r="M596">
        <f>IF(OR(K596="",K596=A596,A596=""),"",K596&amp;"|"&amp;L596)</f>
        <v/>
      </c>
      <c r="N596">
        <f>IF(M596="","",IF(ISNUMBER(B596),B596,IFERROR(_xlfn.NUMBERVALUE(B596,".",","),0)))</f>
        <v/>
      </c>
      <c r="O596">
        <f>IF(M596="","",IF(ISNUMBER(C596),C596,IFERROR(_xlfn.NUMBERVALUE(C596,".",","),0)))</f>
        <v/>
      </c>
    </row>
    <row r="597">
      <c r="K597">
        <f>IF(OR(LEFT(B597,9)="DOANH THU",LEFT(B597,8)="SỐ LƯỢNG"),A597,IF(A597="","",K596))</f>
        <v/>
      </c>
      <c r="L597">
        <f>IF(A597="","",IF(ISNUMBER(--LEFT(A597,FIND(" - ",A597&amp;" - ")-1)),LEFT(A597,FIND(" - ",A597&amp;" - ")-1),TRIM(A597)))</f>
        <v/>
      </c>
      <c r="M597">
        <f>IF(OR(K597="",K597=A597,A597=""),"",K597&amp;"|"&amp;L597)</f>
        <v/>
      </c>
      <c r="N597">
        <f>IF(M597="","",IF(ISNUMBER(B597),B597,IFERROR(_xlfn.NUMBERVALUE(B597,".",","),0)))</f>
        <v/>
      </c>
      <c r="O597">
        <f>IF(M597="","",IF(ISNUMBER(C597),C597,IFERROR(_xlfn.NUMBERVALUE(C597,".",","),0)))</f>
        <v/>
      </c>
    </row>
    <row r="598">
      <c r="K598">
        <f>IF(OR(LEFT(B598,9)="DOANH THU",LEFT(B598,8)="SỐ LƯỢNG"),A598,IF(A598="","",K597))</f>
        <v/>
      </c>
      <c r="L598">
        <f>IF(A598="","",IF(ISNUMBER(--LEFT(A598,FIND(" - ",A598&amp;" - ")-1)),LEFT(A598,FIND(" - ",A598&amp;" - ")-1),TRIM(A598)))</f>
        <v/>
      </c>
      <c r="M598">
        <f>IF(OR(K598="",K598=A598,A598=""),"",K598&amp;"|"&amp;L598)</f>
        <v/>
      </c>
      <c r="N598">
        <f>IF(M598="","",IF(ISNUMBER(B598),B598,IFERROR(_xlfn.NUMBERVALUE(B598,".",","),0)))</f>
        <v/>
      </c>
      <c r="O598">
        <f>IF(M598="","",IF(ISNUMBER(C598),C598,IFERROR(_xlfn.NUMBERVALUE(C598,".",","),0)))</f>
        <v/>
      </c>
    </row>
    <row r="599">
      <c r="K599">
        <f>IF(OR(LEFT(B599,9)="DOANH THU",LEFT(B599,8)="SỐ LƯỢNG"),A599,IF(A599="","",K598))</f>
        <v/>
      </c>
      <c r="L599">
        <f>IF(A599="","",IF(ISNUMBER(--LEFT(A599,FIND(" - ",A599&amp;" - ")-1)),LEFT(A599,FIND(" - ",A599&amp;" - ")-1),TRIM(A599)))</f>
        <v/>
      </c>
      <c r="M599">
        <f>IF(OR(K599="",K599=A599,A599=""),"",K599&amp;"|"&amp;L599)</f>
        <v/>
      </c>
      <c r="N599">
        <f>IF(M599="","",IF(ISNUMBER(B599),B599,IFERROR(_xlfn.NUMBERVALUE(B599,".",","),0)))</f>
        <v/>
      </c>
      <c r="O599">
        <f>IF(M599="","",IF(ISNUMBER(C599),C599,IFERROR(_xlfn.NUMBERVALUE(C599,".",","),0)))</f>
        <v/>
      </c>
    </row>
    <row r="600">
      <c r="K600">
        <f>IF(OR(LEFT(B600,9)="DOANH THU",LEFT(B600,8)="SỐ LƯỢNG"),A600,IF(A600="","",K599))</f>
        <v/>
      </c>
      <c r="L600">
        <f>IF(A600="","",IF(ISNUMBER(--LEFT(A600,FIND(" - ",A600&amp;" - ")-1)),LEFT(A600,FIND(" - ",A600&amp;" - ")-1),TRIM(A600)))</f>
        <v/>
      </c>
      <c r="M600">
        <f>IF(OR(K600="",K600=A600,A600=""),"",K600&amp;"|"&amp;L600)</f>
        <v/>
      </c>
      <c r="N600">
        <f>IF(M600="","",IF(ISNUMBER(B600),B600,IFERROR(_xlfn.NUMBERVALUE(B600,".",","),0)))</f>
        <v/>
      </c>
      <c r="O600">
        <f>IF(M600="","",IF(ISNUMBER(C600),C600,IFERROR(_xlfn.NUMBERVALUE(C600,".",","),0)))</f>
        <v/>
      </c>
    </row>
    <row r="601">
      <c r="K601">
        <f>IF(OR(LEFT(B601,9)="DOANH THU",LEFT(B601,8)="SỐ LƯỢNG"),A601,IF(A601="","",K600))</f>
        <v/>
      </c>
      <c r="L601">
        <f>IF(A601="","",IF(ISNUMBER(--LEFT(A601,FIND(" - ",A601&amp;" - ")-1)),LEFT(A601,FIND(" - ",A601&amp;" - ")-1),TRIM(A601)))</f>
        <v/>
      </c>
      <c r="M601">
        <f>IF(OR(K601="",K601=A601,A601=""),"",K601&amp;"|"&amp;L601)</f>
        <v/>
      </c>
      <c r="N601">
        <f>IF(M601="","",IF(ISNUMBER(B601),B601,IFERROR(_xlfn.NUMBERVALUE(B601,".",","),0)))</f>
        <v/>
      </c>
      <c r="O601">
        <f>IF(M601="","",IF(ISNUMBER(C601),C601,IFERROR(_xlfn.NUMBERVALUE(C601,".",","),0)))</f>
        <v/>
      </c>
    </row>
    <row r="602">
      <c r="K602">
        <f>IF(OR(LEFT(B602,9)="DOANH THU",LEFT(B602,8)="SỐ LƯỢNG"),A602,IF(A602="","",K601))</f>
        <v/>
      </c>
      <c r="L602">
        <f>IF(A602="","",IF(ISNUMBER(--LEFT(A602,FIND(" - ",A602&amp;" - ")-1)),LEFT(A602,FIND(" - ",A602&amp;" - ")-1),TRIM(A602)))</f>
        <v/>
      </c>
      <c r="M602">
        <f>IF(OR(K602="",K602=A602,A602=""),"",K602&amp;"|"&amp;L602)</f>
        <v/>
      </c>
      <c r="N602">
        <f>IF(M602="","",IF(ISNUMBER(B602),B602,IFERROR(_xlfn.NUMBERVALUE(B602,".",","),0)))</f>
        <v/>
      </c>
      <c r="O602">
        <f>IF(M602="","",IF(ISNUMBER(C602),C602,IFERROR(_xlfn.NUMBERVALUE(C602,".",","),0)))</f>
        <v/>
      </c>
    </row>
    <row r="603">
      <c r="K603">
        <f>IF(OR(LEFT(B603,9)="DOANH THU",LEFT(B603,8)="SỐ LƯỢNG"),A603,IF(A603="","",K602))</f>
        <v/>
      </c>
      <c r="L603">
        <f>IF(A603="","",IF(ISNUMBER(--LEFT(A603,FIND(" - ",A603&amp;" - ")-1)),LEFT(A603,FIND(" - ",A603&amp;" - ")-1),TRIM(A603)))</f>
        <v/>
      </c>
      <c r="M603">
        <f>IF(OR(K603="",K603=A603,A603=""),"",K603&amp;"|"&amp;L603)</f>
        <v/>
      </c>
      <c r="N603">
        <f>IF(M603="","",IF(ISNUMBER(B603),B603,IFERROR(_xlfn.NUMBERVALUE(B603,".",","),0)))</f>
        <v/>
      </c>
      <c r="O603">
        <f>IF(M603="","",IF(ISNUMBER(C603),C603,IFERROR(_xlfn.NUMBERVALUE(C603,".",","),0)))</f>
        <v/>
      </c>
    </row>
    <row r="604">
      <c r="K604">
        <f>IF(OR(LEFT(B604,9)="DOANH THU",LEFT(B604,8)="SỐ LƯỢNG"),A604,IF(A604="","",K603))</f>
        <v/>
      </c>
      <c r="L604">
        <f>IF(A604="","",IF(ISNUMBER(--LEFT(A604,FIND(" - ",A604&amp;" - ")-1)),LEFT(A604,FIND(" - ",A604&amp;" - ")-1),TRIM(A604)))</f>
        <v/>
      </c>
      <c r="M604">
        <f>IF(OR(K604="",K604=A604,A604=""),"",K604&amp;"|"&amp;L604)</f>
        <v/>
      </c>
      <c r="N604">
        <f>IF(M604="","",IF(ISNUMBER(B604),B604,IFERROR(_xlfn.NUMBERVALUE(B604,".",","),0)))</f>
        <v/>
      </c>
      <c r="O604">
        <f>IF(M604="","",IF(ISNUMBER(C604),C604,IFERROR(_xlfn.NUMBERVALUE(C604,".",","),0)))</f>
        <v/>
      </c>
    </row>
    <row r="605">
      <c r="K605">
        <f>IF(OR(LEFT(B605,9)="DOANH THU",LEFT(B605,8)="SỐ LƯỢNG"),A605,IF(A605="","",K604))</f>
        <v/>
      </c>
      <c r="L605">
        <f>IF(A605="","",IF(ISNUMBER(--LEFT(A605,FIND(" - ",A605&amp;" - ")-1)),LEFT(A605,FIND(" - ",A605&amp;" - ")-1),TRIM(A605)))</f>
        <v/>
      </c>
      <c r="M605">
        <f>IF(OR(K605="",K605=A605,A605=""),"",K605&amp;"|"&amp;L605)</f>
        <v/>
      </c>
      <c r="N605">
        <f>IF(M605="","",IF(ISNUMBER(B605),B605,IFERROR(_xlfn.NUMBERVALUE(B605,".",","),0)))</f>
        <v/>
      </c>
      <c r="O605">
        <f>IF(M605="","",IF(ISNUMBER(C605),C605,IFERROR(_xlfn.NUMBERVALUE(C605,".",","),0)))</f>
        <v/>
      </c>
    </row>
    <row r="606">
      <c r="K606">
        <f>IF(OR(LEFT(B606,9)="DOANH THU",LEFT(B606,8)="SỐ LƯỢNG"),A606,IF(A606="","",K605))</f>
        <v/>
      </c>
      <c r="L606">
        <f>IF(A606="","",IF(ISNUMBER(--LEFT(A606,FIND(" - ",A606&amp;" - ")-1)),LEFT(A606,FIND(" - ",A606&amp;" - ")-1),TRIM(A606)))</f>
        <v/>
      </c>
      <c r="M606">
        <f>IF(OR(K606="",K606=A606,A606=""),"",K606&amp;"|"&amp;L606)</f>
        <v/>
      </c>
      <c r="N606">
        <f>IF(M606="","",IF(ISNUMBER(B606),B606,IFERROR(_xlfn.NUMBERVALUE(B606,".",","),0)))</f>
        <v/>
      </c>
      <c r="O606">
        <f>IF(M606="","",IF(ISNUMBER(C606),C606,IFERROR(_xlfn.NUMBERVALUE(C606,".",","),0)))</f>
        <v/>
      </c>
    </row>
    <row r="607">
      <c r="K607">
        <f>IF(OR(LEFT(B607,9)="DOANH THU",LEFT(B607,8)="SỐ LƯỢNG"),A607,IF(A607="","",K606))</f>
        <v/>
      </c>
      <c r="L607">
        <f>IF(A607="","",IF(ISNUMBER(--LEFT(A607,FIND(" - ",A607&amp;" - ")-1)),LEFT(A607,FIND(" - ",A607&amp;" - ")-1),TRIM(A607)))</f>
        <v/>
      </c>
      <c r="M607">
        <f>IF(OR(K607="",K607=A607,A607=""),"",K607&amp;"|"&amp;L607)</f>
        <v/>
      </c>
      <c r="N607">
        <f>IF(M607="","",IF(ISNUMBER(B607),B607,IFERROR(_xlfn.NUMBERVALUE(B607,".",","),0)))</f>
        <v/>
      </c>
      <c r="O607">
        <f>IF(M607="","",IF(ISNUMBER(C607),C607,IFERROR(_xlfn.NUMBERVALUE(C607,".",","),0)))</f>
        <v/>
      </c>
    </row>
    <row r="608">
      <c r="K608">
        <f>IF(OR(LEFT(B608,9)="DOANH THU",LEFT(B608,8)="SỐ LƯỢNG"),A608,IF(A608="","",K607))</f>
        <v/>
      </c>
      <c r="L608">
        <f>IF(A608="","",IF(ISNUMBER(--LEFT(A608,FIND(" - ",A608&amp;" - ")-1)),LEFT(A608,FIND(" - ",A608&amp;" - ")-1),TRIM(A608)))</f>
        <v/>
      </c>
      <c r="M608">
        <f>IF(OR(K608="",K608=A608,A608=""),"",K608&amp;"|"&amp;L608)</f>
        <v/>
      </c>
      <c r="N608">
        <f>IF(M608="","",IF(ISNUMBER(B608),B608,IFERROR(_xlfn.NUMBERVALUE(B608,".",","),0)))</f>
        <v/>
      </c>
      <c r="O608">
        <f>IF(M608="","",IF(ISNUMBER(C608),C608,IFERROR(_xlfn.NUMBERVALUE(C608,".",","),0)))</f>
        <v/>
      </c>
    </row>
    <row r="609">
      <c r="K609">
        <f>IF(OR(LEFT(B609,9)="DOANH THU",LEFT(B609,8)="SỐ LƯỢNG"),A609,IF(A609="","",K608))</f>
        <v/>
      </c>
      <c r="L609">
        <f>IF(A609="","",IF(ISNUMBER(--LEFT(A609,FIND(" - ",A609&amp;" - ")-1)),LEFT(A609,FIND(" - ",A609&amp;" - ")-1),TRIM(A609)))</f>
        <v/>
      </c>
      <c r="M609">
        <f>IF(OR(K609="",K609=A609,A609=""),"",K609&amp;"|"&amp;L609)</f>
        <v/>
      </c>
      <c r="N609">
        <f>IF(M609="","",IF(ISNUMBER(B609),B609,IFERROR(_xlfn.NUMBERVALUE(B609,".",","),0)))</f>
        <v/>
      </c>
      <c r="O609">
        <f>IF(M609="","",IF(ISNUMBER(C609),C609,IFERROR(_xlfn.NUMBERVALUE(C609,".",","),0)))</f>
        <v/>
      </c>
    </row>
    <row r="610">
      <c r="K610">
        <f>IF(OR(LEFT(B610,9)="DOANH THU",LEFT(B610,8)="SỐ LƯỢNG"),A610,IF(A610="","",K609))</f>
        <v/>
      </c>
      <c r="L610">
        <f>IF(A610="","",IF(ISNUMBER(--LEFT(A610,FIND(" - ",A610&amp;" - ")-1)),LEFT(A610,FIND(" - ",A610&amp;" - ")-1),TRIM(A610)))</f>
        <v/>
      </c>
      <c r="M610">
        <f>IF(OR(K610="",K610=A610,A610=""),"",K610&amp;"|"&amp;L610)</f>
        <v/>
      </c>
      <c r="N610">
        <f>IF(M610="","",IF(ISNUMBER(B610),B610,IFERROR(_xlfn.NUMBERVALUE(B610,".",","),0)))</f>
        <v/>
      </c>
      <c r="O610">
        <f>IF(M610="","",IF(ISNUMBER(C610),C610,IFERROR(_xlfn.NUMBERVALUE(C610,".",","),0)))</f>
        <v/>
      </c>
    </row>
    <row r="611">
      <c r="K611">
        <f>IF(OR(LEFT(B611,9)="DOANH THU",LEFT(B611,8)="SỐ LƯỢNG"),A611,IF(A611="","",K610))</f>
        <v/>
      </c>
      <c r="L611">
        <f>IF(A611="","",IF(ISNUMBER(--LEFT(A611,FIND(" - ",A611&amp;" - ")-1)),LEFT(A611,FIND(" - ",A611&amp;" - ")-1),TRIM(A611)))</f>
        <v/>
      </c>
      <c r="M611">
        <f>IF(OR(K611="",K611=A611,A611=""),"",K611&amp;"|"&amp;L611)</f>
        <v/>
      </c>
      <c r="N611">
        <f>IF(M611="","",IF(ISNUMBER(B611),B611,IFERROR(_xlfn.NUMBERVALUE(B611,".",","),0)))</f>
        <v/>
      </c>
      <c r="O611">
        <f>IF(M611="","",IF(ISNUMBER(C611),C611,IFERROR(_xlfn.NUMBERVALUE(C611,".",","),0)))</f>
        <v/>
      </c>
    </row>
    <row r="612">
      <c r="K612">
        <f>IF(OR(LEFT(B612,9)="DOANH THU",LEFT(B612,8)="SỐ LƯỢNG"),A612,IF(A612="","",K611))</f>
        <v/>
      </c>
      <c r="L612">
        <f>IF(A612="","",IF(ISNUMBER(--LEFT(A612,FIND(" - ",A612&amp;" - ")-1)),LEFT(A612,FIND(" - ",A612&amp;" - ")-1),TRIM(A612)))</f>
        <v/>
      </c>
      <c r="M612">
        <f>IF(OR(K612="",K612=A612,A612=""),"",K612&amp;"|"&amp;L612)</f>
        <v/>
      </c>
      <c r="N612">
        <f>IF(M612="","",IF(ISNUMBER(B612),B612,IFERROR(_xlfn.NUMBERVALUE(B612,".",","),0)))</f>
        <v/>
      </c>
      <c r="O612">
        <f>IF(M612="","",IF(ISNUMBER(C612),C612,IFERROR(_xlfn.NUMBERVALUE(C612,".",","),0)))</f>
        <v/>
      </c>
    </row>
    <row r="613">
      <c r="K613">
        <f>IF(OR(LEFT(B613,9)="DOANH THU",LEFT(B613,8)="SỐ LƯỢNG"),A613,IF(A613="","",K612))</f>
        <v/>
      </c>
      <c r="L613">
        <f>IF(A613="","",IF(ISNUMBER(--LEFT(A613,FIND(" - ",A613&amp;" - ")-1)),LEFT(A613,FIND(" - ",A613&amp;" - ")-1),TRIM(A613)))</f>
        <v/>
      </c>
      <c r="M613">
        <f>IF(OR(K613="",K613=A613,A613=""),"",K613&amp;"|"&amp;L613)</f>
        <v/>
      </c>
      <c r="N613">
        <f>IF(M613="","",IF(ISNUMBER(B613),B613,IFERROR(_xlfn.NUMBERVALUE(B613,".",","),0)))</f>
        <v/>
      </c>
      <c r="O613">
        <f>IF(M613="","",IF(ISNUMBER(C613),C613,IFERROR(_xlfn.NUMBERVALUE(C613,".",","),0)))</f>
        <v/>
      </c>
    </row>
    <row r="614">
      <c r="K614">
        <f>IF(OR(LEFT(B614,9)="DOANH THU",LEFT(B614,8)="SỐ LƯỢNG"),A614,IF(A614="","",K613))</f>
        <v/>
      </c>
      <c r="L614">
        <f>IF(A614="","",IF(ISNUMBER(--LEFT(A614,FIND(" - ",A614&amp;" - ")-1)),LEFT(A614,FIND(" - ",A614&amp;" - ")-1),TRIM(A614)))</f>
        <v/>
      </c>
      <c r="M614">
        <f>IF(OR(K614="",K614=A614,A614=""),"",K614&amp;"|"&amp;L614)</f>
        <v/>
      </c>
      <c r="N614">
        <f>IF(M614="","",IF(ISNUMBER(B614),B614,IFERROR(_xlfn.NUMBERVALUE(B614,".",","),0)))</f>
        <v/>
      </c>
      <c r="O614">
        <f>IF(M614="","",IF(ISNUMBER(C614),C614,IFERROR(_xlfn.NUMBERVALUE(C614,".",","),0)))</f>
        <v/>
      </c>
    </row>
    <row r="615">
      <c r="K615">
        <f>IF(OR(LEFT(B615,9)="DOANH THU",LEFT(B615,8)="SỐ LƯỢNG"),A615,IF(A615="","",K614))</f>
        <v/>
      </c>
      <c r="L615">
        <f>IF(A615="","",IF(ISNUMBER(--LEFT(A615,FIND(" - ",A615&amp;" - ")-1)),LEFT(A615,FIND(" - ",A615&amp;" - ")-1),TRIM(A615)))</f>
        <v/>
      </c>
      <c r="M615">
        <f>IF(OR(K615="",K615=A615,A615=""),"",K615&amp;"|"&amp;L615)</f>
        <v/>
      </c>
      <c r="N615">
        <f>IF(M615="","",IF(ISNUMBER(B615),B615,IFERROR(_xlfn.NUMBERVALUE(B615,".",","),0)))</f>
        <v/>
      </c>
      <c r="O615">
        <f>IF(M615="","",IF(ISNUMBER(C615),C615,IFERROR(_xlfn.NUMBERVALUE(C615,".",","),0)))</f>
        <v/>
      </c>
    </row>
    <row r="616">
      <c r="K616">
        <f>IF(OR(LEFT(B616,9)="DOANH THU",LEFT(B616,8)="SỐ LƯỢNG"),A616,IF(A616="","",K615))</f>
        <v/>
      </c>
      <c r="L616">
        <f>IF(A616="","",IF(ISNUMBER(--LEFT(A616,FIND(" - ",A616&amp;" - ")-1)),LEFT(A616,FIND(" - ",A616&amp;" - ")-1),TRIM(A616)))</f>
        <v/>
      </c>
      <c r="M616">
        <f>IF(OR(K616="",K616=A616,A616=""),"",K616&amp;"|"&amp;L616)</f>
        <v/>
      </c>
      <c r="N616">
        <f>IF(M616="","",IF(ISNUMBER(B616),B616,IFERROR(_xlfn.NUMBERVALUE(B616,".",","),0)))</f>
        <v/>
      </c>
      <c r="O616">
        <f>IF(M616="","",IF(ISNUMBER(C616),C616,IFERROR(_xlfn.NUMBERVALUE(C616,".",","),0)))</f>
        <v/>
      </c>
    </row>
    <row r="617">
      <c r="K617">
        <f>IF(OR(LEFT(B617,9)="DOANH THU",LEFT(B617,8)="SỐ LƯỢNG"),A617,IF(A617="","",K616))</f>
        <v/>
      </c>
      <c r="L617">
        <f>IF(A617="","",IF(ISNUMBER(--LEFT(A617,FIND(" - ",A617&amp;" - ")-1)),LEFT(A617,FIND(" - ",A617&amp;" - ")-1),TRIM(A617)))</f>
        <v/>
      </c>
      <c r="M617">
        <f>IF(OR(K617="",K617=A617,A617=""),"",K617&amp;"|"&amp;L617)</f>
        <v/>
      </c>
      <c r="N617">
        <f>IF(M617="","",IF(ISNUMBER(B617),B617,IFERROR(_xlfn.NUMBERVALUE(B617,".",","),0)))</f>
        <v/>
      </c>
      <c r="O617">
        <f>IF(M617="","",IF(ISNUMBER(C617),C617,IFERROR(_xlfn.NUMBERVALUE(C617,".",","),0)))</f>
        <v/>
      </c>
    </row>
    <row r="618">
      <c r="K618">
        <f>IF(OR(LEFT(B618,9)="DOANH THU",LEFT(B618,8)="SỐ LƯỢNG"),A618,IF(A618="","",K617))</f>
        <v/>
      </c>
      <c r="L618">
        <f>IF(A618="","",IF(ISNUMBER(--LEFT(A618,FIND(" - ",A618&amp;" - ")-1)),LEFT(A618,FIND(" - ",A618&amp;" - ")-1),TRIM(A618)))</f>
        <v/>
      </c>
      <c r="M618">
        <f>IF(OR(K618="",K618=A618,A618=""),"",K618&amp;"|"&amp;L618)</f>
        <v/>
      </c>
      <c r="N618">
        <f>IF(M618="","",IF(ISNUMBER(B618),B618,IFERROR(_xlfn.NUMBERVALUE(B618,".",","),0)))</f>
        <v/>
      </c>
      <c r="O618">
        <f>IF(M618="","",IF(ISNUMBER(C618),C618,IFERROR(_xlfn.NUMBERVALUE(C618,".",","),0)))</f>
        <v/>
      </c>
    </row>
    <row r="619">
      <c r="K619">
        <f>IF(OR(LEFT(B619,9)="DOANH THU",LEFT(B619,8)="SỐ LƯỢNG"),A619,IF(A619="","",K618))</f>
        <v/>
      </c>
      <c r="L619">
        <f>IF(A619="","",IF(ISNUMBER(--LEFT(A619,FIND(" - ",A619&amp;" - ")-1)),LEFT(A619,FIND(" - ",A619&amp;" - ")-1),TRIM(A619)))</f>
        <v/>
      </c>
      <c r="M619">
        <f>IF(OR(K619="",K619=A619,A619=""),"",K619&amp;"|"&amp;L619)</f>
        <v/>
      </c>
      <c r="N619">
        <f>IF(M619="","",IF(ISNUMBER(B619),B619,IFERROR(_xlfn.NUMBERVALUE(B619,".",","),0)))</f>
        <v/>
      </c>
      <c r="O619">
        <f>IF(M619="","",IF(ISNUMBER(C619),C619,IFERROR(_xlfn.NUMBERVALUE(C619,".",","),0)))</f>
        <v/>
      </c>
    </row>
    <row r="620">
      <c r="K620">
        <f>IF(OR(LEFT(B620,9)="DOANH THU",LEFT(B620,8)="SỐ LƯỢNG"),A620,IF(A620="","",K619))</f>
        <v/>
      </c>
      <c r="L620">
        <f>IF(A620="","",IF(ISNUMBER(--LEFT(A620,FIND(" - ",A620&amp;" - ")-1)),LEFT(A620,FIND(" - ",A620&amp;" - ")-1),TRIM(A620)))</f>
        <v/>
      </c>
      <c r="M620">
        <f>IF(OR(K620="",K620=A620,A620=""),"",K620&amp;"|"&amp;L620)</f>
        <v/>
      </c>
      <c r="N620">
        <f>IF(M620="","",IF(ISNUMBER(B620),B620,IFERROR(_xlfn.NUMBERVALUE(B620,".",","),0)))</f>
        <v/>
      </c>
      <c r="O620">
        <f>IF(M620="","",IF(ISNUMBER(C620),C620,IFERROR(_xlfn.NUMBERVALUE(C620,".",","),0)))</f>
        <v/>
      </c>
    </row>
    <row r="621">
      <c r="K621">
        <f>IF(OR(LEFT(B621,9)="DOANH THU",LEFT(B621,8)="SỐ LƯỢNG"),A621,IF(A621="","",K620))</f>
        <v/>
      </c>
      <c r="L621">
        <f>IF(A621="","",IF(ISNUMBER(--LEFT(A621,FIND(" - ",A621&amp;" - ")-1)),LEFT(A621,FIND(" - ",A621&amp;" - ")-1),TRIM(A621)))</f>
        <v/>
      </c>
      <c r="M621">
        <f>IF(OR(K621="",K621=A621,A621=""),"",K621&amp;"|"&amp;L621)</f>
        <v/>
      </c>
      <c r="N621">
        <f>IF(M621="","",IF(ISNUMBER(B621),B621,IFERROR(_xlfn.NUMBERVALUE(B621,".",","),0)))</f>
        <v/>
      </c>
      <c r="O621">
        <f>IF(M621="","",IF(ISNUMBER(C621),C621,IFERROR(_xlfn.NUMBERVALUE(C621,".",","),0)))</f>
        <v/>
      </c>
    </row>
    <row r="622">
      <c r="K622">
        <f>IF(OR(LEFT(B622,9)="DOANH THU",LEFT(B622,8)="SỐ LƯỢNG"),A622,IF(A622="","",K621))</f>
        <v/>
      </c>
      <c r="L622">
        <f>IF(A622="","",IF(ISNUMBER(--LEFT(A622,FIND(" - ",A622&amp;" - ")-1)),LEFT(A622,FIND(" - ",A622&amp;" - ")-1),TRIM(A622)))</f>
        <v/>
      </c>
      <c r="M622">
        <f>IF(OR(K622="",K622=A622,A622=""),"",K622&amp;"|"&amp;L622)</f>
        <v/>
      </c>
      <c r="N622">
        <f>IF(M622="","",IF(ISNUMBER(B622),B622,IFERROR(_xlfn.NUMBERVALUE(B622,".",","),0)))</f>
        <v/>
      </c>
      <c r="O622">
        <f>IF(M622="","",IF(ISNUMBER(C622),C622,IFERROR(_xlfn.NUMBERVALUE(C622,".",","),0)))</f>
        <v/>
      </c>
    </row>
    <row r="623">
      <c r="K623">
        <f>IF(OR(LEFT(B623,9)="DOANH THU",LEFT(B623,8)="SỐ LƯỢNG"),A623,IF(A623="","",K622))</f>
        <v/>
      </c>
      <c r="L623">
        <f>IF(A623="","",IF(ISNUMBER(--LEFT(A623,FIND(" - ",A623&amp;" - ")-1)),LEFT(A623,FIND(" - ",A623&amp;" - ")-1),TRIM(A623)))</f>
        <v/>
      </c>
      <c r="M623">
        <f>IF(OR(K623="",K623=A623,A623=""),"",K623&amp;"|"&amp;L623)</f>
        <v/>
      </c>
      <c r="N623">
        <f>IF(M623="","",IF(ISNUMBER(B623),B623,IFERROR(_xlfn.NUMBERVALUE(B623,".",","),0)))</f>
        <v/>
      </c>
      <c r="O623">
        <f>IF(M623="","",IF(ISNUMBER(C623),C623,IFERROR(_xlfn.NUMBERVALUE(C623,".",","),0)))</f>
        <v/>
      </c>
    </row>
    <row r="624">
      <c r="K624">
        <f>IF(OR(LEFT(B624,9)="DOANH THU",LEFT(B624,8)="SỐ LƯỢNG"),A624,IF(A624="","",K623))</f>
        <v/>
      </c>
      <c r="L624">
        <f>IF(A624="","",IF(ISNUMBER(--LEFT(A624,FIND(" - ",A624&amp;" - ")-1)),LEFT(A624,FIND(" - ",A624&amp;" - ")-1),TRIM(A624)))</f>
        <v/>
      </c>
      <c r="M624">
        <f>IF(OR(K624="",K624=A624,A624=""),"",K624&amp;"|"&amp;L624)</f>
        <v/>
      </c>
      <c r="N624">
        <f>IF(M624="","",IF(ISNUMBER(B624),B624,IFERROR(_xlfn.NUMBERVALUE(B624,".",","),0)))</f>
        <v/>
      </c>
      <c r="O624">
        <f>IF(M624="","",IF(ISNUMBER(C624),C624,IFERROR(_xlfn.NUMBERVALUE(C624,".",","),0)))</f>
        <v/>
      </c>
    </row>
    <row r="625">
      <c r="K625">
        <f>IF(OR(LEFT(B625,9)="DOANH THU",LEFT(B625,8)="SỐ LƯỢNG"),A625,IF(A625="","",K624))</f>
        <v/>
      </c>
      <c r="L625">
        <f>IF(A625="","",IF(ISNUMBER(--LEFT(A625,FIND(" - ",A625&amp;" - ")-1)),LEFT(A625,FIND(" - ",A625&amp;" - ")-1),TRIM(A625)))</f>
        <v/>
      </c>
      <c r="M625">
        <f>IF(OR(K625="",K625=A625,A625=""),"",K625&amp;"|"&amp;L625)</f>
        <v/>
      </c>
      <c r="N625">
        <f>IF(M625="","",IF(ISNUMBER(B625),B625,IFERROR(_xlfn.NUMBERVALUE(B625,".",","),0)))</f>
        <v/>
      </c>
      <c r="O625">
        <f>IF(M625="","",IF(ISNUMBER(C625),C625,IFERROR(_xlfn.NUMBERVALUE(C625,".",","),0)))</f>
        <v/>
      </c>
    </row>
    <row r="626">
      <c r="K626">
        <f>IF(OR(LEFT(B626,9)="DOANH THU",LEFT(B626,8)="SỐ LƯỢNG"),A626,IF(A626="","",K625))</f>
        <v/>
      </c>
      <c r="L626">
        <f>IF(A626="","",IF(ISNUMBER(--LEFT(A626,FIND(" - ",A626&amp;" - ")-1)),LEFT(A626,FIND(" - ",A626&amp;" - ")-1),TRIM(A626)))</f>
        <v/>
      </c>
      <c r="M626">
        <f>IF(OR(K626="",K626=A626,A626=""),"",K626&amp;"|"&amp;L626)</f>
        <v/>
      </c>
      <c r="N626">
        <f>IF(M626="","",IF(ISNUMBER(B626),B626,IFERROR(_xlfn.NUMBERVALUE(B626,".",","),0)))</f>
        <v/>
      </c>
      <c r="O626">
        <f>IF(M626="","",IF(ISNUMBER(C626),C626,IFERROR(_xlfn.NUMBERVALUE(C626,".",","),0)))</f>
        <v/>
      </c>
    </row>
    <row r="627">
      <c r="K627">
        <f>IF(OR(LEFT(B627,9)="DOANH THU",LEFT(B627,8)="SỐ LƯỢNG"),A627,IF(A627="","",K626))</f>
        <v/>
      </c>
      <c r="L627">
        <f>IF(A627="","",IF(ISNUMBER(--LEFT(A627,FIND(" - ",A627&amp;" - ")-1)),LEFT(A627,FIND(" - ",A627&amp;" - ")-1),TRIM(A627)))</f>
        <v/>
      </c>
      <c r="M627">
        <f>IF(OR(K627="",K627=A627,A627=""),"",K627&amp;"|"&amp;L627)</f>
        <v/>
      </c>
      <c r="N627">
        <f>IF(M627="","",IF(ISNUMBER(B627),B627,IFERROR(_xlfn.NUMBERVALUE(B627,".",","),0)))</f>
        <v/>
      </c>
      <c r="O627">
        <f>IF(M627="","",IF(ISNUMBER(C627),C627,IFERROR(_xlfn.NUMBERVALUE(C627,".",","),0)))</f>
        <v/>
      </c>
    </row>
    <row r="628">
      <c r="K628">
        <f>IF(OR(LEFT(B628,9)="DOANH THU",LEFT(B628,8)="SỐ LƯỢNG"),A628,IF(A628="","",K627))</f>
        <v/>
      </c>
      <c r="L628">
        <f>IF(A628="","",IF(ISNUMBER(--LEFT(A628,FIND(" - ",A628&amp;" - ")-1)),LEFT(A628,FIND(" - ",A628&amp;" - ")-1),TRIM(A628)))</f>
        <v/>
      </c>
      <c r="M628">
        <f>IF(OR(K628="",K628=A628,A628=""),"",K628&amp;"|"&amp;L628)</f>
        <v/>
      </c>
      <c r="N628">
        <f>IF(M628="","",IF(ISNUMBER(B628),B628,IFERROR(_xlfn.NUMBERVALUE(B628,".",","),0)))</f>
        <v/>
      </c>
      <c r="O628">
        <f>IF(M628="","",IF(ISNUMBER(C628),C628,IFERROR(_xlfn.NUMBERVALUE(C628,".",","),0)))</f>
        <v/>
      </c>
    </row>
    <row r="629">
      <c r="K629">
        <f>IF(OR(LEFT(B629,9)="DOANH THU",LEFT(B629,8)="SỐ LƯỢNG"),A629,IF(A629="","",K628))</f>
        <v/>
      </c>
      <c r="L629">
        <f>IF(A629="","",IF(ISNUMBER(--LEFT(A629,FIND(" - ",A629&amp;" - ")-1)),LEFT(A629,FIND(" - ",A629&amp;" - ")-1),TRIM(A629)))</f>
        <v/>
      </c>
      <c r="M629">
        <f>IF(OR(K629="",K629=A629,A629=""),"",K629&amp;"|"&amp;L629)</f>
        <v/>
      </c>
      <c r="N629">
        <f>IF(M629="","",IF(ISNUMBER(B629),B629,IFERROR(_xlfn.NUMBERVALUE(B629,".",","),0)))</f>
        <v/>
      </c>
      <c r="O629">
        <f>IF(M629="","",IF(ISNUMBER(C629),C629,IFERROR(_xlfn.NUMBERVALUE(C629,".",","),0)))</f>
        <v/>
      </c>
    </row>
    <row r="630">
      <c r="K630">
        <f>IF(OR(LEFT(B630,9)="DOANH THU",LEFT(B630,8)="SỐ LƯỢNG"),A630,IF(A630="","",K629))</f>
        <v/>
      </c>
      <c r="L630">
        <f>IF(A630="","",IF(ISNUMBER(--LEFT(A630,FIND(" - ",A630&amp;" - ")-1)),LEFT(A630,FIND(" - ",A630&amp;" - ")-1),TRIM(A630)))</f>
        <v/>
      </c>
      <c r="M630">
        <f>IF(OR(K630="",K630=A630,A630=""),"",K630&amp;"|"&amp;L630)</f>
        <v/>
      </c>
      <c r="N630">
        <f>IF(M630="","",IF(ISNUMBER(B630),B630,IFERROR(_xlfn.NUMBERVALUE(B630,".",","),0)))</f>
        <v/>
      </c>
      <c r="O630">
        <f>IF(M630="","",IF(ISNUMBER(C630),C630,IFERROR(_xlfn.NUMBERVALUE(C630,".",","),0)))</f>
        <v/>
      </c>
    </row>
    <row r="631">
      <c r="K631">
        <f>IF(OR(LEFT(B631,9)="DOANH THU",LEFT(B631,8)="SỐ LƯỢNG"),A631,IF(A631="","",K630))</f>
        <v/>
      </c>
      <c r="L631">
        <f>IF(A631="","",IF(ISNUMBER(--LEFT(A631,FIND(" - ",A631&amp;" - ")-1)),LEFT(A631,FIND(" - ",A631&amp;" - ")-1),TRIM(A631)))</f>
        <v/>
      </c>
      <c r="M631">
        <f>IF(OR(K631="",K631=A631,A631=""),"",K631&amp;"|"&amp;L631)</f>
        <v/>
      </c>
      <c r="N631">
        <f>IF(M631="","",IF(ISNUMBER(B631),B631,IFERROR(_xlfn.NUMBERVALUE(B631,".",","),0)))</f>
        <v/>
      </c>
      <c r="O631">
        <f>IF(M631="","",IF(ISNUMBER(C631),C631,IFERROR(_xlfn.NUMBERVALUE(C631,".",","),0)))</f>
        <v/>
      </c>
    </row>
    <row r="632">
      <c r="K632">
        <f>IF(OR(LEFT(B632,9)="DOANH THU",LEFT(B632,8)="SỐ LƯỢNG"),A632,IF(A632="","",K631))</f>
        <v/>
      </c>
      <c r="L632">
        <f>IF(A632="","",IF(ISNUMBER(--LEFT(A632,FIND(" - ",A632&amp;" - ")-1)),LEFT(A632,FIND(" - ",A632&amp;" - ")-1),TRIM(A632)))</f>
        <v/>
      </c>
      <c r="M632">
        <f>IF(OR(K632="",K632=A632,A632=""),"",K632&amp;"|"&amp;L632)</f>
        <v/>
      </c>
      <c r="N632">
        <f>IF(M632="","",IF(ISNUMBER(B632),B632,IFERROR(_xlfn.NUMBERVALUE(B632,".",","),0)))</f>
        <v/>
      </c>
      <c r="O632">
        <f>IF(M632="","",IF(ISNUMBER(C632),C632,IFERROR(_xlfn.NUMBERVALUE(C632,".",","),0)))</f>
        <v/>
      </c>
    </row>
    <row r="633">
      <c r="K633">
        <f>IF(OR(LEFT(B633,9)="DOANH THU",LEFT(B633,8)="SỐ LƯỢNG"),A633,IF(A633="","",K632))</f>
        <v/>
      </c>
      <c r="L633">
        <f>IF(A633="","",IF(ISNUMBER(--LEFT(A633,FIND(" - ",A633&amp;" - ")-1)),LEFT(A633,FIND(" - ",A633&amp;" - ")-1),TRIM(A633)))</f>
        <v/>
      </c>
      <c r="M633">
        <f>IF(OR(K633="",K633=A633,A633=""),"",K633&amp;"|"&amp;L633)</f>
        <v/>
      </c>
      <c r="N633">
        <f>IF(M633="","",IF(ISNUMBER(B633),B633,IFERROR(_xlfn.NUMBERVALUE(B633,".",","),0)))</f>
        <v/>
      </c>
      <c r="O633">
        <f>IF(M633="","",IF(ISNUMBER(C633),C633,IFERROR(_xlfn.NUMBERVALUE(C633,".",","),0)))</f>
        <v/>
      </c>
    </row>
    <row r="634">
      <c r="K634">
        <f>IF(OR(LEFT(B634,9)="DOANH THU",LEFT(B634,8)="SỐ LƯỢNG"),A634,IF(A634="","",K633))</f>
        <v/>
      </c>
      <c r="L634">
        <f>IF(A634="","",IF(ISNUMBER(--LEFT(A634,FIND(" - ",A634&amp;" - ")-1)),LEFT(A634,FIND(" - ",A634&amp;" - ")-1),TRIM(A634)))</f>
        <v/>
      </c>
      <c r="M634">
        <f>IF(OR(K634="",K634=A634,A634=""),"",K634&amp;"|"&amp;L634)</f>
        <v/>
      </c>
      <c r="N634">
        <f>IF(M634="","",IF(ISNUMBER(B634),B634,IFERROR(_xlfn.NUMBERVALUE(B634,".",","),0)))</f>
        <v/>
      </c>
      <c r="O634">
        <f>IF(M634="","",IF(ISNUMBER(C634),C634,IFERROR(_xlfn.NUMBERVALUE(C634,".",","),0)))</f>
        <v/>
      </c>
    </row>
    <row r="635">
      <c r="K635">
        <f>IF(OR(LEFT(B635,9)="DOANH THU",LEFT(B635,8)="SỐ LƯỢNG"),A635,IF(A635="","",K634))</f>
        <v/>
      </c>
      <c r="L635">
        <f>IF(A635="","",IF(ISNUMBER(--LEFT(A635,FIND(" - ",A635&amp;" - ")-1)),LEFT(A635,FIND(" - ",A635&amp;" - ")-1),TRIM(A635)))</f>
        <v/>
      </c>
      <c r="M635">
        <f>IF(OR(K635="",K635=A635,A635=""),"",K635&amp;"|"&amp;L635)</f>
        <v/>
      </c>
      <c r="N635">
        <f>IF(M635="","",IF(ISNUMBER(B635),B635,IFERROR(_xlfn.NUMBERVALUE(B635,".",","),0)))</f>
        <v/>
      </c>
      <c r="O635">
        <f>IF(M635="","",IF(ISNUMBER(C635),C635,IFERROR(_xlfn.NUMBERVALUE(C635,".",","),0)))</f>
        <v/>
      </c>
    </row>
    <row r="636">
      <c r="K636">
        <f>IF(OR(LEFT(B636,9)="DOANH THU",LEFT(B636,8)="SỐ LƯỢNG"),A636,IF(A636="","",K635))</f>
        <v/>
      </c>
      <c r="L636">
        <f>IF(A636="","",IF(ISNUMBER(--LEFT(A636,FIND(" - ",A636&amp;" - ")-1)),LEFT(A636,FIND(" - ",A636&amp;" - ")-1),TRIM(A636)))</f>
        <v/>
      </c>
      <c r="M636">
        <f>IF(OR(K636="",K636=A636,A636=""),"",K636&amp;"|"&amp;L636)</f>
        <v/>
      </c>
      <c r="N636">
        <f>IF(M636="","",IF(ISNUMBER(B636),B636,IFERROR(_xlfn.NUMBERVALUE(B636,".",","),0)))</f>
        <v/>
      </c>
      <c r="O636">
        <f>IF(M636="","",IF(ISNUMBER(C636),C636,IFERROR(_xlfn.NUMBERVALUE(C636,".",","),0)))</f>
        <v/>
      </c>
    </row>
    <row r="637">
      <c r="K637">
        <f>IF(OR(LEFT(B637,9)="DOANH THU",LEFT(B637,8)="SỐ LƯỢNG"),A637,IF(A637="","",K636))</f>
        <v/>
      </c>
      <c r="L637">
        <f>IF(A637="","",IF(ISNUMBER(--LEFT(A637,FIND(" - ",A637&amp;" - ")-1)),LEFT(A637,FIND(" - ",A637&amp;" - ")-1),TRIM(A637)))</f>
        <v/>
      </c>
      <c r="M637">
        <f>IF(OR(K637="",K637=A637,A637=""),"",K637&amp;"|"&amp;L637)</f>
        <v/>
      </c>
      <c r="N637">
        <f>IF(M637="","",IF(ISNUMBER(B637),B637,IFERROR(_xlfn.NUMBERVALUE(B637,".",","),0)))</f>
        <v/>
      </c>
      <c r="O637">
        <f>IF(M637="","",IF(ISNUMBER(C637),C637,IFERROR(_xlfn.NUMBERVALUE(C637,".",","),0)))</f>
        <v/>
      </c>
    </row>
    <row r="638">
      <c r="K638">
        <f>IF(OR(LEFT(B638,9)="DOANH THU",LEFT(B638,8)="SỐ LƯỢNG"),A638,IF(A638="","",K637))</f>
        <v/>
      </c>
      <c r="L638">
        <f>IF(A638="","",IF(ISNUMBER(--LEFT(A638,FIND(" - ",A638&amp;" - ")-1)),LEFT(A638,FIND(" - ",A638&amp;" - ")-1),TRIM(A638)))</f>
        <v/>
      </c>
      <c r="M638">
        <f>IF(OR(K638="",K638=A638,A638=""),"",K638&amp;"|"&amp;L638)</f>
        <v/>
      </c>
      <c r="N638">
        <f>IF(M638="","",IF(ISNUMBER(B638),B638,IFERROR(_xlfn.NUMBERVALUE(B638,".",","),0)))</f>
        <v/>
      </c>
      <c r="O638">
        <f>IF(M638="","",IF(ISNUMBER(C638),C638,IFERROR(_xlfn.NUMBERVALUE(C638,".",","),0)))</f>
        <v/>
      </c>
    </row>
    <row r="639">
      <c r="K639">
        <f>IF(OR(LEFT(B639,9)="DOANH THU",LEFT(B639,8)="SỐ LƯỢNG"),A639,IF(A639="","",K638))</f>
        <v/>
      </c>
      <c r="L639">
        <f>IF(A639="","",IF(ISNUMBER(--LEFT(A639,FIND(" - ",A639&amp;" - ")-1)),LEFT(A639,FIND(" - ",A639&amp;" - ")-1),TRIM(A639)))</f>
        <v/>
      </c>
      <c r="M639">
        <f>IF(OR(K639="",K639=A639,A639=""),"",K639&amp;"|"&amp;L639)</f>
        <v/>
      </c>
      <c r="N639">
        <f>IF(M639="","",IF(ISNUMBER(B639),B639,IFERROR(_xlfn.NUMBERVALUE(B639,".",","),0)))</f>
        <v/>
      </c>
      <c r="O639">
        <f>IF(M639="","",IF(ISNUMBER(C639),C639,IFERROR(_xlfn.NUMBERVALUE(C639,".",","),0)))</f>
        <v/>
      </c>
    </row>
    <row r="640">
      <c r="K640">
        <f>IF(OR(LEFT(B640,9)="DOANH THU",LEFT(B640,8)="SỐ LƯỢNG"),A640,IF(A640="","",K639))</f>
        <v/>
      </c>
      <c r="L640">
        <f>IF(A640="","",IF(ISNUMBER(--LEFT(A640,FIND(" - ",A640&amp;" - ")-1)),LEFT(A640,FIND(" - ",A640&amp;" - ")-1),TRIM(A640)))</f>
        <v/>
      </c>
      <c r="M640">
        <f>IF(OR(K640="",K640=A640,A640=""),"",K640&amp;"|"&amp;L640)</f>
        <v/>
      </c>
      <c r="N640">
        <f>IF(M640="","",IF(ISNUMBER(B640),B640,IFERROR(_xlfn.NUMBERVALUE(B640,".",","),0)))</f>
        <v/>
      </c>
      <c r="O640">
        <f>IF(M640="","",IF(ISNUMBER(C640),C640,IFERROR(_xlfn.NUMBERVALUE(C640,".",","),0)))</f>
        <v/>
      </c>
    </row>
    <row r="641">
      <c r="K641">
        <f>IF(OR(LEFT(B641,9)="DOANH THU",LEFT(B641,8)="SỐ LƯỢNG"),A641,IF(A641="","",K640))</f>
        <v/>
      </c>
      <c r="L641">
        <f>IF(A641="","",IF(ISNUMBER(--LEFT(A641,FIND(" - ",A641&amp;" - ")-1)),LEFT(A641,FIND(" - ",A641&amp;" - ")-1),TRIM(A641)))</f>
        <v/>
      </c>
      <c r="M641">
        <f>IF(OR(K641="",K641=A641,A641=""),"",K641&amp;"|"&amp;L641)</f>
        <v/>
      </c>
      <c r="N641">
        <f>IF(M641="","",IF(ISNUMBER(B641),B641,IFERROR(_xlfn.NUMBERVALUE(B641,".",","),0)))</f>
        <v/>
      </c>
      <c r="O641">
        <f>IF(M641="","",IF(ISNUMBER(C641),C641,IFERROR(_xlfn.NUMBERVALUE(C641,".",","),0)))</f>
        <v/>
      </c>
    </row>
    <row r="642">
      <c r="K642">
        <f>IF(OR(LEFT(B642,9)="DOANH THU",LEFT(B642,8)="SỐ LƯỢNG"),A642,IF(A642="","",K641))</f>
        <v/>
      </c>
      <c r="L642">
        <f>IF(A642="","",IF(ISNUMBER(--LEFT(A642,FIND(" - ",A642&amp;" - ")-1)),LEFT(A642,FIND(" - ",A642&amp;" - ")-1),TRIM(A642)))</f>
        <v/>
      </c>
      <c r="M642">
        <f>IF(OR(K642="",K642=A642,A642=""),"",K642&amp;"|"&amp;L642)</f>
        <v/>
      </c>
      <c r="N642">
        <f>IF(M642="","",IF(ISNUMBER(B642),B642,IFERROR(_xlfn.NUMBERVALUE(B642,".",","),0)))</f>
        <v/>
      </c>
      <c r="O642">
        <f>IF(M642="","",IF(ISNUMBER(C642),C642,IFERROR(_xlfn.NUMBERVALUE(C642,".",","),0)))</f>
        <v/>
      </c>
    </row>
    <row r="643">
      <c r="K643">
        <f>IF(OR(LEFT(B643,9)="DOANH THU",LEFT(B643,8)="SỐ LƯỢNG"),A643,IF(A643="","",K642))</f>
        <v/>
      </c>
      <c r="L643">
        <f>IF(A643="","",IF(ISNUMBER(--LEFT(A643,FIND(" - ",A643&amp;" - ")-1)),LEFT(A643,FIND(" - ",A643&amp;" - ")-1),TRIM(A643)))</f>
        <v/>
      </c>
      <c r="M643">
        <f>IF(OR(K643="",K643=A643,A643=""),"",K643&amp;"|"&amp;L643)</f>
        <v/>
      </c>
      <c r="N643">
        <f>IF(M643="","",IF(ISNUMBER(B643),B643,IFERROR(_xlfn.NUMBERVALUE(B643,".",","),0)))</f>
        <v/>
      </c>
      <c r="O643">
        <f>IF(M643="","",IF(ISNUMBER(C643),C643,IFERROR(_xlfn.NUMBERVALUE(C643,".",","),0)))</f>
        <v/>
      </c>
    </row>
    <row r="644">
      <c r="K644">
        <f>IF(OR(LEFT(B644,9)="DOANH THU",LEFT(B644,8)="SỐ LƯỢNG"),A644,IF(A644="","",K643))</f>
        <v/>
      </c>
      <c r="L644">
        <f>IF(A644="","",IF(ISNUMBER(--LEFT(A644,FIND(" - ",A644&amp;" - ")-1)),LEFT(A644,FIND(" - ",A644&amp;" - ")-1),TRIM(A644)))</f>
        <v/>
      </c>
      <c r="M644">
        <f>IF(OR(K644="",K644=A644,A644=""),"",K644&amp;"|"&amp;L644)</f>
        <v/>
      </c>
      <c r="N644">
        <f>IF(M644="","",IF(ISNUMBER(B644),B644,IFERROR(_xlfn.NUMBERVALUE(B644,".",","),0)))</f>
        <v/>
      </c>
      <c r="O644">
        <f>IF(M644="","",IF(ISNUMBER(C644),C644,IFERROR(_xlfn.NUMBERVALUE(C644,".",","),0)))</f>
        <v/>
      </c>
    </row>
    <row r="645">
      <c r="K645">
        <f>IF(OR(LEFT(B645,9)="DOANH THU",LEFT(B645,8)="SỐ LƯỢNG"),A645,IF(A645="","",K644))</f>
        <v/>
      </c>
      <c r="L645">
        <f>IF(A645="","",IF(ISNUMBER(--LEFT(A645,FIND(" - ",A645&amp;" - ")-1)),LEFT(A645,FIND(" - ",A645&amp;" - ")-1),TRIM(A645)))</f>
        <v/>
      </c>
      <c r="M645">
        <f>IF(OR(K645="",K645=A645,A645=""),"",K645&amp;"|"&amp;L645)</f>
        <v/>
      </c>
      <c r="N645">
        <f>IF(M645="","",IF(ISNUMBER(B645),B645,IFERROR(_xlfn.NUMBERVALUE(B645,".",","),0)))</f>
        <v/>
      </c>
      <c r="O645">
        <f>IF(M645="","",IF(ISNUMBER(C645),C645,IFERROR(_xlfn.NUMBERVALUE(C645,".",","),0)))</f>
        <v/>
      </c>
    </row>
    <row r="646">
      <c r="K646">
        <f>IF(OR(LEFT(B646,9)="DOANH THU",LEFT(B646,8)="SỐ LƯỢNG"),A646,IF(A646="","",K645))</f>
        <v/>
      </c>
      <c r="L646">
        <f>IF(A646="","",IF(ISNUMBER(--LEFT(A646,FIND(" - ",A646&amp;" - ")-1)),LEFT(A646,FIND(" - ",A646&amp;" - ")-1),TRIM(A646)))</f>
        <v/>
      </c>
      <c r="M646">
        <f>IF(OR(K646="",K646=A646,A646=""),"",K646&amp;"|"&amp;L646)</f>
        <v/>
      </c>
      <c r="N646">
        <f>IF(M646="","",IF(ISNUMBER(B646),B646,IFERROR(_xlfn.NUMBERVALUE(B646,".",","),0)))</f>
        <v/>
      </c>
      <c r="O646">
        <f>IF(M646="","",IF(ISNUMBER(C646),C646,IFERROR(_xlfn.NUMBERVALUE(C646,".",","),0)))</f>
        <v/>
      </c>
    </row>
    <row r="647">
      <c r="K647">
        <f>IF(OR(LEFT(B647,9)="DOANH THU",LEFT(B647,8)="SỐ LƯỢNG"),A647,IF(A647="","",K646))</f>
        <v/>
      </c>
      <c r="L647">
        <f>IF(A647="","",IF(ISNUMBER(--LEFT(A647,FIND(" - ",A647&amp;" - ")-1)),LEFT(A647,FIND(" - ",A647&amp;" - ")-1),TRIM(A647)))</f>
        <v/>
      </c>
      <c r="M647">
        <f>IF(OR(K647="",K647=A647,A647=""),"",K647&amp;"|"&amp;L647)</f>
        <v/>
      </c>
      <c r="N647">
        <f>IF(M647="","",IF(ISNUMBER(B647),B647,IFERROR(_xlfn.NUMBERVALUE(B647,".",","),0)))</f>
        <v/>
      </c>
      <c r="O647">
        <f>IF(M647="","",IF(ISNUMBER(C647),C647,IFERROR(_xlfn.NUMBERVALUE(C647,".",","),0)))</f>
        <v/>
      </c>
    </row>
    <row r="648">
      <c r="K648">
        <f>IF(OR(LEFT(B648,9)="DOANH THU",LEFT(B648,8)="SỐ LƯỢNG"),A648,IF(A648="","",K647))</f>
        <v/>
      </c>
      <c r="L648">
        <f>IF(A648="","",IF(ISNUMBER(--LEFT(A648,FIND(" - ",A648&amp;" - ")-1)),LEFT(A648,FIND(" - ",A648&amp;" - ")-1),TRIM(A648)))</f>
        <v/>
      </c>
      <c r="M648">
        <f>IF(OR(K648="",K648=A648,A648=""),"",K648&amp;"|"&amp;L648)</f>
        <v/>
      </c>
      <c r="N648">
        <f>IF(M648="","",IF(ISNUMBER(B648),B648,IFERROR(_xlfn.NUMBERVALUE(B648,".",","),0)))</f>
        <v/>
      </c>
      <c r="O648">
        <f>IF(M648="","",IF(ISNUMBER(C648),C648,IFERROR(_xlfn.NUMBERVALUE(C648,".",","),0)))</f>
        <v/>
      </c>
    </row>
    <row r="649">
      <c r="K649">
        <f>IF(OR(LEFT(B649,9)="DOANH THU",LEFT(B649,8)="SỐ LƯỢNG"),A649,IF(A649="","",K648))</f>
        <v/>
      </c>
      <c r="L649">
        <f>IF(A649="","",IF(ISNUMBER(--LEFT(A649,FIND(" - ",A649&amp;" - ")-1)),LEFT(A649,FIND(" - ",A649&amp;" - ")-1),TRIM(A649)))</f>
        <v/>
      </c>
      <c r="M649">
        <f>IF(OR(K649="",K649=A649,A649=""),"",K649&amp;"|"&amp;L649)</f>
        <v/>
      </c>
      <c r="N649">
        <f>IF(M649="","",IF(ISNUMBER(B649),B649,IFERROR(_xlfn.NUMBERVALUE(B649,".",","),0)))</f>
        <v/>
      </c>
      <c r="O649">
        <f>IF(M649="","",IF(ISNUMBER(C649),C649,IFERROR(_xlfn.NUMBERVALUE(C649,".",","),0)))</f>
        <v/>
      </c>
    </row>
    <row r="650">
      <c r="K650">
        <f>IF(OR(LEFT(B650,9)="DOANH THU",LEFT(B650,8)="SỐ LƯỢNG"),A650,IF(A650="","",K649))</f>
        <v/>
      </c>
      <c r="L650">
        <f>IF(A650="","",IF(ISNUMBER(--LEFT(A650,FIND(" - ",A650&amp;" - ")-1)),LEFT(A650,FIND(" - ",A650&amp;" - ")-1),TRIM(A650)))</f>
        <v/>
      </c>
      <c r="M650">
        <f>IF(OR(K650="",K650=A650,A650=""),"",K650&amp;"|"&amp;L650)</f>
        <v/>
      </c>
      <c r="N650">
        <f>IF(M650="","",IF(ISNUMBER(B650),B650,IFERROR(_xlfn.NUMBERVALUE(B650,".",","),0)))</f>
        <v/>
      </c>
      <c r="O650">
        <f>IF(M650="","",IF(ISNUMBER(C650),C650,IFERROR(_xlfn.NUMBERVALUE(C650,".",","),0)))</f>
        <v/>
      </c>
    </row>
    <row r="651">
      <c r="K651">
        <f>IF(OR(LEFT(B651,9)="DOANH THU",LEFT(B651,8)="SỐ LƯỢNG"),A651,IF(A651="","",K650))</f>
        <v/>
      </c>
      <c r="L651">
        <f>IF(A651="","",IF(ISNUMBER(--LEFT(A651,FIND(" - ",A651&amp;" - ")-1)),LEFT(A651,FIND(" - ",A651&amp;" - ")-1),TRIM(A651)))</f>
        <v/>
      </c>
      <c r="M651">
        <f>IF(OR(K651="",K651=A651,A651=""),"",K651&amp;"|"&amp;L651)</f>
        <v/>
      </c>
      <c r="N651">
        <f>IF(M651="","",IF(ISNUMBER(B651),B651,IFERROR(_xlfn.NUMBERVALUE(B651,".",","),0)))</f>
        <v/>
      </c>
      <c r="O651">
        <f>IF(M651="","",IF(ISNUMBER(C651),C651,IFERROR(_xlfn.NUMBERVALUE(C651,".",","),0)))</f>
        <v/>
      </c>
    </row>
    <row r="652">
      <c r="K652">
        <f>IF(OR(LEFT(B652,9)="DOANH THU",LEFT(B652,8)="SỐ LƯỢNG"),A652,IF(A652="","",K651))</f>
        <v/>
      </c>
      <c r="L652">
        <f>IF(A652="","",IF(ISNUMBER(--LEFT(A652,FIND(" - ",A652&amp;" - ")-1)),LEFT(A652,FIND(" - ",A652&amp;" - ")-1),TRIM(A652)))</f>
        <v/>
      </c>
      <c r="M652">
        <f>IF(OR(K652="",K652=A652,A652=""),"",K652&amp;"|"&amp;L652)</f>
        <v/>
      </c>
      <c r="N652">
        <f>IF(M652="","",IF(ISNUMBER(B652),B652,IFERROR(_xlfn.NUMBERVALUE(B652,".",","),0)))</f>
        <v/>
      </c>
      <c r="O652">
        <f>IF(M652="","",IF(ISNUMBER(C652),C652,IFERROR(_xlfn.NUMBERVALUE(C652,".",","),0)))</f>
        <v/>
      </c>
    </row>
    <row r="653">
      <c r="K653">
        <f>IF(OR(LEFT(B653,9)="DOANH THU",LEFT(B653,8)="SỐ LƯỢNG"),A653,IF(A653="","",K652))</f>
        <v/>
      </c>
      <c r="L653">
        <f>IF(A653="","",IF(ISNUMBER(--LEFT(A653,FIND(" - ",A653&amp;" - ")-1)),LEFT(A653,FIND(" - ",A653&amp;" - ")-1),TRIM(A653)))</f>
        <v/>
      </c>
      <c r="M653">
        <f>IF(OR(K653="",K653=A653,A653=""),"",K653&amp;"|"&amp;L653)</f>
        <v/>
      </c>
      <c r="N653">
        <f>IF(M653="","",IF(ISNUMBER(B653),B653,IFERROR(_xlfn.NUMBERVALUE(B653,".",","),0)))</f>
        <v/>
      </c>
      <c r="O653">
        <f>IF(M653="","",IF(ISNUMBER(C653),C653,IFERROR(_xlfn.NUMBERVALUE(C653,".",","),0)))</f>
        <v/>
      </c>
    </row>
    <row r="654">
      <c r="K654">
        <f>IF(OR(LEFT(B654,9)="DOANH THU",LEFT(B654,8)="SỐ LƯỢNG"),A654,IF(A654="","",K653))</f>
        <v/>
      </c>
      <c r="L654">
        <f>IF(A654="","",IF(ISNUMBER(--LEFT(A654,FIND(" - ",A654&amp;" - ")-1)),LEFT(A654,FIND(" - ",A654&amp;" - ")-1),TRIM(A654)))</f>
        <v/>
      </c>
      <c r="M654">
        <f>IF(OR(K654="",K654=A654,A654=""),"",K654&amp;"|"&amp;L654)</f>
        <v/>
      </c>
      <c r="N654">
        <f>IF(M654="","",IF(ISNUMBER(B654),B654,IFERROR(_xlfn.NUMBERVALUE(B654,".",","),0)))</f>
        <v/>
      </c>
      <c r="O654">
        <f>IF(M654="","",IF(ISNUMBER(C654),C654,IFERROR(_xlfn.NUMBERVALUE(C654,".",","),0)))</f>
        <v/>
      </c>
    </row>
    <row r="655">
      <c r="K655">
        <f>IF(OR(LEFT(B655,9)="DOANH THU",LEFT(B655,8)="SỐ LƯỢNG"),A655,IF(A655="","",K654))</f>
        <v/>
      </c>
      <c r="L655">
        <f>IF(A655="","",IF(ISNUMBER(--LEFT(A655,FIND(" - ",A655&amp;" - ")-1)),LEFT(A655,FIND(" - ",A655&amp;" - ")-1),TRIM(A655)))</f>
        <v/>
      </c>
      <c r="M655">
        <f>IF(OR(K655="",K655=A655,A655=""),"",K655&amp;"|"&amp;L655)</f>
        <v/>
      </c>
      <c r="N655">
        <f>IF(M655="","",IF(ISNUMBER(B655),B655,IFERROR(_xlfn.NUMBERVALUE(B655,".",","),0)))</f>
        <v/>
      </c>
      <c r="O655">
        <f>IF(M655="","",IF(ISNUMBER(C655),C655,IFERROR(_xlfn.NUMBERVALUE(C655,".",","),0)))</f>
        <v/>
      </c>
    </row>
    <row r="656">
      <c r="K656">
        <f>IF(OR(LEFT(B656,9)="DOANH THU",LEFT(B656,8)="SỐ LƯỢNG"),A656,IF(A656="","",K655))</f>
        <v/>
      </c>
      <c r="L656">
        <f>IF(A656="","",IF(ISNUMBER(--LEFT(A656,FIND(" - ",A656&amp;" - ")-1)),LEFT(A656,FIND(" - ",A656&amp;" - ")-1),TRIM(A656)))</f>
        <v/>
      </c>
      <c r="M656">
        <f>IF(OR(K656="",K656=A656,A656=""),"",K656&amp;"|"&amp;L656)</f>
        <v/>
      </c>
      <c r="N656">
        <f>IF(M656="","",IF(ISNUMBER(B656),B656,IFERROR(_xlfn.NUMBERVALUE(B656,".",","),0)))</f>
        <v/>
      </c>
      <c r="O656">
        <f>IF(M656="","",IF(ISNUMBER(C656),C656,IFERROR(_xlfn.NUMBERVALUE(C656,".",","),0)))</f>
        <v/>
      </c>
    </row>
    <row r="657">
      <c r="K657">
        <f>IF(OR(LEFT(B657,9)="DOANH THU",LEFT(B657,8)="SỐ LƯỢNG"),A657,IF(A657="","",K656))</f>
        <v/>
      </c>
      <c r="L657">
        <f>IF(A657="","",IF(ISNUMBER(--LEFT(A657,FIND(" - ",A657&amp;" - ")-1)),LEFT(A657,FIND(" - ",A657&amp;" - ")-1),TRIM(A657)))</f>
        <v/>
      </c>
      <c r="M657">
        <f>IF(OR(K657="",K657=A657,A657=""),"",K657&amp;"|"&amp;L657)</f>
        <v/>
      </c>
      <c r="N657">
        <f>IF(M657="","",IF(ISNUMBER(B657),B657,IFERROR(_xlfn.NUMBERVALUE(B657,".",","),0)))</f>
        <v/>
      </c>
      <c r="O657">
        <f>IF(M657="","",IF(ISNUMBER(C657),C657,IFERROR(_xlfn.NUMBERVALUE(C657,".",","),0)))</f>
        <v/>
      </c>
    </row>
    <row r="658">
      <c r="K658">
        <f>IF(OR(LEFT(B658,9)="DOANH THU",LEFT(B658,8)="SỐ LƯỢNG"),A658,IF(A658="","",K657))</f>
        <v/>
      </c>
      <c r="L658">
        <f>IF(A658="","",IF(ISNUMBER(--LEFT(A658,FIND(" - ",A658&amp;" - ")-1)),LEFT(A658,FIND(" - ",A658&amp;" - ")-1),TRIM(A658)))</f>
        <v/>
      </c>
      <c r="M658">
        <f>IF(OR(K658="",K658=A658,A658=""),"",K658&amp;"|"&amp;L658)</f>
        <v/>
      </c>
      <c r="N658">
        <f>IF(M658="","",IF(ISNUMBER(B658),B658,IFERROR(_xlfn.NUMBERVALUE(B658,".",","),0)))</f>
        <v/>
      </c>
      <c r="O658">
        <f>IF(M658="","",IF(ISNUMBER(C658),C658,IFERROR(_xlfn.NUMBERVALUE(C658,".",","),0)))</f>
        <v/>
      </c>
    </row>
    <row r="659">
      <c r="K659">
        <f>IF(OR(LEFT(B659,9)="DOANH THU",LEFT(B659,8)="SỐ LƯỢNG"),A659,IF(A659="","",K658))</f>
        <v/>
      </c>
      <c r="L659">
        <f>IF(A659="","",IF(ISNUMBER(--LEFT(A659,FIND(" - ",A659&amp;" - ")-1)),LEFT(A659,FIND(" - ",A659&amp;" - ")-1),TRIM(A659)))</f>
        <v/>
      </c>
      <c r="M659">
        <f>IF(OR(K659="",K659=A659,A659=""),"",K659&amp;"|"&amp;L659)</f>
        <v/>
      </c>
      <c r="N659">
        <f>IF(M659="","",IF(ISNUMBER(B659),B659,IFERROR(_xlfn.NUMBERVALUE(B659,".",","),0)))</f>
        <v/>
      </c>
      <c r="O659">
        <f>IF(M659="","",IF(ISNUMBER(C659),C659,IFERROR(_xlfn.NUMBERVALUE(C659,".",","),0)))</f>
        <v/>
      </c>
    </row>
    <row r="660">
      <c r="K660">
        <f>IF(OR(LEFT(B660,9)="DOANH THU",LEFT(B660,8)="SỐ LƯỢNG"),A660,IF(A660="","",K659))</f>
        <v/>
      </c>
      <c r="L660">
        <f>IF(A660="","",IF(ISNUMBER(--LEFT(A660,FIND(" - ",A660&amp;" - ")-1)),LEFT(A660,FIND(" - ",A660&amp;" - ")-1),TRIM(A660)))</f>
        <v/>
      </c>
      <c r="M660">
        <f>IF(OR(K660="",K660=A660,A660=""),"",K660&amp;"|"&amp;L660)</f>
        <v/>
      </c>
      <c r="N660">
        <f>IF(M660="","",IF(ISNUMBER(B660),B660,IFERROR(_xlfn.NUMBERVALUE(B660,".",","),0)))</f>
        <v/>
      </c>
      <c r="O660">
        <f>IF(M660="","",IF(ISNUMBER(C660),C660,IFERROR(_xlfn.NUMBERVALUE(C660,".",","),0)))</f>
        <v/>
      </c>
    </row>
    <row r="661">
      <c r="K661">
        <f>IF(OR(LEFT(B661,9)="DOANH THU",LEFT(B661,8)="SỐ LƯỢNG"),A661,IF(A661="","",K660))</f>
        <v/>
      </c>
      <c r="L661">
        <f>IF(A661="","",IF(ISNUMBER(--LEFT(A661,FIND(" - ",A661&amp;" - ")-1)),LEFT(A661,FIND(" - ",A661&amp;" - ")-1),TRIM(A661)))</f>
        <v/>
      </c>
      <c r="M661">
        <f>IF(OR(K661="",K661=A661,A661=""),"",K661&amp;"|"&amp;L661)</f>
        <v/>
      </c>
      <c r="N661">
        <f>IF(M661="","",IF(ISNUMBER(B661),B661,IFERROR(_xlfn.NUMBERVALUE(B661,".",","),0)))</f>
        <v/>
      </c>
      <c r="O661">
        <f>IF(M661="","",IF(ISNUMBER(C661),C661,IFERROR(_xlfn.NUMBERVALUE(C661,".",","),0)))</f>
        <v/>
      </c>
    </row>
    <row r="662">
      <c r="K662">
        <f>IF(OR(LEFT(B662,9)="DOANH THU",LEFT(B662,8)="SỐ LƯỢNG"),A662,IF(A662="","",K661))</f>
        <v/>
      </c>
      <c r="L662">
        <f>IF(A662="","",IF(ISNUMBER(--LEFT(A662,FIND(" - ",A662&amp;" - ")-1)),LEFT(A662,FIND(" - ",A662&amp;" - ")-1),TRIM(A662)))</f>
        <v/>
      </c>
      <c r="M662">
        <f>IF(OR(K662="",K662=A662,A662=""),"",K662&amp;"|"&amp;L662)</f>
        <v/>
      </c>
      <c r="N662">
        <f>IF(M662="","",IF(ISNUMBER(B662),B662,IFERROR(_xlfn.NUMBERVALUE(B662,".",","),0)))</f>
        <v/>
      </c>
      <c r="O662">
        <f>IF(M662="","",IF(ISNUMBER(C662),C662,IFERROR(_xlfn.NUMBERVALUE(C662,".",","),0)))</f>
        <v/>
      </c>
    </row>
    <row r="663">
      <c r="K663">
        <f>IF(OR(LEFT(B663,9)="DOANH THU",LEFT(B663,8)="SỐ LƯỢNG"),A663,IF(A663="","",K662))</f>
        <v/>
      </c>
      <c r="L663">
        <f>IF(A663="","",IF(ISNUMBER(--LEFT(A663,FIND(" - ",A663&amp;" - ")-1)),LEFT(A663,FIND(" - ",A663&amp;" - ")-1),TRIM(A663)))</f>
        <v/>
      </c>
      <c r="M663">
        <f>IF(OR(K663="",K663=A663,A663=""),"",K663&amp;"|"&amp;L663)</f>
        <v/>
      </c>
      <c r="N663">
        <f>IF(M663="","",IF(ISNUMBER(B663),B663,IFERROR(_xlfn.NUMBERVALUE(B663,".",","),0)))</f>
        <v/>
      </c>
      <c r="O663">
        <f>IF(M663="","",IF(ISNUMBER(C663),C663,IFERROR(_xlfn.NUMBERVALUE(C663,".",","),0)))</f>
        <v/>
      </c>
    </row>
    <row r="664">
      <c r="K664">
        <f>IF(OR(LEFT(B664,9)="DOANH THU",LEFT(B664,8)="SỐ LƯỢNG"),A664,IF(A664="","",K663))</f>
        <v/>
      </c>
      <c r="L664">
        <f>IF(A664="","",IF(ISNUMBER(--LEFT(A664,FIND(" - ",A664&amp;" - ")-1)),LEFT(A664,FIND(" - ",A664&amp;" - ")-1),TRIM(A664)))</f>
        <v/>
      </c>
      <c r="M664">
        <f>IF(OR(K664="",K664=A664,A664=""),"",K664&amp;"|"&amp;L664)</f>
        <v/>
      </c>
      <c r="N664">
        <f>IF(M664="","",IF(ISNUMBER(B664),B664,IFERROR(_xlfn.NUMBERVALUE(B664,".",","),0)))</f>
        <v/>
      </c>
      <c r="O664">
        <f>IF(M664="","",IF(ISNUMBER(C664),C664,IFERROR(_xlfn.NUMBERVALUE(C664,".",","),0)))</f>
        <v/>
      </c>
    </row>
    <row r="665">
      <c r="K665">
        <f>IF(OR(LEFT(B665,9)="DOANH THU",LEFT(B665,8)="SỐ LƯỢNG"),A665,IF(A665="","",K664))</f>
        <v/>
      </c>
      <c r="L665">
        <f>IF(A665="","",IF(ISNUMBER(--LEFT(A665,FIND(" - ",A665&amp;" - ")-1)),LEFT(A665,FIND(" - ",A665&amp;" - ")-1),TRIM(A665)))</f>
        <v/>
      </c>
      <c r="M665">
        <f>IF(OR(K665="",K665=A665,A665=""),"",K665&amp;"|"&amp;L665)</f>
        <v/>
      </c>
      <c r="N665">
        <f>IF(M665="","",IF(ISNUMBER(B665),B665,IFERROR(_xlfn.NUMBERVALUE(B665,".",","),0)))</f>
        <v/>
      </c>
      <c r="O665">
        <f>IF(M665="","",IF(ISNUMBER(C665),C665,IFERROR(_xlfn.NUMBERVALUE(C665,".",","),0)))</f>
        <v/>
      </c>
    </row>
    <row r="666">
      <c r="K666">
        <f>IF(OR(LEFT(B666,9)="DOANH THU",LEFT(B666,8)="SỐ LƯỢNG"),A666,IF(A666="","",K665))</f>
        <v/>
      </c>
      <c r="L666">
        <f>IF(A666="","",IF(ISNUMBER(--LEFT(A666,FIND(" - ",A666&amp;" - ")-1)),LEFT(A666,FIND(" - ",A666&amp;" - ")-1),TRIM(A666)))</f>
        <v/>
      </c>
      <c r="M666">
        <f>IF(OR(K666="",K666=A666,A666=""),"",K666&amp;"|"&amp;L666)</f>
        <v/>
      </c>
      <c r="N666">
        <f>IF(M666="","",IF(ISNUMBER(B666),B666,IFERROR(_xlfn.NUMBERVALUE(B666,".",","),0)))</f>
        <v/>
      </c>
      <c r="O666">
        <f>IF(M666="","",IF(ISNUMBER(C666),C666,IFERROR(_xlfn.NUMBERVALUE(C666,".",","),0)))</f>
        <v/>
      </c>
    </row>
    <row r="667">
      <c r="K667">
        <f>IF(OR(LEFT(B667,9)="DOANH THU",LEFT(B667,8)="SỐ LƯỢNG"),A667,IF(A667="","",K666))</f>
        <v/>
      </c>
      <c r="L667">
        <f>IF(A667="","",IF(ISNUMBER(--LEFT(A667,FIND(" - ",A667&amp;" - ")-1)),LEFT(A667,FIND(" - ",A667&amp;" - ")-1),TRIM(A667)))</f>
        <v/>
      </c>
      <c r="M667">
        <f>IF(OR(K667="",K667=A667,A667=""),"",K667&amp;"|"&amp;L667)</f>
        <v/>
      </c>
      <c r="N667">
        <f>IF(M667="","",IF(ISNUMBER(B667),B667,IFERROR(_xlfn.NUMBERVALUE(B667,".",","),0)))</f>
        <v/>
      </c>
      <c r="O667">
        <f>IF(M667="","",IF(ISNUMBER(C667),C667,IFERROR(_xlfn.NUMBERVALUE(C667,".",","),0)))</f>
        <v/>
      </c>
    </row>
    <row r="668">
      <c r="K668">
        <f>IF(OR(LEFT(B668,9)="DOANH THU",LEFT(B668,8)="SỐ LƯỢNG"),A668,IF(A668="","",K667))</f>
        <v/>
      </c>
      <c r="L668">
        <f>IF(A668="","",IF(ISNUMBER(--LEFT(A668,FIND(" - ",A668&amp;" - ")-1)),LEFT(A668,FIND(" - ",A668&amp;" - ")-1),TRIM(A668)))</f>
        <v/>
      </c>
      <c r="M668">
        <f>IF(OR(K668="",K668=A668,A668=""),"",K668&amp;"|"&amp;L668)</f>
        <v/>
      </c>
      <c r="N668">
        <f>IF(M668="","",IF(ISNUMBER(B668),B668,IFERROR(_xlfn.NUMBERVALUE(B668,".",","),0)))</f>
        <v/>
      </c>
      <c r="O668">
        <f>IF(M668="","",IF(ISNUMBER(C668),C668,IFERROR(_xlfn.NUMBERVALUE(C668,".",","),0)))</f>
        <v/>
      </c>
    </row>
    <row r="669">
      <c r="K669">
        <f>IF(OR(LEFT(B669,9)="DOANH THU",LEFT(B669,8)="SỐ LƯỢNG"),A669,IF(A669="","",K668))</f>
        <v/>
      </c>
      <c r="L669">
        <f>IF(A669="","",IF(ISNUMBER(--LEFT(A669,FIND(" - ",A669&amp;" - ")-1)),LEFT(A669,FIND(" - ",A669&amp;" - ")-1),TRIM(A669)))</f>
        <v/>
      </c>
      <c r="M669">
        <f>IF(OR(K669="",K669=A669,A669=""),"",K669&amp;"|"&amp;L669)</f>
        <v/>
      </c>
      <c r="N669">
        <f>IF(M669="","",IF(ISNUMBER(B669),B669,IFERROR(_xlfn.NUMBERVALUE(B669,".",","),0)))</f>
        <v/>
      </c>
      <c r="O669">
        <f>IF(M669="","",IF(ISNUMBER(C669),C669,IFERROR(_xlfn.NUMBERVALUE(C669,".",","),0)))</f>
        <v/>
      </c>
    </row>
    <row r="670">
      <c r="K670">
        <f>IF(OR(LEFT(B670,9)="DOANH THU",LEFT(B670,8)="SỐ LƯỢNG"),A670,IF(A670="","",K669))</f>
        <v/>
      </c>
      <c r="L670">
        <f>IF(A670="","",IF(ISNUMBER(--LEFT(A670,FIND(" - ",A670&amp;" - ")-1)),LEFT(A670,FIND(" - ",A670&amp;" - ")-1),TRIM(A670)))</f>
        <v/>
      </c>
      <c r="M670">
        <f>IF(OR(K670="",K670=A670,A670=""),"",K670&amp;"|"&amp;L670)</f>
        <v/>
      </c>
      <c r="N670">
        <f>IF(M670="","",IF(ISNUMBER(B670),B670,IFERROR(_xlfn.NUMBERVALUE(B670,".",","),0)))</f>
        <v/>
      </c>
      <c r="O670">
        <f>IF(M670="","",IF(ISNUMBER(C670),C670,IFERROR(_xlfn.NUMBERVALUE(C670,".",","),0)))</f>
        <v/>
      </c>
    </row>
    <row r="671">
      <c r="K671">
        <f>IF(OR(LEFT(B671,9)="DOANH THU",LEFT(B671,8)="SỐ LƯỢNG"),A671,IF(A671="","",K670))</f>
        <v/>
      </c>
      <c r="L671">
        <f>IF(A671="","",IF(ISNUMBER(--LEFT(A671,FIND(" - ",A671&amp;" - ")-1)),LEFT(A671,FIND(" - ",A671&amp;" - ")-1),TRIM(A671)))</f>
        <v/>
      </c>
      <c r="M671">
        <f>IF(OR(K671="",K671=A671,A671=""),"",K671&amp;"|"&amp;L671)</f>
        <v/>
      </c>
      <c r="N671">
        <f>IF(M671="","",IF(ISNUMBER(B671),B671,IFERROR(_xlfn.NUMBERVALUE(B671,".",","),0)))</f>
        <v/>
      </c>
      <c r="O671">
        <f>IF(M671="","",IF(ISNUMBER(C671),C671,IFERROR(_xlfn.NUMBERVALUE(C671,".",","),0)))</f>
        <v/>
      </c>
    </row>
    <row r="672">
      <c r="K672">
        <f>IF(OR(LEFT(B672,9)="DOANH THU",LEFT(B672,8)="SỐ LƯỢNG"),A672,IF(A672="","",K671))</f>
        <v/>
      </c>
      <c r="L672">
        <f>IF(A672="","",IF(ISNUMBER(--LEFT(A672,FIND(" - ",A672&amp;" - ")-1)),LEFT(A672,FIND(" - ",A672&amp;" - ")-1),TRIM(A672)))</f>
        <v/>
      </c>
      <c r="M672">
        <f>IF(OR(K672="",K672=A672,A672=""),"",K672&amp;"|"&amp;L672)</f>
        <v/>
      </c>
      <c r="N672">
        <f>IF(M672="","",IF(ISNUMBER(B672),B672,IFERROR(_xlfn.NUMBERVALUE(B672,".",","),0)))</f>
        <v/>
      </c>
      <c r="O672">
        <f>IF(M672="","",IF(ISNUMBER(C672),C672,IFERROR(_xlfn.NUMBERVALUE(C672,".",","),0)))</f>
        <v/>
      </c>
    </row>
    <row r="673">
      <c r="K673">
        <f>IF(OR(LEFT(B673,9)="DOANH THU",LEFT(B673,8)="SỐ LƯỢNG"),A673,IF(A673="","",K672))</f>
        <v/>
      </c>
      <c r="L673">
        <f>IF(A673="","",IF(ISNUMBER(--LEFT(A673,FIND(" - ",A673&amp;" - ")-1)),LEFT(A673,FIND(" - ",A673&amp;" - ")-1),TRIM(A673)))</f>
        <v/>
      </c>
      <c r="M673">
        <f>IF(OR(K673="",K673=A673,A673=""),"",K673&amp;"|"&amp;L673)</f>
        <v/>
      </c>
      <c r="N673">
        <f>IF(M673="","",IF(ISNUMBER(B673),B673,IFERROR(_xlfn.NUMBERVALUE(B673,".",","),0)))</f>
        <v/>
      </c>
      <c r="O673">
        <f>IF(M673="","",IF(ISNUMBER(C673),C673,IFERROR(_xlfn.NUMBERVALUE(C673,".",","),0)))</f>
        <v/>
      </c>
    </row>
    <row r="674">
      <c r="K674">
        <f>IF(OR(LEFT(B674,9)="DOANH THU",LEFT(B674,8)="SỐ LƯỢNG"),A674,IF(A674="","",K673))</f>
        <v/>
      </c>
      <c r="L674">
        <f>IF(A674="","",IF(ISNUMBER(--LEFT(A674,FIND(" - ",A674&amp;" - ")-1)),LEFT(A674,FIND(" - ",A674&amp;" - ")-1),TRIM(A674)))</f>
        <v/>
      </c>
      <c r="M674">
        <f>IF(OR(K674="",K674=A674,A674=""),"",K674&amp;"|"&amp;L674)</f>
        <v/>
      </c>
      <c r="N674">
        <f>IF(M674="","",IF(ISNUMBER(B674),B674,IFERROR(_xlfn.NUMBERVALUE(B674,".",","),0)))</f>
        <v/>
      </c>
      <c r="O674">
        <f>IF(M674="","",IF(ISNUMBER(C674),C674,IFERROR(_xlfn.NUMBERVALUE(C674,".",","),0)))</f>
        <v/>
      </c>
    </row>
    <row r="675">
      <c r="K675">
        <f>IF(OR(LEFT(B675,9)="DOANH THU",LEFT(B675,8)="SỐ LƯỢNG"),A675,IF(A675="","",K674))</f>
        <v/>
      </c>
      <c r="L675">
        <f>IF(A675="","",IF(ISNUMBER(--LEFT(A675,FIND(" - ",A675&amp;" - ")-1)),LEFT(A675,FIND(" - ",A675&amp;" - ")-1),TRIM(A675)))</f>
        <v/>
      </c>
      <c r="M675">
        <f>IF(OR(K675="",K675=A675,A675=""),"",K675&amp;"|"&amp;L675)</f>
        <v/>
      </c>
      <c r="N675">
        <f>IF(M675="","",IF(ISNUMBER(B675),B675,IFERROR(_xlfn.NUMBERVALUE(B675,".",","),0)))</f>
        <v/>
      </c>
      <c r="O675">
        <f>IF(M675="","",IF(ISNUMBER(C675),C675,IFERROR(_xlfn.NUMBERVALUE(C675,".",","),0)))</f>
        <v/>
      </c>
    </row>
    <row r="676">
      <c r="K676">
        <f>IF(OR(LEFT(B676,9)="DOANH THU",LEFT(B676,8)="SỐ LƯỢNG"),A676,IF(A676="","",K675))</f>
        <v/>
      </c>
      <c r="L676">
        <f>IF(A676="","",IF(ISNUMBER(--LEFT(A676,FIND(" - ",A676&amp;" - ")-1)),LEFT(A676,FIND(" - ",A676&amp;" - ")-1),TRIM(A676)))</f>
        <v/>
      </c>
      <c r="M676">
        <f>IF(OR(K676="",K676=A676,A676=""),"",K676&amp;"|"&amp;L676)</f>
        <v/>
      </c>
      <c r="N676">
        <f>IF(M676="","",IF(ISNUMBER(B676),B676,IFERROR(_xlfn.NUMBERVALUE(B676,".",","),0)))</f>
        <v/>
      </c>
      <c r="O676">
        <f>IF(M676="","",IF(ISNUMBER(C676),C676,IFERROR(_xlfn.NUMBERVALUE(C676,".",","),0)))</f>
        <v/>
      </c>
    </row>
    <row r="677">
      <c r="K677">
        <f>IF(OR(LEFT(B677,9)="DOANH THU",LEFT(B677,8)="SỐ LƯỢNG"),A677,IF(A677="","",K676))</f>
        <v/>
      </c>
      <c r="L677">
        <f>IF(A677="","",IF(ISNUMBER(--LEFT(A677,FIND(" - ",A677&amp;" - ")-1)),LEFT(A677,FIND(" - ",A677&amp;" - ")-1),TRIM(A677)))</f>
        <v/>
      </c>
      <c r="M677">
        <f>IF(OR(K677="",K677=A677,A677=""),"",K677&amp;"|"&amp;L677)</f>
        <v/>
      </c>
      <c r="N677">
        <f>IF(M677="","",IF(ISNUMBER(B677),B677,IFERROR(_xlfn.NUMBERVALUE(B677,".",","),0)))</f>
        <v/>
      </c>
      <c r="O677">
        <f>IF(M677="","",IF(ISNUMBER(C677),C677,IFERROR(_xlfn.NUMBERVALUE(C677,".",","),0)))</f>
        <v/>
      </c>
    </row>
    <row r="678">
      <c r="K678">
        <f>IF(OR(LEFT(B678,9)="DOANH THU",LEFT(B678,8)="SỐ LƯỢNG"),A678,IF(A678="","",K677))</f>
        <v/>
      </c>
      <c r="L678">
        <f>IF(A678="","",IF(ISNUMBER(--LEFT(A678,FIND(" - ",A678&amp;" - ")-1)),LEFT(A678,FIND(" - ",A678&amp;" - ")-1),TRIM(A678)))</f>
        <v/>
      </c>
      <c r="M678">
        <f>IF(OR(K678="",K678=A678,A678=""),"",K678&amp;"|"&amp;L678)</f>
        <v/>
      </c>
      <c r="N678">
        <f>IF(M678="","",IF(ISNUMBER(B678),B678,IFERROR(_xlfn.NUMBERVALUE(B678,".",","),0)))</f>
        <v/>
      </c>
      <c r="O678">
        <f>IF(M678="","",IF(ISNUMBER(C678),C678,IFERROR(_xlfn.NUMBERVALUE(C678,".",","),0)))</f>
        <v/>
      </c>
    </row>
    <row r="679">
      <c r="K679">
        <f>IF(OR(LEFT(B679,9)="DOANH THU",LEFT(B679,8)="SỐ LƯỢNG"),A679,IF(A679="","",K678))</f>
        <v/>
      </c>
      <c r="L679">
        <f>IF(A679="","",IF(ISNUMBER(--LEFT(A679,FIND(" - ",A679&amp;" - ")-1)),LEFT(A679,FIND(" - ",A679&amp;" - ")-1),TRIM(A679)))</f>
        <v/>
      </c>
      <c r="M679">
        <f>IF(OR(K679="",K679=A679,A679=""),"",K679&amp;"|"&amp;L679)</f>
        <v/>
      </c>
      <c r="N679">
        <f>IF(M679="","",IF(ISNUMBER(B679),B679,IFERROR(_xlfn.NUMBERVALUE(B679,".",","),0)))</f>
        <v/>
      </c>
      <c r="O679">
        <f>IF(M679="","",IF(ISNUMBER(C679),C679,IFERROR(_xlfn.NUMBERVALUE(C679,".",","),0)))</f>
        <v/>
      </c>
    </row>
    <row r="680">
      <c r="K680">
        <f>IF(OR(LEFT(B680,9)="DOANH THU",LEFT(B680,8)="SỐ LƯỢNG"),A680,IF(A680="","",K679))</f>
        <v/>
      </c>
      <c r="L680">
        <f>IF(A680="","",IF(ISNUMBER(--LEFT(A680,FIND(" - ",A680&amp;" - ")-1)),LEFT(A680,FIND(" - ",A680&amp;" - ")-1),TRIM(A680)))</f>
        <v/>
      </c>
      <c r="M680">
        <f>IF(OR(K680="",K680=A680,A680=""),"",K680&amp;"|"&amp;L680)</f>
        <v/>
      </c>
      <c r="N680">
        <f>IF(M680="","",IF(ISNUMBER(B680),B680,IFERROR(_xlfn.NUMBERVALUE(B680,".",","),0)))</f>
        <v/>
      </c>
      <c r="O680">
        <f>IF(M680="","",IF(ISNUMBER(C680),C680,IFERROR(_xlfn.NUMBERVALUE(C680,".",","),0)))</f>
        <v/>
      </c>
    </row>
    <row r="681">
      <c r="K681">
        <f>IF(OR(LEFT(B681,9)="DOANH THU",LEFT(B681,8)="SỐ LƯỢNG"),A681,IF(A681="","",K680))</f>
        <v/>
      </c>
      <c r="L681">
        <f>IF(A681="","",IF(ISNUMBER(--LEFT(A681,FIND(" - ",A681&amp;" - ")-1)),LEFT(A681,FIND(" - ",A681&amp;" - ")-1),TRIM(A681)))</f>
        <v/>
      </c>
      <c r="M681">
        <f>IF(OR(K681="",K681=A681,A681=""),"",K681&amp;"|"&amp;L681)</f>
        <v/>
      </c>
      <c r="N681">
        <f>IF(M681="","",IF(ISNUMBER(B681),B681,IFERROR(_xlfn.NUMBERVALUE(B681,".",","),0)))</f>
        <v/>
      </c>
      <c r="O681">
        <f>IF(M681="","",IF(ISNUMBER(C681),C681,IFERROR(_xlfn.NUMBERVALUE(C681,".",","),0)))</f>
        <v/>
      </c>
    </row>
    <row r="682">
      <c r="K682">
        <f>IF(OR(LEFT(B682,9)="DOANH THU",LEFT(B682,8)="SỐ LƯỢNG"),A682,IF(A682="","",K681))</f>
        <v/>
      </c>
      <c r="L682">
        <f>IF(A682="","",IF(ISNUMBER(--LEFT(A682,FIND(" - ",A682&amp;" - ")-1)),LEFT(A682,FIND(" - ",A682&amp;" - ")-1),TRIM(A682)))</f>
        <v/>
      </c>
      <c r="M682">
        <f>IF(OR(K682="",K682=A682,A682=""),"",K682&amp;"|"&amp;L682)</f>
        <v/>
      </c>
      <c r="N682">
        <f>IF(M682="","",IF(ISNUMBER(B682),B682,IFERROR(_xlfn.NUMBERVALUE(B682,".",","),0)))</f>
        <v/>
      </c>
      <c r="O682">
        <f>IF(M682="","",IF(ISNUMBER(C682),C682,IFERROR(_xlfn.NUMBERVALUE(C682,".",","),0)))</f>
        <v/>
      </c>
    </row>
    <row r="683">
      <c r="K683">
        <f>IF(OR(LEFT(B683,9)="DOANH THU",LEFT(B683,8)="SỐ LƯỢNG"),A683,IF(A683="","",K682))</f>
        <v/>
      </c>
      <c r="L683">
        <f>IF(A683="","",IF(ISNUMBER(--LEFT(A683,FIND(" - ",A683&amp;" - ")-1)),LEFT(A683,FIND(" - ",A683&amp;" - ")-1),TRIM(A683)))</f>
        <v/>
      </c>
      <c r="M683">
        <f>IF(OR(K683="",K683=A683,A683=""),"",K683&amp;"|"&amp;L683)</f>
        <v/>
      </c>
      <c r="N683">
        <f>IF(M683="","",IF(ISNUMBER(B683),B683,IFERROR(_xlfn.NUMBERVALUE(B683,".",","),0)))</f>
        <v/>
      </c>
      <c r="O683">
        <f>IF(M683="","",IF(ISNUMBER(C683),C683,IFERROR(_xlfn.NUMBERVALUE(C683,".",","),0)))</f>
        <v/>
      </c>
    </row>
    <row r="684">
      <c r="K684">
        <f>IF(OR(LEFT(B684,9)="DOANH THU",LEFT(B684,8)="SỐ LƯỢNG"),A684,IF(A684="","",K683))</f>
        <v/>
      </c>
      <c r="L684">
        <f>IF(A684="","",IF(ISNUMBER(--LEFT(A684,FIND(" - ",A684&amp;" - ")-1)),LEFT(A684,FIND(" - ",A684&amp;" - ")-1),TRIM(A684)))</f>
        <v/>
      </c>
      <c r="M684">
        <f>IF(OR(K684="",K684=A684,A684=""),"",K684&amp;"|"&amp;L684)</f>
        <v/>
      </c>
      <c r="N684">
        <f>IF(M684="","",IF(ISNUMBER(B684),B684,IFERROR(_xlfn.NUMBERVALUE(B684,".",","),0)))</f>
        <v/>
      </c>
      <c r="O684">
        <f>IF(M684="","",IF(ISNUMBER(C684),C684,IFERROR(_xlfn.NUMBERVALUE(C684,".",","),0)))</f>
        <v/>
      </c>
    </row>
    <row r="685">
      <c r="K685">
        <f>IF(OR(LEFT(B685,9)="DOANH THU",LEFT(B685,8)="SỐ LƯỢNG"),A685,IF(A685="","",K684))</f>
        <v/>
      </c>
      <c r="L685">
        <f>IF(A685="","",IF(ISNUMBER(--LEFT(A685,FIND(" - ",A685&amp;" - ")-1)),LEFT(A685,FIND(" - ",A685&amp;" - ")-1),TRIM(A685)))</f>
        <v/>
      </c>
      <c r="M685">
        <f>IF(OR(K685="",K685=A685,A685=""),"",K685&amp;"|"&amp;L685)</f>
        <v/>
      </c>
      <c r="N685">
        <f>IF(M685="","",IF(ISNUMBER(B685),B685,IFERROR(_xlfn.NUMBERVALUE(B685,".",","),0)))</f>
        <v/>
      </c>
      <c r="O685">
        <f>IF(M685="","",IF(ISNUMBER(C685),C685,IFERROR(_xlfn.NUMBERVALUE(C685,".",","),0)))</f>
        <v/>
      </c>
    </row>
    <row r="686">
      <c r="K686">
        <f>IF(OR(LEFT(B686,9)="DOANH THU",LEFT(B686,8)="SỐ LƯỢNG"),A686,IF(A686="","",K685))</f>
        <v/>
      </c>
      <c r="L686">
        <f>IF(A686="","",IF(ISNUMBER(--LEFT(A686,FIND(" - ",A686&amp;" - ")-1)),LEFT(A686,FIND(" - ",A686&amp;" - ")-1),TRIM(A686)))</f>
        <v/>
      </c>
      <c r="M686">
        <f>IF(OR(K686="",K686=A686,A686=""),"",K686&amp;"|"&amp;L686)</f>
        <v/>
      </c>
      <c r="N686">
        <f>IF(M686="","",IF(ISNUMBER(B686),B686,IFERROR(_xlfn.NUMBERVALUE(B686,".",","),0)))</f>
        <v/>
      </c>
      <c r="O686">
        <f>IF(M686="","",IF(ISNUMBER(C686),C686,IFERROR(_xlfn.NUMBERVALUE(C686,".",","),0)))</f>
        <v/>
      </c>
    </row>
    <row r="687">
      <c r="K687">
        <f>IF(OR(LEFT(B687,9)="DOANH THU",LEFT(B687,8)="SỐ LƯỢNG"),A687,IF(A687="","",K686))</f>
        <v/>
      </c>
      <c r="L687">
        <f>IF(A687="","",IF(ISNUMBER(--LEFT(A687,FIND(" - ",A687&amp;" - ")-1)),LEFT(A687,FIND(" - ",A687&amp;" - ")-1),TRIM(A687)))</f>
        <v/>
      </c>
      <c r="M687">
        <f>IF(OR(K687="",K687=A687,A687=""),"",K687&amp;"|"&amp;L687)</f>
        <v/>
      </c>
      <c r="N687">
        <f>IF(M687="","",IF(ISNUMBER(B687),B687,IFERROR(_xlfn.NUMBERVALUE(B687,".",","),0)))</f>
        <v/>
      </c>
      <c r="O687">
        <f>IF(M687="","",IF(ISNUMBER(C687),C687,IFERROR(_xlfn.NUMBERVALUE(C687,".",","),0)))</f>
        <v/>
      </c>
    </row>
    <row r="688">
      <c r="K688">
        <f>IF(OR(LEFT(B688,9)="DOANH THU",LEFT(B688,8)="SỐ LƯỢNG"),A688,IF(A688="","",K687))</f>
        <v/>
      </c>
      <c r="L688">
        <f>IF(A688="","",IF(ISNUMBER(--LEFT(A688,FIND(" - ",A688&amp;" - ")-1)),LEFT(A688,FIND(" - ",A688&amp;" - ")-1),TRIM(A688)))</f>
        <v/>
      </c>
      <c r="M688">
        <f>IF(OR(K688="",K688=A688,A688=""),"",K688&amp;"|"&amp;L688)</f>
        <v/>
      </c>
      <c r="N688">
        <f>IF(M688="","",IF(ISNUMBER(B688),B688,IFERROR(_xlfn.NUMBERVALUE(B688,".",","),0)))</f>
        <v/>
      </c>
      <c r="O688">
        <f>IF(M688="","",IF(ISNUMBER(C688),C688,IFERROR(_xlfn.NUMBERVALUE(C688,".",","),0)))</f>
        <v/>
      </c>
    </row>
    <row r="689">
      <c r="K689">
        <f>IF(OR(LEFT(B689,9)="DOANH THU",LEFT(B689,8)="SỐ LƯỢNG"),A689,IF(A689="","",K688))</f>
        <v/>
      </c>
      <c r="L689">
        <f>IF(A689="","",IF(ISNUMBER(--LEFT(A689,FIND(" - ",A689&amp;" - ")-1)),LEFT(A689,FIND(" - ",A689&amp;" - ")-1),TRIM(A689)))</f>
        <v/>
      </c>
      <c r="M689">
        <f>IF(OR(K689="",K689=A689,A689=""),"",K689&amp;"|"&amp;L689)</f>
        <v/>
      </c>
      <c r="N689">
        <f>IF(M689="","",IF(ISNUMBER(B689),B689,IFERROR(_xlfn.NUMBERVALUE(B689,".",","),0)))</f>
        <v/>
      </c>
      <c r="O689">
        <f>IF(M689="","",IF(ISNUMBER(C689),C689,IFERROR(_xlfn.NUMBERVALUE(C689,".",","),0)))</f>
        <v/>
      </c>
    </row>
    <row r="690">
      <c r="K690">
        <f>IF(OR(LEFT(B690,9)="DOANH THU",LEFT(B690,8)="SỐ LƯỢNG"),A690,IF(A690="","",K689))</f>
        <v/>
      </c>
      <c r="L690">
        <f>IF(A690="","",IF(ISNUMBER(--LEFT(A690,FIND(" - ",A690&amp;" - ")-1)),LEFT(A690,FIND(" - ",A690&amp;" - ")-1),TRIM(A690)))</f>
        <v/>
      </c>
      <c r="M690">
        <f>IF(OR(K690="",K690=A690,A690=""),"",K690&amp;"|"&amp;L690)</f>
        <v/>
      </c>
      <c r="N690">
        <f>IF(M690="","",IF(ISNUMBER(B690),B690,IFERROR(_xlfn.NUMBERVALUE(B690,".",","),0)))</f>
        <v/>
      </c>
      <c r="O690">
        <f>IF(M690="","",IF(ISNUMBER(C690),C690,IFERROR(_xlfn.NUMBERVALUE(C690,".",","),0)))</f>
        <v/>
      </c>
    </row>
    <row r="691">
      <c r="K691">
        <f>IF(OR(LEFT(B691,9)="DOANH THU",LEFT(B691,8)="SỐ LƯỢNG"),A691,IF(A691="","",K690))</f>
        <v/>
      </c>
      <c r="L691">
        <f>IF(A691="","",IF(ISNUMBER(--LEFT(A691,FIND(" - ",A691&amp;" - ")-1)),LEFT(A691,FIND(" - ",A691&amp;" - ")-1),TRIM(A691)))</f>
        <v/>
      </c>
      <c r="M691">
        <f>IF(OR(K691="",K691=A691,A691=""),"",K691&amp;"|"&amp;L691)</f>
        <v/>
      </c>
      <c r="N691">
        <f>IF(M691="","",IF(ISNUMBER(B691),B691,IFERROR(_xlfn.NUMBERVALUE(B691,".",","),0)))</f>
        <v/>
      </c>
      <c r="O691">
        <f>IF(M691="","",IF(ISNUMBER(C691),C691,IFERROR(_xlfn.NUMBERVALUE(C691,".",","),0)))</f>
        <v/>
      </c>
    </row>
    <row r="692">
      <c r="K692">
        <f>IF(OR(LEFT(B692,9)="DOANH THU",LEFT(B692,8)="SỐ LƯỢNG"),A692,IF(A692="","",K691))</f>
        <v/>
      </c>
      <c r="L692">
        <f>IF(A692="","",IF(ISNUMBER(--LEFT(A692,FIND(" - ",A692&amp;" - ")-1)),LEFT(A692,FIND(" - ",A692&amp;" - ")-1),TRIM(A692)))</f>
        <v/>
      </c>
      <c r="M692">
        <f>IF(OR(K692="",K692=A692,A692=""),"",K692&amp;"|"&amp;L692)</f>
        <v/>
      </c>
      <c r="N692">
        <f>IF(M692="","",IF(ISNUMBER(B692),B692,IFERROR(_xlfn.NUMBERVALUE(B692,".",","),0)))</f>
        <v/>
      </c>
      <c r="O692">
        <f>IF(M692="","",IF(ISNUMBER(C692),C692,IFERROR(_xlfn.NUMBERVALUE(C692,".",","),0)))</f>
        <v/>
      </c>
    </row>
    <row r="693">
      <c r="K693">
        <f>IF(OR(LEFT(B693,9)="DOANH THU",LEFT(B693,8)="SỐ LƯỢNG"),A693,IF(A693="","",K692))</f>
        <v/>
      </c>
      <c r="L693">
        <f>IF(A693="","",IF(ISNUMBER(--LEFT(A693,FIND(" - ",A693&amp;" - ")-1)),LEFT(A693,FIND(" - ",A693&amp;" - ")-1),TRIM(A693)))</f>
        <v/>
      </c>
      <c r="M693">
        <f>IF(OR(K693="",K693=A693,A693=""),"",K693&amp;"|"&amp;L693)</f>
        <v/>
      </c>
      <c r="N693">
        <f>IF(M693="","",IF(ISNUMBER(B693),B693,IFERROR(_xlfn.NUMBERVALUE(B693,".",","),0)))</f>
        <v/>
      </c>
      <c r="O693">
        <f>IF(M693="","",IF(ISNUMBER(C693),C693,IFERROR(_xlfn.NUMBERVALUE(C693,".",","),0)))</f>
        <v/>
      </c>
    </row>
    <row r="694">
      <c r="K694">
        <f>IF(OR(LEFT(B694,9)="DOANH THU",LEFT(B694,8)="SỐ LƯỢNG"),A694,IF(A694="","",K693))</f>
        <v/>
      </c>
      <c r="L694">
        <f>IF(A694="","",IF(ISNUMBER(--LEFT(A694,FIND(" - ",A694&amp;" - ")-1)),LEFT(A694,FIND(" - ",A694&amp;" - ")-1),TRIM(A694)))</f>
        <v/>
      </c>
      <c r="M694">
        <f>IF(OR(K694="",K694=A694,A694=""),"",K694&amp;"|"&amp;L694)</f>
        <v/>
      </c>
      <c r="N694">
        <f>IF(M694="","",IF(ISNUMBER(B694),B694,IFERROR(_xlfn.NUMBERVALUE(B694,".",","),0)))</f>
        <v/>
      </c>
      <c r="O694">
        <f>IF(M694="","",IF(ISNUMBER(C694),C694,IFERROR(_xlfn.NUMBERVALUE(C694,".",","),0)))</f>
        <v/>
      </c>
    </row>
    <row r="695">
      <c r="K695">
        <f>IF(OR(LEFT(B695,9)="DOANH THU",LEFT(B695,8)="SỐ LƯỢNG"),A695,IF(A695="","",K694))</f>
        <v/>
      </c>
      <c r="L695">
        <f>IF(A695="","",IF(ISNUMBER(--LEFT(A695,FIND(" - ",A695&amp;" - ")-1)),LEFT(A695,FIND(" - ",A695&amp;" - ")-1),TRIM(A695)))</f>
        <v/>
      </c>
      <c r="M695">
        <f>IF(OR(K695="",K695=A695,A695=""),"",K695&amp;"|"&amp;L695)</f>
        <v/>
      </c>
      <c r="N695">
        <f>IF(M695="","",IF(ISNUMBER(B695),B695,IFERROR(_xlfn.NUMBERVALUE(B695,".",","),0)))</f>
        <v/>
      </c>
      <c r="O695">
        <f>IF(M695="","",IF(ISNUMBER(C695),C695,IFERROR(_xlfn.NUMBERVALUE(C695,".",","),0)))</f>
        <v/>
      </c>
    </row>
    <row r="696">
      <c r="K696">
        <f>IF(OR(LEFT(B696,9)="DOANH THU",LEFT(B696,8)="SỐ LƯỢNG"),A696,IF(A696="","",K695))</f>
        <v/>
      </c>
      <c r="L696">
        <f>IF(A696="","",IF(ISNUMBER(--LEFT(A696,FIND(" - ",A696&amp;" - ")-1)),LEFT(A696,FIND(" - ",A696&amp;" - ")-1),TRIM(A696)))</f>
        <v/>
      </c>
      <c r="M696">
        <f>IF(OR(K696="",K696=A696,A696=""),"",K696&amp;"|"&amp;L696)</f>
        <v/>
      </c>
      <c r="N696">
        <f>IF(M696="","",IF(ISNUMBER(B696),B696,IFERROR(_xlfn.NUMBERVALUE(B696,".",","),0)))</f>
        <v/>
      </c>
      <c r="O696">
        <f>IF(M696="","",IF(ISNUMBER(C696),C696,IFERROR(_xlfn.NUMBERVALUE(C696,".",","),0)))</f>
        <v/>
      </c>
    </row>
    <row r="697">
      <c r="K697">
        <f>IF(OR(LEFT(B697,9)="DOANH THU",LEFT(B697,8)="SỐ LƯỢNG"),A697,IF(A697="","",K696))</f>
        <v/>
      </c>
      <c r="L697">
        <f>IF(A697="","",IF(ISNUMBER(--LEFT(A697,FIND(" - ",A697&amp;" - ")-1)),LEFT(A697,FIND(" - ",A697&amp;" - ")-1),TRIM(A697)))</f>
        <v/>
      </c>
      <c r="M697">
        <f>IF(OR(K697="",K697=A697,A697=""),"",K697&amp;"|"&amp;L697)</f>
        <v/>
      </c>
      <c r="N697">
        <f>IF(M697="","",IF(ISNUMBER(B697),B697,IFERROR(_xlfn.NUMBERVALUE(B697,".",","),0)))</f>
        <v/>
      </c>
      <c r="O697">
        <f>IF(M697="","",IF(ISNUMBER(C697),C697,IFERROR(_xlfn.NUMBERVALUE(C697,".",","),0)))</f>
        <v/>
      </c>
    </row>
    <row r="698">
      <c r="K698">
        <f>IF(OR(LEFT(B698,9)="DOANH THU",LEFT(B698,8)="SỐ LƯỢNG"),A698,IF(A698="","",K697))</f>
        <v/>
      </c>
      <c r="L698">
        <f>IF(A698="","",IF(ISNUMBER(--LEFT(A698,FIND(" - ",A698&amp;" - ")-1)),LEFT(A698,FIND(" - ",A698&amp;" - ")-1),TRIM(A698)))</f>
        <v/>
      </c>
      <c r="M698">
        <f>IF(OR(K698="",K698=A698,A698=""),"",K698&amp;"|"&amp;L698)</f>
        <v/>
      </c>
      <c r="N698">
        <f>IF(M698="","",IF(ISNUMBER(B698),B698,IFERROR(_xlfn.NUMBERVALUE(B698,".",","),0)))</f>
        <v/>
      </c>
      <c r="O698">
        <f>IF(M698="","",IF(ISNUMBER(C698),C698,IFERROR(_xlfn.NUMBERVALUE(C698,".",","),0)))</f>
        <v/>
      </c>
    </row>
    <row r="699">
      <c r="K699">
        <f>IF(OR(LEFT(B699,9)="DOANH THU",LEFT(B699,8)="SỐ LƯỢNG"),A699,IF(A699="","",K698))</f>
        <v/>
      </c>
      <c r="L699">
        <f>IF(A699="","",IF(ISNUMBER(--LEFT(A699,FIND(" - ",A699&amp;" - ")-1)),LEFT(A699,FIND(" - ",A699&amp;" - ")-1),TRIM(A699)))</f>
        <v/>
      </c>
      <c r="M699">
        <f>IF(OR(K699="",K699=A699,A699=""),"",K699&amp;"|"&amp;L699)</f>
        <v/>
      </c>
      <c r="N699">
        <f>IF(M699="","",IF(ISNUMBER(B699),B699,IFERROR(_xlfn.NUMBERVALUE(B699,".",","),0)))</f>
        <v/>
      </c>
      <c r="O699">
        <f>IF(M699="","",IF(ISNUMBER(C699),C699,IFERROR(_xlfn.NUMBERVALUE(C699,".",","),0)))</f>
        <v/>
      </c>
    </row>
    <row r="700">
      <c r="K700">
        <f>IF(OR(LEFT(B700,9)="DOANH THU",LEFT(B700,8)="SỐ LƯỢNG"),A700,IF(A700="","",K699))</f>
        <v/>
      </c>
      <c r="L700">
        <f>IF(A700="","",IF(ISNUMBER(--LEFT(A700,FIND(" - ",A700&amp;" - ")-1)),LEFT(A700,FIND(" - ",A700&amp;" - ")-1),TRIM(A700)))</f>
        <v/>
      </c>
      <c r="M700">
        <f>IF(OR(K700="",K700=A700,A700=""),"",K700&amp;"|"&amp;L700)</f>
        <v/>
      </c>
      <c r="N700">
        <f>IF(M700="","",IF(ISNUMBER(B700),B700,IFERROR(_xlfn.NUMBERVALUE(B700,".",","),0)))</f>
        <v/>
      </c>
      <c r="O700">
        <f>IF(M700="","",IF(ISNUMBER(C700),C700,IFERROR(_xlfn.NUMBERVALUE(C700,".",","),0)))</f>
        <v/>
      </c>
    </row>
    <row r="701">
      <c r="K701">
        <f>IF(OR(LEFT(B701,9)="DOANH THU",LEFT(B701,8)="SỐ LƯỢNG"),A701,IF(A701="","",K700))</f>
        <v/>
      </c>
      <c r="L701">
        <f>IF(A701="","",IF(ISNUMBER(--LEFT(A701,FIND(" - ",A701&amp;" - ")-1)),LEFT(A701,FIND(" - ",A701&amp;" - ")-1),TRIM(A701)))</f>
        <v/>
      </c>
      <c r="M701">
        <f>IF(OR(K701="",K701=A701,A701=""),"",K701&amp;"|"&amp;L701)</f>
        <v/>
      </c>
      <c r="N701">
        <f>IF(M701="","",IF(ISNUMBER(B701),B701,IFERROR(_xlfn.NUMBERVALUE(B701,".",","),0)))</f>
        <v/>
      </c>
      <c r="O701">
        <f>IF(M701="","",IF(ISNUMBER(C701),C701,IFERROR(_xlfn.NUMBERVALUE(C701,".",","),0)))</f>
        <v/>
      </c>
    </row>
    <row r="702">
      <c r="K702">
        <f>IF(OR(LEFT(B702,9)="DOANH THU",LEFT(B702,8)="SỐ LƯỢNG"),A702,IF(A702="","",K701))</f>
        <v/>
      </c>
      <c r="L702">
        <f>IF(A702="","",IF(ISNUMBER(--LEFT(A702,FIND(" - ",A702&amp;" - ")-1)),LEFT(A702,FIND(" - ",A702&amp;" - ")-1),TRIM(A702)))</f>
        <v/>
      </c>
      <c r="M702">
        <f>IF(OR(K702="",K702=A702,A702=""),"",K702&amp;"|"&amp;L702)</f>
        <v/>
      </c>
      <c r="N702">
        <f>IF(M702="","",IF(ISNUMBER(B702),B702,IFERROR(_xlfn.NUMBERVALUE(B702,".",","),0)))</f>
        <v/>
      </c>
      <c r="O702">
        <f>IF(M702="","",IF(ISNUMBER(C702),C702,IFERROR(_xlfn.NUMBERVALUE(C702,".",","),0)))</f>
        <v/>
      </c>
    </row>
    <row r="703">
      <c r="K703">
        <f>IF(OR(LEFT(B703,9)="DOANH THU",LEFT(B703,8)="SỐ LƯỢNG"),A703,IF(A703="","",K702))</f>
        <v/>
      </c>
      <c r="L703">
        <f>IF(A703="","",IF(ISNUMBER(--LEFT(A703,FIND(" - ",A703&amp;" - ")-1)),LEFT(A703,FIND(" - ",A703&amp;" - ")-1),TRIM(A703)))</f>
        <v/>
      </c>
      <c r="M703">
        <f>IF(OR(K703="",K703=A703,A703=""),"",K703&amp;"|"&amp;L703)</f>
        <v/>
      </c>
      <c r="N703">
        <f>IF(M703="","",IF(ISNUMBER(B703),B703,IFERROR(_xlfn.NUMBERVALUE(B703,".",","),0)))</f>
        <v/>
      </c>
      <c r="O703">
        <f>IF(M703="","",IF(ISNUMBER(C703),C703,IFERROR(_xlfn.NUMBERVALUE(C703,".",","),0)))</f>
        <v/>
      </c>
    </row>
    <row r="704">
      <c r="K704">
        <f>IF(OR(LEFT(B704,9)="DOANH THU",LEFT(B704,8)="SỐ LƯỢNG"),A704,IF(A704="","",K703))</f>
        <v/>
      </c>
      <c r="L704">
        <f>IF(A704="","",IF(ISNUMBER(--LEFT(A704,FIND(" - ",A704&amp;" - ")-1)),LEFT(A704,FIND(" - ",A704&amp;" - ")-1),TRIM(A704)))</f>
        <v/>
      </c>
      <c r="M704">
        <f>IF(OR(K704="",K704=A704,A704=""),"",K704&amp;"|"&amp;L704)</f>
        <v/>
      </c>
      <c r="N704">
        <f>IF(M704="","",IF(ISNUMBER(B704),B704,IFERROR(_xlfn.NUMBERVALUE(B704,".",","),0)))</f>
        <v/>
      </c>
      <c r="O704">
        <f>IF(M704="","",IF(ISNUMBER(C704),C704,IFERROR(_xlfn.NUMBERVALUE(C704,".",","),0)))</f>
        <v/>
      </c>
    </row>
    <row r="705">
      <c r="K705">
        <f>IF(OR(LEFT(B705,9)="DOANH THU",LEFT(B705,8)="SỐ LƯỢNG"),A705,IF(A705="","",K704))</f>
        <v/>
      </c>
      <c r="L705">
        <f>IF(A705="","",IF(ISNUMBER(--LEFT(A705,FIND(" - ",A705&amp;" - ")-1)),LEFT(A705,FIND(" - ",A705&amp;" - ")-1),TRIM(A705)))</f>
        <v/>
      </c>
      <c r="M705">
        <f>IF(OR(K705="",K705=A705,A705=""),"",K705&amp;"|"&amp;L705)</f>
        <v/>
      </c>
      <c r="N705">
        <f>IF(M705="","",IF(ISNUMBER(B705),B705,IFERROR(_xlfn.NUMBERVALUE(B705,".",","),0)))</f>
        <v/>
      </c>
      <c r="O705">
        <f>IF(M705="","",IF(ISNUMBER(C705),C705,IFERROR(_xlfn.NUMBERVALUE(C705,".",","),0)))</f>
        <v/>
      </c>
    </row>
    <row r="706">
      <c r="K706">
        <f>IF(OR(LEFT(B706,9)="DOANH THU",LEFT(B706,8)="SỐ LƯỢNG"),A706,IF(A706="","",K705))</f>
        <v/>
      </c>
      <c r="L706">
        <f>IF(A706="","",IF(ISNUMBER(--LEFT(A706,FIND(" - ",A706&amp;" - ")-1)),LEFT(A706,FIND(" - ",A706&amp;" - ")-1),TRIM(A706)))</f>
        <v/>
      </c>
      <c r="M706">
        <f>IF(OR(K706="",K706=A706,A706=""),"",K706&amp;"|"&amp;L706)</f>
        <v/>
      </c>
      <c r="N706">
        <f>IF(M706="","",IF(ISNUMBER(B706),B706,IFERROR(_xlfn.NUMBERVALUE(B706,".",","),0)))</f>
        <v/>
      </c>
      <c r="O706">
        <f>IF(M706="","",IF(ISNUMBER(C706),C706,IFERROR(_xlfn.NUMBERVALUE(C706,".",","),0)))</f>
        <v/>
      </c>
    </row>
    <row r="707">
      <c r="K707">
        <f>IF(OR(LEFT(B707,9)="DOANH THU",LEFT(B707,8)="SỐ LƯỢNG"),A707,IF(A707="","",K706))</f>
        <v/>
      </c>
      <c r="L707">
        <f>IF(A707="","",IF(ISNUMBER(--LEFT(A707,FIND(" - ",A707&amp;" - ")-1)),LEFT(A707,FIND(" - ",A707&amp;" - ")-1),TRIM(A707)))</f>
        <v/>
      </c>
      <c r="M707">
        <f>IF(OR(K707="",K707=A707,A707=""),"",K707&amp;"|"&amp;L707)</f>
        <v/>
      </c>
      <c r="N707">
        <f>IF(M707="","",IF(ISNUMBER(B707),B707,IFERROR(_xlfn.NUMBERVALUE(B707,".",","),0)))</f>
        <v/>
      </c>
      <c r="O707">
        <f>IF(M707="","",IF(ISNUMBER(C707),C707,IFERROR(_xlfn.NUMBERVALUE(C707,".",","),0)))</f>
        <v/>
      </c>
    </row>
    <row r="708">
      <c r="K708">
        <f>IF(OR(LEFT(B708,9)="DOANH THU",LEFT(B708,8)="SỐ LƯỢNG"),A708,IF(A708="","",K707))</f>
        <v/>
      </c>
      <c r="L708">
        <f>IF(A708="","",IF(ISNUMBER(--LEFT(A708,FIND(" - ",A708&amp;" - ")-1)),LEFT(A708,FIND(" - ",A708&amp;" - ")-1),TRIM(A708)))</f>
        <v/>
      </c>
      <c r="M708">
        <f>IF(OR(K708="",K708=A708,A708=""),"",K708&amp;"|"&amp;L708)</f>
        <v/>
      </c>
      <c r="N708">
        <f>IF(M708="","",IF(ISNUMBER(B708),B708,IFERROR(_xlfn.NUMBERVALUE(B708,".",","),0)))</f>
        <v/>
      </c>
      <c r="O708">
        <f>IF(M708="","",IF(ISNUMBER(C708),C708,IFERROR(_xlfn.NUMBERVALUE(C708,".",","),0)))</f>
        <v/>
      </c>
    </row>
    <row r="709">
      <c r="K709">
        <f>IF(OR(LEFT(B709,9)="DOANH THU",LEFT(B709,8)="SỐ LƯỢNG"),A709,IF(A709="","",K708))</f>
        <v/>
      </c>
      <c r="L709">
        <f>IF(A709="","",IF(ISNUMBER(--LEFT(A709,FIND(" - ",A709&amp;" - ")-1)),LEFT(A709,FIND(" - ",A709&amp;" - ")-1),TRIM(A709)))</f>
        <v/>
      </c>
      <c r="M709">
        <f>IF(OR(K709="",K709=A709,A709=""),"",K709&amp;"|"&amp;L709)</f>
        <v/>
      </c>
      <c r="N709">
        <f>IF(M709="","",IF(ISNUMBER(B709),B709,IFERROR(_xlfn.NUMBERVALUE(B709,".",","),0)))</f>
        <v/>
      </c>
      <c r="O709">
        <f>IF(M709="","",IF(ISNUMBER(C709),C709,IFERROR(_xlfn.NUMBERVALUE(C709,".",","),0)))</f>
        <v/>
      </c>
    </row>
    <row r="710">
      <c r="K710">
        <f>IF(OR(LEFT(B710,9)="DOANH THU",LEFT(B710,8)="SỐ LƯỢNG"),A710,IF(A710="","",K709))</f>
        <v/>
      </c>
      <c r="L710">
        <f>IF(A710="","",IF(ISNUMBER(--LEFT(A710,FIND(" - ",A710&amp;" - ")-1)),LEFT(A710,FIND(" - ",A710&amp;" - ")-1),TRIM(A710)))</f>
        <v/>
      </c>
      <c r="M710">
        <f>IF(OR(K710="",K710=A710,A710=""),"",K710&amp;"|"&amp;L710)</f>
        <v/>
      </c>
      <c r="N710">
        <f>IF(M710="","",IF(ISNUMBER(B710),B710,IFERROR(_xlfn.NUMBERVALUE(B710,".",","),0)))</f>
        <v/>
      </c>
      <c r="O710">
        <f>IF(M710="","",IF(ISNUMBER(C710),C710,IFERROR(_xlfn.NUMBERVALUE(C710,".",","),0)))</f>
        <v/>
      </c>
    </row>
    <row r="711">
      <c r="K711">
        <f>IF(OR(LEFT(B711,9)="DOANH THU",LEFT(B711,8)="SỐ LƯỢNG"),A711,IF(A711="","",K710))</f>
        <v/>
      </c>
      <c r="L711">
        <f>IF(A711="","",IF(ISNUMBER(--LEFT(A711,FIND(" - ",A711&amp;" - ")-1)),LEFT(A711,FIND(" - ",A711&amp;" - ")-1),TRIM(A711)))</f>
        <v/>
      </c>
      <c r="M711">
        <f>IF(OR(K711="",K711=A711,A711=""),"",K711&amp;"|"&amp;L711)</f>
        <v/>
      </c>
      <c r="N711">
        <f>IF(M711="","",IF(ISNUMBER(B711),B711,IFERROR(_xlfn.NUMBERVALUE(B711,".",","),0)))</f>
        <v/>
      </c>
      <c r="O711">
        <f>IF(M711="","",IF(ISNUMBER(C711),C711,IFERROR(_xlfn.NUMBERVALUE(C711,".",","),0)))</f>
        <v/>
      </c>
    </row>
    <row r="712">
      <c r="K712">
        <f>IF(OR(LEFT(B712,9)="DOANH THU",LEFT(B712,8)="SỐ LƯỢNG"),A712,IF(A712="","",K711))</f>
        <v/>
      </c>
      <c r="L712">
        <f>IF(A712="","",IF(ISNUMBER(--LEFT(A712,FIND(" - ",A712&amp;" - ")-1)),LEFT(A712,FIND(" - ",A712&amp;" - ")-1),TRIM(A712)))</f>
        <v/>
      </c>
      <c r="M712">
        <f>IF(OR(K712="",K712=A712,A712=""),"",K712&amp;"|"&amp;L712)</f>
        <v/>
      </c>
      <c r="N712">
        <f>IF(M712="","",IF(ISNUMBER(B712),B712,IFERROR(_xlfn.NUMBERVALUE(B712,".",","),0)))</f>
        <v/>
      </c>
      <c r="O712">
        <f>IF(M712="","",IF(ISNUMBER(C712),C712,IFERROR(_xlfn.NUMBERVALUE(C712,".",","),0)))</f>
        <v/>
      </c>
    </row>
    <row r="713">
      <c r="K713">
        <f>IF(OR(LEFT(B713,9)="DOANH THU",LEFT(B713,8)="SỐ LƯỢNG"),A713,IF(A713="","",K712))</f>
        <v/>
      </c>
      <c r="L713">
        <f>IF(A713="","",IF(ISNUMBER(--LEFT(A713,FIND(" - ",A713&amp;" - ")-1)),LEFT(A713,FIND(" - ",A713&amp;" - ")-1),TRIM(A713)))</f>
        <v/>
      </c>
      <c r="M713">
        <f>IF(OR(K713="",K713=A713,A713=""),"",K713&amp;"|"&amp;L713)</f>
        <v/>
      </c>
      <c r="N713">
        <f>IF(M713="","",IF(ISNUMBER(B713),B713,IFERROR(_xlfn.NUMBERVALUE(B713,".",","),0)))</f>
        <v/>
      </c>
      <c r="O713">
        <f>IF(M713="","",IF(ISNUMBER(C713),C713,IFERROR(_xlfn.NUMBERVALUE(C713,".",","),0)))</f>
        <v/>
      </c>
    </row>
    <row r="714">
      <c r="K714">
        <f>IF(OR(LEFT(B714,9)="DOANH THU",LEFT(B714,8)="SỐ LƯỢNG"),A714,IF(A714="","",K713))</f>
        <v/>
      </c>
      <c r="L714">
        <f>IF(A714="","",IF(ISNUMBER(--LEFT(A714,FIND(" - ",A714&amp;" - ")-1)),LEFT(A714,FIND(" - ",A714&amp;" - ")-1),TRIM(A714)))</f>
        <v/>
      </c>
      <c r="M714">
        <f>IF(OR(K714="",K714=A714,A714=""),"",K714&amp;"|"&amp;L714)</f>
        <v/>
      </c>
      <c r="N714">
        <f>IF(M714="","",IF(ISNUMBER(B714),B714,IFERROR(_xlfn.NUMBERVALUE(B714,".",","),0)))</f>
        <v/>
      </c>
      <c r="O714">
        <f>IF(M714="","",IF(ISNUMBER(C714),C714,IFERROR(_xlfn.NUMBERVALUE(C714,".",","),0)))</f>
        <v/>
      </c>
    </row>
    <row r="715">
      <c r="K715">
        <f>IF(OR(LEFT(B715,9)="DOANH THU",LEFT(B715,8)="SỐ LƯỢNG"),A715,IF(A715="","",K714))</f>
        <v/>
      </c>
      <c r="L715">
        <f>IF(A715="","",IF(ISNUMBER(--LEFT(A715,FIND(" - ",A715&amp;" - ")-1)),LEFT(A715,FIND(" - ",A715&amp;" - ")-1),TRIM(A715)))</f>
        <v/>
      </c>
      <c r="M715">
        <f>IF(OR(K715="",K715=A715,A715=""),"",K715&amp;"|"&amp;L715)</f>
        <v/>
      </c>
      <c r="N715">
        <f>IF(M715="","",IF(ISNUMBER(B715),B715,IFERROR(_xlfn.NUMBERVALUE(B715,".",","),0)))</f>
        <v/>
      </c>
      <c r="O715">
        <f>IF(M715="","",IF(ISNUMBER(C715),C715,IFERROR(_xlfn.NUMBERVALUE(C715,".",","),0)))</f>
        <v/>
      </c>
    </row>
    <row r="716">
      <c r="K716">
        <f>IF(OR(LEFT(B716,9)="DOANH THU",LEFT(B716,8)="SỐ LƯỢNG"),A716,IF(A716="","",K715))</f>
        <v/>
      </c>
      <c r="L716">
        <f>IF(A716="","",IF(ISNUMBER(--LEFT(A716,FIND(" - ",A716&amp;" - ")-1)),LEFT(A716,FIND(" - ",A716&amp;" - ")-1),TRIM(A716)))</f>
        <v/>
      </c>
      <c r="M716">
        <f>IF(OR(K716="",K716=A716,A716=""),"",K716&amp;"|"&amp;L716)</f>
        <v/>
      </c>
      <c r="N716">
        <f>IF(M716="","",IF(ISNUMBER(B716),B716,IFERROR(_xlfn.NUMBERVALUE(B716,".",","),0)))</f>
        <v/>
      </c>
      <c r="O716">
        <f>IF(M716="","",IF(ISNUMBER(C716),C716,IFERROR(_xlfn.NUMBERVALUE(C716,".",","),0)))</f>
        <v/>
      </c>
    </row>
    <row r="717">
      <c r="K717">
        <f>IF(OR(LEFT(B717,9)="DOANH THU",LEFT(B717,8)="SỐ LƯỢNG"),A717,IF(A717="","",K716))</f>
        <v/>
      </c>
      <c r="L717">
        <f>IF(A717="","",IF(ISNUMBER(--LEFT(A717,FIND(" - ",A717&amp;" - ")-1)),LEFT(A717,FIND(" - ",A717&amp;" - ")-1),TRIM(A717)))</f>
        <v/>
      </c>
      <c r="M717">
        <f>IF(OR(K717="",K717=A717,A717=""),"",K717&amp;"|"&amp;L717)</f>
        <v/>
      </c>
      <c r="N717">
        <f>IF(M717="","",IF(ISNUMBER(B717),B717,IFERROR(_xlfn.NUMBERVALUE(B717,".",","),0)))</f>
        <v/>
      </c>
      <c r="O717">
        <f>IF(M717="","",IF(ISNUMBER(C717),C717,IFERROR(_xlfn.NUMBERVALUE(C717,".",","),0)))</f>
        <v/>
      </c>
    </row>
    <row r="718">
      <c r="K718">
        <f>IF(OR(LEFT(B718,9)="DOANH THU",LEFT(B718,8)="SỐ LƯỢNG"),A718,IF(A718="","",K717))</f>
        <v/>
      </c>
      <c r="L718">
        <f>IF(A718="","",IF(ISNUMBER(--LEFT(A718,FIND(" - ",A718&amp;" - ")-1)),LEFT(A718,FIND(" - ",A718&amp;" - ")-1),TRIM(A718)))</f>
        <v/>
      </c>
      <c r="M718">
        <f>IF(OR(K718="",K718=A718,A718=""),"",K718&amp;"|"&amp;L718)</f>
        <v/>
      </c>
      <c r="N718">
        <f>IF(M718="","",IF(ISNUMBER(B718),B718,IFERROR(_xlfn.NUMBERVALUE(B718,".",","),0)))</f>
        <v/>
      </c>
      <c r="O718">
        <f>IF(M718="","",IF(ISNUMBER(C718),C718,IFERROR(_xlfn.NUMBERVALUE(C718,".",","),0)))</f>
        <v/>
      </c>
    </row>
    <row r="719">
      <c r="K719">
        <f>IF(OR(LEFT(B719,9)="DOANH THU",LEFT(B719,8)="SỐ LƯỢNG"),A719,IF(A719="","",K718))</f>
        <v/>
      </c>
      <c r="L719">
        <f>IF(A719="","",IF(ISNUMBER(--LEFT(A719,FIND(" - ",A719&amp;" - ")-1)),LEFT(A719,FIND(" - ",A719&amp;" - ")-1),TRIM(A719)))</f>
        <v/>
      </c>
      <c r="M719">
        <f>IF(OR(K719="",K719=A719,A719=""),"",K719&amp;"|"&amp;L719)</f>
        <v/>
      </c>
      <c r="N719">
        <f>IF(M719="","",IF(ISNUMBER(B719),B719,IFERROR(_xlfn.NUMBERVALUE(B719,".",","),0)))</f>
        <v/>
      </c>
      <c r="O719">
        <f>IF(M719="","",IF(ISNUMBER(C719),C719,IFERROR(_xlfn.NUMBERVALUE(C719,".",","),0)))</f>
        <v/>
      </c>
    </row>
    <row r="720">
      <c r="K720">
        <f>IF(OR(LEFT(B720,9)="DOANH THU",LEFT(B720,8)="SỐ LƯỢNG"),A720,IF(A720="","",K719))</f>
        <v/>
      </c>
      <c r="L720">
        <f>IF(A720="","",IF(ISNUMBER(--LEFT(A720,FIND(" - ",A720&amp;" - ")-1)),LEFT(A720,FIND(" - ",A720&amp;" - ")-1),TRIM(A720)))</f>
        <v/>
      </c>
      <c r="M720">
        <f>IF(OR(K720="",K720=A720,A720=""),"",K720&amp;"|"&amp;L720)</f>
        <v/>
      </c>
      <c r="N720">
        <f>IF(M720="","",IF(ISNUMBER(B720),B720,IFERROR(_xlfn.NUMBERVALUE(B720,".",","),0)))</f>
        <v/>
      </c>
      <c r="O720">
        <f>IF(M720="","",IF(ISNUMBER(C720),C720,IFERROR(_xlfn.NUMBERVALUE(C720,".",","),0)))</f>
        <v/>
      </c>
    </row>
    <row r="721">
      <c r="K721">
        <f>IF(OR(LEFT(B721,9)="DOANH THU",LEFT(B721,8)="SỐ LƯỢNG"),A721,IF(A721="","",K720))</f>
        <v/>
      </c>
      <c r="L721">
        <f>IF(A721="","",IF(ISNUMBER(--LEFT(A721,FIND(" - ",A721&amp;" - ")-1)),LEFT(A721,FIND(" - ",A721&amp;" - ")-1),TRIM(A721)))</f>
        <v/>
      </c>
      <c r="M721">
        <f>IF(OR(K721="",K721=A721,A721=""),"",K721&amp;"|"&amp;L721)</f>
        <v/>
      </c>
      <c r="N721">
        <f>IF(M721="","",IF(ISNUMBER(B721),B721,IFERROR(_xlfn.NUMBERVALUE(B721,".",","),0)))</f>
        <v/>
      </c>
      <c r="O721">
        <f>IF(M721="","",IF(ISNUMBER(C721),C721,IFERROR(_xlfn.NUMBERVALUE(C721,".",","),0)))</f>
        <v/>
      </c>
    </row>
    <row r="722">
      <c r="K722">
        <f>IF(OR(LEFT(B722,9)="DOANH THU",LEFT(B722,8)="SỐ LƯỢNG"),A722,IF(A722="","",K721))</f>
        <v/>
      </c>
      <c r="L722">
        <f>IF(A722="","",IF(ISNUMBER(--LEFT(A722,FIND(" - ",A722&amp;" - ")-1)),LEFT(A722,FIND(" - ",A722&amp;" - ")-1),TRIM(A722)))</f>
        <v/>
      </c>
      <c r="M722">
        <f>IF(OR(K722="",K722=A722,A722=""),"",K722&amp;"|"&amp;L722)</f>
        <v/>
      </c>
      <c r="N722">
        <f>IF(M722="","",IF(ISNUMBER(B722),B722,IFERROR(_xlfn.NUMBERVALUE(B722,".",","),0)))</f>
        <v/>
      </c>
      <c r="O722">
        <f>IF(M722="","",IF(ISNUMBER(C722),C722,IFERROR(_xlfn.NUMBERVALUE(C722,".",","),0)))</f>
        <v/>
      </c>
    </row>
    <row r="723">
      <c r="K723">
        <f>IF(OR(LEFT(B723,9)="DOANH THU",LEFT(B723,8)="SỐ LƯỢNG"),A723,IF(A723="","",K722))</f>
        <v/>
      </c>
      <c r="L723">
        <f>IF(A723="","",IF(ISNUMBER(--LEFT(A723,FIND(" - ",A723&amp;" - ")-1)),LEFT(A723,FIND(" - ",A723&amp;" - ")-1),TRIM(A723)))</f>
        <v/>
      </c>
      <c r="M723">
        <f>IF(OR(K723="",K723=A723,A723=""),"",K723&amp;"|"&amp;L723)</f>
        <v/>
      </c>
      <c r="N723">
        <f>IF(M723="","",IF(ISNUMBER(B723),B723,IFERROR(_xlfn.NUMBERVALUE(B723,".",","),0)))</f>
        <v/>
      </c>
      <c r="O723">
        <f>IF(M723="","",IF(ISNUMBER(C723),C723,IFERROR(_xlfn.NUMBERVALUE(C723,".",","),0)))</f>
        <v/>
      </c>
    </row>
    <row r="724">
      <c r="K724">
        <f>IF(OR(LEFT(B724,9)="DOANH THU",LEFT(B724,8)="SỐ LƯỢNG"),A724,IF(A724="","",K723))</f>
        <v/>
      </c>
      <c r="L724">
        <f>IF(A724="","",IF(ISNUMBER(--LEFT(A724,FIND(" - ",A724&amp;" - ")-1)),LEFT(A724,FIND(" - ",A724&amp;" - ")-1),TRIM(A724)))</f>
        <v/>
      </c>
      <c r="M724">
        <f>IF(OR(K724="",K724=A724,A724=""),"",K724&amp;"|"&amp;L724)</f>
        <v/>
      </c>
      <c r="N724">
        <f>IF(M724="","",IF(ISNUMBER(B724),B724,IFERROR(_xlfn.NUMBERVALUE(B724,".",","),0)))</f>
        <v/>
      </c>
      <c r="O724">
        <f>IF(M724="","",IF(ISNUMBER(C724),C724,IFERROR(_xlfn.NUMBERVALUE(C724,".",","),0)))</f>
        <v/>
      </c>
    </row>
    <row r="725">
      <c r="K725">
        <f>IF(OR(LEFT(B725,9)="DOANH THU",LEFT(B725,8)="SỐ LƯỢNG"),A725,IF(A725="","",K724))</f>
        <v/>
      </c>
      <c r="L725">
        <f>IF(A725="","",IF(ISNUMBER(--LEFT(A725,FIND(" - ",A725&amp;" - ")-1)),LEFT(A725,FIND(" - ",A725&amp;" - ")-1),TRIM(A725)))</f>
        <v/>
      </c>
      <c r="M725">
        <f>IF(OR(K725="",K725=A725,A725=""),"",K725&amp;"|"&amp;L725)</f>
        <v/>
      </c>
      <c r="N725">
        <f>IF(M725="","",IF(ISNUMBER(B725),B725,IFERROR(_xlfn.NUMBERVALUE(B725,".",","),0)))</f>
        <v/>
      </c>
      <c r="O725">
        <f>IF(M725="","",IF(ISNUMBER(C725),C725,IFERROR(_xlfn.NUMBERVALUE(C725,".",","),0)))</f>
        <v/>
      </c>
    </row>
    <row r="726">
      <c r="K726">
        <f>IF(OR(LEFT(B726,9)="DOANH THU",LEFT(B726,8)="SỐ LƯỢNG"),A726,IF(A726="","",K725))</f>
        <v/>
      </c>
      <c r="L726">
        <f>IF(A726="","",IF(ISNUMBER(--LEFT(A726,FIND(" - ",A726&amp;" - ")-1)),LEFT(A726,FIND(" - ",A726&amp;" - ")-1),TRIM(A726)))</f>
        <v/>
      </c>
      <c r="M726">
        <f>IF(OR(K726="",K726=A726,A726=""),"",K726&amp;"|"&amp;L726)</f>
        <v/>
      </c>
      <c r="N726">
        <f>IF(M726="","",IF(ISNUMBER(B726),B726,IFERROR(_xlfn.NUMBERVALUE(B726,".",","),0)))</f>
        <v/>
      </c>
      <c r="O726">
        <f>IF(M726="","",IF(ISNUMBER(C726),C726,IFERROR(_xlfn.NUMBERVALUE(C726,".",","),0)))</f>
        <v/>
      </c>
    </row>
    <row r="727">
      <c r="K727">
        <f>IF(OR(LEFT(B727,9)="DOANH THU",LEFT(B727,8)="SỐ LƯỢNG"),A727,IF(A727="","",K726))</f>
        <v/>
      </c>
      <c r="L727">
        <f>IF(A727="","",IF(ISNUMBER(--LEFT(A727,FIND(" - ",A727&amp;" - ")-1)),LEFT(A727,FIND(" - ",A727&amp;" - ")-1),TRIM(A727)))</f>
        <v/>
      </c>
      <c r="M727">
        <f>IF(OR(K727="",K727=A727,A727=""),"",K727&amp;"|"&amp;L727)</f>
        <v/>
      </c>
      <c r="N727">
        <f>IF(M727="","",IF(ISNUMBER(B727),B727,IFERROR(_xlfn.NUMBERVALUE(B727,".",","),0)))</f>
        <v/>
      </c>
      <c r="O727">
        <f>IF(M727="","",IF(ISNUMBER(C727),C727,IFERROR(_xlfn.NUMBERVALUE(C727,".",","),0)))</f>
        <v/>
      </c>
    </row>
    <row r="728">
      <c r="K728">
        <f>IF(OR(LEFT(B728,9)="DOANH THU",LEFT(B728,8)="SỐ LƯỢNG"),A728,IF(A728="","",K727))</f>
        <v/>
      </c>
      <c r="L728">
        <f>IF(A728="","",IF(ISNUMBER(--LEFT(A728,FIND(" - ",A728&amp;" - ")-1)),LEFT(A728,FIND(" - ",A728&amp;" - ")-1),TRIM(A728)))</f>
        <v/>
      </c>
      <c r="M728">
        <f>IF(OR(K728="",K728=A728,A728=""),"",K728&amp;"|"&amp;L728)</f>
        <v/>
      </c>
      <c r="N728">
        <f>IF(M728="","",IF(ISNUMBER(B728),B728,IFERROR(_xlfn.NUMBERVALUE(B728,".",","),0)))</f>
        <v/>
      </c>
      <c r="O728">
        <f>IF(M728="","",IF(ISNUMBER(C728),C728,IFERROR(_xlfn.NUMBERVALUE(C728,".",","),0)))</f>
        <v/>
      </c>
    </row>
    <row r="729">
      <c r="K729">
        <f>IF(OR(LEFT(B729,9)="DOANH THU",LEFT(B729,8)="SỐ LƯỢNG"),A729,IF(A729="","",K728))</f>
        <v/>
      </c>
      <c r="L729">
        <f>IF(A729="","",IF(ISNUMBER(--LEFT(A729,FIND(" - ",A729&amp;" - ")-1)),LEFT(A729,FIND(" - ",A729&amp;" - ")-1),TRIM(A729)))</f>
        <v/>
      </c>
      <c r="M729">
        <f>IF(OR(K729="",K729=A729,A729=""),"",K729&amp;"|"&amp;L729)</f>
        <v/>
      </c>
      <c r="N729">
        <f>IF(M729="","",IF(ISNUMBER(B729),B729,IFERROR(_xlfn.NUMBERVALUE(B729,".",","),0)))</f>
        <v/>
      </c>
      <c r="O729">
        <f>IF(M729="","",IF(ISNUMBER(C729),C729,IFERROR(_xlfn.NUMBERVALUE(C729,".",","),0)))</f>
        <v/>
      </c>
    </row>
    <row r="730">
      <c r="K730">
        <f>IF(OR(LEFT(B730,9)="DOANH THU",LEFT(B730,8)="SỐ LƯỢNG"),A730,IF(A730="","",K729))</f>
        <v/>
      </c>
      <c r="L730">
        <f>IF(A730="","",IF(ISNUMBER(--LEFT(A730,FIND(" - ",A730&amp;" - ")-1)),LEFT(A730,FIND(" - ",A730&amp;" - ")-1),TRIM(A730)))</f>
        <v/>
      </c>
      <c r="M730">
        <f>IF(OR(K730="",K730=A730,A730=""),"",K730&amp;"|"&amp;L730)</f>
        <v/>
      </c>
      <c r="N730">
        <f>IF(M730="","",IF(ISNUMBER(B730),B730,IFERROR(_xlfn.NUMBERVALUE(B730,".",","),0)))</f>
        <v/>
      </c>
      <c r="O730">
        <f>IF(M730="","",IF(ISNUMBER(C730),C730,IFERROR(_xlfn.NUMBERVALUE(C730,".",","),0)))</f>
        <v/>
      </c>
    </row>
    <row r="731">
      <c r="K731">
        <f>IF(OR(LEFT(B731,9)="DOANH THU",LEFT(B731,8)="SỐ LƯỢNG"),A731,IF(A731="","",K730))</f>
        <v/>
      </c>
      <c r="L731">
        <f>IF(A731="","",IF(ISNUMBER(--LEFT(A731,FIND(" - ",A731&amp;" - ")-1)),LEFT(A731,FIND(" - ",A731&amp;" - ")-1),TRIM(A731)))</f>
        <v/>
      </c>
      <c r="M731">
        <f>IF(OR(K731="",K731=A731,A731=""),"",K731&amp;"|"&amp;L731)</f>
        <v/>
      </c>
      <c r="N731">
        <f>IF(M731="","",IF(ISNUMBER(B731),B731,IFERROR(_xlfn.NUMBERVALUE(B731,".",","),0)))</f>
        <v/>
      </c>
      <c r="O731">
        <f>IF(M731="","",IF(ISNUMBER(C731),C731,IFERROR(_xlfn.NUMBERVALUE(C731,".",","),0)))</f>
        <v/>
      </c>
    </row>
    <row r="732">
      <c r="K732">
        <f>IF(OR(LEFT(B732,9)="DOANH THU",LEFT(B732,8)="SỐ LƯỢNG"),A732,IF(A732="","",K731))</f>
        <v/>
      </c>
      <c r="L732">
        <f>IF(A732="","",IF(ISNUMBER(--LEFT(A732,FIND(" - ",A732&amp;" - ")-1)),LEFT(A732,FIND(" - ",A732&amp;" - ")-1),TRIM(A732)))</f>
        <v/>
      </c>
      <c r="M732">
        <f>IF(OR(K732="",K732=A732,A732=""),"",K732&amp;"|"&amp;L732)</f>
        <v/>
      </c>
      <c r="N732">
        <f>IF(M732="","",IF(ISNUMBER(B732),B732,IFERROR(_xlfn.NUMBERVALUE(B732,".",","),0)))</f>
        <v/>
      </c>
      <c r="O732">
        <f>IF(M732="","",IF(ISNUMBER(C732),C732,IFERROR(_xlfn.NUMBERVALUE(C732,".",","),0)))</f>
        <v/>
      </c>
    </row>
    <row r="733">
      <c r="K733">
        <f>IF(OR(LEFT(B733,9)="DOANH THU",LEFT(B733,8)="SỐ LƯỢNG"),A733,IF(A733="","",K732))</f>
        <v/>
      </c>
      <c r="L733">
        <f>IF(A733="","",IF(ISNUMBER(--LEFT(A733,FIND(" - ",A733&amp;" - ")-1)),LEFT(A733,FIND(" - ",A733&amp;" - ")-1),TRIM(A733)))</f>
        <v/>
      </c>
      <c r="M733">
        <f>IF(OR(K733="",K733=A733,A733=""),"",K733&amp;"|"&amp;L733)</f>
        <v/>
      </c>
      <c r="N733">
        <f>IF(M733="","",IF(ISNUMBER(B733),B733,IFERROR(_xlfn.NUMBERVALUE(B733,".",","),0)))</f>
        <v/>
      </c>
      <c r="O733">
        <f>IF(M733="","",IF(ISNUMBER(C733),C733,IFERROR(_xlfn.NUMBERVALUE(C733,".",","),0)))</f>
        <v/>
      </c>
    </row>
    <row r="734">
      <c r="K734">
        <f>IF(OR(LEFT(B734,9)="DOANH THU",LEFT(B734,8)="SỐ LƯỢNG"),A734,IF(A734="","",K733))</f>
        <v/>
      </c>
      <c r="L734">
        <f>IF(A734="","",IF(ISNUMBER(--LEFT(A734,FIND(" - ",A734&amp;" - ")-1)),LEFT(A734,FIND(" - ",A734&amp;" - ")-1),TRIM(A734)))</f>
        <v/>
      </c>
      <c r="M734">
        <f>IF(OR(K734="",K734=A734,A734=""),"",K734&amp;"|"&amp;L734)</f>
        <v/>
      </c>
      <c r="N734">
        <f>IF(M734="","",IF(ISNUMBER(B734),B734,IFERROR(_xlfn.NUMBERVALUE(B734,".",","),0)))</f>
        <v/>
      </c>
      <c r="O734">
        <f>IF(M734="","",IF(ISNUMBER(C734),C734,IFERROR(_xlfn.NUMBERVALUE(C734,".",","),0)))</f>
        <v/>
      </c>
    </row>
    <row r="735">
      <c r="K735">
        <f>IF(OR(LEFT(B735,9)="DOANH THU",LEFT(B735,8)="SỐ LƯỢNG"),A735,IF(A735="","",K734))</f>
        <v/>
      </c>
      <c r="L735">
        <f>IF(A735="","",IF(ISNUMBER(--LEFT(A735,FIND(" - ",A735&amp;" - ")-1)),LEFT(A735,FIND(" - ",A735&amp;" - ")-1),TRIM(A735)))</f>
        <v/>
      </c>
      <c r="M735">
        <f>IF(OR(K735="",K735=A735,A735=""),"",K735&amp;"|"&amp;L735)</f>
        <v/>
      </c>
      <c r="N735">
        <f>IF(M735="","",IF(ISNUMBER(B735),B735,IFERROR(_xlfn.NUMBERVALUE(B735,".",","),0)))</f>
        <v/>
      </c>
      <c r="O735">
        <f>IF(M735="","",IF(ISNUMBER(C735),C735,IFERROR(_xlfn.NUMBERVALUE(C735,".",","),0)))</f>
        <v/>
      </c>
    </row>
    <row r="736">
      <c r="K736">
        <f>IF(OR(LEFT(B736,9)="DOANH THU",LEFT(B736,8)="SỐ LƯỢNG"),A736,IF(A736="","",K735))</f>
        <v/>
      </c>
      <c r="L736">
        <f>IF(A736="","",IF(ISNUMBER(--LEFT(A736,FIND(" - ",A736&amp;" - ")-1)),LEFT(A736,FIND(" - ",A736&amp;" - ")-1),TRIM(A736)))</f>
        <v/>
      </c>
      <c r="M736">
        <f>IF(OR(K736="",K736=A736,A736=""),"",K736&amp;"|"&amp;L736)</f>
        <v/>
      </c>
      <c r="N736">
        <f>IF(M736="","",IF(ISNUMBER(B736),B736,IFERROR(_xlfn.NUMBERVALUE(B736,".",","),0)))</f>
        <v/>
      </c>
      <c r="O736">
        <f>IF(M736="","",IF(ISNUMBER(C736),C736,IFERROR(_xlfn.NUMBERVALUE(C736,".",","),0)))</f>
        <v/>
      </c>
    </row>
    <row r="737">
      <c r="K737">
        <f>IF(OR(LEFT(B737,9)="DOANH THU",LEFT(B737,8)="SỐ LƯỢNG"),A737,IF(A737="","",K736))</f>
        <v/>
      </c>
      <c r="L737">
        <f>IF(A737="","",IF(ISNUMBER(--LEFT(A737,FIND(" - ",A737&amp;" - ")-1)),LEFT(A737,FIND(" - ",A737&amp;" - ")-1),TRIM(A737)))</f>
        <v/>
      </c>
      <c r="M737">
        <f>IF(OR(K737="",K737=A737,A737=""),"",K737&amp;"|"&amp;L737)</f>
        <v/>
      </c>
      <c r="N737">
        <f>IF(M737="","",IF(ISNUMBER(B737),B737,IFERROR(_xlfn.NUMBERVALUE(B737,".",","),0)))</f>
        <v/>
      </c>
      <c r="O737">
        <f>IF(M737="","",IF(ISNUMBER(C737),C737,IFERROR(_xlfn.NUMBERVALUE(C737,".",","),0)))</f>
        <v/>
      </c>
    </row>
    <row r="738">
      <c r="K738">
        <f>IF(OR(LEFT(B738,9)="DOANH THU",LEFT(B738,8)="SỐ LƯỢNG"),A738,IF(A738="","",K737))</f>
        <v/>
      </c>
      <c r="L738">
        <f>IF(A738="","",IF(ISNUMBER(--LEFT(A738,FIND(" - ",A738&amp;" - ")-1)),LEFT(A738,FIND(" - ",A738&amp;" - ")-1),TRIM(A738)))</f>
        <v/>
      </c>
      <c r="M738">
        <f>IF(OR(K738="",K738=A738,A738=""),"",K738&amp;"|"&amp;L738)</f>
        <v/>
      </c>
      <c r="N738">
        <f>IF(M738="","",IF(ISNUMBER(B738),B738,IFERROR(_xlfn.NUMBERVALUE(B738,".",","),0)))</f>
        <v/>
      </c>
      <c r="O738">
        <f>IF(M738="","",IF(ISNUMBER(C738),C738,IFERROR(_xlfn.NUMBERVALUE(C738,".",","),0)))</f>
        <v/>
      </c>
    </row>
    <row r="739">
      <c r="K739">
        <f>IF(OR(LEFT(B739,9)="DOANH THU",LEFT(B739,8)="SỐ LƯỢNG"),A739,IF(A739="","",K738))</f>
        <v/>
      </c>
      <c r="L739">
        <f>IF(A739="","",IF(ISNUMBER(--LEFT(A739,FIND(" - ",A739&amp;" - ")-1)),LEFT(A739,FIND(" - ",A739&amp;" - ")-1),TRIM(A739)))</f>
        <v/>
      </c>
      <c r="M739">
        <f>IF(OR(K739="",K739=A739,A739=""),"",K739&amp;"|"&amp;L739)</f>
        <v/>
      </c>
      <c r="N739">
        <f>IF(M739="","",IF(ISNUMBER(B739),B739,IFERROR(_xlfn.NUMBERVALUE(B739,".",","),0)))</f>
        <v/>
      </c>
      <c r="O739">
        <f>IF(M739="","",IF(ISNUMBER(C739),C739,IFERROR(_xlfn.NUMBERVALUE(C739,".",","),0)))</f>
        <v/>
      </c>
    </row>
    <row r="740">
      <c r="K740">
        <f>IF(OR(LEFT(B740,9)="DOANH THU",LEFT(B740,8)="SỐ LƯỢNG"),A740,IF(A740="","",K739))</f>
        <v/>
      </c>
      <c r="L740">
        <f>IF(A740="","",IF(ISNUMBER(--LEFT(A740,FIND(" - ",A740&amp;" - ")-1)),LEFT(A740,FIND(" - ",A740&amp;" - ")-1),TRIM(A740)))</f>
        <v/>
      </c>
      <c r="M740">
        <f>IF(OR(K740="",K740=A740,A740=""),"",K740&amp;"|"&amp;L740)</f>
        <v/>
      </c>
      <c r="N740">
        <f>IF(M740="","",IF(ISNUMBER(B740),B740,IFERROR(_xlfn.NUMBERVALUE(B740,".",","),0)))</f>
        <v/>
      </c>
      <c r="O740">
        <f>IF(M740="","",IF(ISNUMBER(C740),C740,IFERROR(_xlfn.NUMBERVALUE(C740,".",","),0)))</f>
        <v/>
      </c>
    </row>
    <row r="741">
      <c r="K741">
        <f>IF(OR(LEFT(B741,9)="DOANH THU",LEFT(B741,8)="SỐ LƯỢNG"),A741,IF(A741="","",K740))</f>
        <v/>
      </c>
      <c r="L741">
        <f>IF(A741="","",IF(ISNUMBER(--LEFT(A741,FIND(" - ",A741&amp;" - ")-1)),LEFT(A741,FIND(" - ",A741&amp;" - ")-1),TRIM(A741)))</f>
        <v/>
      </c>
      <c r="M741">
        <f>IF(OR(K741="",K741=A741,A741=""),"",K741&amp;"|"&amp;L741)</f>
        <v/>
      </c>
      <c r="N741">
        <f>IF(M741="","",IF(ISNUMBER(B741),B741,IFERROR(_xlfn.NUMBERVALUE(B741,".",","),0)))</f>
        <v/>
      </c>
      <c r="O741">
        <f>IF(M741="","",IF(ISNUMBER(C741),C741,IFERROR(_xlfn.NUMBERVALUE(C741,".",","),0)))</f>
        <v/>
      </c>
    </row>
    <row r="742">
      <c r="K742">
        <f>IF(OR(LEFT(B742,9)="DOANH THU",LEFT(B742,8)="SỐ LƯỢNG"),A742,IF(A742="","",K741))</f>
        <v/>
      </c>
      <c r="L742">
        <f>IF(A742="","",IF(ISNUMBER(--LEFT(A742,FIND(" - ",A742&amp;" - ")-1)),LEFT(A742,FIND(" - ",A742&amp;" - ")-1),TRIM(A742)))</f>
        <v/>
      </c>
      <c r="M742">
        <f>IF(OR(K742="",K742=A742,A742=""),"",K742&amp;"|"&amp;L742)</f>
        <v/>
      </c>
      <c r="N742">
        <f>IF(M742="","",IF(ISNUMBER(B742),B742,IFERROR(_xlfn.NUMBERVALUE(B742,".",","),0)))</f>
        <v/>
      </c>
      <c r="O742">
        <f>IF(M742="","",IF(ISNUMBER(C742),C742,IFERROR(_xlfn.NUMBERVALUE(C742,".",","),0)))</f>
        <v/>
      </c>
    </row>
    <row r="743">
      <c r="K743">
        <f>IF(OR(LEFT(B743,9)="DOANH THU",LEFT(B743,8)="SỐ LƯỢNG"),A743,IF(A743="","",K742))</f>
        <v/>
      </c>
      <c r="L743">
        <f>IF(A743="","",IF(ISNUMBER(--LEFT(A743,FIND(" - ",A743&amp;" - ")-1)),LEFT(A743,FIND(" - ",A743&amp;" - ")-1),TRIM(A743)))</f>
        <v/>
      </c>
      <c r="M743">
        <f>IF(OR(K743="",K743=A743,A743=""),"",K743&amp;"|"&amp;L743)</f>
        <v/>
      </c>
      <c r="N743">
        <f>IF(M743="","",IF(ISNUMBER(B743),B743,IFERROR(_xlfn.NUMBERVALUE(B743,".",","),0)))</f>
        <v/>
      </c>
      <c r="O743">
        <f>IF(M743="","",IF(ISNUMBER(C743),C743,IFERROR(_xlfn.NUMBERVALUE(C743,".",","),0)))</f>
        <v/>
      </c>
    </row>
    <row r="744">
      <c r="K744">
        <f>IF(OR(LEFT(B744,9)="DOANH THU",LEFT(B744,8)="SỐ LƯỢNG"),A744,IF(A744="","",K743))</f>
        <v/>
      </c>
      <c r="L744">
        <f>IF(A744="","",IF(ISNUMBER(--LEFT(A744,FIND(" - ",A744&amp;" - ")-1)),LEFT(A744,FIND(" - ",A744&amp;" - ")-1),TRIM(A744)))</f>
        <v/>
      </c>
      <c r="M744">
        <f>IF(OR(K744="",K744=A744,A744=""),"",K744&amp;"|"&amp;L744)</f>
        <v/>
      </c>
      <c r="N744">
        <f>IF(M744="","",IF(ISNUMBER(B744),B744,IFERROR(_xlfn.NUMBERVALUE(B744,".",","),0)))</f>
        <v/>
      </c>
      <c r="O744">
        <f>IF(M744="","",IF(ISNUMBER(C744),C744,IFERROR(_xlfn.NUMBERVALUE(C744,".",","),0)))</f>
        <v/>
      </c>
    </row>
    <row r="745">
      <c r="K745">
        <f>IF(OR(LEFT(B745,9)="DOANH THU",LEFT(B745,8)="SỐ LƯỢNG"),A745,IF(A745="","",K744))</f>
        <v/>
      </c>
      <c r="L745">
        <f>IF(A745="","",IF(ISNUMBER(--LEFT(A745,FIND(" - ",A745&amp;" - ")-1)),LEFT(A745,FIND(" - ",A745&amp;" - ")-1),TRIM(A745)))</f>
        <v/>
      </c>
      <c r="M745">
        <f>IF(OR(K745="",K745=A745,A745=""),"",K745&amp;"|"&amp;L745)</f>
        <v/>
      </c>
      <c r="N745">
        <f>IF(M745="","",IF(ISNUMBER(B745),B745,IFERROR(_xlfn.NUMBERVALUE(B745,".",","),0)))</f>
        <v/>
      </c>
      <c r="O745">
        <f>IF(M745="","",IF(ISNUMBER(C745),C745,IFERROR(_xlfn.NUMBERVALUE(C745,".",","),0)))</f>
        <v/>
      </c>
    </row>
    <row r="746">
      <c r="K746">
        <f>IF(OR(LEFT(B746,9)="DOANH THU",LEFT(B746,8)="SỐ LƯỢNG"),A746,IF(A746="","",K745))</f>
        <v/>
      </c>
      <c r="L746">
        <f>IF(A746="","",IF(ISNUMBER(--LEFT(A746,FIND(" - ",A746&amp;" - ")-1)),LEFT(A746,FIND(" - ",A746&amp;" - ")-1),TRIM(A746)))</f>
        <v/>
      </c>
      <c r="M746">
        <f>IF(OR(K746="",K746=A746,A746=""),"",K746&amp;"|"&amp;L746)</f>
        <v/>
      </c>
      <c r="N746">
        <f>IF(M746="","",IF(ISNUMBER(B746),B746,IFERROR(_xlfn.NUMBERVALUE(B746,".",","),0)))</f>
        <v/>
      </c>
      <c r="O746">
        <f>IF(M746="","",IF(ISNUMBER(C746),C746,IFERROR(_xlfn.NUMBERVALUE(C746,".",","),0)))</f>
        <v/>
      </c>
    </row>
    <row r="747">
      <c r="K747">
        <f>IF(OR(LEFT(B747,9)="DOANH THU",LEFT(B747,8)="SỐ LƯỢNG"),A747,IF(A747="","",K746))</f>
        <v/>
      </c>
      <c r="L747">
        <f>IF(A747="","",IF(ISNUMBER(--LEFT(A747,FIND(" - ",A747&amp;" - ")-1)),LEFT(A747,FIND(" - ",A747&amp;" - ")-1),TRIM(A747)))</f>
        <v/>
      </c>
      <c r="M747">
        <f>IF(OR(K747="",K747=A747,A747=""),"",K747&amp;"|"&amp;L747)</f>
        <v/>
      </c>
      <c r="N747">
        <f>IF(M747="","",IF(ISNUMBER(B747),B747,IFERROR(_xlfn.NUMBERVALUE(B747,".",","),0)))</f>
        <v/>
      </c>
      <c r="O747">
        <f>IF(M747="","",IF(ISNUMBER(C747),C747,IFERROR(_xlfn.NUMBERVALUE(C747,".",","),0)))</f>
        <v/>
      </c>
    </row>
    <row r="748">
      <c r="K748">
        <f>IF(OR(LEFT(B748,9)="DOANH THU",LEFT(B748,8)="SỐ LƯỢNG"),A748,IF(A748="","",K747))</f>
        <v/>
      </c>
      <c r="L748">
        <f>IF(A748="","",IF(ISNUMBER(--LEFT(A748,FIND(" - ",A748&amp;" - ")-1)),LEFT(A748,FIND(" - ",A748&amp;" - ")-1),TRIM(A748)))</f>
        <v/>
      </c>
      <c r="M748">
        <f>IF(OR(K748="",K748=A748,A748=""),"",K748&amp;"|"&amp;L748)</f>
        <v/>
      </c>
      <c r="N748">
        <f>IF(M748="","",IF(ISNUMBER(B748),B748,IFERROR(_xlfn.NUMBERVALUE(B748,".",","),0)))</f>
        <v/>
      </c>
      <c r="O748">
        <f>IF(M748="","",IF(ISNUMBER(C748),C748,IFERROR(_xlfn.NUMBERVALUE(C748,".",","),0)))</f>
        <v/>
      </c>
    </row>
    <row r="749">
      <c r="K749">
        <f>IF(OR(LEFT(B749,9)="DOANH THU",LEFT(B749,8)="SỐ LƯỢNG"),A749,IF(A749="","",K748))</f>
        <v/>
      </c>
      <c r="L749">
        <f>IF(A749="","",IF(ISNUMBER(--LEFT(A749,FIND(" - ",A749&amp;" - ")-1)),LEFT(A749,FIND(" - ",A749&amp;" - ")-1),TRIM(A749)))</f>
        <v/>
      </c>
      <c r="M749">
        <f>IF(OR(K749="",K749=A749,A749=""),"",K749&amp;"|"&amp;L749)</f>
        <v/>
      </c>
      <c r="N749">
        <f>IF(M749="","",IF(ISNUMBER(B749),B749,IFERROR(_xlfn.NUMBERVALUE(B749,".",","),0)))</f>
        <v/>
      </c>
      <c r="O749">
        <f>IF(M749="","",IF(ISNUMBER(C749),C749,IFERROR(_xlfn.NUMBERVALUE(C749,".",","),0)))</f>
        <v/>
      </c>
    </row>
    <row r="750">
      <c r="K750">
        <f>IF(OR(LEFT(B750,9)="DOANH THU",LEFT(B750,8)="SỐ LƯỢNG"),A750,IF(A750="","",K749))</f>
        <v/>
      </c>
      <c r="L750">
        <f>IF(A750="","",IF(ISNUMBER(--LEFT(A750,FIND(" - ",A750&amp;" - ")-1)),LEFT(A750,FIND(" - ",A750&amp;" - ")-1),TRIM(A750)))</f>
        <v/>
      </c>
      <c r="M750">
        <f>IF(OR(K750="",K750=A750,A750=""),"",K750&amp;"|"&amp;L750)</f>
        <v/>
      </c>
      <c r="N750">
        <f>IF(M750="","",IF(ISNUMBER(B750),B750,IFERROR(_xlfn.NUMBERVALUE(B750,".",","),0)))</f>
        <v/>
      </c>
      <c r="O750">
        <f>IF(M750="","",IF(ISNUMBER(C750),C750,IFERROR(_xlfn.NUMBERVALUE(C750,".",","),0)))</f>
        <v/>
      </c>
    </row>
    <row r="751">
      <c r="K751">
        <f>IF(OR(LEFT(B751,9)="DOANH THU",LEFT(B751,8)="SỐ LƯỢNG"),A751,IF(A751="","",K750))</f>
        <v/>
      </c>
      <c r="L751">
        <f>IF(A751="","",IF(ISNUMBER(--LEFT(A751,FIND(" - ",A751&amp;" - ")-1)),LEFT(A751,FIND(" - ",A751&amp;" - ")-1),TRIM(A751)))</f>
        <v/>
      </c>
      <c r="M751">
        <f>IF(OR(K751="",K751=A751,A751=""),"",K751&amp;"|"&amp;L751)</f>
        <v/>
      </c>
      <c r="N751">
        <f>IF(M751="","",IF(ISNUMBER(B751),B751,IFERROR(_xlfn.NUMBERVALUE(B751,".",","),0)))</f>
        <v/>
      </c>
      <c r="O751">
        <f>IF(M751="","",IF(ISNUMBER(C751),C751,IFERROR(_xlfn.NUMBERVALUE(C751,".",","),0)))</f>
        <v/>
      </c>
    </row>
    <row r="752">
      <c r="K752">
        <f>IF(OR(LEFT(B752,9)="DOANH THU",LEFT(B752,8)="SỐ LƯỢNG"),A752,IF(A752="","",K751))</f>
        <v/>
      </c>
      <c r="L752">
        <f>IF(A752="","",IF(ISNUMBER(--LEFT(A752,FIND(" - ",A752&amp;" - ")-1)),LEFT(A752,FIND(" - ",A752&amp;" - ")-1),TRIM(A752)))</f>
        <v/>
      </c>
      <c r="M752">
        <f>IF(OR(K752="",K752=A752,A752=""),"",K752&amp;"|"&amp;L752)</f>
        <v/>
      </c>
      <c r="N752">
        <f>IF(M752="","",IF(ISNUMBER(B752),B752,IFERROR(_xlfn.NUMBERVALUE(B752,".",","),0)))</f>
        <v/>
      </c>
      <c r="O752">
        <f>IF(M752="","",IF(ISNUMBER(C752),C752,IFERROR(_xlfn.NUMBERVALUE(C752,".",","),0)))</f>
        <v/>
      </c>
    </row>
    <row r="753">
      <c r="K753">
        <f>IF(OR(LEFT(B753,9)="DOANH THU",LEFT(B753,8)="SỐ LƯỢNG"),A753,IF(A753="","",K752))</f>
        <v/>
      </c>
      <c r="L753">
        <f>IF(A753="","",IF(ISNUMBER(--LEFT(A753,FIND(" - ",A753&amp;" - ")-1)),LEFT(A753,FIND(" - ",A753&amp;" - ")-1),TRIM(A753)))</f>
        <v/>
      </c>
      <c r="M753">
        <f>IF(OR(K753="",K753=A753,A753=""),"",K753&amp;"|"&amp;L753)</f>
        <v/>
      </c>
      <c r="N753">
        <f>IF(M753="","",IF(ISNUMBER(B753),B753,IFERROR(_xlfn.NUMBERVALUE(B753,".",","),0)))</f>
        <v/>
      </c>
      <c r="O753">
        <f>IF(M753="","",IF(ISNUMBER(C753),C753,IFERROR(_xlfn.NUMBERVALUE(C753,".",","),0)))</f>
        <v/>
      </c>
    </row>
    <row r="754">
      <c r="K754">
        <f>IF(OR(LEFT(B754,9)="DOANH THU",LEFT(B754,8)="SỐ LƯỢNG"),A754,IF(A754="","",K753))</f>
        <v/>
      </c>
      <c r="L754">
        <f>IF(A754="","",IF(ISNUMBER(--LEFT(A754,FIND(" - ",A754&amp;" - ")-1)),LEFT(A754,FIND(" - ",A754&amp;" - ")-1),TRIM(A754)))</f>
        <v/>
      </c>
      <c r="M754">
        <f>IF(OR(K754="",K754=A754,A754=""),"",K754&amp;"|"&amp;L754)</f>
        <v/>
      </c>
      <c r="N754">
        <f>IF(M754="","",IF(ISNUMBER(B754),B754,IFERROR(_xlfn.NUMBERVALUE(B754,".",","),0)))</f>
        <v/>
      </c>
      <c r="O754">
        <f>IF(M754="","",IF(ISNUMBER(C754),C754,IFERROR(_xlfn.NUMBERVALUE(C754,".",","),0)))</f>
        <v/>
      </c>
    </row>
    <row r="755">
      <c r="K755">
        <f>IF(OR(LEFT(B755,9)="DOANH THU",LEFT(B755,8)="SỐ LƯỢNG"),A755,IF(A755="","",K754))</f>
        <v/>
      </c>
      <c r="L755">
        <f>IF(A755="","",IF(ISNUMBER(--LEFT(A755,FIND(" - ",A755&amp;" - ")-1)),LEFT(A755,FIND(" - ",A755&amp;" - ")-1),TRIM(A755)))</f>
        <v/>
      </c>
      <c r="M755">
        <f>IF(OR(K755="",K755=A755,A755=""),"",K755&amp;"|"&amp;L755)</f>
        <v/>
      </c>
      <c r="N755">
        <f>IF(M755="","",IF(ISNUMBER(B755),B755,IFERROR(_xlfn.NUMBERVALUE(B755,".",","),0)))</f>
        <v/>
      </c>
      <c r="O755">
        <f>IF(M755="","",IF(ISNUMBER(C755),C755,IFERROR(_xlfn.NUMBERVALUE(C755,".",","),0)))</f>
        <v/>
      </c>
    </row>
    <row r="756">
      <c r="K756">
        <f>IF(OR(LEFT(B756,9)="DOANH THU",LEFT(B756,8)="SỐ LƯỢNG"),A756,IF(A756="","",K755))</f>
        <v/>
      </c>
      <c r="L756">
        <f>IF(A756="","",IF(ISNUMBER(--LEFT(A756,FIND(" - ",A756&amp;" - ")-1)),LEFT(A756,FIND(" - ",A756&amp;" - ")-1),TRIM(A756)))</f>
        <v/>
      </c>
      <c r="M756">
        <f>IF(OR(K756="",K756=A756,A756=""),"",K756&amp;"|"&amp;L756)</f>
        <v/>
      </c>
      <c r="N756">
        <f>IF(M756="","",IF(ISNUMBER(B756),B756,IFERROR(_xlfn.NUMBERVALUE(B756,".",","),0)))</f>
        <v/>
      </c>
      <c r="O756">
        <f>IF(M756="","",IF(ISNUMBER(C756),C756,IFERROR(_xlfn.NUMBERVALUE(C756,".",","),0)))</f>
        <v/>
      </c>
    </row>
    <row r="757">
      <c r="K757">
        <f>IF(OR(LEFT(B757,9)="DOANH THU",LEFT(B757,8)="SỐ LƯỢNG"),A757,IF(A757="","",K756))</f>
        <v/>
      </c>
      <c r="L757">
        <f>IF(A757="","",IF(ISNUMBER(--LEFT(A757,FIND(" - ",A757&amp;" - ")-1)),LEFT(A757,FIND(" - ",A757&amp;" - ")-1),TRIM(A757)))</f>
        <v/>
      </c>
      <c r="M757">
        <f>IF(OR(K757="",K757=A757,A757=""),"",K757&amp;"|"&amp;L757)</f>
        <v/>
      </c>
      <c r="N757">
        <f>IF(M757="","",IF(ISNUMBER(B757),B757,IFERROR(_xlfn.NUMBERVALUE(B757,".",","),0)))</f>
        <v/>
      </c>
      <c r="O757">
        <f>IF(M757="","",IF(ISNUMBER(C757),C757,IFERROR(_xlfn.NUMBERVALUE(C757,".",","),0)))</f>
        <v/>
      </c>
    </row>
    <row r="758">
      <c r="K758">
        <f>IF(OR(LEFT(B758,9)="DOANH THU",LEFT(B758,8)="SỐ LƯỢNG"),A758,IF(A758="","",K757))</f>
        <v/>
      </c>
      <c r="L758">
        <f>IF(A758="","",IF(ISNUMBER(--LEFT(A758,FIND(" - ",A758&amp;" - ")-1)),LEFT(A758,FIND(" - ",A758&amp;" - ")-1),TRIM(A758)))</f>
        <v/>
      </c>
      <c r="M758">
        <f>IF(OR(K758="",K758=A758,A758=""),"",K758&amp;"|"&amp;L758)</f>
        <v/>
      </c>
      <c r="N758">
        <f>IF(M758="","",IF(ISNUMBER(B758),B758,IFERROR(_xlfn.NUMBERVALUE(B758,".",","),0)))</f>
        <v/>
      </c>
      <c r="O758">
        <f>IF(M758="","",IF(ISNUMBER(C758),C758,IFERROR(_xlfn.NUMBERVALUE(C758,".",","),0)))</f>
        <v/>
      </c>
    </row>
    <row r="759">
      <c r="K759">
        <f>IF(OR(LEFT(B759,9)="DOANH THU",LEFT(B759,8)="SỐ LƯỢNG"),A759,IF(A759="","",K758))</f>
        <v/>
      </c>
      <c r="L759">
        <f>IF(A759="","",IF(ISNUMBER(--LEFT(A759,FIND(" - ",A759&amp;" - ")-1)),LEFT(A759,FIND(" - ",A759&amp;" - ")-1),TRIM(A759)))</f>
        <v/>
      </c>
      <c r="M759">
        <f>IF(OR(K759="",K759=A759,A759=""),"",K759&amp;"|"&amp;L759)</f>
        <v/>
      </c>
      <c r="N759">
        <f>IF(M759="","",IF(ISNUMBER(B759),B759,IFERROR(_xlfn.NUMBERVALUE(B759,".",","),0)))</f>
        <v/>
      </c>
      <c r="O759">
        <f>IF(M759="","",IF(ISNUMBER(C759),C759,IFERROR(_xlfn.NUMBERVALUE(C759,".",","),0)))</f>
        <v/>
      </c>
    </row>
    <row r="760">
      <c r="K760">
        <f>IF(OR(LEFT(B760,9)="DOANH THU",LEFT(B760,8)="SỐ LƯỢNG"),A760,IF(A760="","",K759))</f>
        <v/>
      </c>
      <c r="L760">
        <f>IF(A760="","",IF(ISNUMBER(--LEFT(A760,FIND(" - ",A760&amp;" - ")-1)),LEFT(A760,FIND(" - ",A760&amp;" - ")-1),TRIM(A760)))</f>
        <v/>
      </c>
      <c r="M760">
        <f>IF(OR(K760="",K760=A760,A760=""),"",K760&amp;"|"&amp;L760)</f>
        <v/>
      </c>
      <c r="N760">
        <f>IF(M760="","",IF(ISNUMBER(B760),B760,IFERROR(_xlfn.NUMBERVALUE(B760,".",","),0)))</f>
        <v/>
      </c>
      <c r="O760">
        <f>IF(M760="","",IF(ISNUMBER(C760),C760,IFERROR(_xlfn.NUMBERVALUE(C760,".",","),0)))</f>
        <v/>
      </c>
    </row>
    <row r="761">
      <c r="K761">
        <f>IF(OR(LEFT(B761,9)="DOANH THU",LEFT(B761,8)="SỐ LƯỢNG"),A761,IF(A761="","",K760))</f>
        <v/>
      </c>
      <c r="L761">
        <f>IF(A761="","",IF(ISNUMBER(--LEFT(A761,FIND(" - ",A761&amp;" - ")-1)),LEFT(A761,FIND(" - ",A761&amp;" - ")-1),TRIM(A761)))</f>
        <v/>
      </c>
      <c r="M761">
        <f>IF(OR(K761="",K761=A761,A761=""),"",K761&amp;"|"&amp;L761)</f>
        <v/>
      </c>
      <c r="N761">
        <f>IF(M761="","",IF(ISNUMBER(B761),B761,IFERROR(_xlfn.NUMBERVALUE(B761,".",","),0)))</f>
        <v/>
      </c>
      <c r="O761">
        <f>IF(M761="","",IF(ISNUMBER(C761),C761,IFERROR(_xlfn.NUMBERVALUE(C761,".",","),0)))</f>
        <v/>
      </c>
    </row>
    <row r="762">
      <c r="K762">
        <f>IF(OR(LEFT(B762,9)="DOANH THU",LEFT(B762,8)="SỐ LƯỢNG"),A762,IF(A762="","",K761))</f>
        <v/>
      </c>
      <c r="L762">
        <f>IF(A762="","",IF(ISNUMBER(--LEFT(A762,FIND(" - ",A762&amp;" - ")-1)),LEFT(A762,FIND(" - ",A762&amp;" - ")-1),TRIM(A762)))</f>
        <v/>
      </c>
      <c r="M762">
        <f>IF(OR(K762="",K762=A762,A762=""),"",K762&amp;"|"&amp;L762)</f>
        <v/>
      </c>
      <c r="N762">
        <f>IF(M762="","",IF(ISNUMBER(B762),B762,IFERROR(_xlfn.NUMBERVALUE(B762,".",","),0)))</f>
        <v/>
      </c>
      <c r="O762">
        <f>IF(M762="","",IF(ISNUMBER(C762),C762,IFERROR(_xlfn.NUMBERVALUE(C762,".",","),0)))</f>
        <v/>
      </c>
    </row>
    <row r="763">
      <c r="K763">
        <f>IF(OR(LEFT(B763,9)="DOANH THU",LEFT(B763,8)="SỐ LƯỢNG"),A763,IF(A763="","",K762))</f>
        <v/>
      </c>
      <c r="L763">
        <f>IF(A763="","",IF(ISNUMBER(--LEFT(A763,FIND(" - ",A763&amp;" - ")-1)),LEFT(A763,FIND(" - ",A763&amp;" - ")-1),TRIM(A763)))</f>
        <v/>
      </c>
      <c r="M763">
        <f>IF(OR(K763="",K763=A763,A763=""),"",K763&amp;"|"&amp;L763)</f>
        <v/>
      </c>
      <c r="N763">
        <f>IF(M763="","",IF(ISNUMBER(B763),B763,IFERROR(_xlfn.NUMBERVALUE(B763,".",","),0)))</f>
        <v/>
      </c>
      <c r="O763">
        <f>IF(M763="","",IF(ISNUMBER(C763),C763,IFERROR(_xlfn.NUMBERVALUE(C763,".",","),0)))</f>
        <v/>
      </c>
    </row>
    <row r="764">
      <c r="K764">
        <f>IF(OR(LEFT(B764,9)="DOANH THU",LEFT(B764,8)="SỐ LƯỢNG"),A764,IF(A764="","",K763))</f>
        <v/>
      </c>
      <c r="L764">
        <f>IF(A764="","",IF(ISNUMBER(--LEFT(A764,FIND(" - ",A764&amp;" - ")-1)),LEFT(A764,FIND(" - ",A764&amp;" - ")-1),TRIM(A764)))</f>
        <v/>
      </c>
      <c r="M764">
        <f>IF(OR(K764="",K764=A764,A764=""),"",K764&amp;"|"&amp;L764)</f>
        <v/>
      </c>
      <c r="N764">
        <f>IF(M764="","",IF(ISNUMBER(B764),B764,IFERROR(_xlfn.NUMBERVALUE(B764,".",","),0)))</f>
        <v/>
      </c>
      <c r="O764">
        <f>IF(M764="","",IF(ISNUMBER(C764),C764,IFERROR(_xlfn.NUMBERVALUE(C764,".",","),0)))</f>
        <v/>
      </c>
    </row>
    <row r="765">
      <c r="K765">
        <f>IF(OR(LEFT(B765,9)="DOANH THU",LEFT(B765,8)="SỐ LƯỢNG"),A765,IF(A765="","",K764))</f>
        <v/>
      </c>
      <c r="L765">
        <f>IF(A765="","",IF(ISNUMBER(--LEFT(A765,FIND(" - ",A765&amp;" - ")-1)),LEFT(A765,FIND(" - ",A765&amp;" - ")-1),TRIM(A765)))</f>
        <v/>
      </c>
      <c r="M765">
        <f>IF(OR(K765="",K765=A765,A765=""),"",K765&amp;"|"&amp;L765)</f>
        <v/>
      </c>
      <c r="N765">
        <f>IF(M765="","",IF(ISNUMBER(B765),B765,IFERROR(_xlfn.NUMBERVALUE(B765,".",","),0)))</f>
        <v/>
      </c>
      <c r="O765">
        <f>IF(M765="","",IF(ISNUMBER(C765),C765,IFERROR(_xlfn.NUMBERVALUE(C765,".",","),0)))</f>
        <v/>
      </c>
    </row>
    <row r="766">
      <c r="K766">
        <f>IF(OR(LEFT(B766,9)="DOANH THU",LEFT(B766,8)="SỐ LƯỢNG"),A766,IF(A766="","",K765))</f>
        <v/>
      </c>
      <c r="L766">
        <f>IF(A766="","",IF(ISNUMBER(--LEFT(A766,FIND(" - ",A766&amp;" - ")-1)),LEFT(A766,FIND(" - ",A766&amp;" - ")-1),TRIM(A766)))</f>
        <v/>
      </c>
      <c r="M766">
        <f>IF(OR(K766="",K766=A766,A766=""),"",K766&amp;"|"&amp;L766)</f>
        <v/>
      </c>
      <c r="N766">
        <f>IF(M766="","",IF(ISNUMBER(B766),B766,IFERROR(_xlfn.NUMBERVALUE(B766,".",","),0)))</f>
        <v/>
      </c>
      <c r="O766">
        <f>IF(M766="","",IF(ISNUMBER(C766),C766,IFERROR(_xlfn.NUMBERVALUE(C766,".",","),0)))</f>
        <v/>
      </c>
    </row>
    <row r="767">
      <c r="K767">
        <f>IF(OR(LEFT(B767,9)="DOANH THU",LEFT(B767,8)="SỐ LƯỢNG"),A767,IF(A767="","",K766))</f>
        <v/>
      </c>
      <c r="L767">
        <f>IF(A767="","",IF(ISNUMBER(--LEFT(A767,FIND(" - ",A767&amp;" - ")-1)),LEFT(A767,FIND(" - ",A767&amp;" - ")-1),TRIM(A767)))</f>
        <v/>
      </c>
      <c r="M767">
        <f>IF(OR(K767="",K767=A767,A767=""),"",K767&amp;"|"&amp;L767)</f>
        <v/>
      </c>
      <c r="N767">
        <f>IF(M767="","",IF(ISNUMBER(B767),B767,IFERROR(_xlfn.NUMBERVALUE(B767,".",","),0)))</f>
        <v/>
      </c>
      <c r="O767">
        <f>IF(M767="","",IF(ISNUMBER(C767),C767,IFERROR(_xlfn.NUMBERVALUE(C767,".",","),0)))</f>
        <v/>
      </c>
    </row>
    <row r="768">
      <c r="K768">
        <f>IF(OR(LEFT(B768,9)="DOANH THU",LEFT(B768,8)="SỐ LƯỢNG"),A768,IF(A768="","",K767))</f>
        <v/>
      </c>
      <c r="L768">
        <f>IF(A768="","",IF(ISNUMBER(--LEFT(A768,FIND(" - ",A768&amp;" - ")-1)),LEFT(A768,FIND(" - ",A768&amp;" - ")-1),TRIM(A768)))</f>
        <v/>
      </c>
      <c r="M768">
        <f>IF(OR(K768="",K768=A768,A768=""),"",K768&amp;"|"&amp;L768)</f>
        <v/>
      </c>
      <c r="N768">
        <f>IF(M768="","",IF(ISNUMBER(B768),B768,IFERROR(_xlfn.NUMBERVALUE(B768,".",","),0)))</f>
        <v/>
      </c>
      <c r="O768">
        <f>IF(M768="","",IF(ISNUMBER(C768),C768,IFERROR(_xlfn.NUMBERVALUE(C768,".",","),0)))</f>
        <v/>
      </c>
    </row>
    <row r="769">
      <c r="K769">
        <f>IF(OR(LEFT(B769,9)="DOANH THU",LEFT(B769,8)="SỐ LƯỢNG"),A769,IF(A769="","",K768))</f>
        <v/>
      </c>
      <c r="L769">
        <f>IF(A769="","",IF(ISNUMBER(--LEFT(A769,FIND(" - ",A769&amp;" - ")-1)),LEFT(A769,FIND(" - ",A769&amp;" - ")-1),TRIM(A769)))</f>
        <v/>
      </c>
      <c r="M769">
        <f>IF(OR(K769="",K769=A769,A769=""),"",K769&amp;"|"&amp;L769)</f>
        <v/>
      </c>
      <c r="N769">
        <f>IF(M769="","",IF(ISNUMBER(B769),B769,IFERROR(_xlfn.NUMBERVALUE(B769,".",","),0)))</f>
        <v/>
      </c>
      <c r="O769">
        <f>IF(M769="","",IF(ISNUMBER(C769),C769,IFERROR(_xlfn.NUMBERVALUE(C769,".",","),0)))</f>
        <v/>
      </c>
    </row>
    <row r="770">
      <c r="K770">
        <f>IF(OR(LEFT(B770,9)="DOANH THU",LEFT(B770,8)="SỐ LƯỢNG"),A770,IF(A770="","",K769))</f>
        <v/>
      </c>
      <c r="L770">
        <f>IF(A770="","",IF(ISNUMBER(--LEFT(A770,FIND(" - ",A770&amp;" - ")-1)),LEFT(A770,FIND(" - ",A770&amp;" - ")-1),TRIM(A770)))</f>
        <v/>
      </c>
      <c r="M770">
        <f>IF(OR(K770="",K770=A770,A770=""),"",K770&amp;"|"&amp;L770)</f>
        <v/>
      </c>
      <c r="N770">
        <f>IF(M770="","",IF(ISNUMBER(B770),B770,IFERROR(_xlfn.NUMBERVALUE(B770,".",","),0)))</f>
        <v/>
      </c>
      <c r="O770">
        <f>IF(M770="","",IF(ISNUMBER(C770),C770,IFERROR(_xlfn.NUMBERVALUE(C770,".",","),0)))</f>
        <v/>
      </c>
    </row>
    <row r="771">
      <c r="K771">
        <f>IF(OR(LEFT(B771,9)="DOANH THU",LEFT(B771,8)="SỐ LƯỢNG"),A771,IF(A771="","",K770))</f>
        <v/>
      </c>
      <c r="L771">
        <f>IF(A771="","",IF(ISNUMBER(--LEFT(A771,FIND(" - ",A771&amp;" - ")-1)),LEFT(A771,FIND(" - ",A771&amp;" - ")-1),TRIM(A771)))</f>
        <v/>
      </c>
      <c r="M771">
        <f>IF(OR(K771="",K771=A771,A771=""),"",K771&amp;"|"&amp;L771)</f>
        <v/>
      </c>
      <c r="N771">
        <f>IF(M771="","",IF(ISNUMBER(B771),B771,IFERROR(_xlfn.NUMBERVALUE(B771,".",","),0)))</f>
        <v/>
      </c>
      <c r="O771">
        <f>IF(M771="","",IF(ISNUMBER(C771),C771,IFERROR(_xlfn.NUMBERVALUE(C771,".",","),0)))</f>
        <v/>
      </c>
    </row>
    <row r="772">
      <c r="K772">
        <f>IF(OR(LEFT(B772,9)="DOANH THU",LEFT(B772,8)="SỐ LƯỢNG"),A772,IF(A772="","",K771))</f>
        <v/>
      </c>
      <c r="L772">
        <f>IF(A772="","",IF(ISNUMBER(--LEFT(A772,FIND(" - ",A772&amp;" - ")-1)),LEFT(A772,FIND(" - ",A772&amp;" - ")-1),TRIM(A772)))</f>
        <v/>
      </c>
      <c r="M772">
        <f>IF(OR(K772="",K772=A772,A772=""),"",K772&amp;"|"&amp;L772)</f>
        <v/>
      </c>
      <c r="N772">
        <f>IF(M772="","",IF(ISNUMBER(B772),B772,IFERROR(_xlfn.NUMBERVALUE(B772,".",","),0)))</f>
        <v/>
      </c>
      <c r="O772">
        <f>IF(M772="","",IF(ISNUMBER(C772),C772,IFERROR(_xlfn.NUMBERVALUE(C772,".",","),0)))</f>
        <v/>
      </c>
    </row>
    <row r="773">
      <c r="K773">
        <f>IF(OR(LEFT(B773,9)="DOANH THU",LEFT(B773,8)="SỐ LƯỢNG"),A773,IF(A773="","",K772))</f>
        <v/>
      </c>
      <c r="L773">
        <f>IF(A773="","",IF(ISNUMBER(--LEFT(A773,FIND(" - ",A773&amp;" - ")-1)),LEFT(A773,FIND(" - ",A773&amp;" - ")-1),TRIM(A773)))</f>
        <v/>
      </c>
      <c r="M773">
        <f>IF(OR(K773="",K773=A773,A773=""),"",K773&amp;"|"&amp;L773)</f>
        <v/>
      </c>
      <c r="N773">
        <f>IF(M773="","",IF(ISNUMBER(B773),B773,IFERROR(_xlfn.NUMBERVALUE(B773,".",","),0)))</f>
        <v/>
      </c>
      <c r="O773">
        <f>IF(M773="","",IF(ISNUMBER(C773),C773,IFERROR(_xlfn.NUMBERVALUE(C773,".",","),0)))</f>
        <v/>
      </c>
    </row>
    <row r="774">
      <c r="K774">
        <f>IF(OR(LEFT(B774,9)="DOANH THU",LEFT(B774,8)="SỐ LƯỢNG"),A774,IF(A774="","",K773))</f>
        <v/>
      </c>
      <c r="L774">
        <f>IF(A774="","",IF(ISNUMBER(--LEFT(A774,FIND(" - ",A774&amp;" - ")-1)),LEFT(A774,FIND(" - ",A774&amp;" - ")-1),TRIM(A774)))</f>
        <v/>
      </c>
      <c r="M774">
        <f>IF(OR(K774="",K774=A774,A774=""),"",K774&amp;"|"&amp;L774)</f>
        <v/>
      </c>
      <c r="N774">
        <f>IF(M774="","",IF(ISNUMBER(B774),B774,IFERROR(_xlfn.NUMBERVALUE(B774,".",","),0)))</f>
        <v/>
      </c>
      <c r="O774">
        <f>IF(M774="","",IF(ISNUMBER(C774),C774,IFERROR(_xlfn.NUMBERVALUE(C774,".",","),0)))</f>
        <v/>
      </c>
    </row>
    <row r="775">
      <c r="K775">
        <f>IF(OR(LEFT(B775,9)="DOANH THU",LEFT(B775,8)="SỐ LƯỢNG"),A775,IF(A775="","",K774))</f>
        <v/>
      </c>
      <c r="L775">
        <f>IF(A775="","",IF(ISNUMBER(--LEFT(A775,FIND(" - ",A775&amp;" - ")-1)),LEFT(A775,FIND(" - ",A775&amp;" - ")-1),TRIM(A775)))</f>
        <v/>
      </c>
      <c r="M775">
        <f>IF(OR(K775="",K775=A775,A775=""),"",K775&amp;"|"&amp;L775)</f>
        <v/>
      </c>
      <c r="N775">
        <f>IF(M775="","",IF(ISNUMBER(B775),B775,IFERROR(_xlfn.NUMBERVALUE(B775,".",","),0)))</f>
        <v/>
      </c>
      <c r="O775">
        <f>IF(M775="","",IF(ISNUMBER(C775),C775,IFERROR(_xlfn.NUMBERVALUE(C775,".",","),0)))</f>
        <v/>
      </c>
    </row>
    <row r="776">
      <c r="K776">
        <f>IF(OR(LEFT(B776,9)="DOANH THU",LEFT(B776,8)="SỐ LƯỢNG"),A776,IF(A776="","",K775))</f>
        <v/>
      </c>
      <c r="L776">
        <f>IF(A776="","",IF(ISNUMBER(--LEFT(A776,FIND(" - ",A776&amp;" - ")-1)),LEFT(A776,FIND(" - ",A776&amp;" - ")-1),TRIM(A776)))</f>
        <v/>
      </c>
      <c r="M776">
        <f>IF(OR(K776="",K776=A776,A776=""),"",K776&amp;"|"&amp;L776)</f>
        <v/>
      </c>
      <c r="N776">
        <f>IF(M776="","",IF(ISNUMBER(B776),B776,IFERROR(_xlfn.NUMBERVALUE(B776,".",","),0)))</f>
        <v/>
      </c>
      <c r="O776">
        <f>IF(M776="","",IF(ISNUMBER(C776),C776,IFERROR(_xlfn.NUMBERVALUE(C776,".",","),0)))</f>
        <v/>
      </c>
    </row>
    <row r="777">
      <c r="K777">
        <f>IF(OR(LEFT(B777,9)="DOANH THU",LEFT(B777,8)="SỐ LƯỢNG"),A777,IF(A777="","",K776))</f>
        <v/>
      </c>
      <c r="L777">
        <f>IF(A777="","",IF(ISNUMBER(--LEFT(A777,FIND(" - ",A777&amp;" - ")-1)),LEFT(A777,FIND(" - ",A777&amp;" - ")-1),TRIM(A777)))</f>
        <v/>
      </c>
      <c r="M777">
        <f>IF(OR(K777="",K777=A777,A777=""),"",K777&amp;"|"&amp;L777)</f>
        <v/>
      </c>
      <c r="N777">
        <f>IF(M777="","",IF(ISNUMBER(B777),B777,IFERROR(_xlfn.NUMBERVALUE(B777,".",","),0)))</f>
        <v/>
      </c>
      <c r="O777">
        <f>IF(M777="","",IF(ISNUMBER(C777),C777,IFERROR(_xlfn.NUMBERVALUE(C777,".",","),0)))</f>
        <v/>
      </c>
    </row>
    <row r="778">
      <c r="K778">
        <f>IF(OR(LEFT(B778,9)="DOANH THU",LEFT(B778,8)="SỐ LƯỢNG"),A778,IF(A778="","",K777))</f>
        <v/>
      </c>
      <c r="L778">
        <f>IF(A778="","",IF(ISNUMBER(--LEFT(A778,FIND(" - ",A778&amp;" - ")-1)),LEFT(A778,FIND(" - ",A778&amp;" - ")-1),TRIM(A778)))</f>
        <v/>
      </c>
      <c r="M778">
        <f>IF(OR(K778="",K778=A778,A778=""),"",K778&amp;"|"&amp;L778)</f>
        <v/>
      </c>
      <c r="N778">
        <f>IF(M778="","",IF(ISNUMBER(B778),B778,IFERROR(_xlfn.NUMBERVALUE(B778,".",","),0)))</f>
        <v/>
      </c>
      <c r="O778">
        <f>IF(M778="","",IF(ISNUMBER(C778),C778,IFERROR(_xlfn.NUMBERVALUE(C778,".",","),0)))</f>
        <v/>
      </c>
    </row>
    <row r="779">
      <c r="K779">
        <f>IF(OR(LEFT(B779,9)="DOANH THU",LEFT(B779,8)="SỐ LƯỢNG"),A779,IF(A779="","",K778))</f>
        <v/>
      </c>
      <c r="L779">
        <f>IF(A779="","",IF(ISNUMBER(--LEFT(A779,FIND(" - ",A779&amp;" - ")-1)),LEFT(A779,FIND(" - ",A779&amp;" - ")-1),TRIM(A779)))</f>
        <v/>
      </c>
      <c r="M779">
        <f>IF(OR(K779="",K779=A779,A779=""),"",K779&amp;"|"&amp;L779)</f>
        <v/>
      </c>
      <c r="N779">
        <f>IF(M779="","",IF(ISNUMBER(B779),B779,IFERROR(_xlfn.NUMBERVALUE(B779,".",","),0)))</f>
        <v/>
      </c>
      <c r="O779">
        <f>IF(M779="","",IF(ISNUMBER(C779),C779,IFERROR(_xlfn.NUMBERVALUE(C779,".",","),0)))</f>
        <v/>
      </c>
    </row>
    <row r="780">
      <c r="K780">
        <f>IF(OR(LEFT(B780,9)="DOANH THU",LEFT(B780,8)="SỐ LƯỢNG"),A780,IF(A780="","",K779))</f>
        <v/>
      </c>
      <c r="L780">
        <f>IF(A780="","",IF(ISNUMBER(--LEFT(A780,FIND(" - ",A780&amp;" - ")-1)),LEFT(A780,FIND(" - ",A780&amp;" - ")-1),TRIM(A780)))</f>
        <v/>
      </c>
      <c r="M780">
        <f>IF(OR(K780="",K780=A780,A780=""),"",K780&amp;"|"&amp;L780)</f>
        <v/>
      </c>
      <c r="N780">
        <f>IF(M780="","",IF(ISNUMBER(B780),B780,IFERROR(_xlfn.NUMBERVALUE(B780,".",","),0)))</f>
        <v/>
      </c>
      <c r="O780">
        <f>IF(M780="","",IF(ISNUMBER(C780),C780,IFERROR(_xlfn.NUMBERVALUE(C780,".",","),0)))</f>
        <v/>
      </c>
    </row>
    <row r="781">
      <c r="K781">
        <f>IF(OR(LEFT(B781,9)="DOANH THU",LEFT(B781,8)="SỐ LƯỢNG"),A781,IF(A781="","",K780))</f>
        <v/>
      </c>
      <c r="L781">
        <f>IF(A781="","",IF(ISNUMBER(--LEFT(A781,FIND(" - ",A781&amp;" - ")-1)),LEFT(A781,FIND(" - ",A781&amp;" - ")-1),TRIM(A781)))</f>
        <v/>
      </c>
      <c r="M781">
        <f>IF(OR(K781="",K781=A781,A781=""),"",K781&amp;"|"&amp;L781)</f>
        <v/>
      </c>
      <c r="N781">
        <f>IF(M781="","",IF(ISNUMBER(B781),B781,IFERROR(_xlfn.NUMBERVALUE(B781,".",","),0)))</f>
        <v/>
      </c>
      <c r="O781">
        <f>IF(M781="","",IF(ISNUMBER(C781),C781,IFERROR(_xlfn.NUMBERVALUE(C781,".",","),0)))</f>
        <v/>
      </c>
    </row>
    <row r="782">
      <c r="K782">
        <f>IF(OR(LEFT(B782,9)="DOANH THU",LEFT(B782,8)="SỐ LƯỢNG"),A782,IF(A782="","",K781))</f>
        <v/>
      </c>
      <c r="L782">
        <f>IF(A782="","",IF(ISNUMBER(--LEFT(A782,FIND(" - ",A782&amp;" - ")-1)),LEFT(A782,FIND(" - ",A782&amp;" - ")-1),TRIM(A782)))</f>
        <v/>
      </c>
      <c r="M782">
        <f>IF(OR(K782="",K782=A782,A782=""),"",K782&amp;"|"&amp;L782)</f>
        <v/>
      </c>
      <c r="N782">
        <f>IF(M782="","",IF(ISNUMBER(B782),B782,IFERROR(_xlfn.NUMBERVALUE(B782,".",","),0)))</f>
        <v/>
      </c>
      <c r="O782">
        <f>IF(M782="","",IF(ISNUMBER(C782),C782,IFERROR(_xlfn.NUMBERVALUE(C782,".",","),0)))</f>
        <v/>
      </c>
    </row>
    <row r="783">
      <c r="K783">
        <f>IF(OR(LEFT(B783,9)="DOANH THU",LEFT(B783,8)="SỐ LƯỢNG"),A783,IF(A783="","",K782))</f>
        <v/>
      </c>
      <c r="L783">
        <f>IF(A783="","",IF(ISNUMBER(--LEFT(A783,FIND(" - ",A783&amp;" - ")-1)),LEFT(A783,FIND(" - ",A783&amp;" - ")-1),TRIM(A783)))</f>
        <v/>
      </c>
      <c r="M783">
        <f>IF(OR(K783="",K783=A783,A783=""),"",K783&amp;"|"&amp;L783)</f>
        <v/>
      </c>
      <c r="N783">
        <f>IF(M783="","",IF(ISNUMBER(B783),B783,IFERROR(_xlfn.NUMBERVALUE(B783,".",","),0)))</f>
        <v/>
      </c>
      <c r="O783">
        <f>IF(M783="","",IF(ISNUMBER(C783),C783,IFERROR(_xlfn.NUMBERVALUE(C783,".",","),0)))</f>
        <v/>
      </c>
    </row>
    <row r="784">
      <c r="K784">
        <f>IF(OR(LEFT(B784,9)="DOANH THU",LEFT(B784,8)="SỐ LƯỢNG"),A784,IF(A784="","",K783))</f>
        <v/>
      </c>
      <c r="L784">
        <f>IF(A784="","",IF(ISNUMBER(--LEFT(A784,FIND(" - ",A784&amp;" - ")-1)),LEFT(A784,FIND(" - ",A784&amp;" - ")-1),TRIM(A784)))</f>
        <v/>
      </c>
      <c r="M784">
        <f>IF(OR(K784="",K784=A784,A784=""),"",K784&amp;"|"&amp;L784)</f>
        <v/>
      </c>
      <c r="N784">
        <f>IF(M784="","",IF(ISNUMBER(B784),B784,IFERROR(_xlfn.NUMBERVALUE(B784,".",","),0)))</f>
        <v/>
      </c>
      <c r="O784">
        <f>IF(M784="","",IF(ISNUMBER(C784),C784,IFERROR(_xlfn.NUMBERVALUE(C784,".",","),0)))</f>
        <v/>
      </c>
    </row>
    <row r="785">
      <c r="K785">
        <f>IF(OR(LEFT(B785,9)="DOANH THU",LEFT(B785,8)="SỐ LƯỢNG"),A785,IF(A785="","",K784))</f>
        <v/>
      </c>
      <c r="L785">
        <f>IF(A785="","",IF(ISNUMBER(--LEFT(A785,FIND(" - ",A785&amp;" - ")-1)),LEFT(A785,FIND(" - ",A785&amp;" - ")-1),TRIM(A785)))</f>
        <v/>
      </c>
      <c r="M785">
        <f>IF(OR(K785="",K785=A785,A785=""),"",K785&amp;"|"&amp;L785)</f>
        <v/>
      </c>
      <c r="N785">
        <f>IF(M785="","",IF(ISNUMBER(B785),B785,IFERROR(_xlfn.NUMBERVALUE(B785,".",","),0)))</f>
        <v/>
      </c>
      <c r="O785">
        <f>IF(M785="","",IF(ISNUMBER(C785),C785,IFERROR(_xlfn.NUMBERVALUE(C785,".",","),0)))</f>
        <v/>
      </c>
    </row>
    <row r="786">
      <c r="K786">
        <f>IF(OR(LEFT(B786,9)="DOANH THU",LEFT(B786,8)="SỐ LƯỢNG"),A786,IF(A786="","",K785))</f>
        <v/>
      </c>
      <c r="L786">
        <f>IF(A786="","",IF(ISNUMBER(--LEFT(A786,FIND(" - ",A786&amp;" - ")-1)),LEFT(A786,FIND(" - ",A786&amp;" - ")-1),TRIM(A786)))</f>
        <v/>
      </c>
      <c r="M786">
        <f>IF(OR(K786="",K786=A786,A786=""),"",K786&amp;"|"&amp;L786)</f>
        <v/>
      </c>
      <c r="N786">
        <f>IF(M786="","",IF(ISNUMBER(B786),B786,IFERROR(_xlfn.NUMBERVALUE(B786,".",","),0)))</f>
        <v/>
      </c>
      <c r="O786">
        <f>IF(M786="","",IF(ISNUMBER(C786),C786,IFERROR(_xlfn.NUMBERVALUE(C786,".",","),0)))</f>
        <v/>
      </c>
    </row>
    <row r="787">
      <c r="K787">
        <f>IF(OR(LEFT(B787,9)="DOANH THU",LEFT(B787,8)="SỐ LƯỢNG"),A787,IF(A787="","",K786))</f>
        <v/>
      </c>
      <c r="L787">
        <f>IF(A787="","",IF(ISNUMBER(--LEFT(A787,FIND(" - ",A787&amp;" - ")-1)),LEFT(A787,FIND(" - ",A787&amp;" - ")-1),TRIM(A787)))</f>
        <v/>
      </c>
      <c r="M787">
        <f>IF(OR(K787="",K787=A787,A787=""),"",K787&amp;"|"&amp;L787)</f>
        <v/>
      </c>
      <c r="N787">
        <f>IF(M787="","",IF(ISNUMBER(B787),B787,IFERROR(_xlfn.NUMBERVALUE(B787,".",","),0)))</f>
        <v/>
      </c>
      <c r="O787">
        <f>IF(M787="","",IF(ISNUMBER(C787),C787,IFERROR(_xlfn.NUMBERVALUE(C787,".",","),0)))</f>
        <v/>
      </c>
    </row>
    <row r="788">
      <c r="K788">
        <f>IF(OR(LEFT(B788,9)="DOANH THU",LEFT(B788,8)="SỐ LƯỢNG"),A788,IF(A788="","",K787))</f>
        <v/>
      </c>
      <c r="L788">
        <f>IF(A788="","",IF(ISNUMBER(--LEFT(A788,FIND(" - ",A788&amp;" - ")-1)),LEFT(A788,FIND(" - ",A788&amp;" - ")-1),TRIM(A788)))</f>
        <v/>
      </c>
      <c r="M788">
        <f>IF(OR(K788="",K788=A788,A788=""),"",K788&amp;"|"&amp;L788)</f>
        <v/>
      </c>
      <c r="N788">
        <f>IF(M788="","",IF(ISNUMBER(B788),B788,IFERROR(_xlfn.NUMBERVALUE(B788,".",","),0)))</f>
        <v/>
      </c>
      <c r="O788">
        <f>IF(M788="","",IF(ISNUMBER(C788),C788,IFERROR(_xlfn.NUMBERVALUE(C788,".",","),0)))</f>
        <v/>
      </c>
    </row>
    <row r="789">
      <c r="K789">
        <f>IF(OR(LEFT(B789,9)="DOANH THU",LEFT(B789,8)="SỐ LƯỢNG"),A789,IF(A789="","",K788))</f>
        <v/>
      </c>
      <c r="L789">
        <f>IF(A789="","",IF(ISNUMBER(--LEFT(A789,FIND(" - ",A789&amp;" - ")-1)),LEFT(A789,FIND(" - ",A789&amp;" - ")-1),TRIM(A789)))</f>
        <v/>
      </c>
      <c r="M789">
        <f>IF(OR(K789="",K789=A789,A789=""),"",K789&amp;"|"&amp;L789)</f>
        <v/>
      </c>
      <c r="N789">
        <f>IF(M789="","",IF(ISNUMBER(B789),B789,IFERROR(_xlfn.NUMBERVALUE(B789,".",","),0)))</f>
        <v/>
      </c>
      <c r="O789">
        <f>IF(M789="","",IF(ISNUMBER(C789),C789,IFERROR(_xlfn.NUMBERVALUE(C789,".",","),0)))</f>
        <v/>
      </c>
    </row>
    <row r="790">
      <c r="K790">
        <f>IF(OR(LEFT(B790,9)="DOANH THU",LEFT(B790,8)="SỐ LƯỢNG"),A790,IF(A790="","",K789))</f>
        <v/>
      </c>
      <c r="L790">
        <f>IF(A790="","",IF(ISNUMBER(--LEFT(A790,FIND(" - ",A790&amp;" - ")-1)),LEFT(A790,FIND(" - ",A790&amp;" - ")-1),TRIM(A790)))</f>
        <v/>
      </c>
      <c r="M790">
        <f>IF(OR(K790="",K790=A790,A790=""),"",K790&amp;"|"&amp;L790)</f>
        <v/>
      </c>
      <c r="N790">
        <f>IF(M790="","",IF(ISNUMBER(B790),B790,IFERROR(_xlfn.NUMBERVALUE(B790,".",","),0)))</f>
        <v/>
      </c>
      <c r="O790">
        <f>IF(M790="","",IF(ISNUMBER(C790),C790,IFERROR(_xlfn.NUMBERVALUE(C790,".",","),0)))</f>
        <v/>
      </c>
    </row>
    <row r="791">
      <c r="K791">
        <f>IF(OR(LEFT(B791,9)="DOANH THU",LEFT(B791,8)="SỐ LƯỢNG"),A791,IF(A791="","",K790))</f>
        <v/>
      </c>
      <c r="L791">
        <f>IF(A791="","",IF(ISNUMBER(--LEFT(A791,FIND(" - ",A791&amp;" - ")-1)),LEFT(A791,FIND(" - ",A791&amp;" - ")-1),TRIM(A791)))</f>
        <v/>
      </c>
      <c r="M791">
        <f>IF(OR(K791="",K791=A791,A791=""),"",K791&amp;"|"&amp;L791)</f>
        <v/>
      </c>
      <c r="N791">
        <f>IF(M791="","",IF(ISNUMBER(B791),B791,IFERROR(_xlfn.NUMBERVALUE(B791,".",","),0)))</f>
        <v/>
      </c>
      <c r="O791">
        <f>IF(M791="","",IF(ISNUMBER(C791),C791,IFERROR(_xlfn.NUMBERVALUE(C791,".",","),0)))</f>
        <v/>
      </c>
    </row>
    <row r="792">
      <c r="K792">
        <f>IF(OR(LEFT(B792,9)="DOANH THU",LEFT(B792,8)="SỐ LƯỢNG"),A792,IF(A792="","",K791))</f>
        <v/>
      </c>
      <c r="L792">
        <f>IF(A792="","",IF(ISNUMBER(--LEFT(A792,FIND(" - ",A792&amp;" - ")-1)),LEFT(A792,FIND(" - ",A792&amp;" - ")-1),TRIM(A792)))</f>
        <v/>
      </c>
      <c r="M792">
        <f>IF(OR(K792="",K792=A792,A792=""),"",K792&amp;"|"&amp;L792)</f>
        <v/>
      </c>
      <c r="N792">
        <f>IF(M792="","",IF(ISNUMBER(B792),B792,IFERROR(_xlfn.NUMBERVALUE(B792,".",","),0)))</f>
        <v/>
      </c>
      <c r="O792">
        <f>IF(M792="","",IF(ISNUMBER(C792),C792,IFERROR(_xlfn.NUMBERVALUE(C792,".",","),0)))</f>
        <v/>
      </c>
    </row>
    <row r="793">
      <c r="K793">
        <f>IF(OR(LEFT(B793,9)="DOANH THU",LEFT(B793,8)="SỐ LƯỢNG"),A793,IF(A793="","",K792))</f>
        <v/>
      </c>
      <c r="L793">
        <f>IF(A793="","",IF(ISNUMBER(--LEFT(A793,FIND(" - ",A793&amp;" - ")-1)),LEFT(A793,FIND(" - ",A793&amp;" - ")-1),TRIM(A793)))</f>
        <v/>
      </c>
      <c r="M793">
        <f>IF(OR(K793="",K793=A793,A793=""),"",K793&amp;"|"&amp;L793)</f>
        <v/>
      </c>
      <c r="N793">
        <f>IF(M793="","",IF(ISNUMBER(B793),B793,IFERROR(_xlfn.NUMBERVALUE(B793,".",","),0)))</f>
        <v/>
      </c>
      <c r="O793">
        <f>IF(M793="","",IF(ISNUMBER(C793),C793,IFERROR(_xlfn.NUMBERVALUE(C793,".",","),0)))</f>
        <v/>
      </c>
    </row>
    <row r="794">
      <c r="K794">
        <f>IF(OR(LEFT(B794,9)="DOANH THU",LEFT(B794,8)="SỐ LƯỢNG"),A794,IF(A794="","",K793))</f>
        <v/>
      </c>
      <c r="L794">
        <f>IF(A794="","",IF(ISNUMBER(--LEFT(A794,FIND(" - ",A794&amp;" - ")-1)),LEFT(A794,FIND(" - ",A794&amp;" - ")-1),TRIM(A794)))</f>
        <v/>
      </c>
      <c r="M794">
        <f>IF(OR(K794="",K794=A794,A794=""),"",K794&amp;"|"&amp;L794)</f>
        <v/>
      </c>
      <c r="N794">
        <f>IF(M794="","",IF(ISNUMBER(B794),B794,IFERROR(_xlfn.NUMBERVALUE(B794,".",","),0)))</f>
        <v/>
      </c>
      <c r="O794">
        <f>IF(M794="","",IF(ISNUMBER(C794),C794,IFERROR(_xlfn.NUMBERVALUE(C794,".",","),0)))</f>
        <v/>
      </c>
    </row>
    <row r="795">
      <c r="K795">
        <f>IF(OR(LEFT(B795,9)="DOANH THU",LEFT(B795,8)="SỐ LƯỢNG"),A795,IF(A795="","",K794))</f>
        <v/>
      </c>
      <c r="L795">
        <f>IF(A795="","",IF(ISNUMBER(--LEFT(A795,FIND(" - ",A795&amp;" - ")-1)),LEFT(A795,FIND(" - ",A795&amp;" - ")-1),TRIM(A795)))</f>
        <v/>
      </c>
      <c r="M795">
        <f>IF(OR(K795="",K795=A795,A795=""),"",K795&amp;"|"&amp;L795)</f>
        <v/>
      </c>
      <c r="N795">
        <f>IF(M795="","",IF(ISNUMBER(B795),B795,IFERROR(_xlfn.NUMBERVALUE(B795,".",","),0)))</f>
        <v/>
      </c>
      <c r="O795">
        <f>IF(M795="","",IF(ISNUMBER(C795),C795,IFERROR(_xlfn.NUMBERVALUE(C795,".",","),0)))</f>
        <v/>
      </c>
    </row>
    <row r="796">
      <c r="K796">
        <f>IF(OR(LEFT(B796,9)="DOANH THU",LEFT(B796,8)="SỐ LƯỢNG"),A796,IF(A796="","",K795))</f>
        <v/>
      </c>
      <c r="L796">
        <f>IF(A796="","",IF(ISNUMBER(--LEFT(A796,FIND(" - ",A796&amp;" - ")-1)),LEFT(A796,FIND(" - ",A796&amp;" - ")-1),TRIM(A796)))</f>
        <v/>
      </c>
      <c r="M796">
        <f>IF(OR(K796="",K796=A796,A796=""),"",K796&amp;"|"&amp;L796)</f>
        <v/>
      </c>
      <c r="N796">
        <f>IF(M796="","",IF(ISNUMBER(B796),B796,IFERROR(_xlfn.NUMBERVALUE(B796,".",","),0)))</f>
        <v/>
      </c>
      <c r="O796">
        <f>IF(M796="","",IF(ISNUMBER(C796),C796,IFERROR(_xlfn.NUMBERVALUE(C796,".",","),0)))</f>
        <v/>
      </c>
    </row>
    <row r="797">
      <c r="K797">
        <f>IF(OR(LEFT(B797,9)="DOANH THU",LEFT(B797,8)="SỐ LƯỢNG"),A797,IF(A797="","",K796))</f>
        <v/>
      </c>
      <c r="L797">
        <f>IF(A797="","",IF(ISNUMBER(--LEFT(A797,FIND(" - ",A797&amp;" - ")-1)),LEFT(A797,FIND(" - ",A797&amp;" - ")-1),TRIM(A797)))</f>
        <v/>
      </c>
      <c r="M797">
        <f>IF(OR(K797="",K797=A797,A797=""),"",K797&amp;"|"&amp;L797)</f>
        <v/>
      </c>
      <c r="N797">
        <f>IF(M797="","",IF(ISNUMBER(B797),B797,IFERROR(_xlfn.NUMBERVALUE(B797,".",","),0)))</f>
        <v/>
      </c>
      <c r="O797">
        <f>IF(M797="","",IF(ISNUMBER(C797),C797,IFERROR(_xlfn.NUMBERVALUE(C797,".",","),0)))</f>
        <v/>
      </c>
    </row>
    <row r="798">
      <c r="K798">
        <f>IF(OR(LEFT(B798,9)="DOANH THU",LEFT(B798,8)="SỐ LƯỢNG"),A798,IF(A798="","",K797))</f>
        <v/>
      </c>
      <c r="L798">
        <f>IF(A798="","",IF(ISNUMBER(--LEFT(A798,FIND(" - ",A798&amp;" - ")-1)),LEFT(A798,FIND(" - ",A798&amp;" - ")-1),TRIM(A798)))</f>
        <v/>
      </c>
      <c r="M798">
        <f>IF(OR(K798="",K798=A798,A798=""),"",K798&amp;"|"&amp;L798)</f>
        <v/>
      </c>
      <c r="N798">
        <f>IF(M798="","",IF(ISNUMBER(B798),B798,IFERROR(_xlfn.NUMBERVALUE(B798,".",","),0)))</f>
        <v/>
      </c>
      <c r="O798">
        <f>IF(M798="","",IF(ISNUMBER(C798),C798,IFERROR(_xlfn.NUMBERVALUE(C798,".",","),0)))</f>
        <v/>
      </c>
    </row>
    <row r="799">
      <c r="K799">
        <f>IF(OR(LEFT(B799,9)="DOANH THU",LEFT(B799,8)="SỐ LƯỢNG"),A799,IF(A799="","",K798))</f>
        <v/>
      </c>
      <c r="L799">
        <f>IF(A799="","",IF(ISNUMBER(--LEFT(A799,FIND(" - ",A799&amp;" - ")-1)),LEFT(A799,FIND(" - ",A799&amp;" - ")-1),TRIM(A799)))</f>
        <v/>
      </c>
      <c r="M799">
        <f>IF(OR(K799="",K799=A799,A799=""),"",K799&amp;"|"&amp;L799)</f>
        <v/>
      </c>
      <c r="N799">
        <f>IF(M799="","",IF(ISNUMBER(B799),B799,IFERROR(_xlfn.NUMBERVALUE(B799,".",","),0)))</f>
        <v/>
      </c>
      <c r="O799">
        <f>IF(M799="","",IF(ISNUMBER(C799),C799,IFERROR(_xlfn.NUMBERVALUE(C799,".",","),0)))</f>
        <v/>
      </c>
    </row>
    <row r="800">
      <c r="K800">
        <f>IF(OR(LEFT(B800,9)="DOANH THU",LEFT(B800,8)="SỐ LƯỢNG"),A800,IF(A800="","",K799))</f>
        <v/>
      </c>
      <c r="L800">
        <f>IF(A800="","",IF(ISNUMBER(--LEFT(A800,FIND(" - ",A800&amp;" - ")-1)),LEFT(A800,FIND(" - ",A800&amp;" - ")-1),TRIM(A800)))</f>
        <v/>
      </c>
      <c r="M800">
        <f>IF(OR(K800="",K800=A800,A800=""),"",K800&amp;"|"&amp;L800)</f>
        <v/>
      </c>
      <c r="N800">
        <f>IF(M800="","",IF(ISNUMBER(B800),B800,IFERROR(_xlfn.NUMBERVALUE(B800,".",","),0)))</f>
        <v/>
      </c>
      <c r="O800">
        <f>IF(M800="","",IF(ISNUMBER(C800),C800,IFERROR(_xlfn.NUMBERVALUE(C800,".",","),0)))</f>
        <v/>
      </c>
    </row>
    <row r="801">
      <c r="K801">
        <f>IF(OR(LEFT(B801,9)="DOANH THU",LEFT(B801,8)="SỐ LƯỢNG"),A801,IF(A801="","",K800))</f>
        <v/>
      </c>
      <c r="L801">
        <f>IF(A801="","",IF(ISNUMBER(--LEFT(A801,FIND(" - ",A801&amp;" - ")-1)),LEFT(A801,FIND(" - ",A801&amp;" - ")-1),TRIM(A801)))</f>
        <v/>
      </c>
      <c r="M801">
        <f>IF(OR(K801="",K801=A801,A801=""),"",K801&amp;"|"&amp;L801)</f>
        <v/>
      </c>
      <c r="N801">
        <f>IF(M801="","",IF(ISNUMBER(B801),B801,IFERROR(_xlfn.NUMBERVALUE(B801,".",","),0)))</f>
        <v/>
      </c>
      <c r="O801">
        <f>IF(M801="","",IF(ISNUMBER(C801),C801,IFERROR(_xlfn.NUMBERVALUE(C801,".",","),0)))</f>
        <v/>
      </c>
    </row>
    <row r="802">
      <c r="K802">
        <f>IF(OR(LEFT(B802,9)="DOANH THU",LEFT(B802,8)="SỐ LƯỢNG"),A802,IF(A802="","",K801))</f>
        <v/>
      </c>
      <c r="L802">
        <f>IF(A802="","",IF(ISNUMBER(--LEFT(A802,FIND(" - ",A802&amp;" - ")-1)),LEFT(A802,FIND(" - ",A802&amp;" - ")-1),TRIM(A802)))</f>
        <v/>
      </c>
      <c r="M802">
        <f>IF(OR(K802="",K802=A802,A802=""),"",K802&amp;"|"&amp;L802)</f>
        <v/>
      </c>
      <c r="N802">
        <f>IF(M802="","",IF(ISNUMBER(B802),B802,IFERROR(_xlfn.NUMBERVALUE(B802,".",","),0)))</f>
        <v/>
      </c>
      <c r="O802">
        <f>IF(M802="","",IF(ISNUMBER(C802),C802,IFERROR(_xlfn.NUMBERVALUE(C802,".",","),0)))</f>
        <v/>
      </c>
    </row>
    <row r="803">
      <c r="K803">
        <f>IF(OR(LEFT(B803,9)="DOANH THU",LEFT(B803,8)="SỐ LƯỢNG"),A803,IF(A803="","",K802))</f>
        <v/>
      </c>
      <c r="L803">
        <f>IF(A803="","",IF(ISNUMBER(--LEFT(A803,FIND(" - ",A803&amp;" - ")-1)),LEFT(A803,FIND(" - ",A803&amp;" - ")-1),TRIM(A803)))</f>
        <v/>
      </c>
      <c r="M803">
        <f>IF(OR(K803="",K803=A803,A803=""),"",K803&amp;"|"&amp;L803)</f>
        <v/>
      </c>
      <c r="N803">
        <f>IF(M803="","",IF(ISNUMBER(B803),B803,IFERROR(_xlfn.NUMBERVALUE(B803,".",","),0)))</f>
        <v/>
      </c>
      <c r="O803">
        <f>IF(M803="","",IF(ISNUMBER(C803),C803,IFERROR(_xlfn.NUMBERVALUE(C803,".",","),0)))</f>
        <v/>
      </c>
    </row>
    <row r="804">
      <c r="K804">
        <f>IF(OR(LEFT(B804,9)="DOANH THU",LEFT(B804,8)="SỐ LƯỢNG"),A804,IF(A804="","",K803))</f>
        <v/>
      </c>
      <c r="L804">
        <f>IF(A804="","",IF(ISNUMBER(--LEFT(A804,FIND(" - ",A804&amp;" - ")-1)),LEFT(A804,FIND(" - ",A804&amp;" - ")-1),TRIM(A804)))</f>
        <v/>
      </c>
      <c r="M804">
        <f>IF(OR(K804="",K804=A804,A804=""),"",K804&amp;"|"&amp;L804)</f>
        <v/>
      </c>
      <c r="N804">
        <f>IF(M804="","",IF(ISNUMBER(B804),B804,IFERROR(_xlfn.NUMBERVALUE(B804,".",","),0)))</f>
        <v/>
      </c>
      <c r="O804">
        <f>IF(M804="","",IF(ISNUMBER(C804),C804,IFERROR(_xlfn.NUMBERVALUE(C804,".",","),0)))</f>
        <v/>
      </c>
    </row>
    <row r="805">
      <c r="K805">
        <f>IF(OR(LEFT(B805,9)="DOANH THU",LEFT(B805,8)="SỐ LƯỢNG"),A805,IF(A805="","",K804))</f>
        <v/>
      </c>
      <c r="L805">
        <f>IF(A805="","",IF(ISNUMBER(--LEFT(A805,FIND(" - ",A805&amp;" - ")-1)),LEFT(A805,FIND(" - ",A805&amp;" - ")-1),TRIM(A805)))</f>
        <v/>
      </c>
      <c r="M805">
        <f>IF(OR(K805="",K805=A805,A805=""),"",K805&amp;"|"&amp;L805)</f>
        <v/>
      </c>
      <c r="N805">
        <f>IF(M805="","",IF(ISNUMBER(B805),B805,IFERROR(_xlfn.NUMBERVALUE(B805,".",","),0)))</f>
        <v/>
      </c>
      <c r="O805">
        <f>IF(M805="","",IF(ISNUMBER(C805),C805,IFERROR(_xlfn.NUMBERVALUE(C805,".",","),0)))</f>
        <v/>
      </c>
    </row>
    <row r="806">
      <c r="K806">
        <f>IF(OR(LEFT(B806,9)="DOANH THU",LEFT(B806,8)="SỐ LƯỢNG"),A806,IF(A806="","",K805))</f>
        <v/>
      </c>
      <c r="L806">
        <f>IF(A806="","",IF(ISNUMBER(--LEFT(A806,FIND(" - ",A806&amp;" - ")-1)),LEFT(A806,FIND(" - ",A806&amp;" - ")-1),TRIM(A806)))</f>
        <v/>
      </c>
      <c r="M806">
        <f>IF(OR(K806="",K806=A806,A806=""),"",K806&amp;"|"&amp;L806)</f>
        <v/>
      </c>
      <c r="N806">
        <f>IF(M806="","",IF(ISNUMBER(B806),B806,IFERROR(_xlfn.NUMBERVALUE(B806,".",","),0)))</f>
        <v/>
      </c>
      <c r="O806">
        <f>IF(M806="","",IF(ISNUMBER(C806),C806,IFERROR(_xlfn.NUMBERVALUE(C806,".",","),0)))</f>
        <v/>
      </c>
    </row>
    <row r="807">
      <c r="K807">
        <f>IF(OR(LEFT(B807,9)="DOANH THU",LEFT(B807,8)="SỐ LƯỢNG"),A807,IF(A807="","",K806))</f>
        <v/>
      </c>
      <c r="L807">
        <f>IF(A807="","",IF(ISNUMBER(--LEFT(A807,FIND(" - ",A807&amp;" - ")-1)),LEFT(A807,FIND(" - ",A807&amp;" - ")-1),TRIM(A807)))</f>
        <v/>
      </c>
      <c r="M807">
        <f>IF(OR(K807="",K807=A807,A807=""),"",K807&amp;"|"&amp;L807)</f>
        <v/>
      </c>
      <c r="N807">
        <f>IF(M807="","",IF(ISNUMBER(B807),B807,IFERROR(_xlfn.NUMBERVALUE(B807,".",","),0)))</f>
        <v/>
      </c>
      <c r="O807">
        <f>IF(M807="","",IF(ISNUMBER(C807),C807,IFERROR(_xlfn.NUMBERVALUE(C807,".",","),0)))</f>
        <v/>
      </c>
    </row>
    <row r="808">
      <c r="K808">
        <f>IF(OR(LEFT(B808,9)="DOANH THU",LEFT(B808,8)="SỐ LƯỢNG"),A808,IF(A808="","",K807))</f>
        <v/>
      </c>
      <c r="L808">
        <f>IF(A808="","",IF(ISNUMBER(--LEFT(A808,FIND(" - ",A808&amp;" - ")-1)),LEFT(A808,FIND(" - ",A808&amp;" - ")-1),TRIM(A808)))</f>
        <v/>
      </c>
      <c r="M808">
        <f>IF(OR(K808="",K808=A808,A808=""),"",K808&amp;"|"&amp;L808)</f>
        <v/>
      </c>
      <c r="N808">
        <f>IF(M808="","",IF(ISNUMBER(B808),B808,IFERROR(_xlfn.NUMBERVALUE(B808,".",","),0)))</f>
        <v/>
      </c>
      <c r="O808">
        <f>IF(M808="","",IF(ISNUMBER(C808),C808,IFERROR(_xlfn.NUMBERVALUE(C808,".",","),0)))</f>
        <v/>
      </c>
    </row>
    <row r="809">
      <c r="K809">
        <f>IF(OR(LEFT(B809,9)="DOANH THU",LEFT(B809,8)="SỐ LƯỢNG"),A809,IF(A809="","",K808))</f>
        <v/>
      </c>
      <c r="L809">
        <f>IF(A809="","",IF(ISNUMBER(--LEFT(A809,FIND(" - ",A809&amp;" - ")-1)),LEFT(A809,FIND(" - ",A809&amp;" - ")-1),TRIM(A809)))</f>
        <v/>
      </c>
      <c r="M809">
        <f>IF(OR(K809="",K809=A809,A809=""),"",K809&amp;"|"&amp;L809)</f>
        <v/>
      </c>
      <c r="N809">
        <f>IF(M809="","",IF(ISNUMBER(B809),B809,IFERROR(_xlfn.NUMBERVALUE(B809,".",","),0)))</f>
        <v/>
      </c>
      <c r="O809">
        <f>IF(M809="","",IF(ISNUMBER(C809),C809,IFERROR(_xlfn.NUMBERVALUE(C809,".",","),0)))</f>
        <v/>
      </c>
    </row>
    <row r="810">
      <c r="K810">
        <f>IF(OR(LEFT(B810,9)="DOANH THU",LEFT(B810,8)="SỐ LƯỢNG"),A810,IF(A810="","",K809))</f>
        <v/>
      </c>
      <c r="L810">
        <f>IF(A810="","",IF(ISNUMBER(--LEFT(A810,FIND(" - ",A810&amp;" - ")-1)),LEFT(A810,FIND(" - ",A810&amp;" - ")-1),TRIM(A810)))</f>
        <v/>
      </c>
      <c r="M810">
        <f>IF(OR(K810="",K810=A810,A810=""),"",K810&amp;"|"&amp;L810)</f>
        <v/>
      </c>
      <c r="N810">
        <f>IF(M810="","",IF(ISNUMBER(B810),B810,IFERROR(_xlfn.NUMBERVALUE(B810,".",","),0)))</f>
        <v/>
      </c>
      <c r="O810">
        <f>IF(M810="","",IF(ISNUMBER(C810),C810,IFERROR(_xlfn.NUMBERVALUE(C810,".",","),0)))</f>
        <v/>
      </c>
    </row>
    <row r="811">
      <c r="K811">
        <f>IF(OR(LEFT(B811,9)="DOANH THU",LEFT(B811,8)="SỐ LƯỢNG"),A811,IF(A811="","",K810))</f>
        <v/>
      </c>
      <c r="L811">
        <f>IF(A811="","",IF(ISNUMBER(--LEFT(A811,FIND(" - ",A811&amp;" - ")-1)),LEFT(A811,FIND(" - ",A811&amp;" - ")-1),TRIM(A811)))</f>
        <v/>
      </c>
      <c r="M811">
        <f>IF(OR(K811="",K811=A811,A811=""),"",K811&amp;"|"&amp;L811)</f>
        <v/>
      </c>
      <c r="N811">
        <f>IF(M811="","",IF(ISNUMBER(B811),B811,IFERROR(_xlfn.NUMBERVALUE(B811,".",","),0)))</f>
        <v/>
      </c>
      <c r="O811">
        <f>IF(M811="","",IF(ISNUMBER(C811),C811,IFERROR(_xlfn.NUMBERVALUE(C811,".",","),0)))</f>
        <v/>
      </c>
    </row>
    <row r="812">
      <c r="K812">
        <f>IF(OR(LEFT(B812,9)="DOANH THU",LEFT(B812,8)="SỐ LƯỢNG"),A812,IF(A812="","",K811))</f>
        <v/>
      </c>
      <c r="L812">
        <f>IF(A812="","",IF(ISNUMBER(--LEFT(A812,FIND(" - ",A812&amp;" - ")-1)),LEFT(A812,FIND(" - ",A812&amp;" - ")-1),TRIM(A812)))</f>
        <v/>
      </c>
      <c r="M812">
        <f>IF(OR(K812="",K812=A812,A812=""),"",K812&amp;"|"&amp;L812)</f>
        <v/>
      </c>
      <c r="N812">
        <f>IF(M812="","",IF(ISNUMBER(B812),B812,IFERROR(_xlfn.NUMBERVALUE(B812,".",","),0)))</f>
        <v/>
      </c>
      <c r="O812">
        <f>IF(M812="","",IF(ISNUMBER(C812),C812,IFERROR(_xlfn.NUMBERVALUE(C812,".",","),0)))</f>
        <v/>
      </c>
    </row>
    <row r="813">
      <c r="K813">
        <f>IF(OR(LEFT(B813,9)="DOANH THU",LEFT(B813,8)="SỐ LƯỢNG"),A813,IF(A813="","",K812))</f>
        <v/>
      </c>
      <c r="L813">
        <f>IF(A813="","",IF(ISNUMBER(--LEFT(A813,FIND(" - ",A813&amp;" - ")-1)),LEFT(A813,FIND(" - ",A813&amp;" - ")-1),TRIM(A813)))</f>
        <v/>
      </c>
      <c r="M813">
        <f>IF(OR(K813="",K813=A813,A813=""),"",K813&amp;"|"&amp;L813)</f>
        <v/>
      </c>
      <c r="N813">
        <f>IF(M813="","",IF(ISNUMBER(B813),B813,IFERROR(_xlfn.NUMBERVALUE(B813,".",","),0)))</f>
        <v/>
      </c>
      <c r="O813">
        <f>IF(M813="","",IF(ISNUMBER(C813),C813,IFERROR(_xlfn.NUMBERVALUE(C813,".",","),0)))</f>
        <v/>
      </c>
    </row>
    <row r="814">
      <c r="K814">
        <f>IF(OR(LEFT(B814,9)="DOANH THU",LEFT(B814,8)="SỐ LƯỢNG"),A814,IF(A814="","",K813))</f>
        <v/>
      </c>
      <c r="L814">
        <f>IF(A814="","",IF(ISNUMBER(--LEFT(A814,FIND(" - ",A814&amp;" - ")-1)),LEFT(A814,FIND(" - ",A814&amp;" - ")-1),TRIM(A814)))</f>
        <v/>
      </c>
      <c r="M814">
        <f>IF(OR(K814="",K814=A814,A814=""),"",K814&amp;"|"&amp;L814)</f>
        <v/>
      </c>
      <c r="N814">
        <f>IF(M814="","",IF(ISNUMBER(B814),B814,IFERROR(_xlfn.NUMBERVALUE(B814,".",","),0)))</f>
        <v/>
      </c>
      <c r="O814">
        <f>IF(M814="","",IF(ISNUMBER(C814),C814,IFERROR(_xlfn.NUMBERVALUE(C814,".",","),0)))</f>
        <v/>
      </c>
    </row>
    <row r="815">
      <c r="K815">
        <f>IF(OR(LEFT(B815,9)="DOANH THU",LEFT(B815,8)="SỐ LƯỢNG"),A815,IF(A815="","",K814))</f>
        <v/>
      </c>
      <c r="L815">
        <f>IF(A815="","",IF(ISNUMBER(--LEFT(A815,FIND(" - ",A815&amp;" - ")-1)),LEFT(A815,FIND(" - ",A815&amp;" - ")-1),TRIM(A815)))</f>
        <v/>
      </c>
      <c r="M815">
        <f>IF(OR(K815="",K815=A815,A815=""),"",K815&amp;"|"&amp;L815)</f>
        <v/>
      </c>
      <c r="N815">
        <f>IF(M815="","",IF(ISNUMBER(B815),B815,IFERROR(_xlfn.NUMBERVALUE(B815,".",","),0)))</f>
        <v/>
      </c>
      <c r="O815">
        <f>IF(M815="","",IF(ISNUMBER(C815),C815,IFERROR(_xlfn.NUMBERVALUE(C815,".",","),0)))</f>
        <v/>
      </c>
    </row>
    <row r="816">
      <c r="K816">
        <f>IF(OR(LEFT(B816,9)="DOANH THU",LEFT(B816,8)="SỐ LƯỢNG"),A816,IF(A816="","",K815))</f>
        <v/>
      </c>
      <c r="L816">
        <f>IF(A816="","",IF(ISNUMBER(--LEFT(A816,FIND(" - ",A816&amp;" - ")-1)),LEFT(A816,FIND(" - ",A816&amp;" - ")-1),TRIM(A816)))</f>
        <v/>
      </c>
      <c r="M816">
        <f>IF(OR(K816="",K816=A816,A816=""),"",K816&amp;"|"&amp;L816)</f>
        <v/>
      </c>
      <c r="N816">
        <f>IF(M816="","",IF(ISNUMBER(B816),B816,IFERROR(_xlfn.NUMBERVALUE(B816,".",","),0)))</f>
        <v/>
      </c>
      <c r="O816">
        <f>IF(M816="","",IF(ISNUMBER(C816),C816,IFERROR(_xlfn.NUMBERVALUE(C816,".",","),0)))</f>
        <v/>
      </c>
    </row>
    <row r="817">
      <c r="K817">
        <f>IF(OR(LEFT(B817,9)="DOANH THU",LEFT(B817,8)="SỐ LƯỢNG"),A817,IF(A817="","",K816))</f>
        <v/>
      </c>
      <c r="L817">
        <f>IF(A817="","",IF(ISNUMBER(--LEFT(A817,FIND(" - ",A817&amp;" - ")-1)),LEFT(A817,FIND(" - ",A817&amp;" - ")-1),TRIM(A817)))</f>
        <v/>
      </c>
      <c r="M817">
        <f>IF(OR(K817="",K817=A817,A817=""),"",K817&amp;"|"&amp;L817)</f>
        <v/>
      </c>
      <c r="N817">
        <f>IF(M817="","",IF(ISNUMBER(B817),B817,IFERROR(_xlfn.NUMBERVALUE(B817,".",","),0)))</f>
        <v/>
      </c>
      <c r="O817">
        <f>IF(M817="","",IF(ISNUMBER(C817),C817,IFERROR(_xlfn.NUMBERVALUE(C817,".",","),0)))</f>
        <v/>
      </c>
    </row>
    <row r="818">
      <c r="K818">
        <f>IF(OR(LEFT(B818,9)="DOANH THU",LEFT(B818,8)="SỐ LƯỢNG"),A818,IF(A818="","",K817))</f>
        <v/>
      </c>
      <c r="L818">
        <f>IF(A818="","",IF(ISNUMBER(--LEFT(A818,FIND(" - ",A818&amp;" - ")-1)),LEFT(A818,FIND(" - ",A818&amp;" - ")-1),TRIM(A818)))</f>
        <v/>
      </c>
      <c r="M818">
        <f>IF(OR(K818="",K818=A818,A818=""),"",K818&amp;"|"&amp;L818)</f>
        <v/>
      </c>
      <c r="N818">
        <f>IF(M818="","",IF(ISNUMBER(B818),B818,IFERROR(_xlfn.NUMBERVALUE(B818,".",","),0)))</f>
        <v/>
      </c>
      <c r="O818">
        <f>IF(M818="","",IF(ISNUMBER(C818),C818,IFERROR(_xlfn.NUMBERVALUE(C818,".",","),0)))</f>
        <v/>
      </c>
    </row>
    <row r="819">
      <c r="K819">
        <f>IF(OR(LEFT(B819,9)="DOANH THU",LEFT(B819,8)="SỐ LƯỢNG"),A819,IF(A819="","",K818))</f>
        <v/>
      </c>
      <c r="L819">
        <f>IF(A819="","",IF(ISNUMBER(--LEFT(A819,FIND(" - ",A819&amp;" - ")-1)),LEFT(A819,FIND(" - ",A819&amp;" - ")-1),TRIM(A819)))</f>
        <v/>
      </c>
      <c r="M819">
        <f>IF(OR(K819="",K819=A819,A819=""),"",K819&amp;"|"&amp;L819)</f>
        <v/>
      </c>
      <c r="N819">
        <f>IF(M819="","",IF(ISNUMBER(B819),B819,IFERROR(_xlfn.NUMBERVALUE(B819,".",","),0)))</f>
        <v/>
      </c>
      <c r="O819">
        <f>IF(M819="","",IF(ISNUMBER(C819),C819,IFERROR(_xlfn.NUMBERVALUE(C819,".",","),0)))</f>
        <v/>
      </c>
    </row>
    <row r="820">
      <c r="K820">
        <f>IF(OR(LEFT(B820,9)="DOANH THU",LEFT(B820,8)="SỐ LƯỢNG"),A820,IF(A820="","",K819))</f>
        <v/>
      </c>
      <c r="L820">
        <f>IF(A820="","",IF(ISNUMBER(--LEFT(A820,FIND(" - ",A820&amp;" - ")-1)),LEFT(A820,FIND(" - ",A820&amp;" - ")-1),TRIM(A820)))</f>
        <v/>
      </c>
      <c r="M820">
        <f>IF(OR(K820="",K820=A820,A820=""),"",K820&amp;"|"&amp;L820)</f>
        <v/>
      </c>
      <c r="N820">
        <f>IF(M820="","",IF(ISNUMBER(B820),B820,IFERROR(_xlfn.NUMBERVALUE(B820,".",","),0)))</f>
        <v/>
      </c>
      <c r="O820">
        <f>IF(M820="","",IF(ISNUMBER(C820),C820,IFERROR(_xlfn.NUMBERVALUE(C820,".",","),0)))</f>
        <v/>
      </c>
    </row>
    <row r="821">
      <c r="K821">
        <f>IF(OR(LEFT(B821,9)="DOANH THU",LEFT(B821,8)="SỐ LƯỢNG"),A821,IF(A821="","",K820))</f>
        <v/>
      </c>
      <c r="L821">
        <f>IF(A821="","",IF(ISNUMBER(--LEFT(A821,FIND(" - ",A821&amp;" - ")-1)),LEFT(A821,FIND(" - ",A821&amp;" - ")-1),TRIM(A821)))</f>
        <v/>
      </c>
      <c r="M821">
        <f>IF(OR(K821="",K821=A821,A821=""),"",K821&amp;"|"&amp;L821)</f>
        <v/>
      </c>
      <c r="N821">
        <f>IF(M821="","",IF(ISNUMBER(B821),B821,IFERROR(_xlfn.NUMBERVALUE(B821,".",","),0)))</f>
        <v/>
      </c>
      <c r="O821">
        <f>IF(M821="","",IF(ISNUMBER(C821),C821,IFERROR(_xlfn.NUMBERVALUE(C821,".",","),0)))</f>
        <v/>
      </c>
    </row>
    <row r="822">
      <c r="K822">
        <f>IF(OR(LEFT(B822,9)="DOANH THU",LEFT(B822,8)="SỐ LƯỢNG"),A822,IF(A822="","",K821))</f>
        <v/>
      </c>
      <c r="L822">
        <f>IF(A822="","",IF(ISNUMBER(--LEFT(A822,FIND(" - ",A822&amp;" - ")-1)),LEFT(A822,FIND(" - ",A822&amp;" - ")-1),TRIM(A822)))</f>
        <v/>
      </c>
      <c r="M822">
        <f>IF(OR(K822="",K822=A822,A822=""),"",K822&amp;"|"&amp;L822)</f>
        <v/>
      </c>
      <c r="N822">
        <f>IF(M822="","",IF(ISNUMBER(B822),B822,IFERROR(_xlfn.NUMBERVALUE(B822,".",","),0)))</f>
        <v/>
      </c>
      <c r="O822">
        <f>IF(M822="","",IF(ISNUMBER(C822),C822,IFERROR(_xlfn.NUMBERVALUE(C822,".",","),0)))</f>
        <v/>
      </c>
    </row>
    <row r="823">
      <c r="K823">
        <f>IF(OR(LEFT(B823,9)="DOANH THU",LEFT(B823,8)="SỐ LƯỢNG"),A823,IF(A823="","",K822))</f>
        <v/>
      </c>
      <c r="L823">
        <f>IF(A823="","",IF(ISNUMBER(--LEFT(A823,FIND(" - ",A823&amp;" - ")-1)),LEFT(A823,FIND(" - ",A823&amp;" - ")-1),TRIM(A823)))</f>
        <v/>
      </c>
      <c r="M823">
        <f>IF(OR(K823="",K823=A823,A823=""),"",K823&amp;"|"&amp;L823)</f>
        <v/>
      </c>
      <c r="N823">
        <f>IF(M823="","",IF(ISNUMBER(B823),B823,IFERROR(_xlfn.NUMBERVALUE(B823,".",","),0)))</f>
        <v/>
      </c>
      <c r="O823">
        <f>IF(M823="","",IF(ISNUMBER(C823),C823,IFERROR(_xlfn.NUMBERVALUE(C823,".",","),0)))</f>
        <v/>
      </c>
    </row>
    <row r="824">
      <c r="K824">
        <f>IF(OR(LEFT(B824,9)="DOANH THU",LEFT(B824,8)="SỐ LƯỢNG"),A824,IF(A824="","",K823))</f>
        <v/>
      </c>
      <c r="L824">
        <f>IF(A824="","",IF(ISNUMBER(--LEFT(A824,FIND(" - ",A824&amp;" - ")-1)),LEFT(A824,FIND(" - ",A824&amp;" - ")-1),TRIM(A824)))</f>
        <v/>
      </c>
      <c r="M824">
        <f>IF(OR(K824="",K824=A824,A824=""),"",K824&amp;"|"&amp;L824)</f>
        <v/>
      </c>
      <c r="N824">
        <f>IF(M824="","",IF(ISNUMBER(B824),B824,IFERROR(_xlfn.NUMBERVALUE(B824,".",","),0)))</f>
        <v/>
      </c>
      <c r="O824">
        <f>IF(M824="","",IF(ISNUMBER(C824),C824,IFERROR(_xlfn.NUMBERVALUE(C824,".",","),0)))</f>
        <v/>
      </c>
    </row>
    <row r="825">
      <c r="K825">
        <f>IF(OR(LEFT(B825,9)="DOANH THU",LEFT(B825,8)="SỐ LƯỢNG"),A825,IF(A825="","",K824))</f>
        <v/>
      </c>
      <c r="L825">
        <f>IF(A825="","",IF(ISNUMBER(--LEFT(A825,FIND(" - ",A825&amp;" - ")-1)),LEFT(A825,FIND(" - ",A825&amp;" - ")-1),TRIM(A825)))</f>
        <v/>
      </c>
      <c r="M825">
        <f>IF(OR(K825="",K825=A825,A825=""),"",K825&amp;"|"&amp;L825)</f>
        <v/>
      </c>
      <c r="N825">
        <f>IF(M825="","",IF(ISNUMBER(B825),B825,IFERROR(_xlfn.NUMBERVALUE(B825,".",","),0)))</f>
        <v/>
      </c>
      <c r="O825">
        <f>IF(M825="","",IF(ISNUMBER(C825),C825,IFERROR(_xlfn.NUMBERVALUE(C825,".",","),0)))</f>
        <v/>
      </c>
    </row>
    <row r="826">
      <c r="K826">
        <f>IF(OR(LEFT(B826,9)="DOANH THU",LEFT(B826,8)="SỐ LƯỢNG"),A826,IF(A826="","",K825))</f>
        <v/>
      </c>
      <c r="L826">
        <f>IF(A826="","",IF(ISNUMBER(--LEFT(A826,FIND(" - ",A826&amp;" - ")-1)),LEFT(A826,FIND(" - ",A826&amp;" - ")-1),TRIM(A826)))</f>
        <v/>
      </c>
      <c r="M826">
        <f>IF(OR(K826="",K826=A826,A826=""),"",K826&amp;"|"&amp;L826)</f>
        <v/>
      </c>
      <c r="N826">
        <f>IF(M826="","",IF(ISNUMBER(B826),B826,IFERROR(_xlfn.NUMBERVALUE(B826,".",","),0)))</f>
        <v/>
      </c>
      <c r="O826">
        <f>IF(M826="","",IF(ISNUMBER(C826),C826,IFERROR(_xlfn.NUMBERVALUE(C826,".",","),0)))</f>
        <v/>
      </c>
    </row>
    <row r="827">
      <c r="K827">
        <f>IF(OR(LEFT(B827,9)="DOANH THU",LEFT(B827,8)="SỐ LƯỢNG"),A827,IF(A827="","",K826))</f>
        <v/>
      </c>
      <c r="L827">
        <f>IF(A827="","",IF(ISNUMBER(--LEFT(A827,FIND(" - ",A827&amp;" - ")-1)),LEFT(A827,FIND(" - ",A827&amp;" - ")-1),TRIM(A827)))</f>
        <v/>
      </c>
      <c r="M827">
        <f>IF(OR(K827="",K827=A827,A827=""),"",K827&amp;"|"&amp;L827)</f>
        <v/>
      </c>
      <c r="N827">
        <f>IF(M827="","",IF(ISNUMBER(B827),B827,IFERROR(_xlfn.NUMBERVALUE(B827,".",","),0)))</f>
        <v/>
      </c>
      <c r="O827">
        <f>IF(M827="","",IF(ISNUMBER(C827),C827,IFERROR(_xlfn.NUMBERVALUE(C827,".",","),0)))</f>
        <v/>
      </c>
    </row>
    <row r="828">
      <c r="K828">
        <f>IF(OR(LEFT(B828,9)="DOANH THU",LEFT(B828,8)="SỐ LƯỢNG"),A828,IF(A828="","",K827))</f>
        <v/>
      </c>
      <c r="L828">
        <f>IF(A828="","",IF(ISNUMBER(--LEFT(A828,FIND(" - ",A828&amp;" - ")-1)),LEFT(A828,FIND(" - ",A828&amp;" - ")-1),TRIM(A828)))</f>
        <v/>
      </c>
      <c r="M828">
        <f>IF(OR(K828="",K828=A828,A828=""),"",K828&amp;"|"&amp;L828)</f>
        <v/>
      </c>
      <c r="N828">
        <f>IF(M828="","",IF(ISNUMBER(B828),B828,IFERROR(_xlfn.NUMBERVALUE(B828,".",","),0)))</f>
        <v/>
      </c>
      <c r="O828">
        <f>IF(M828="","",IF(ISNUMBER(C828),C828,IFERROR(_xlfn.NUMBERVALUE(C828,".",","),0)))</f>
        <v/>
      </c>
    </row>
    <row r="829">
      <c r="K829">
        <f>IF(OR(LEFT(B829,9)="DOANH THU",LEFT(B829,8)="SỐ LƯỢNG"),A829,IF(A829="","",K828))</f>
        <v/>
      </c>
      <c r="L829">
        <f>IF(A829="","",IF(ISNUMBER(--LEFT(A829,FIND(" - ",A829&amp;" - ")-1)),LEFT(A829,FIND(" - ",A829&amp;" - ")-1),TRIM(A829)))</f>
        <v/>
      </c>
      <c r="M829">
        <f>IF(OR(K829="",K829=A829,A829=""),"",K829&amp;"|"&amp;L829)</f>
        <v/>
      </c>
      <c r="N829">
        <f>IF(M829="","",IF(ISNUMBER(B829),B829,IFERROR(_xlfn.NUMBERVALUE(B829,".",","),0)))</f>
        <v/>
      </c>
      <c r="O829">
        <f>IF(M829="","",IF(ISNUMBER(C829),C829,IFERROR(_xlfn.NUMBERVALUE(C829,".",","),0)))</f>
        <v/>
      </c>
    </row>
    <row r="830">
      <c r="K830">
        <f>IF(OR(LEFT(B830,9)="DOANH THU",LEFT(B830,8)="SỐ LƯỢNG"),A830,IF(A830="","",K829))</f>
        <v/>
      </c>
      <c r="L830">
        <f>IF(A830="","",IF(ISNUMBER(--LEFT(A830,FIND(" - ",A830&amp;" - ")-1)),LEFT(A830,FIND(" - ",A830&amp;" - ")-1),TRIM(A830)))</f>
        <v/>
      </c>
      <c r="M830">
        <f>IF(OR(K830="",K830=A830,A830=""),"",K830&amp;"|"&amp;L830)</f>
        <v/>
      </c>
      <c r="N830">
        <f>IF(M830="","",IF(ISNUMBER(B830),B830,IFERROR(_xlfn.NUMBERVALUE(B830,".",","),0)))</f>
        <v/>
      </c>
      <c r="O830">
        <f>IF(M830="","",IF(ISNUMBER(C830),C830,IFERROR(_xlfn.NUMBERVALUE(C830,".",","),0)))</f>
        <v/>
      </c>
    </row>
    <row r="831">
      <c r="K831">
        <f>IF(OR(LEFT(B831,9)="DOANH THU",LEFT(B831,8)="SỐ LƯỢNG"),A831,IF(A831="","",K830))</f>
        <v/>
      </c>
      <c r="L831">
        <f>IF(A831="","",IF(ISNUMBER(--LEFT(A831,FIND(" - ",A831&amp;" - ")-1)),LEFT(A831,FIND(" - ",A831&amp;" - ")-1),TRIM(A831)))</f>
        <v/>
      </c>
      <c r="M831">
        <f>IF(OR(K831="",K831=A831,A831=""),"",K831&amp;"|"&amp;L831)</f>
        <v/>
      </c>
      <c r="N831">
        <f>IF(M831="","",IF(ISNUMBER(B831),B831,IFERROR(_xlfn.NUMBERVALUE(B831,".",","),0)))</f>
        <v/>
      </c>
      <c r="O831">
        <f>IF(M831="","",IF(ISNUMBER(C831),C831,IFERROR(_xlfn.NUMBERVALUE(C831,".",","),0)))</f>
        <v/>
      </c>
    </row>
    <row r="832">
      <c r="K832">
        <f>IF(OR(LEFT(B832,9)="DOANH THU",LEFT(B832,8)="SỐ LƯỢNG"),A832,IF(A832="","",K831))</f>
        <v/>
      </c>
      <c r="L832">
        <f>IF(A832="","",IF(ISNUMBER(--LEFT(A832,FIND(" - ",A832&amp;" - ")-1)),LEFT(A832,FIND(" - ",A832&amp;" - ")-1),TRIM(A832)))</f>
        <v/>
      </c>
      <c r="M832">
        <f>IF(OR(K832="",K832=A832,A832=""),"",K832&amp;"|"&amp;L832)</f>
        <v/>
      </c>
      <c r="N832">
        <f>IF(M832="","",IF(ISNUMBER(B832),B832,IFERROR(_xlfn.NUMBERVALUE(B832,".",","),0)))</f>
        <v/>
      </c>
      <c r="O832">
        <f>IF(M832="","",IF(ISNUMBER(C832),C832,IFERROR(_xlfn.NUMBERVALUE(C832,".",","),0)))</f>
        <v/>
      </c>
    </row>
    <row r="833">
      <c r="K833">
        <f>IF(OR(LEFT(B833,9)="DOANH THU",LEFT(B833,8)="SỐ LƯỢNG"),A833,IF(A833="","",K832))</f>
        <v/>
      </c>
      <c r="L833">
        <f>IF(A833="","",IF(ISNUMBER(--LEFT(A833,FIND(" - ",A833&amp;" - ")-1)),LEFT(A833,FIND(" - ",A833&amp;" - ")-1),TRIM(A833)))</f>
        <v/>
      </c>
      <c r="M833">
        <f>IF(OR(K833="",K833=A833,A833=""),"",K833&amp;"|"&amp;L833)</f>
        <v/>
      </c>
      <c r="N833">
        <f>IF(M833="","",IF(ISNUMBER(B833),B833,IFERROR(_xlfn.NUMBERVALUE(B833,".",","),0)))</f>
        <v/>
      </c>
      <c r="O833">
        <f>IF(M833="","",IF(ISNUMBER(C833),C833,IFERROR(_xlfn.NUMBERVALUE(C833,".",","),0)))</f>
        <v/>
      </c>
    </row>
    <row r="834">
      <c r="K834">
        <f>IF(OR(LEFT(B834,9)="DOANH THU",LEFT(B834,8)="SỐ LƯỢNG"),A834,IF(A834="","",K833))</f>
        <v/>
      </c>
      <c r="L834">
        <f>IF(A834="","",IF(ISNUMBER(--LEFT(A834,FIND(" - ",A834&amp;" - ")-1)),LEFT(A834,FIND(" - ",A834&amp;" - ")-1),TRIM(A834)))</f>
        <v/>
      </c>
      <c r="M834">
        <f>IF(OR(K834="",K834=A834,A834=""),"",K834&amp;"|"&amp;L834)</f>
        <v/>
      </c>
      <c r="N834">
        <f>IF(M834="","",IF(ISNUMBER(B834),B834,IFERROR(_xlfn.NUMBERVALUE(B834,".",","),0)))</f>
        <v/>
      </c>
      <c r="O834">
        <f>IF(M834="","",IF(ISNUMBER(C834),C834,IFERROR(_xlfn.NUMBERVALUE(C834,".",","),0)))</f>
        <v/>
      </c>
    </row>
    <row r="835">
      <c r="K835">
        <f>IF(OR(LEFT(B835,9)="DOANH THU",LEFT(B835,8)="SỐ LƯỢNG"),A835,IF(A835="","",K834))</f>
        <v/>
      </c>
      <c r="L835">
        <f>IF(A835="","",IF(ISNUMBER(--LEFT(A835,FIND(" - ",A835&amp;" - ")-1)),LEFT(A835,FIND(" - ",A835&amp;" - ")-1),TRIM(A835)))</f>
        <v/>
      </c>
      <c r="M835">
        <f>IF(OR(K835="",K835=A835,A835=""),"",K835&amp;"|"&amp;L835)</f>
        <v/>
      </c>
      <c r="N835">
        <f>IF(M835="","",IF(ISNUMBER(B835),B835,IFERROR(_xlfn.NUMBERVALUE(B835,".",","),0)))</f>
        <v/>
      </c>
      <c r="O835">
        <f>IF(M835="","",IF(ISNUMBER(C835),C835,IFERROR(_xlfn.NUMBERVALUE(C835,".",","),0)))</f>
        <v/>
      </c>
    </row>
    <row r="836">
      <c r="K836">
        <f>IF(OR(LEFT(B836,9)="DOANH THU",LEFT(B836,8)="SỐ LƯỢNG"),A836,IF(A836="","",K835))</f>
        <v/>
      </c>
      <c r="L836">
        <f>IF(A836="","",IF(ISNUMBER(--LEFT(A836,FIND(" - ",A836&amp;" - ")-1)),LEFT(A836,FIND(" - ",A836&amp;" - ")-1),TRIM(A836)))</f>
        <v/>
      </c>
      <c r="M836">
        <f>IF(OR(K836="",K836=A836,A836=""),"",K836&amp;"|"&amp;L836)</f>
        <v/>
      </c>
      <c r="N836">
        <f>IF(M836="","",IF(ISNUMBER(B836),B836,IFERROR(_xlfn.NUMBERVALUE(B836,".",","),0)))</f>
        <v/>
      </c>
      <c r="O836">
        <f>IF(M836="","",IF(ISNUMBER(C836),C836,IFERROR(_xlfn.NUMBERVALUE(C836,".",","),0)))</f>
        <v/>
      </c>
    </row>
    <row r="837">
      <c r="K837">
        <f>IF(OR(LEFT(B837,9)="DOANH THU",LEFT(B837,8)="SỐ LƯỢNG"),A837,IF(A837="","",K836))</f>
        <v/>
      </c>
      <c r="L837">
        <f>IF(A837="","",IF(ISNUMBER(--LEFT(A837,FIND(" - ",A837&amp;" - ")-1)),LEFT(A837,FIND(" - ",A837&amp;" - ")-1),TRIM(A837)))</f>
        <v/>
      </c>
      <c r="M837">
        <f>IF(OR(K837="",K837=A837,A837=""),"",K837&amp;"|"&amp;L837)</f>
        <v/>
      </c>
      <c r="N837">
        <f>IF(M837="","",IF(ISNUMBER(B837),B837,IFERROR(_xlfn.NUMBERVALUE(B837,".",","),0)))</f>
        <v/>
      </c>
      <c r="O837">
        <f>IF(M837="","",IF(ISNUMBER(C837),C837,IFERROR(_xlfn.NUMBERVALUE(C837,".",","),0)))</f>
        <v/>
      </c>
    </row>
    <row r="838">
      <c r="K838">
        <f>IF(OR(LEFT(B838,9)="DOANH THU",LEFT(B838,8)="SỐ LƯỢNG"),A838,IF(A838="","",K837))</f>
        <v/>
      </c>
      <c r="L838">
        <f>IF(A838="","",IF(ISNUMBER(--LEFT(A838,FIND(" - ",A838&amp;" - ")-1)),LEFT(A838,FIND(" - ",A838&amp;" - ")-1),TRIM(A838)))</f>
        <v/>
      </c>
      <c r="M838">
        <f>IF(OR(K838="",K838=A838,A838=""),"",K838&amp;"|"&amp;L838)</f>
        <v/>
      </c>
      <c r="N838">
        <f>IF(M838="","",IF(ISNUMBER(B838),B838,IFERROR(_xlfn.NUMBERVALUE(B838,".",","),0)))</f>
        <v/>
      </c>
      <c r="O838">
        <f>IF(M838="","",IF(ISNUMBER(C838),C838,IFERROR(_xlfn.NUMBERVALUE(C838,".",","),0)))</f>
        <v/>
      </c>
    </row>
    <row r="839">
      <c r="K839">
        <f>IF(OR(LEFT(B839,9)="DOANH THU",LEFT(B839,8)="SỐ LƯỢNG"),A839,IF(A839="","",K838))</f>
        <v/>
      </c>
      <c r="L839">
        <f>IF(A839="","",IF(ISNUMBER(--LEFT(A839,FIND(" - ",A839&amp;" - ")-1)),LEFT(A839,FIND(" - ",A839&amp;" - ")-1),TRIM(A839)))</f>
        <v/>
      </c>
      <c r="M839">
        <f>IF(OR(K839="",K839=A839,A839=""),"",K839&amp;"|"&amp;L839)</f>
        <v/>
      </c>
      <c r="N839">
        <f>IF(M839="","",IF(ISNUMBER(B839),B839,IFERROR(_xlfn.NUMBERVALUE(B839,".",","),0)))</f>
        <v/>
      </c>
      <c r="O839">
        <f>IF(M839="","",IF(ISNUMBER(C839),C839,IFERROR(_xlfn.NUMBERVALUE(C839,".",","),0)))</f>
        <v/>
      </c>
    </row>
    <row r="840">
      <c r="K840">
        <f>IF(OR(LEFT(B840,9)="DOANH THU",LEFT(B840,8)="SỐ LƯỢNG"),A840,IF(A840="","",K839))</f>
        <v/>
      </c>
      <c r="L840">
        <f>IF(A840="","",IF(ISNUMBER(--LEFT(A840,FIND(" - ",A840&amp;" - ")-1)),LEFT(A840,FIND(" - ",A840&amp;" - ")-1),TRIM(A840)))</f>
        <v/>
      </c>
      <c r="M840">
        <f>IF(OR(K840="",K840=A840,A840=""),"",K840&amp;"|"&amp;L840)</f>
        <v/>
      </c>
      <c r="N840">
        <f>IF(M840="","",IF(ISNUMBER(B840),B840,IFERROR(_xlfn.NUMBERVALUE(B840,".",","),0)))</f>
        <v/>
      </c>
      <c r="O840">
        <f>IF(M840="","",IF(ISNUMBER(C840),C840,IFERROR(_xlfn.NUMBERVALUE(C840,".",","),0)))</f>
        <v/>
      </c>
    </row>
    <row r="841">
      <c r="K841">
        <f>IF(OR(LEFT(B841,9)="DOANH THU",LEFT(B841,8)="SỐ LƯỢNG"),A841,IF(A841="","",K840))</f>
        <v/>
      </c>
      <c r="L841">
        <f>IF(A841="","",IF(ISNUMBER(--LEFT(A841,FIND(" - ",A841&amp;" - ")-1)),LEFT(A841,FIND(" - ",A841&amp;" - ")-1),TRIM(A841)))</f>
        <v/>
      </c>
      <c r="M841">
        <f>IF(OR(K841="",K841=A841,A841=""),"",K841&amp;"|"&amp;L841)</f>
        <v/>
      </c>
      <c r="N841">
        <f>IF(M841="","",IF(ISNUMBER(B841),B841,IFERROR(_xlfn.NUMBERVALUE(B841,".",","),0)))</f>
        <v/>
      </c>
      <c r="O841">
        <f>IF(M841="","",IF(ISNUMBER(C841),C841,IFERROR(_xlfn.NUMBERVALUE(C841,".",","),0)))</f>
        <v/>
      </c>
    </row>
    <row r="842">
      <c r="K842">
        <f>IF(OR(LEFT(B842,9)="DOANH THU",LEFT(B842,8)="SỐ LƯỢNG"),A842,IF(A842="","",K841))</f>
        <v/>
      </c>
      <c r="L842">
        <f>IF(A842="","",IF(ISNUMBER(--LEFT(A842,FIND(" - ",A842&amp;" - ")-1)),LEFT(A842,FIND(" - ",A842&amp;" - ")-1),TRIM(A842)))</f>
        <v/>
      </c>
      <c r="M842">
        <f>IF(OR(K842="",K842=A842,A842=""),"",K842&amp;"|"&amp;L842)</f>
        <v/>
      </c>
      <c r="N842">
        <f>IF(M842="","",IF(ISNUMBER(B842),B842,IFERROR(_xlfn.NUMBERVALUE(B842,".",","),0)))</f>
        <v/>
      </c>
      <c r="O842">
        <f>IF(M842="","",IF(ISNUMBER(C842),C842,IFERROR(_xlfn.NUMBERVALUE(C842,".",","),0)))</f>
        <v/>
      </c>
    </row>
    <row r="843">
      <c r="K843">
        <f>IF(OR(LEFT(B843,9)="DOANH THU",LEFT(B843,8)="SỐ LƯỢNG"),A843,IF(A843="","",K842))</f>
        <v/>
      </c>
      <c r="L843">
        <f>IF(A843="","",IF(ISNUMBER(--LEFT(A843,FIND(" - ",A843&amp;" - ")-1)),LEFT(A843,FIND(" - ",A843&amp;" - ")-1),TRIM(A843)))</f>
        <v/>
      </c>
      <c r="M843">
        <f>IF(OR(K843="",K843=A843,A843=""),"",K843&amp;"|"&amp;L843)</f>
        <v/>
      </c>
      <c r="N843">
        <f>IF(M843="","",IF(ISNUMBER(B843),B843,IFERROR(_xlfn.NUMBERVALUE(B843,".",","),0)))</f>
        <v/>
      </c>
      <c r="O843">
        <f>IF(M843="","",IF(ISNUMBER(C843),C843,IFERROR(_xlfn.NUMBERVALUE(C843,".",","),0)))</f>
        <v/>
      </c>
    </row>
    <row r="844">
      <c r="K844">
        <f>IF(OR(LEFT(B844,9)="DOANH THU",LEFT(B844,8)="SỐ LƯỢNG"),A844,IF(A844="","",K843))</f>
        <v/>
      </c>
      <c r="L844">
        <f>IF(A844="","",IF(ISNUMBER(--LEFT(A844,FIND(" - ",A844&amp;" - ")-1)),LEFT(A844,FIND(" - ",A844&amp;" - ")-1),TRIM(A844)))</f>
        <v/>
      </c>
      <c r="M844">
        <f>IF(OR(K844="",K844=A844,A844=""),"",K844&amp;"|"&amp;L844)</f>
        <v/>
      </c>
      <c r="N844">
        <f>IF(M844="","",IF(ISNUMBER(B844),B844,IFERROR(_xlfn.NUMBERVALUE(B844,".",","),0)))</f>
        <v/>
      </c>
      <c r="O844">
        <f>IF(M844="","",IF(ISNUMBER(C844),C844,IFERROR(_xlfn.NUMBERVALUE(C844,".",","),0)))</f>
        <v/>
      </c>
    </row>
    <row r="845">
      <c r="K845">
        <f>IF(OR(LEFT(B845,9)="DOANH THU",LEFT(B845,8)="SỐ LƯỢNG"),A845,IF(A845="","",K844))</f>
        <v/>
      </c>
      <c r="L845">
        <f>IF(A845="","",IF(ISNUMBER(--LEFT(A845,FIND(" - ",A845&amp;" - ")-1)),LEFT(A845,FIND(" - ",A845&amp;" - ")-1),TRIM(A845)))</f>
        <v/>
      </c>
      <c r="M845">
        <f>IF(OR(K845="",K845=A845,A845=""),"",K845&amp;"|"&amp;L845)</f>
        <v/>
      </c>
      <c r="N845">
        <f>IF(M845="","",IF(ISNUMBER(B845),B845,IFERROR(_xlfn.NUMBERVALUE(B845,".",","),0)))</f>
        <v/>
      </c>
      <c r="O845">
        <f>IF(M845="","",IF(ISNUMBER(C845),C845,IFERROR(_xlfn.NUMBERVALUE(C845,".",","),0)))</f>
        <v/>
      </c>
    </row>
    <row r="846">
      <c r="K846">
        <f>IF(OR(LEFT(B846,9)="DOANH THU",LEFT(B846,8)="SỐ LƯỢNG"),A846,IF(A846="","",K845))</f>
        <v/>
      </c>
      <c r="L846">
        <f>IF(A846="","",IF(ISNUMBER(--LEFT(A846,FIND(" - ",A846&amp;" - ")-1)),LEFT(A846,FIND(" - ",A846&amp;" - ")-1),TRIM(A846)))</f>
        <v/>
      </c>
      <c r="M846">
        <f>IF(OR(K846="",K846=A846,A846=""),"",K846&amp;"|"&amp;L846)</f>
        <v/>
      </c>
      <c r="N846">
        <f>IF(M846="","",IF(ISNUMBER(B846),B846,IFERROR(_xlfn.NUMBERVALUE(B846,".",","),0)))</f>
        <v/>
      </c>
      <c r="O846">
        <f>IF(M846="","",IF(ISNUMBER(C846),C846,IFERROR(_xlfn.NUMBERVALUE(C846,".",","),0)))</f>
        <v/>
      </c>
    </row>
    <row r="847">
      <c r="K847">
        <f>IF(OR(LEFT(B847,9)="DOANH THU",LEFT(B847,8)="SỐ LƯỢNG"),A847,IF(A847="","",K846))</f>
        <v/>
      </c>
      <c r="L847">
        <f>IF(A847="","",IF(ISNUMBER(--LEFT(A847,FIND(" - ",A847&amp;" - ")-1)),LEFT(A847,FIND(" - ",A847&amp;" - ")-1),TRIM(A847)))</f>
        <v/>
      </c>
      <c r="M847">
        <f>IF(OR(K847="",K847=A847,A847=""),"",K847&amp;"|"&amp;L847)</f>
        <v/>
      </c>
      <c r="N847">
        <f>IF(M847="","",IF(ISNUMBER(B847),B847,IFERROR(_xlfn.NUMBERVALUE(B847,".",","),0)))</f>
        <v/>
      </c>
      <c r="O847">
        <f>IF(M847="","",IF(ISNUMBER(C847),C847,IFERROR(_xlfn.NUMBERVALUE(C847,".",","),0)))</f>
        <v/>
      </c>
    </row>
    <row r="848">
      <c r="K848">
        <f>IF(OR(LEFT(B848,9)="DOANH THU",LEFT(B848,8)="SỐ LƯỢNG"),A848,IF(A848="","",K847))</f>
        <v/>
      </c>
      <c r="L848">
        <f>IF(A848="","",IF(ISNUMBER(--LEFT(A848,FIND(" - ",A848&amp;" - ")-1)),LEFT(A848,FIND(" - ",A848&amp;" - ")-1),TRIM(A848)))</f>
        <v/>
      </c>
      <c r="M848">
        <f>IF(OR(K848="",K848=A848,A848=""),"",K848&amp;"|"&amp;L848)</f>
        <v/>
      </c>
      <c r="N848">
        <f>IF(M848="","",IF(ISNUMBER(B848),B848,IFERROR(_xlfn.NUMBERVALUE(B848,".",","),0)))</f>
        <v/>
      </c>
      <c r="O848">
        <f>IF(M848="","",IF(ISNUMBER(C848),C848,IFERROR(_xlfn.NUMBERVALUE(C848,".",","),0)))</f>
        <v/>
      </c>
    </row>
    <row r="849">
      <c r="K849">
        <f>IF(OR(LEFT(B849,9)="DOANH THU",LEFT(B849,8)="SỐ LƯỢNG"),A849,IF(A849="","",K848))</f>
        <v/>
      </c>
      <c r="L849">
        <f>IF(A849="","",IF(ISNUMBER(--LEFT(A849,FIND(" - ",A849&amp;" - ")-1)),LEFT(A849,FIND(" - ",A849&amp;" - ")-1),TRIM(A849)))</f>
        <v/>
      </c>
      <c r="M849">
        <f>IF(OR(K849="",K849=A849,A849=""),"",K849&amp;"|"&amp;L849)</f>
        <v/>
      </c>
      <c r="N849">
        <f>IF(M849="","",IF(ISNUMBER(B849),B849,IFERROR(_xlfn.NUMBERVALUE(B849,".",","),0)))</f>
        <v/>
      </c>
      <c r="O849">
        <f>IF(M849="","",IF(ISNUMBER(C849),C849,IFERROR(_xlfn.NUMBERVALUE(C849,".",","),0)))</f>
        <v/>
      </c>
    </row>
    <row r="850">
      <c r="K850">
        <f>IF(OR(LEFT(B850,9)="DOANH THU",LEFT(B850,8)="SỐ LƯỢNG"),A850,IF(A850="","",K849))</f>
        <v/>
      </c>
      <c r="L850">
        <f>IF(A850="","",IF(ISNUMBER(--LEFT(A850,FIND(" - ",A850&amp;" - ")-1)),LEFT(A850,FIND(" - ",A850&amp;" - ")-1),TRIM(A850)))</f>
        <v/>
      </c>
      <c r="M850">
        <f>IF(OR(K850="",K850=A850,A850=""),"",K850&amp;"|"&amp;L850)</f>
        <v/>
      </c>
      <c r="N850">
        <f>IF(M850="","",IF(ISNUMBER(B850),B850,IFERROR(_xlfn.NUMBERVALUE(B850,".",","),0)))</f>
        <v/>
      </c>
      <c r="O850">
        <f>IF(M850="","",IF(ISNUMBER(C850),C850,IFERROR(_xlfn.NUMBERVALUE(C850,".",","),0)))</f>
        <v/>
      </c>
    </row>
    <row r="851">
      <c r="K851">
        <f>IF(OR(LEFT(B851,9)="DOANH THU",LEFT(B851,8)="SỐ LƯỢNG"),A851,IF(A851="","",K850))</f>
        <v/>
      </c>
      <c r="L851">
        <f>IF(A851="","",IF(ISNUMBER(--LEFT(A851,FIND(" - ",A851&amp;" - ")-1)),LEFT(A851,FIND(" - ",A851&amp;" - ")-1),TRIM(A851)))</f>
        <v/>
      </c>
      <c r="M851">
        <f>IF(OR(K851="",K851=A851,A851=""),"",K851&amp;"|"&amp;L851)</f>
        <v/>
      </c>
      <c r="N851">
        <f>IF(M851="","",IF(ISNUMBER(B851),B851,IFERROR(_xlfn.NUMBERVALUE(B851,".",","),0)))</f>
        <v/>
      </c>
      <c r="O851">
        <f>IF(M851="","",IF(ISNUMBER(C851),C851,IFERROR(_xlfn.NUMBERVALUE(C851,".",","),0)))</f>
        <v/>
      </c>
    </row>
    <row r="852">
      <c r="K852">
        <f>IF(OR(LEFT(B852,9)="DOANH THU",LEFT(B852,8)="SỐ LƯỢNG"),A852,IF(A852="","",K851))</f>
        <v/>
      </c>
      <c r="L852">
        <f>IF(A852="","",IF(ISNUMBER(--LEFT(A852,FIND(" - ",A852&amp;" - ")-1)),LEFT(A852,FIND(" - ",A852&amp;" - ")-1),TRIM(A852)))</f>
        <v/>
      </c>
      <c r="M852">
        <f>IF(OR(K852="",K852=A852,A852=""),"",K852&amp;"|"&amp;L852)</f>
        <v/>
      </c>
      <c r="N852">
        <f>IF(M852="","",IF(ISNUMBER(B852),B852,IFERROR(_xlfn.NUMBERVALUE(B852,".",","),0)))</f>
        <v/>
      </c>
      <c r="O852">
        <f>IF(M852="","",IF(ISNUMBER(C852),C852,IFERROR(_xlfn.NUMBERVALUE(C852,".",","),0)))</f>
        <v/>
      </c>
    </row>
    <row r="853">
      <c r="K853">
        <f>IF(OR(LEFT(B853,9)="DOANH THU",LEFT(B853,8)="SỐ LƯỢNG"),A853,IF(A853="","",K852))</f>
        <v/>
      </c>
      <c r="L853">
        <f>IF(A853="","",IF(ISNUMBER(--LEFT(A853,FIND(" - ",A853&amp;" - ")-1)),LEFT(A853,FIND(" - ",A853&amp;" - ")-1),TRIM(A853)))</f>
        <v/>
      </c>
      <c r="M853">
        <f>IF(OR(K853="",K853=A853,A853=""),"",K853&amp;"|"&amp;L853)</f>
        <v/>
      </c>
      <c r="N853">
        <f>IF(M853="","",IF(ISNUMBER(B853),B853,IFERROR(_xlfn.NUMBERVALUE(B853,".",","),0)))</f>
        <v/>
      </c>
      <c r="O853">
        <f>IF(M853="","",IF(ISNUMBER(C853),C853,IFERROR(_xlfn.NUMBERVALUE(C853,".",","),0)))</f>
        <v/>
      </c>
    </row>
    <row r="854">
      <c r="K854">
        <f>IF(OR(LEFT(B854,9)="DOANH THU",LEFT(B854,8)="SỐ LƯỢNG"),A854,IF(A854="","",K853))</f>
        <v/>
      </c>
      <c r="L854">
        <f>IF(A854="","",IF(ISNUMBER(--LEFT(A854,FIND(" - ",A854&amp;" - ")-1)),LEFT(A854,FIND(" - ",A854&amp;" - ")-1),TRIM(A854)))</f>
        <v/>
      </c>
      <c r="M854">
        <f>IF(OR(K854="",K854=A854,A854=""),"",K854&amp;"|"&amp;L854)</f>
        <v/>
      </c>
      <c r="N854">
        <f>IF(M854="","",IF(ISNUMBER(B854),B854,IFERROR(_xlfn.NUMBERVALUE(B854,".",","),0)))</f>
        <v/>
      </c>
      <c r="O854">
        <f>IF(M854="","",IF(ISNUMBER(C854),C854,IFERROR(_xlfn.NUMBERVALUE(C854,".",","),0)))</f>
        <v/>
      </c>
    </row>
    <row r="855">
      <c r="K855">
        <f>IF(OR(LEFT(B855,9)="DOANH THU",LEFT(B855,8)="SỐ LƯỢNG"),A855,IF(A855="","",K854))</f>
        <v/>
      </c>
      <c r="L855">
        <f>IF(A855="","",IF(ISNUMBER(--LEFT(A855,FIND(" - ",A855&amp;" - ")-1)),LEFT(A855,FIND(" - ",A855&amp;" - ")-1),TRIM(A855)))</f>
        <v/>
      </c>
      <c r="M855">
        <f>IF(OR(K855="",K855=A855,A855=""),"",K855&amp;"|"&amp;L855)</f>
        <v/>
      </c>
      <c r="N855">
        <f>IF(M855="","",IF(ISNUMBER(B855),B855,IFERROR(_xlfn.NUMBERVALUE(B855,".",","),0)))</f>
        <v/>
      </c>
      <c r="O855">
        <f>IF(M855="","",IF(ISNUMBER(C855),C855,IFERROR(_xlfn.NUMBERVALUE(C855,".",","),0)))</f>
        <v/>
      </c>
    </row>
    <row r="856">
      <c r="K856">
        <f>IF(OR(LEFT(B856,9)="DOANH THU",LEFT(B856,8)="SỐ LƯỢNG"),A856,IF(A856="","",K855))</f>
        <v/>
      </c>
      <c r="L856">
        <f>IF(A856="","",IF(ISNUMBER(--LEFT(A856,FIND(" - ",A856&amp;" - ")-1)),LEFT(A856,FIND(" - ",A856&amp;" - ")-1),TRIM(A856)))</f>
        <v/>
      </c>
      <c r="M856">
        <f>IF(OR(K856="",K856=A856,A856=""),"",K856&amp;"|"&amp;L856)</f>
        <v/>
      </c>
      <c r="N856">
        <f>IF(M856="","",IF(ISNUMBER(B856),B856,IFERROR(_xlfn.NUMBERVALUE(B856,".",","),0)))</f>
        <v/>
      </c>
      <c r="O856">
        <f>IF(M856="","",IF(ISNUMBER(C856),C856,IFERROR(_xlfn.NUMBERVALUE(C856,".",","),0)))</f>
        <v/>
      </c>
    </row>
    <row r="857">
      <c r="K857">
        <f>IF(OR(LEFT(B857,9)="DOANH THU",LEFT(B857,8)="SỐ LƯỢNG"),A857,IF(A857="","",K856))</f>
        <v/>
      </c>
      <c r="L857">
        <f>IF(A857="","",IF(ISNUMBER(--LEFT(A857,FIND(" - ",A857&amp;" - ")-1)),LEFT(A857,FIND(" - ",A857&amp;" - ")-1),TRIM(A857)))</f>
        <v/>
      </c>
      <c r="M857">
        <f>IF(OR(K857="",K857=A857,A857=""),"",K857&amp;"|"&amp;L857)</f>
        <v/>
      </c>
      <c r="N857">
        <f>IF(M857="","",IF(ISNUMBER(B857),B857,IFERROR(_xlfn.NUMBERVALUE(B857,".",","),0)))</f>
        <v/>
      </c>
      <c r="O857">
        <f>IF(M857="","",IF(ISNUMBER(C857),C857,IFERROR(_xlfn.NUMBERVALUE(C857,".",","),0)))</f>
        <v/>
      </c>
    </row>
    <row r="858">
      <c r="K858">
        <f>IF(OR(LEFT(B858,9)="DOANH THU",LEFT(B858,8)="SỐ LƯỢNG"),A858,IF(A858="","",K857))</f>
        <v/>
      </c>
      <c r="L858">
        <f>IF(A858="","",IF(ISNUMBER(--LEFT(A858,FIND(" - ",A858&amp;" - ")-1)),LEFT(A858,FIND(" - ",A858&amp;" - ")-1),TRIM(A858)))</f>
        <v/>
      </c>
      <c r="M858">
        <f>IF(OR(K858="",K858=A858,A858=""),"",K858&amp;"|"&amp;L858)</f>
        <v/>
      </c>
      <c r="N858">
        <f>IF(M858="","",IF(ISNUMBER(B858),B858,IFERROR(_xlfn.NUMBERVALUE(B858,".",","),0)))</f>
        <v/>
      </c>
      <c r="O858">
        <f>IF(M858="","",IF(ISNUMBER(C858),C858,IFERROR(_xlfn.NUMBERVALUE(C858,".",","),0)))</f>
        <v/>
      </c>
    </row>
    <row r="859">
      <c r="K859">
        <f>IF(OR(LEFT(B859,9)="DOANH THU",LEFT(B859,8)="SỐ LƯỢNG"),A859,IF(A859="","",K858))</f>
        <v/>
      </c>
      <c r="L859">
        <f>IF(A859="","",IF(ISNUMBER(--LEFT(A859,FIND(" - ",A859&amp;" - ")-1)),LEFT(A859,FIND(" - ",A859&amp;" - ")-1),TRIM(A859)))</f>
        <v/>
      </c>
      <c r="M859">
        <f>IF(OR(K859="",K859=A859,A859=""),"",K859&amp;"|"&amp;L859)</f>
        <v/>
      </c>
      <c r="N859">
        <f>IF(M859="","",IF(ISNUMBER(B859),B859,IFERROR(_xlfn.NUMBERVALUE(B859,".",","),0)))</f>
        <v/>
      </c>
      <c r="O859">
        <f>IF(M859="","",IF(ISNUMBER(C859),C859,IFERROR(_xlfn.NUMBERVALUE(C859,".",","),0)))</f>
        <v/>
      </c>
    </row>
    <row r="860">
      <c r="K860">
        <f>IF(OR(LEFT(B860,9)="DOANH THU",LEFT(B860,8)="SỐ LƯỢNG"),A860,IF(A860="","",K859))</f>
        <v/>
      </c>
      <c r="L860">
        <f>IF(A860="","",IF(ISNUMBER(--LEFT(A860,FIND(" - ",A860&amp;" - ")-1)),LEFT(A860,FIND(" - ",A860&amp;" - ")-1),TRIM(A860)))</f>
        <v/>
      </c>
      <c r="M860">
        <f>IF(OR(K860="",K860=A860,A860=""),"",K860&amp;"|"&amp;L860)</f>
        <v/>
      </c>
      <c r="N860">
        <f>IF(M860="","",IF(ISNUMBER(B860),B860,IFERROR(_xlfn.NUMBERVALUE(B860,".",","),0)))</f>
        <v/>
      </c>
      <c r="O860">
        <f>IF(M860="","",IF(ISNUMBER(C860),C860,IFERROR(_xlfn.NUMBERVALUE(C860,".",","),0)))</f>
        <v/>
      </c>
    </row>
    <row r="861">
      <c r="K861">
        <f>IF(OR(LEFT(B861,9)="DOANH THU",LEFT(B861,8)="SỐ LƯỢNG"),A861,IF(A861="","",K860))</f>
        <v/>
      </c>
      <c r="L861">
        <f>IF(A861="","",IF(ISNUMBER(--LEFT(A861,FIND(" - ",A861&amp;" - ")-1)),LEFT(A861,FIND(" - ",A861&amp;" - ")-1),TRIM(A861)))</f>
        <v/>
      </c>
      <c r="M861">
        <f>IF(OR(K861="",K861=A861,A861=""),"",K861&amp;"|"&amp;L861)</f>
        <v/>
      </c>
      <c r="N861">
        <f>IF(M861="","",IF(ISNUMBER(B861),B861,IFERROR(_xlfn.NUMBERVALUE(B861,".",","),0)))</f>
        <v/>
      </c>
      <c r="O861">
        <f>IF(M861="","",IF(ISNUMBER(C861),C861,IFERROR(_xlfn.NUMBERVALUE(C861,".",","),0)))</f>
        <v/>
      </c>
    </row>
    <row r="862">
      <c r="K862">
        <f>IF(OR(LEFT(B862,9)="DOANH THU",LEFT(B862,8)="SỐ LƯỢNG"),A862,IF(A862="","",K861))</f>
        <v/>
      </c>
      <c r="L862">
        <f>IF(A862="","",IF(ISNUMBER(--LEFT(A862,FIND(" - ",A862&amp;" - ")-1)),LEFT(A862,FIND(" - ",A862&amp;" - ")-1),TRIM(A862)))</f>
        <v/>
      </c>
      <c r="M862">
        <f>IF(OR(K862="",K862=A862,A862=""),"",K862&amp;"|"&amp;L862)</f>
        <v/>
      </c>
      <c r="N862">
        <f>IF(M862="","",IF(ISNUMBER(B862),B862,IFERROR(_xlfn.NUMBERVALUE(B862,".",","),0)))</f>
        <v/>
      </c>
      <c r="O862">
        <f>IF(M862="","",IF(ISNUMBER(C862),C862,IFERROR(_xlfn.NUMBERVALUE(C862,".",","),0)))</f>
        <v/>
      </c>
    </row>
    <row r="863">
      <c r="K863">
        <f>IF(OR(LEFT(B863,9)="DOANH THU",LEFT(B863,8)="SỐ LƯỢNG"),A863,IF(A863="","",K862))</f>
        <v/>
      </c>
      <c r="L863">
        <f>IF(A863="","",IF(ISNUMBER(--LEFT(A863,FIND(" - ",A863&amp;" - ")-1)),LEFT(A863,FIND(" - ",A863&amp;" - ")-1),TRIM(A863)))</f>
        <v/>
      </c>
      <c r="M863">
        <f>IF(OR(K863="",K863=A863,A863=""),"",K863&amp;"|"&amp;L863)</f>
        <v/>
      </c>
      <c r="N863">
        <f>IF(M863="","",IF(ISNUMBER(B863),B863,IFERROR(_xlfn.NUMBERVALUE(B863,".",","),0)))</f>
        <v/>
      </c>
      <c r="O863">
        <f>IF(M863="","",IF(ISNUMBER(C863),C863,IFERROR(_xlfn.NUMBERVALUE(C863,".",","),0)))</f>
        <v/>
      </c>
    </row>
    <row r="864">
      <c r="K864">
        <f>IF(OR(LEFT(B864,9)="DOANH THU",LEFT(B864,8)="SỐ LƯỢNG"),A864,IF(A864="","",K863))</f>
        <v/>
      </c>
      <c r="L864">
        <f>IF(A864="","",IF(ISNUMBER(--LEFT(A864,FIND(" - ",A864&amp;" - ")-1)),LEFT(A864,FIND(" - ",A864&amp;" - ")-1),TRIM(A864)))</f>
        <v/>
      </c>
      <c r="M864">
        <f>IF(OR(K864="",K864=A864,A864=""),"",K864&amp;"|"&amp;L864)</f>
        <v/>
      </c>
      <c r="N864">
        <f>IF(M864="","",IF(ISNUMBER(B864),B864,IFERROR(_xlfn.NUMBERVALUE(B864,".",","),0)))</f>
        <v/>
      </c>
      <c r="O864">
        <f>IF(M864="","",IF(ISNUMBER(C864),C864,IFERROR(_xlfn.NUMBERVALUE(C864,".",","),0)))</f>
        <v/>
      </c>
    </row>
    <row r="865">
      <c r="K865">
        <f>IF(OR(LEFT(B865,9)="DOANH THU",LEFT(B865,8)="SỐ LƯỢNG"),A865,IF(A865="","",K864))</f>
        <v/>
      </c>
      <c r="L865">
        <f>IF(A865="","",IF(ISNUMBER(--LEFT(A865,FIND(" - ",A865&amp;" - ")-1)),LEFT(A865,FIND(" - ",A865&amp;" - ")-1),TRIM(A865)))</f>
        <v/>
      </c>
      <c r="M865">
        <f>IF(OR(K865="",K865=A865,A865=""),"",K865&amp;"|"&amp;L865)</f>
        <v/>
      </c>
      <c r="N865">
        <f>IF(M865="","",IF(ISNUMBER(B865),B865,IFERROR(_xlfn.NUMBERVALUE(B865,".",","),0)))</f>
        <v/>
      </c>
      <c r="O865">
        <f>IF(M865="","",IF(ISNUMBER(C865),C865,IFERROR(_xlfn.NUMBERVALUE(C865,".",","),0)))</f>
        <v/>
      </c>
    </row>
    <row r="866">
      <c r="K866">
        <f>IF(OR(LEFT(B866,9)="DOANH THU",LEFT(B866,8)="SỐ LƯỢNG"),A866,IF(A866="","",K865))</f>
        <v/>
      </c>
      <c r="L866">
        <f>IF(A866="","",IF(ISNUMBER(--LEFT(A866,FIND(" - ",A866&amp;" - ")-1)),LEFT(A866,FIND(" - ",A866&amp;" - ")-1),TRIM(A866)))</f>
        <v/>
      </c>
      <c r="M866">
        <f>IF(OR(K866="",K866=A866,A866=""),"",K866&amp;"|"&amp;L866)</f>
        <v/>
      </c>
      <c r="N866">
        <f>IF(M866="","",IF(ISNUMBER(B866),B866,IFERROR(_xlfn.NUMBERVALUE(B866,".",","),0)))</f>
        <v/>
      </c>
      <c r="O866">
        <f>IF(M866="","",IF(ISNUMBER(C866),C866,IFERROR(_xlfn.NUMBERVALUE(C866,".",","),0)))</f>
        <v/>
      </c>
    </row>
    <row r="867">
      <c r="K867">
        <f>IF(OR(LEFT(B867,9)="DOANH THU",LEFT(B867,8)="SỐ LƯỢNG"),A867,IF(A867="","",K866))</f>
        <v/>
      </c>
      <c r="L867">
        <f>IF(A867="","",IF(ISNUMBER(--LEFT(A867,FIND(" - ",A867&amp;" - ")-1)),LEFT(A867,FIND(" - ",A867&amp;" - ")-1),TRIM(A867)))</f>
        <v/>
      </c>
      <c r="M867">
        <f>IF(OR(K867="",K867=A867,A867=""),"",K867&amp;"|"&amp;L867)</f>
        <v/>
      </c>
      <c r="N867">
        <f>IF(M867="","",IF(ISNUMBER(B867),B867,IFERROR(_xlfn.NUMBERVALUE(B867,".",","),0)))</f>
        <v/>
      </c>
      <c r="O867">
        <f>IF(M867="","",IF(ISNUMBER(C867),C867,IFERROR(_xlfn.NUMBERVALUE(C867,".",","),0)))</f>
        <v/>
      </c>
    </row>
    <row r="868">
      <c r="K868">
        <f>IF(OR(LEFT(B868,9)="DOANH THU",LEFT(B868,8)="SỐ LƯỢNG"),A868,IF(A868="","",K867))</f>
        <v/>
      </c>
      <c r="L868">
        <f>IF(A868="","",IF(ISNUMBER(--LEFT(A868,FIND(" - ",A868&amp;" - ")-1)),LEFT(A868,FIND(" - ",A868&amp;" - ")-1),TRIM(A868)))</f>
        <v/>
      </c>
      <c r="M868">
        <f>IF(OR(K868="",K868=A868,A868=""),"",K868&amp;"|"&amp;L868)</f>
        <v/>
      </c>
      <c r="N868">
        <f>IF(M868="","",IF(ISNUMBER(B868),B868,IFERROR(_xlfn.NUMBERVALUE(B868,".",","),0)))</f>
        <v/>
      </c>
      <c r="O868">
        <f>IF(M868="","",IF(ISNUMBER(C868),C868,IFERROR(_xlfn.NUMBERVALUE(C868,".",","),0)))</f>
        <v/>
      </c>
    </row>
    <row r="869">
      <c r="K869">
        <f>IF(OR(LEFT(B869,9)="DOANH THU",LEFT(B869,8)="SỐ LƯỢNG"),A869,IF(A869="","",K868))</f>
        <v/>
      </c>
      <c r="L869">
        <f>IF(A869="","",IF(ISNUMBER(--LEFT(A869,FIND(" - ",A869&amp;" - ")-1)),LEFT(A869,FIND(" - ",A869&amp;" - ")-1),TRIM(A869)))</f>
        <v/>
      </c>
      <c r="M869">
        <f>IF(OR(K869="",K869=A869,A869=""),"",K869&amp;"|"&amp;L869)</f>
        <v/>
      </c>
      <c r="N869">
        <f>IF(M869="","",IF(ISNUMBER(B869),B869,IFERROR(_xlfn.NUMBERVALUE(B869,".",","),0)))</f>
        <v/>
      </c>
      <c r="O869">
        <f>IF(M869="","",IF(ISNUMBER(C869),C869,IFERROR(_xlfn.NUMBERVALUE(C869,".",","),0)))</f>
        <v/>
      </c>
    </row>
    <row r="870">
      <c r="K870">
        <f>IF(OR(LEFT(B870,9)="DOANH THU",LEFT(B870,8)="SỐ LƯỢNG"),A870,IF(A870="","",K869))</f>
        <v/>
      </c>
      <c r="L870">
        <f>IF(A870="","",IF(ISNUMBER(--LEFT(A870,FIND(" - ",A870&amp;" - ")-1)),LEFT(A870,FIND(" - ",A870&amp;" - ")-1),TRIM(A870)))</f>
        <v/>
      </c>
      <c r="M870">
        <f>IF(OR(K870="",K870=A870,A870=""),"",K870&amp;"|"&amp;L870)</f>
        <v/>
      </c>
      <c r="N870">
        <f>IF(M870="","",IF(ISNUMBER(B870),B870,IFERROR(_xlfn.NUMBERVALUE(B870,".",","),0)))</f>
        <v/>
      </c>
      <c r="O870">
        <f>IF(M870="","",IF(ISNUMBER(C870),C870,IFERROR(_xlfn.NUMBERVALUE(C870,".",","),0)))</f>
        <v/>
      </c>
    </row>
    <row r="871">
      <c r="K871">
        <f>IF(OR(LEFT(B871,9)="DOANH THU",LEFT(B871,8)="SỐ LƯỢNG"),A871,IF(A871="","",K870))</f>
        <v/>
      </c>
      <c r="L871">
        <f>IF(A871="","",IF(ISNUMBER(--LEFT(A871,FIND(" - ",A871&amp;" - ")-1)),LEFT(A871,FIND(" - ",A871&amp;" - ")-1),TRIM(A871)))</f>
        <v/>
      </c>
      <c r="M871">
        <f>IF(OR(K871="",K871=A871,A871=""),"",K871&amp;"|"&amp;L871)</f>
        <v/>
      </c>
      <c r="N871">
        <f>IF(M871="","",IF(ISNUMBER(B871),B871,IFERROR(_xlfn.NUMBERVALUE(B871,".",","),0)))</f>
        <v/>
      </c>
      <c r="O871">
        <f>IF(M871="","",IF(ISNUMBER(C871),C871,IFERROR(_xlfn.NUMBERVALUE(C871,".",","),0)))</f>
        <v/>
      </c>
    </row>
    <row r="872">
      <c r="K872">
        <f>IF(OR(LEFT(B872,9)="DOANH THU",LEFT(B872,8)="SỐ LƯỢNG"),A872,IF(A872="","",K871))</f>
        <v/>
      </c>
      <c r="L872">
        <f>IF(A872="","",IF(ISNUMBER(--LEFT(A872,FIND(" - ",A872&amp;" - ")-1)),LEFT(A872,FIND(" - ",A872&amp;" - ")-1),TRIM(A872)))</f>
        <v/>
      </c>
      <c r="M872">
        <f>IF(OR(K872="",K872=A872,A872=""),"",K872&amp;"|"&amp;L872)</f>
        <v/>
      </c>
      <c r="N872">
        <f>IF(M872="","",IF(ISNUMBER(B872),B872,IFERROR(_xlfn.NUMBERVALUE(B872,".",","),0)))</f>
        <v/>
      </c>
      <c r="O872">
        <f>IF(M872="","",IF(ISNUMBER(C872),C872,IFERROR(_xlfn.NUMBERVALUE(C872,".",","),0)))</f>
        <v/>
      </c>
    </row>
    <row r="873">
      <c r="K873">
        <f>IF(OR(LEFT(B873,9)="DOANH THU",LEFT(B873,8)="SỐ LƯỢNG"),A873,IF(A873="","",K872))</f>
        <v/>
      </c>
      <c r="L873">
        <f>IF(A873="","",IF(ISNUMBER(--LEFT(A873,FIND(" - ",A873&amp;" - ")-1)),LEFT(A873,FIND(" - ",A873&amp;" - ")-1),TRIM(A873)))</f>
        <v/>
      </c>
      <c r="M873">
        <f>IF(OR(K873="",K873=A873,A873=""),"",K873&amp;"|"&amp;L873)</f>
        <v/>
      </c>
      <c r="N873">
        <f>IF(M873="","",IF(ISNUMBER(B873),B873,IFERROR(_xlfn.NUMBERVALUE(B873,".",","),0)))</f>
        <v/>
      </c>
      <c r="O873">
        <f>IF(M873="","",IF(ISNUMBER(C873),C873,IFERROR(_xlfn.NUMBERVALUE(C873,".",","),0)))</f>
        <v/>
      </c>
    </row>
    <row r="874">
      <c r="K874">
        <f>IF(OR(LEFT(B874,9)="DOANH THU",LEFT(B874,8)="SỐ LƯỢNG"),A874,IF(A874="","",K873))</f>
        <v/>
      </c>
      <c r="L874">
        <f>IF(A874="","",IF(ISNUMBER(--LEFT(A874,FIND(" - ",A874&amp;" - ")-1)),LEFT(A874,FIND(" - ",A874&amp;" - ")-1),TRIM(A874)))</f>
        <v/>
      </c>
      <c r="M874">
        <f>IF(OR(K874="",K874=A874,A874=""),"",K874&amp;"|"&amp;L874)</f>
        <v/>
      </c>
      <c r="N874">
        <f>IF(M874="","",IF(ISNUMBER(B874),B874,IFERROR(_xlfn.NUMBERVALUE(B874,".",","),0)))</f>
        <v/>
      </c>
      <c r="O874">
        <f>IF(M874="","",IF(ISNUMBER(C874),C874,IFERROR(_xlfn.NUMBERVALUE(C874,".",","),0)))</f>
        <v/>
      </c>
    </row>
    <row r="875">
      <c r="K875">
        <f>IF(OR(LEFT(B875,9)="DOANH THU",LEFT(B875,8)="SỐ LƯỢNG"),A875,IF(A875="","",K874))</f>
        <v/>
      </c>
      <c r="L875">
        <f>IF(A875="","",IF(ISNUMBER(--LEFT(A875,FIND(" - ",A875&amp;" - ")-1)),LEFT(A875,FIND(" - ",A875&amp;" - ")-1),TRIM(A875)))</f>
        <v/>
      </c>
      <c r="M875">
        <f>IF(OR(K875="",K875=A875,A875=""),"",K875&amp;"|"&amp;L875)</f>
        <v/>
      </c>
      <c r="N875">
        <f>IF(M875="","",IF(ISNUMBER(B875),B875,IFERROR(_xlfn.NUMBERVALUE(B875,".",","),0)))</f>
        <v/>
      </c>
      <c r="O875">
        <f>IF(M875="","",IF(ISNUMBER(C875),C875,IFERROR(_xlfn.NUMBERVALUE(C875,".",","),0)))</f>
        <v/>
      </c>
    </row>
    <row r="876">
      <c r="K876">
        <f>IF(OR(LEFT(B876,9)="DOANH THU",LEFT(B876,8)="SỐ LƯỢNG"),A876,IF(A876="","",K875))</f>
        <v/>
      </c>
      <c r="L876">
        <f>IF(A876="","",IF(ISNUMBER(--LEFT(A876,FIND(" - ",A876&amp;" - ")-1)),LEFT(A876,FIND(" - ",A876&amp;" - ")-1),TRIM(A876)))</f>
        <v/>
      </c>
      <c r="M876">
        <f>IF(OR(K876="",K876=A876,A876=""),"",K876&amp;"|"&amp;L876)</f>
        <v/>
      </c>
      <c r="N876">
        <f>IF(M876="","",IF(ISNUMBER(B876),B876,IFERROR(_xlfn.NUMBERVALUE(B876,".",","),0)))</f>
        <v/>
      </c>
      <c r="O876">
        <f>IF(M876="","",IF(ISNUMBER(C876),C876,IFERROR(_xlfn.NUMBERVALUE(C876,".",","),0)))</f>
        <v/>
      </c>
    </row>
    <row r="877">
      <c r="K877">
        <f>IF(OR(LEFT(B877,9)="DOANH THU",LEFT(B877,8)="SỐ LƯỢNG"),A877,IF(A877="","",K876))</f>
        <v/>
      </c>
      <c r="L877">
        <f>IF(A877="","",IF(ISNUMBER(--LEFT(A877,FIND(" - ",A877&amp;" - ")-1)),LEFT(A877,FIND(" - ",A877&amp;" - ")-1),TRIM(A877)))</f>
        <v/>
      </c>
      <c r="M877">
        <f>IF(OR(K877="",K877=A877,A877=""),"",K877&amp;"|"&amp;L877)</f>
        <v/>
      </c>
      <c r="N877">
        <f>IF(M877="","",IF(ISNUMBER(B877),B877,IFERROR(_xlfn.NUMBERVALUE(B877,".",","),0)))</f>
        <v/>
      </c>
      <c r="O877">
        <f>IF(M877="","",IF(ISNUMBER(C877),C877,IFERROR(_xlfn.NUMBERVALUE(C877,".",","),0)))</f>
        <v/>
      </c>
    </row>
    <row r="878">
      <c r="K878">
        <f>IF(OR(LEFT(B878,9)="DOANH THU",LEFT(B878,8)="SỐ LƯỢNG"),A878,IF(A878="","",K877))</f>
        <v/>
      </c>
      <c r="L878">
        <f>IF(A878="","",IF(ISNUMBER(--LEFT(A878,FIND(" - ",A878&amp;" - ")-1)),LEFT(A878,FIND(" - ",A878&amp;" - ")-1),TRIM(A878)))</f>
        <v/>
      </c>
      <c r="M878">
        <f>IF(OR(K878="",K878=A878,A878=""),"",K878&amp;"|"&amp;L878)</f>
        <v/>
      </c>
      <c r="N878">
        <f>IF(M878="","",IF(ISNUMBER(B878),B878,IFERROR(_xlfn.NUMBERVALUE(B878,".",","),0)))</f>
        <v/>
      </c>
      <c r="O878">
        <f>IF(M878="","",IF(ISNUMBER(C878),C878,IFERROR(_xlfn.NUMBERVALUE(C878,".",","),0)))</f>
        <v/>
      </c>
    </row>
    <row r="879">
      <c r="K879">
        <f>IF(OR(LEFT(B879,9)="DOANH THU",LEFT(B879,8)="SỐ LƯỢNG"),A879,IF(A879="","",K878))</f>
        <v/>
      </c>
      <c r="L879">
        <f>IF(A879="","",IF(ISNUMBER(--LEFT(A879,FIND(" - ",A879&amp;" - ")-1)),LEFT(A879,FIND(" - ",A879&amp;" - ")-1),TRIM(A879)))</f>
        <v/>
      </c>
      <c r="M879">
        <f>IF(OR(K879="",K879=A879,A879=""),"",K879&amp;"|"&amp;L879)</f>
        <v/>
      </c>
      <c r="N879">
        <f>IF(M879="","",IF(ISNUMBER(B879),B879,IFERROR(_xlfn.NUMBERVALUE(B879,".",","),0)))</f>
        <v/>
      </c>
      <c r="O879">
        <f>IF(M879="","",IF(ISNUMBER(C879),C879,IFERROR(_xlfn.NUMBERVALUE(C879,".",","),0)))</f>
        <v/>
      </c>
    </row>
    <row r="880">
      <c r="K880">
        <f>IF(OR(LEFT(B880,9)="DOANH THU",LEFT(B880,8)="SỐ LƯỢNG"),A880,IF(A880="","",K879))</f>
        <v/>
      </c>
      <c r="L880">
        <f>IF(A880="","",IF(ISNUMBER(--LEFT(A880,FIND(" - ",A880&amp;" - ")-1)),LEFT(A880,FIND(" - ",A880&amp;" - ")-1),TRIM(A880)))</f>
        <v/>
      </c>
      <c r="M880">
        <f>IF(OR(K880="",K880=A880,A880=""),"",K880&amp;"|"&amp;L880)</f>
        <v/>
      </c>
      <c r="N880">
        <f>IF(M880="","",IF(ISNUMBER(B880),B880,IFERROR(_xlfn.NUMBERVALUE(B880,".",","),0)))</f>
        <v/>
      </c>
      <c r="O880">
        <f>IF(M880="","",IF(ISNUMBER(C880),C880,IFERROR(_xlfn.NUMBERVALUE(C880,".",","),0)))</f>
        <v/>
      </c>
    </row>
    <row r="881">
      <c r="K881">
        <f>IF(OR(LEFT(B881,9)="DOANH THU",LEFT(B881,8)="SỐ LƯỢNG"),A881,IF(A881="","",K880))</f>
        <v/>
      </c>
      <c r="L881">
        <f>IF(A881="","",IF(ISNUMBER(--LEFT(A881,FIND(" - ",A881&amp;" - ")-1)),LEFT(A881,FIND(" - ",A881&amp;" - ")-1),TRIM(A881)))</f>
        <v/>
      </c>
      <c r="M881">
        <f>IF(OR(K881="",K881=A881,A881=""),"",K881&amp;"|"&amp;L881)</f>
        <v/>
      </c>
      <c r="N881">
        <f>IF(M881="","",IF(ISNUMBER(B881),B881,IFERROR(_xlfn.NUMBERVALUE(B881,".",","),0)))</f>
        <v/>
      </c>
      <c r="O881">
        <f>IF(M881="","",IF(ISNUMBER(C881),C881,IFERROR(_xlfn.NUMBERVALUE(C881,".",","),0)))</f>
        <v/>
      </c>
    </row>
    <row r="882">
      <c r="K882">
        <f>IF(OR(LEFT(B882,9)="DOANH THU",LEFT(B882,8)="SỐ LƯỢNG"),A882,IF(A882="","",K881))</f>
        <v/>
      </c>
      <c r="L882">
        <f>IF(A882="","",IF(ISNUMBER(--LEFT(A882,FIND(" - ",A882&amp;" - ")-1)),LEFT(A882,FIND(" - ",A882&amp;" - ")-1),TRIM(A882)))</f>
        <v/>
      </c>
      <c r="M882">
        <f>IF(OR(K882="",K882=A882,A882=""),"",K882&amp;"|"&amp;L882)</f>
        <v/>
      </c>
      <c r="N882">
        <f>IF(M882="","",IF(ISNUMBER(B882),B882,IFERROR(_xlfn.NUMBERVALUE(B882,".",","),0)))</f>
        <v/>
      </c>
      <c r="O882">
        <f>IF(M882="","",IF(ISNUMBER(C882),C882,IFERROR(_xlfn.NUMBERVALUE(C882,".",","),0)))</f>
        <v/>
      </c>
    </row>
    <row r="883">
      <c r="K883">
        <f>IF(OR(LEFT(B883,9)="DOANH THU",LEFT(B883,8)="SỐ LƯỢNG"),A883,IF(A883="","",K882))</f>
        <v/>
      </c>
      <c r="L883">
        <f>IF(A883="","",IF(ISNUMBER(--LEFT(A883,FIND(" - ",A883&amp;" - ")-1)),LEFT(A883,FIND(" - ",A883&amp;" - ")-1),TRIM(A883)))</f>
        <v/>
      </c>
      <c r="M883">
        <f>IF(OR(K883="",K883=A883,A883=""),"",K883&amp;"|"&amp;L883)</f>
        <v/>
      </c>
      <c r="N883">
        <f>IF(M883="","",IF(ISNUMBER(B883),B883,IFERROR(_xlfn.NUMBERVALUE(B883,".",","),0)))</f>
        <v/>
      </c>
      <c r="O883">
        <f>IF(M883="","",IF(ISNUMBER(C883),C883,IFERROR(_xlfn.NUMBERVALUE(C883,".",","),0)))</f>
        <v/>
      </c>
    </row>
    <row r="884">
      <c r="K884">
        <f>IF(OR(LEFT(B884,9)="DOANH THU",LEFT(B884,8)="SỐ LƯỢNG"),A884,IF(A884="","",K883))</f>
        <v/>
      </c>
      <c r="L884">
        <f>IF(A884="","",IF(ISNUMBER(--LEFT(A884,FIND(" - ",A884&amp;" - ")-1)),LEFT(A884,FIND(" - ",A884&amp;" - ")-1),TRIM(A884)))</f>
        <v/>
      </c>
      <c r="M884">
        <f>IF(OR(K884="",K884=A884,A884=""),"",K884&amp;"|"&amp;L884)</f>
        <v/>
      </c>
      <c r="N884">
        <f>IF(M884="","",IF(ISNUMBER(B884),B884,IFERROR(_xlfn.NUMBERVALUE(B884,".",","),0)))</f>
        <v/>
      </c>
      <c r="O884">
        <f>IF(M884="","",IF(ISNUMBER(C884),C884,IFERROR(_xlfn.NUMBERVALUE(C884,".",","),0)))</f>
        <v/>
      </c>
    </row>
    <row r="885">
      <c r="K885">
        <f>IF(OR(LEFT(B885,9)="DOANH THU",LEFT(B885,8)="SỐ LƯỢNG"),A885,IF(A885="","",K884))</f>
        <v/>
      </c>
      <c r="L885">
        <f>IF(A885="","",IF(ISNUMBER(--LEFT(A885,FIND(" - ",A885&amp;" - ")-1)),LEFT(A885,FIND(" - ",A885&amp;" - ")-1),TRIM(A885)))</f>
        <v/>
      </c>
      <c r="M885">
        <f>IF(OR(K885="",K885=A885,A885=""),"",K885&amp;"|"&amp;L885)</f>
        <v/>
      </c>
      <c r="N885">
        <f>IF(M885="","",IF(ISNUMBER(B885),B885,IFERROR(_xlfn.NUMBERVALUE(B885,".",","),0)))</f>
        <v/>
      </c>
      <c r="O885">
        <f>IF(M885="","",IF(ISNUMBER(C885),C885,IFERROR(_xlfn.NUMBERVALUE(C885,".",","),0)))</f>
        <v/>
      </c>
    </row>
    <row r="886">
      <c r="K886">
        <f>IF(OR(LEFT(B886,9)="DOANH THU",LEFT(B886,8)="SỐ LƯỢNG"),A886,IF(A886="","",K885))</f>
        <v/>
      </c>
      <c r="L886">
        <f>IF(A886="","",IF(ISNUMBER(--LEFT(A886,FIND(" - ",A886&amp;" - ")-1)),LEFT(A886,FIND(" - ",A886&amp;" - ")-1),TRIM(A886)))</f>
        <v/>
      </c>
      <c r="M886">
        <f>IF(OR(K886="",K886=A886,A886=""),"",K886&amp;"|"&amp;L886)</f>
        <v/>
      </c>
      <c r="N886">
        <f>IF(M886="","",IF(ISNUMBER(B886),B886,IFERROR(_xlfn.NUMBERVALUE(B886,".",","),0)))</f>
        <v/>
      </c>
      <c r="O886">
        <f>IF(M886="","",IF(ISNUMBER(C886),C886,IFERROR(_xlfn.NUMBERVALUE(C886,".",","),0)))</f>
        <v/>
      </c>
    </row>
    <row r="887">
      <c r="K887">
        <f>IF(OR(LEFT(B887,9)="DOANH THU",LEFT(B887,8)="SỐ LƯỢNG"),A887,IF(A887="","",K886))</f>
        <v/>
      </c>
      <c r="L887">
        <f>IF(A887="","",IF(ISNUMBER(--LEFT(A887,FIND(" - ",A887&amp;" - ")-1)),LEFT(A887,FIND(" - ",A887&amp;" - ")-1),TRIM(A887)))</f>
        <v/>
      </c>
      <c r="M887">
        <f>IF(OR(K887="",K887=A887,A887=""),"",K887&amp;"|"&amp;L887)</f>
        <v/>
      </c>
      <c r="N887">
        <f>IF(M887="","",IF(ISNUMBER(B887),B887,IFERROR(_xlfn.NUMBERVALUE(B887,".",","),0)))</f>
        <v/>
      </c>
      <c r="O887">
        <f>IF(M887="","",IF(ISNUMBER(C887),C887,IFERROR(_xlfn.NUMBERVALUE(C887,".",","),0)))</f>
        <v/>
      </c>
    </row>
    <row r="888">
      <c r="K888">
        <f>IF(OR(LEFT(B888,9)="DOANH THU",LEFT(B888,8)="SỐ LƯỢNG"),A888,IF(A888="","",K887))</f>
        <v/>
      </c>
      <c r="L888">
        <f>IF(A888="","",IF(ISNUMBER(--LEFT(A888,FIND(" - ",A888&amp;" - ")-1)),LEFT(A888,FIND(" - ",A888&amp;" - ")-1),TRIM(A888)))</f>
        <v/>
      </c>
      <c r="M888">
        <f>IF(OR(K888="",K888=A888,A888=""),"",K888&amp;"|"&amp;L888)</f>
        <v/>
      </c>
      <c r="N888">
        <f>IF(M888="","",IF(ISNUMBER(B888),B888,IFERROR(_xlfn.NUMBERVALUE(B888,".",","),0)))</f>
        <v/>
      </c>
      <c r="O888">
        <f>IF(M888="","",IF(ISNUMBER(C888),C888,IFERROR(_xlfn.NUMBERVALUE(C888,".",","),0)))</f>
        <v/>
      </c>
    </row>
    <row r="889">
      <c r="K889">
        <f>IF(OR(LEFT(B889,9)="DOANH THU",LEFT(B889,8)="SỐ LƯỢNG"),A889,IF(A889="","",K888))</f>
        <v/>
      </c>
      <c r="L889">
        <f>IF(A889="","",IF(ISNUMBER(--LEFT(A889,FIND(" - ",A889&amp;" - ")-1)),LEFT(A889,FIND(" - ",A889&amp;" - ")-1),TRIM(A889)))</f>
        <v/>
      </c>
      <c r="M889">
        <f>IF(OR(K889="",K889=A889,A889=""),"",K889&amp;"|"&amp;L889)</f>
        <v/>
      </c>
      <c r="N889">
        <f>IF(M889="","",IF(ISNUMBER(B889),B889,IFERROR(_xlfn.NUMBERVALUE(B889,".",","),0)))</f>
        <v/>
      </c>
      <c r="O889">
        <f>IF(M889="","",IF(ISNUMBER(C889),C889,IFERROR(_xlfn.NUMBERVALUE(C889,".",","),0)))</f>
        <v/>
      </c>
    </row>
    <row r="890">
      <c r="K890">
        <f>IF(OR(LEFT(B890,9)="DOANH THU",LEFT(B890,8)="SỐ LƯỢNG"),A890,IF(A890="","",K889))</f>
        <v/>
      </c>
      <c r="L890">
        <f>IF(A890="","",IF(ISNUMBER(--LEFT(A890,FIND(" - ",A890&amp;" - ")-1)),LEFT(A890,FIND(" - ",A890&amp;" - ")-1),TRIM(A890)))</f>
        <v/>
      </c>
      <c r="M890">
        <f>IF(OR(K890="",K890=A890,A890=""),"",K890&amp;"|"&amp;L890)</f>
        <v/>
      </c>
      <c r="N890">
        <f>IF(M890="","",IF(ISNUMBER(B890),B890,IFERROR(_xlfn.NUMBERVALUE(B890,".",","),0)))</f>
        <v/>
      </c>
      <c r="O890">
        <f>IF(M890="","",IF(ISNUMBER(C890),C890,IFERROR(_xlfn.NUMBERVALUE(C890,".",","),0)))</f>
        <v/>
      </c>
    </row>
    <row r="891">
      <c r="K891">
        <f>IF(OR(LEFT(B891,9)="DOANH THU",LEFT(B891,8)="SỐ LƯỢNG"),A891,IF(A891="","",K890))</f>
        <v/>
      </c>
      <c r="L891">
        <f>IF(A891="","",IF(ISNUMBER(--LEFT(A891,FIND(" - ",A891&amp;" - ")-1)),LEFT(A891,FIND(" - ",A891&amp;" - ")-1),TRIM(A891)))</f>
        <v/>
      </c>
      <c r="M891">
        <f>IF(OR(K891="",K891=A891,A891=""),"",K891&amp;"|"&amp;L891)</f>
        <v/>
      </c>
      <c r="N891">
        <f>IF(M891="","",IF(ISNUMBER(B891),B891,IFERROR(_xlfn.NUMBERVALUE(B891,".",","),0)))</f>
        <v/>
      </c>
      <c r="O891">
        <f>IF(M891="","",IF(ISNUMBER(C891),C891,IFERROR(_xlfn.NUMBERVALUE(C891,".",","),0)))</f>
        <v/>
      </c>
    </row>
    <row r="892">
      <c r="K892">
        <f>IF(OR(LEFT(B892,9)="DOANH THU",LEFT(B892,8)="SỐ LƯỢNG"),A892,IF(A892="","",K891))</f>
        <v/>
      </c>
      <c r="L892">
        <f>IF(A892="","",IF(ISNUMBER(--LEFT(A892,FIND(" - ",A892&amp;" - ")-1)),LEFT(A892,FIND(" - ",A892&amp;" - ")-1),TRIM(A892)))</f>
        <v/>
      </c>
      <c r="M892">
        <f>IF(OR(K892="",K892=A892,A892=""),"",K892&amp;"|"&amp;L892)</f>
        <v/>
      </c>
      <c r="N892">
        <f>IF(M892="","",IF(ISNUMBER(B892),B892,IFERROR(_xlfn.NUMBERVALUE(B892,".",","),0)))</f>
        <v/>
      </c>
      <c r="O892">
        <f>IF(M892="","",IF(ISNUMBER(C892),C892,IFERROR(_xlfn.NUMBERVALUE(C892,".",","),0)))</f>
        <v/>
      </c>
    </row>
    <row r="893">
      <c r="K893">
        <f>IF(OR(LEFT(B893,9)="DOANH THU",LEFT(B893,8)="SỐ LƯỢNG"),A893,IF(A893="","",K892))</f>
        <v/>
      </c>
      <c r="L893">
        <f>IF(A893="","",IF(ISNUMBER(--LEFT(A893,FIND(" - ",A893&amp;" - ")-1)),LEFT(A893,FIND(" - ",A893&amp;" - ")-1),TRIM(A893)))</f>
        <v/>
      </c>
      <c r="M893">
        <f>IF(OR(K893="",K893=A893,A893=""),"",K893&amp;"|"&amp;L893)</f>
        <v/>
      </c>
      <c r="N893">
        <f>IF(M893="","",IF(ISNUMBER(B893),B893,IFERROR(_xlfn.NUMBERVALUE(B893,".",","),0)))</f>
        <v/>
      </c>
      <c r="O893">
        <f>IF(M893="","",IF(ISNUMBER(C893),C893,IFERROR(_xlfn.NUMBERVALUE(C893,".",","),0)))</f>
        <v/>
      </c>
    </row>
    <row r="894">
      <c r="K894">
        <f>IF(OR(LEFT(B894,9)="DOANH THU",LEFT(B894,8)="SỐ LƯỢNG"),A894,IF(A894="","",K893))</f>
        <v/>
      </c>
      <c r="L894">
        <f>IF(A894="","",IF(ISNUMBER(--LEFT(A894,FIND(" - ",A894&amp;" - ")-1)),LEFT(A894,FIND(" - ",A894&amp;" - ")-1),TRIM(A894)))</f>
        <v/>
      </c>
      <c r="M894">
        <f>IF(OR(K894="",K894=A894,A894=""),"",K894&amp;"|"&amp;L894)</f>
        <v/>
      </c>
      <c r="N894">
        <f>IF(M894="","",IF(ISNUMBER(B894),B894,IFERROR(_xlfn.NUMBERVALUE(B894,".",","),0)))</f>
        <v/>
      </c>
      <c r="O894">
        <f>IF(M894="","",IF(ISNUMBER(C894),C894,IFERROR(_xlfn.NUMBERVALUE(C894,".",","),0)))</f>
        <v/>
      </c>
    </row>
    <row r="895">
      <c r="K895">
        <f>IF(OR(LEFT(B895,9)="DOANH THU",LEFT(B895,8)="SỐ LƯỢNG"),A895,IF(A895="","",K894))</f>
        <v/>
      </c>
      <c r="L895">
        <f>IF(A895="","",IF(ISNUMBER(--LEFT(A895,FIND(" - ",A895&amp;" - ")-1)),LEFT(A895,FIND(" - ",A895&amp;" - ")-1),TRIM(A895)))</f>
        <v/>
      </c>
      <c r="M895">
        <f>IF(OR(K895="",K895=A895,A895=""),"",K895&amp;"|"&amp;L895)</f>
        <v/>
      </c>
      <c r="N895">
        <f>IF(M895="","",IF(ISNUMBER(B895),B895,IFERROR(_xlfn.NUMBERVALUE(B895,".",","),0)))</f>
        <v/>
      </c>
      <c r="O895">
        <f>IF(M895="","",IF(ISNUMBER(C895),C895,IFERROR(_xlfn.NUMBERVALUE(C895,".",","),0)))</f>
        <v/>
      </c>
    </row>
    <row r="896">
      <c r="K896">
        <f>IF(OR(LEFT(B896,9)="DOANH THU",LEFT(B896,8)="SỐ LƯỢNG"),A896,IF(A896="","",K895))</f>
        <v/>
      </c>
      <c r="L896">
        <f>IF(A896="","",IF(ISNUMBER(--LEFT(A896,FIND(" - ",A896&amp;" - ")-1)),LEFT(A896,FIND(" - ",A896&amp;" - ")-1),TRIM(A896)))</f>
        <v/>
      </c>
      <c r="M896">
        <f>IF(OR(K896="",K896=A896,A896=""),"",K896&amp;"|"&amp;L896)</f>
        <v/>
      </c>
      <c r="N896">
        <f>IF(M896="","",IF(ISNUMBER(B896),B896,IFERROR(_xlfn.NUMBERVALUE(B896,".",","),0)))</f>
        <v/>
      </c>
      <c r="O896">
        <f>IF(M896="","",IF(ISNUMBER(C896),C896,IFERROR(_xlfn.NUMBERVALUE(C896,".",","),0)))</f>
        <v/>
      </c>
    </row>
    <row r="897">
      <c r="K897">
        <f>IF(OR(LEFT(B897,9)="DOANH THU",LEFT(B897,8)="SỐ LƯỢNG"),A897,IF(A897="","",K896))</f>
        <v/>
      </c>
      <c r="L897">
        <f>IF(A897="","",IF(ISNUMBER(--LEFT(A897,FIND(" - ",A897&amp;" - ")-1)),LEFT(A897,FIND(" - ",A897&amp;" - ")-1),TRIM(A897)))</f>
        <v/>
      </c>
      <c r="M897">
        <f>IF(OR(K897="",K897=A897,A897=""),"",K897&amp;"|"&amp;L897)</f>
        <v/>
      </c>
      <c r="N897">
        <f>IF(M897="","",IF(ISNUMBER(B897),B897,IFERROR(_xlfn.NUMBERVALUE(B897,".",","),0)))</f>
        <v/>
      </c>
      <c r="O897">
        <f>IF(M897="","",IF(ISNUMBER(C897),C897,IFERROR(_xlfn.NUMBERVALUE(C897,".",","),0)))</f>
        <v/>
      </c>
    </row>
    <row r="898">
      <c r="K898">
        <f>IF(OR(LEFT(B898,9)="DOANH THU",LEFT(B898,8)="SỐ LƯỢNG"),A898,IF(A898="","",K897))</f>
        <v/>
      </c>
      <c r="L898">
        <f>IF(A898="","",IF(ISNUMBER(--LEFT(A898,FIND(" - ",A898&amp;" - ")-1)),LEFT(A898,FIND(" - ",A898&amp;" - ")-1),TRIM(A898)))</f>
        <v/>
      </c>
      <c r="M898">
        <f>IF(OR(K898="",K898=A898,A898=""),"",K898&amp;"|"&amp;L898)</f>
        <v/>
      </c>
      <c r="N898">
        <f>IF(M898="","",IF(ISNUMBER(B898),B898,IFERROR(_xlfn.NUMBERVALUE(B898,".",","),0)))</f>
        <v/>
      </c>
      <c r="O898">
        <f>IF(M898="","",IF(ISNUMBER(C898),C898,IFERROR(_xlfn.NUMBERVALUE(C898,".",","),0)))</f>
        <v/>
      </c>
    </row>
    <row r="899">
      <c r="K899">
        <f>IF(OR(LEFT(B899,9)="DOANH THU",LEFT(B899,8)="SỐ LƯỢNG"),A899,IF(A899="","",K898))</f>
        <v/>
      </c>
      <c r="L899">
        <f>IF(A899="","",IF(ISNUMBER(--LEFT(A899,FIND(" - ",A899&amp;" - ")-1)),LEFT(A899,FIND(" - ",A899&amp;" - ")-1),TRIM(A899)))</f>
        <v/>
      </c>
      <c r="M899">
        <f>IF(OR(K899="",K899=A899,A899=""),"",K899&amp;"|"&amp;L899)</f>
        <v/>
      </c>
      <c r="N899">
        <f>IF(M899="","",IF(ISNUMBER(B899),B899,IFERROR(_xlfn.NUMBERVALUE(B899,".",","),0)))</f>
        <v/>
      </c>
      <c r="O899">
        <f>IF(M899="","",IF(ISNUMBER(C899),C899,IFERROR(_xlfn.NUMBERVALUE(C899,".",","),0)))</f>
        <v/>
      </c>
    </row>
    <row r="900">
      <c r="K900">
        <f>IF(OR(LEFT(B900,9)="DOANH THU",LEFT(B900,8)="SỐ LƯỢNG"),A900,IF(A900="","",K899))</f>
        <v/>
      </c>
      <c r="L900">
        <f>IF(A900="","",IF(ISNUMBER(--LEFT(A900,FIND(" - ",A900&amp;" - ")-1)),LEFT(A900,FIND(" - ",A900&amp;" - ")-1),TRIM(A900)))</f>
        <v/>
      </c>
      <c r="M900">
        <f>IF(OR(K900="",K900=A900,A900=""),"",K900&amp;"|"&amp;L900)</f>
        <v/>
      </c>
      <c r="N900">
        <f>IF(M900="","",IF(ISNUMBER(B900),B900,IFERROR(_xlfn.NUMBERVALUE(B900,".",","),0)))</f>
        <v/>
      </c>
      <c r="O900">
        <f>IF(M900="","",IF(ISNUMBER(C900),C900,IFERROR(_xlfn.NUMBERVALUE(C900,".",","),0)))</f>
        <v/>
      </c>
    </row>
    <row r="901">
      <c r="K901">
        <f>IF(OR(LEFT(B901,9)="DOANH THU",LEFT(B901,8)="SỐ LƯỢNG"),A901,IF(A901="","",K900))</f>
        <v/>
      </c>
      <c r="L901">
        <f>IF(A901="","",IF(ISNUMBER(--LEFT(A901,FIND(" - ",A901&amp;" - ")-1)),LEFT(A901,FIND(" - ",A901&amp;" - ")-1),TRIM(A901)))</f>
        <v/>
      </c>
      <c r="M901">
        <f>IF(OR(K901="",K901=A901,A901=""),"",K901&amp;"|"&amp;L901)</f>
        <v/>
      </c>
      <c r="N901">
        <f>IF(M901="","",IF(ISNUMBER(B901),B901,IFERROR(_xlfn.NUMBERVALUE(B901,".",","),0)))</f>
        <v/>
      </c>
      <c r="O901">
        <f>IF(M901="","",IF(ISNUMBER(C901),C901,IFERROR(_xlfn.NUMBERVALUE(C901,".",","),0)))</f>
        <v/>
      </c>
    </row>
    <row r="902">
      <c r="K902">
        <f>IF(OR(LEFT(B902,9)="DOANH THU",LEFT(B902,8)="SỐ LƯỢNG"),A902,IF(A902="","",K901))</f>
        <v/>
      </c>
      <c r="L902">
        <f>IF(A902="","",IF(ISNUMBER(--LEFT(A902,FIND(" - ",A902&amp;" - ")-1)),LEFT(A902,FIND(" - ",A902&amp;" - ")-1),TRIM(A902)))</f>
        <v/>
      </c>
      <c r="M902">
        <f>IF(OR(K902="",K902=A902,A902=""),"",K902&amp;"|"&amp;L902)</f>
        <v/>
      </c>
      <c r="N902">
        <f>IF(M902="","",IF(ISNUMBER(B902),B902,IFERROR(_xlfn.NUMBERVALUE(B902,".",","),0)))</f>
        <v/>
      </c>
      <c r="O902">
        <f>IF(M902="","",IF(ISNUMBER(C902),C902,IFERROR(_xlfn.NUMBERVALUE(C902,".",","),0)))</f>
        <v/>
      </c>
    </row>
    <row r="903">
      <c r="K903">
        <f>IF(OR(LEFT(B903,9)="DOANH THU",LEFT(B903,8)="SỐ LƯỢNG"),A903,IF(A903="","",K902))</f>
        <v/>
      </c>
      <c r="L903">
        <f>IF(A903="","",IF(ISNUMBER(--LEFT(A903,FIND(" - ",A903&amp;" - ")-1)),LEFT(A903,FIND(" - ",A903&amp;" - ")-1),TRIM(A903)))</f>
        <v/>
      </c>
      <c r="M903">
        <f>IF(OR(K903="",K903=A903,A903=""),"",K903&amp;"|"&amp;L903)</f>
        <v/>
      </c>
      <c r="N903">
        <f>IF(M903="","",IF(ISNUMBER(B903),B903,IFERROR(_xlfn.NUMBERVALUE(B903,".",","),0)))</f>
        <v/>
      </c>
      <c r="O903">
        <f>IF(M903="","",IF(ISNUMBER(C903),C903,IFERROR(_xlfn.NUMBERVALUE(C903,".",","),0)))</f>
        <v/>
      </c>
    </row>
    <row r="904">
      <c r="K904">
        <f>IF(OR(LEFT(B904,9)="DOANH THU",LEFT(B904,8)="SỐ LƯỢNG"),A904,IF(A904="","",K903))</f>
        <v/>
      </c>
      <c r="L904">
        <f>IF(A904="","",IF(ISNUMBER(--LEFT(A904,FIND(" - ",A904&amp;" - ")-1)),LEFT(A904,FIND(" - ",A904&amp;" - ")-1),TRIM(A904)))</f>
        <v/>
      </c>
      <c r="M904">
        <f>IF(OR(K904="",K904=A904,A904=""),"",K904&amp;"|"&amp;L904)</f>
        <v/>
      </c>
      <c r="N904">
        <f>IF(M904="","",IF(ISNUMBER(B904),B904,IFERROR(_xlfn.NUMBERVALUE(B904,".",","),0)))</f>
        <v/>
      </c>
      <c r="O904">
        <f>IF(M904="","",IF(ISNUMBER(C904),C904,IFERROR(_xlfn.NUMBERVALUE(C904,".",","),0)))</f>
        <v/>
      </c>
    </row>
    <row r="905">
      <c r="K905">
        <f>IF(OR(LEFT(B905,9)="DOANH THU",LEFT(B905,8)="SỐ LƯỢNG"),A905,IF(A905="","",K904))</f>
        <v/>
      </c>
      <c r="L905">
        <f>IF(A905="","",IF(ISNUMBER(--LEFT(A905,FIND(" - ",A905&amp;" - ")-1)),LEFT(A905,FIND(" - ",A905&amp;" - ")-1),TRIM(A905)))</f>
        <v/>
      </c>
      <c r="M905">
        <f>IF(OR(K905="",K905=A905,A905=""),"",K905&amp;"|"&amp;L905)</f>
        <v/>
      </c>
      <c r="N905">
        <f>IF(M905="","",IF(ISNUMBER(B905),B905,IFERROR(_xlfn.NUMBERVALUE(B905,".",","),0)))</f>
        <v/>
      </c>
      <c r="O905">
        <f>IF(M905="","",IF(ISNUMBER(C905),C905,IFERROR(_xlfn.NUMBERVALUE(C905,".",","),0)))</f>
        <v/>
      </c>
    </row>
    <row r="906">
      <c r="K906">
        <f>IF(OR(LEFT(B906,9)="DOANH THU",LEFT(B906,8)="SỐ LƯỢNG"),A906,IF(A906="","",K905))</f>
        <v/>
      </c>
      <c r="L906">
        <f>IF(A906="","",IF(ISNUMBER(--LEFT(A906,FIND(" - ",A906&amp;" - ")-1)),LEFT(A906,FIND(" - ",A906&amp;" - ")-1),TRIM(A906)))</f>
        <v/>
      </c>
      <c r="M906">
        <f>IF(OR(K906="",K906=A906,A906=""),"",K906&amp;"|"&amp;L906)</f>
        <v/>
      </c>
      <c r="N906">
        <f>IF(M906="","",IF(ISNUMBER(B906),B906,IFERROR(_xlfn.NUMBERVALUE(B906,".",","),0)))</f>
        <v/>
      </c>
      <c r="O906">
        <f>IF(M906="","",IF(ISNUMBER(C906),C906,IFERROR(_xlfn.NUMBERVALUE(C906,".",","),0)))</f>
        <v/>
      </c>
    </row>
    <row r="907">
      <c r="K907">
        <f>IF(OR(LEFT(B907,9)="DOANH THU",LEFT(B907,8)="SỐ LƯỢNG"),A907,IF(A907="","",K906))</f>
        <v/>
      </c>
      <c r="L907">
        <f>IF(A907="","",IF(ISNUMBER(--LEFT(A907,FIND(" - ",A907&amp;" - ")-1)),LEFT(A907,FIND(" - ",A907&amp;" - ")-1),TRIM(A907)))</f>
        <v/>
      </c>
      <c r="M907">
        <f>IF(OR(K907="",K907=A907,A907=""),"",K907&amp;"|"&amp;L907)</f>
        <v/>
      </c>
      <c r="N907">
        <f>IF(M907="","",IF(ISNUMBER(B907),B907,IFERROR(_xlfn.NUMBERVALUE(B907,".",","),0)))</f>
        <v/>
      </c>
      <c r="O907">
        <f>IF(M907="","",IF(ISNUMBER(C907),C907,IFERROR(_xlfn.NUMBERVALUE(C907,".",","),0)))</f>
        <v/>
      </c>
    </row>
    <row r="908">
      <c r="K908">
        <f>IF(OR(LEFT(B908,9)="DOANH THU",LEFT(B908,8)="SỐ LƯỢNG"),A908,IF(A908="","",K907))</f>
        <v/>
      </c>
      <c r="L908">
        <f>IF(A908="","",IF(ISNUMBER(--LEFT(A908,FIND(" - ",A908&amp;" - ")-1)),LEFT(A908,FIND(" - ",A908&amp;" - ")-1),TRIM(A908)))</f>
        <v/>
      </c>
      <c r="M908">
        <f>IF(OR(K908="",K908=A908,A908=""),"",K908&amp;"|"&amp;L908)</f>
        <v/>
      </c>
      <c r="N908">
        <f>IF(M908="","",IF(ISNUMBER(B908),B908,IFERROR(_xlfn.NUMBERVALUE(B908,".",","),0)))</f>
        <v/>
      </c>
      <c r="O908">
        <f>IF(M908="","",IF(ISNUMBER(C908),C908,IFERROR(_xlfn.NUMBERVALUE(C908,".",","),0)))</f>
        <v/>
      </c>
    </row>
    <row r="909">
      <c r="K909">
        <f>IF(OR(LEFT(B909,9)="DOANH THU",LEFT(B909,8)="SỐ LƯỢNG"),A909,IF(A909="","",K908))</f>
        <v/>
      </c>
      <c r="L909">
        <f>IF(A909="","",IF(ISNUMBER(--LEFT(A909,FIND(" - ",A909&amp;" - ")-1)),LEFT(A909,FIND(" - ",A909&amp;" - ")-1),TRIM(A909)))</f>
        <v/>
      </c>
      <c r="M909">
        <f>IF(OR(K909="",K909=A909,A909=""),"",K909&amp;"|"&amp;L909)</f>
        <v/>
      </c>
      <c r="N909">
        <f>IF(M909="","",IF(ISNUMBER(B909),B909,IFERROR(_xlfn.NUMBERVALUE(B909,".",","),0)))</f>
        <v/>
      </c>
      <c r="O909">
        <f>IF(M909="","",IF(ISNUMBER(C909),C909,IFERROR(_xlfn.NUMBERVALUE(C909,".",","),0)))</f>
        <v/>
      </c>
    </row>
    <row r="910">
      <c r="K910">
        <f>IF(OR(LEFT(B910,9)="DOANH THU",LEFT(B910,8)="SỐ LƯỢNG"),A910,IF(A910="","",K909))</f>
        <v/>
      </c>
      <c r="L910">
        <f>IF(A910="","",IF(ISNUMBER(--LEFT(A910,FIND(" - ",A910&amp;" - ")-1)),LEFT(A910,FIND(" - ",A910&amp;" - ")-1),TRIM(A910)))</f>
        <v/>
      </c>
      <c r="M910">
        <f>IF(OR(K910="",K910=A910,A910=""),"",K910&amp;"|"&amp;L910)</f>
        <v/>
      </c>
      <c r="N910">
        <f>IF(M910="","",IF(ISNUMBER(B910),B910,IFERROR(_xlfn.NUMBERVALUE(B910,".",","),0)))</f>
        <v/>
      </c>
      <c r="O910">
        <f>IF(M910="","",IF(ISNUMBER(C910),C910,IFERROR(_xlfn.NUMBERVALUE(C910,".",","),0)))</f>
        <v/>
      </c>
    </row>
    <row r="911">
      <c r="K911">
        <f>IF(OR(LEFT(B911,9)="DOANH THU",LEFT(B911,8)="SỐ LƯỢNG"),A911,IF(A911="","",K910))</f>
        <v/>
      </c>
      <c r="L911">
        <f>IF(A911="","",IF(ISNUMBER(--LEFT(A911,FIND(" - ",A911&amp;" - ")-1)),LEFT(A911,FIND(" - ",A911&amp;" - ")-1),TRIM(A911)))</f>
        <v/>
      </c>
      <c r="M911">
        <f>IF(OR(K911="",K911=A911,A911=""),"",K911&amp;"|"&amp;L911)</f>
        <v/>
      </c>
      <c r="N911">
        <f>IF(M911="","",IF(ISNUMBER(B911),B911,IFERROR(_xlfn.NUMBERVALUE(B911,".",","),0)))</f>
        <v/>
      </c>
      <c r="O911">
        <f>IF(M911="","",IF(ISNUMBER(C911),C911,IFERROR(_xlfn.NUMBERVALUE(C911,".",","),0)))</f>
        <v/>
      </c>
    </row>
    <row r="912">
      <c r="K912">
        <f>IF(OR(LEFT(B912,9)="DOANH THU",LEFT(B912,8)="SỐ LƯỢNG"),A912,IF(A912="","",K911))</f>
        <v/>
      </c>
      <c r="L912">
        <f>IF(A912="","",IF(ISNUMBER(--LEFT(A912,FIND(" - ",A912&amp;" - ")-1)),LEFT(A912,FIND(" - ",A912&amp;" - ")-1),TRIM(A912)))</f>
        <v/>
      </c>
      <c r="M912">
        <f>IF(OR(K912="",K912=A912,A912=""),"",K912&amp;"|"&amp;L912)</f>
        <v/>
      </c>
      <c r="N912">
        <f>IF(M912="","",IF(ISNUMBER(B912),B912,IFERROR(_xlfn.NUMBERVALUE(B912,".",","),0)))</f>
        <v/>
      </c>
      <c r="O912">
        <f>IF(M912="","",IF(ISNUMBER(C912),C912,IFERROR(_xlfn.NUMBERVALUE(C912,".",","),0)))</f>
        <v/>
      </c>
    </row>
    <row r="913">
      <c r="K913">
        <f>IF(OR(LEFT(B913,9)="DOANH THU",LEFT(B913,8)="SỐ LƯỢNG"),A913,IF(A913="","",K912))</f>
        <v/>
      </c>
      <c r="L913">
        <f>IF(A913="","",IF(ISNUMBER(--LEFT(A913,FIND(" - ",A913&amp;" - ")-1)),LEFT(A913,FIND(" - ",A913&amp;" - ")-1),TRIM(A913)))</f>
        <v/>
      </c>
      <c r="M913">
        <f>IF(OR(K913="",K913=A913,A913=""),"",K913&amp;"|"&amp;L913)</f>
        <v/>
      </c>
      <c r="N913">
        <f>IF(M913="","",IF(ISNUMBER(B913),B913,IFERROR(_xlfn.NUMBERVALUE(B913,".",","),0)))</f>
        <v/>
      </c>
      <c r="O913">
        <f>IF(M913="","",IF(ISNUMBER(C913),C913,IFERROR(_xlfn.NUMBERVALUE(C913,".",","),0)))</f>
        <v/>
      </c>
    </row>
    <row r="914">
      <c r="K914">
        <f>IF(OR(LEFT(B914,9)="DOANH THU",LEFT(B914,8)="SỐ LƯỢNG"),A914,IF(A914="","",K913))</f>
        <v/>
      </c>
      <c r="L914">
        <f>IF(A914="","",IF(ISNUMBER(--LEFT(A914,FIND(" - ",A914&amp;" - ")-1)),LEFT(A914,FIND(" - ",A914&amp;" - ")-1),TRIM(A914)))</f>
        <v/>
      </c>
      <c r="M914">
        <f>IF(OR(K914="",K914=A914,A914=""),"",K914&amp;"|"&amp;L914)</f>
        <v/>
      </c>
      <c r="N914">
        <f>IF(M914="","",IF(ISNUMBER(B914),B914,IFERROR(_xlfn.NUMBERVALUE(B914,".",","),0)))</f>
        <v/>
      </c>
      <c r="O914">
        <f>IF(M914="","",IF(ISNUMBER(C914),C914,IFERROR(_xlfn.NUMBERVALUE(C914,".",","),0)))</f>
        <v/>
      </c>
    </row>
    <row r="915">
      <c r="K915">
        <f>IF(OR(LEFT(B915,9)="DOANH THU",LEFT(B915,8)="SỐ LƯỢNG"),A915,IF(A915="","",K914))</f>
        <v/>
      </c>
      <c r="L915">
        <f>IF(A915="","",IF(ISNUMBER(--LEFT(A915,FIND(" - ",A915&amp;" - ")-1)),LEFT(A915,FIND(" - ",A915&amp;" - ")-1),TRIM(A915)))</f>
        <v/>
      </c>
      <c r="M915">
        <f>IF(OR(K915="",K915=A915,A915=""),"",K915&amp;"|"&amp;L915)</f>
        <v/>
      </c>
      <c r="N915">
        <f>IF(M915="","",IF(ISNUMBER(B915),B915,IFERROR(_xlfn.NUMBERVALUE(B915,".",","),0)))</f>
        <v/>
      </c>
      <c r="O915">
        <f>IF(M915="","",IF(ISNUMBER(C915),C915,IFERROR(_xlfn.NUMBERVALUE(C915,".",","),0)))</f>
        <v/>
      </c>
    </row>
    <row r="916">
      <c r="K916">
        <f>IF(OR(LEFT(B916,9)="DOANH THU",LEFT(B916,8)="SỐ LƯỢNG"),A916,IF(A916="","",K915))</f>
        <v/>
      </c>
      <c r="L916">
        <f>IF(A916="","",IF(ISNUMBER(--LEFT(A916,FIND(" - ",A916&amp;" - ")-1)),LEFT(A916,FIND(" - ",A916&amp;" - ")-1),TRIM(A916)))</f>
        <v/>
      </c>
      <c r="M916">
        <f>IF(OR(K916="",K916=A916,A916=""),"",K916&amp;"|"&amp;L916)</f>
        <v/>
      </c>
      <c r="N916">
        <f>IF(M916="","",IF(ISNUMBER(B916),B916,IFERROR(_xlfn.NUMBERVALUE(B916,".",","),0)))</f>
        <v/>
      </c>
      <c r="O916">
        <f>IF(M916="","",IF(ISNUMBER(C916),C916,IFERROR(_xlfn.NUMBERVALUE(C916,".",","),0)))</f>
        <v/>
      </c>
    </row>
    <row r="917">
      <c r="K917">
        <f>IF(OR(LEFT(B917,9)="DOANH THU",LEFT(B917,8)="SỐ LƯỢNG"),A917,IF(A917="","",K916))</f>
        <v/>
      </c>
      <c r="L917">
        <f>IF(A917="","",IF(ISNUMBER(--LEFT(A917,FIND(" - ",A917&amp;" - ")-1)),LEFT(A917,FIND(" - ",A917&amp;" - ")-1),TRIM(A917)))</f>
        <v/>
      </c>
      <c r="M917">
        <f>IF(OR(K917="",K917=A917,A917=""),"",K917&amp;"|"&amp;L917)</f>
        <v/>
      </c>
      <c r="N917">
        <f>IF(M917="","",IF(ISNUMBER(B917),B917,IFERROR(_xlfn.NUMBERVALUE(B917,".",","),0)))</f>
        <v/>
      </c>
      <c r="O917">
        <f>IF(M917="","",IF(ISNUMBER(C917),C917,IFERROR(_xlfn.NUMBERVALUE(C917,".",","),0)))</f>
        <v/>
      </c>
    </row>
    <row r="918">
      <c r="K918">
        <f>IF(OR(LEFT(B918,9)="DOANH THU",LEFT(B918,8)="SỐ LƯỢNG"),A918,IF(A918="","",K917))</f>
        <v/>
      </c>
      <c r="L918">
        <f>IF(A918="","",IF(ISNUMBER(--LEFT(A918,FIND(" - ",A918&amp;" - ")-1)),LEFT(A918,FIND(" - ",A918&amp;" - ")-1),TRIM(A918)))</f>
        <v/>
      </c>
      <c r="M918">
        <f>IF(OR(K918="",K918=A918,A918=""),"",K918&amp;"|"&amp;L918)</f>
        <v/>
      </c>
      <c r="N918">
        <f>IF(M918="","",IF(ISNUMBER(B918),B918,IFERROR(_xlfn.NUMBERVALUE(B918,".",","),0)))</f>
        <v/>
      </c>
      <c r="O918">
        <f>IF(M918="","",IF(ISNUMBER(C918),C918,IFERROR(_xlfn.NUMBERVALUE(C918,".",","),0)))</f>
        <v/>
      </c>
    </row>
    <row r="919">
      <c r="K919">
        <f>IF(OR(LEFT(B919,9)="DOANH THU",LEFT(B919,8)="SỐ LƯỢNG"),A919,IF(A919="","",K918))</f>
        <v/>
      </c>
      <c r="L919">
        <f>IF(A919="","",IF(ISNUMBER(--LEFT(A919,FIND(" - ",A919&amp;" - ")-1)),LEFT(A919,FIND(" - ",A919&amp;" - ")-1),TRIM(A919)))</f>
        <v/>
      </c>
      <c r="M919">
        <f>IF(OR(K919="",K919=A919,A919=""),"",K919&amp;"|"&amp;L919)</f>
        <v/>
      </c>
      <c r="N919">
        <f>IF(M919="","",IF(ISNUMBER(B919),B919,IFERROR(_xlfn.NUMBERVALUE(B919,".",","),0)))</f>
        <v/>
      </c>
      <c r="O919">
        <f>IF(M919="","",IF(ISNUMBER(C919),C919,IFERROR(_xlfn.NUMBERVALUE(C919,".",","),0)))</f>
        <v/>
      </c>
    </row>
    <row r="920">
      <c r="K920">
        <f>IF(OR(LEFT(B920,9)="DOANH THU",LEFT(B920,8)="SỐ LƯỢNG"),A920,IF(A920="","",K919))</f>
        <v/>
      </c>
      <c r="L920">
        <f>IF(A920="","",IF(ISNUMBER(--LEFT(A920,FIND(" - ",A920&amp;" - ")-1)),LEFT(A920,FIND(" - ",A920&amp;" - ")-1),TRIM(A920)))</f>
        <v/>
      </c>
      <c r="M920">
        <f>IF(OR(K920="",K920=A920,A920=""),"",K920&amp;"|"&amp;L920)</f>
        <v/>
      </c>
      <c r="N920">
        <f>IF(M920="","",IF(ISNUMBER(B920),B920,IFERROR(_xlfn.NUMBERVALUE(B920,".",","),0)))</f>
        <v/>
      </c>
      <c r="O920">
        <f>IF(M920="","",IF(ISNUMBER(C920),C920,IFERROR(_xlfn.NUMBERVALUE(C920,".",","),0)))</f>
        <v/>
      </c>
    </row>
    <row r="921">
      <c r="K921">
        <f>IF(OR(LEFT(B921,9)="DOANH THU",LEFT(B921,8)="SỐ LƯỢNG"),A921,IF(A921="","",K920))</f>
        <v/>
      </c>
      <c r="L921">
        <f>IF(A921="","",IF(ISNUMBER(--LEFT(A921,FIND(" - ",A921&amp;" - ")-1)),LEFT(A921,FIND(" - ",A921&amp;" - ")-1),TRIM(A921)))</f>
        <v/>
      </c>
      <c r="M921">
        <f>IF(OR(K921="",K921=A921,A921=""),"",K921&amp;"|"&amp;L921)</f>
        <v/>
      </c>
      <c r="N921">
        <f>IF(M921="","",IF(ISNUMBER(B921),B921,IFERROR(_xlfn.NUMBERVALUE(B921,".",","),0)))</f>
        <v/>
      </c>
      <c r="O921">
        <f>IF(M921="","",IF(ISNUMBER(C921),C921,IFERROR(_xlfn.NUMBERVALUE(C921,".",","),0)))</f>
        <v/>
      </c>
    </row>
    <row r="922">
      <c r="K922">
        <f>IF(OR(LEFT(B922,9)="DOANH THU",LEFT(B922,8)="SỐ LƯỢNG"),A922,IF(A922="","",K921))</f>
        <v/>
      </c>
      <c r="L922">
        <f>IF(A922="","",IF(ISNUMBER(--LEFT(A922,FIND(" - ",A922&amp;" - ")-1)),LEFT(A922,FIND(" - ",A922&amp;" - ")-1),TRIM(A922)))</f>
        <v/>
      </c>
      <c r="M922">
        <f>IF(OR(K922="",K922=A922,A922=""),"",K922&amp;"|"&amp;L922)</f>
        <v/>
      </c>
      <c r="N922">
        <f>IF(M922="","",IF(ISNUMBER(B922),B922,IFERROR(_xlfn.NUMBERVALUE(B922,".",","),0)))</f>
        <v/>
      </c>
      <c r="O922">
        <f>IF(M922="","",IF(ISNUMBER(C922),C922,IFERROR(_xlfn.NUMBERVALUE(C922,".",","),0)))</f>
        <v/>
      </c>
    </row>
    <row r="923">
      <c r="K923">
        <f>IF(OR(LEFT(B923,9)="DOANH THU",LEFT(B923,8)="SỐ LƯỢNG"),A923,IF(A923="","",K922))</f>
        <v/>
      </c>
      <c r="L923">
        <f>IF(A923="","",IF(ISNUMBER(--LEFT(A923,FIND(" - ",A923&amp;" - ")-1)),LEFT(A923,FIND(" - ",A923&amp;" - ")-1),TRIM(A923)))</f>
        <v/>
      </c>
      <c r="M923">
        <f>IF(OR(K923="",K923=A923,A923=""),"",K923&amp;"|"&amp;L923)</f>
        <v/>
      </c>
      <c r="N923">
        <f>IF(M923="","",IF(ISNUMBER(B923),B923,IFERROR(_xlfn.NUMBERVALUE(B923,".",","),0)))</f>
        <v/>
      </c>
      <c r="O923">
        <f>IF(M923="","",IF(ISNUMBER(C923),C923,IFERROR(_xlfn.NUMBERVALUE(C923,".",","),0)))</f>
        <v/>
      </c>
    </row>
    <row r="924">
      <c r="K924">
        <f>IF(OR(LEFT(B924,9)="DOANH THU",LEFT(B924,8)="SỐ LƯỢNG"),A924,IF(A924="","",K923))</f>
        <v/>
      </c>
      <c r="L924">
        <f>IF(A924="","",IF(ISNUMBER(--LEFT(A924,FIND(" - ",A924&amp;" - ")-1)),LEFT(A924,FIND(" - ",A924&amp;" - ")-1),TRIM(A924)))</f>
        <v/>
      </c>
      <c r="M924">
        <f>IF(OR(K924="",K924=A924,A924=""),"",K924&amp;"|"&amp;L924)</f>
        <v/>
      </c>
      <c r="N924">
        <f>IF(M924="","",IF(ISNUMBER(B924),B924,IFERROR(_xlfn.NUMBERVALUE(B924,".",","),0)))</f>
        <v/>
      </c>
      <c r="O924">
        <f>IF(M924="","",IF(ISNUMBER(C924),C924,IFERROR(_xlfn.NUMBERVALUE(C924,".",","),0)))</f>
        <v/>
      </c>
    </row>
    <row r="925">
      <c r="K925">
        <f>IF(OR(LEFT(B925,9)="DOANH THU",LEFT(B925,8)="SỐ LƯỢNG"),A925,IF(A925="","",K924))</f>
        <v/>
      </c>
      <c r="L925">
        <f>IF(A925="","",IF(ISNUMBER(--LEFT(A925,FIND(" - ",A925&amp;" - ")-1)),LEFT(A925,FIND(" - ",A925&amp;" - ")-1),TRIM(A925)))</f>
        <v/>
      </c>
      <c r="M925">
        <f>IF(OR(K925="",K925=A925,A925=""),"",K925&amp;"|"&amp;L925)</f>
        <v/>
      </c>
      <c r="N925">
        <f>IF(M925="","",IF(ISNUMBER(B925),B925,IFERROR(_xlfn.NUMBERVALUE(B925,".",","),0)))</f>
        <v/>
      </c>
      <c r="O925">
        <f>IF(M925="","",IF(ISNUMBER(C925),C925,IFERROR(_xlfn.NUMBERVALUE(C925,".",","),0)))</f>
        <v/>
      </c>
    </row>
    <row r="926">
      <c r="K926">
        <f>IF(OR(LEFT(B926,9)="DOANH THU",LEFT(B926,8)="SỐ LƯỢNG"),A926,IF(A926="","",K925))</f>
        <v/>
      </c>
      <c r="L926">
        <f>IF(A926="","",IF(ISNUMBER(--LEFT(A926,FIND(" - ",A926&amp;" - ")-1)),LEFT(A926,FIND(" - ",A926&amp;" - ")-1),TRIM(A926)))</f>
        <v/>
      </c>
      <c r="M926">
        <f>IF(OR(K926="",K926=A926,A926=""),"",K926&amp;"|"&amp;L926)</f>
        <v/>
      </c>
      <c r="N926">
        <f>IF(M926="","",IF(ISNUMBER(B926),B926,IFERROR(_xlfn.NUMBERVALUE(B926,".",","),0)))</f>
        <v/>
      </c>
      <c r="O926">
        <f>IF(M926="","",IF(ISNUMBER(C926),C926,IFERROR(_xlfn.NUMBERVALUE(C926,".",","),0)))</f>
        <v/>
      </c>
    </row>
    <row r="927">
      <c r="K927">
        <f>IF(OR(LEFT(B927,9)="DOANH THU",LEFT(B927,8)="SỐ LƯỢNG"),A927,IF(A927="","",K926))</f>
        <v/>
      </c>
      <c r="L927">
        <f>IF(A927="","",IF(ISNUMBER(--LEFT(A927,FIND(" - ",A927&amp;" - ")-1)),LEFT(A927,FIND(" - ",A927&amp;" - ")-1),TRIM(A927)))</f>
        <v/>
      </c>
      <c r="M927">
        <f>IF(OR(K927="",K927=A927,A927=""),"",K927&amp;"|"&amp;L927)</f>
        <v/>
      </c>
      <c r="N927">
        <f>IF(M927="","",IF(ISNUMBER(B927),B927,IFERROR(_xlfn.NUMBERVALUE(B927,".",","),0)))</f>
        <v/>
      </c>
      <c r="O927">
        <f>IF(M927="","",IF(ISNUMBER(C927),C927,IFERROR(_xlfn.NUMBERVALUE(C927,".",","),0)))</f>
        <v/>
      </c>
    </row>
    <row r="928">
      <c r="K928">
        <f>IF(OR(LEFT(B928,9)="DOANH THU",LEFT(B928,8)="SỐ LƯỢNG"),A928,IF(A928="","",K927))</f>
        <v/>
      </c>
      <c r="L928">
        <f>IF(A928="","",IF(ISNUMBER(--LEFT(A928,FIND(" - ",A928&amp;" - ")-1)),LEFT(A928,FIND(" - ",A928&amp;" - ")-1),TRIM(A928)))</f>
        <v/>
      </c>
      <c r="M928">
        <f>IF(OR(K928="",K928=A928,A928=""),"",K928&amp;"|"&amp;L928)</f>
        <v/>
      </c>
      <c r="N928">
        <f>IF(M928="","",IF(ISNUMBER(B928),B928,IFERROR(_xlfn.NUMBERVALUE(B928,".",","),0)))</f>
        <v/>
      </c>
      <c r="O928">
        <f>IF(M928="","",IF(ISNUMBER(C928),C928,IFERROR(_xlfn.NUMBERVALUE(C928,".",","),0)))</f>
        <v/>
      </c>
    </row>
    <row r="929">
      <c r="K929">
        <f>IF(OR(LEFT(B929,9)="DOANH THU",LEFT(B929,8)="SỐ LƯỢNG"),A929,IF(A929="","",K928))</f>
        <v/>
      </c>
      <c r="L929">
        <f>IF(A929="","",IF(ISNUMBER(--LEFT(A929,FIND(" - ",A929&amp;" - ")-1)),LEFT(A929,FIND(" - ",A929&amp;" - ")-1),TRIM(A929)))</f>
        <v/>
      </c>
      <c r="M929">
        <f>IF(OR(K929="",K929=A929,A929=""),"",K929&amp;"|"&amp;L929)</f>
        <v/>
      </c>
      <c r="N929">
        <f>IF(M929="","",IF(ISNUMBER(B929),B929,IFERROR(_xlfn.NUMBERVALUE(B929,".",","),0)))</f>
        <v/>
      </c>
      <c r="O929">
        <f>IF(M929="","",IF(ISNUMBER(C929),C929,IFERROR(_xlfn.NUMBERVALUE(C929,".",","),0)))</f>
        <v/>
      </c>
    </row>
    <row r="930">
      <c r="K930">
        <f>IF(OR(LEFT(B930,9)="DOANH THU",LEFT(B930,8)="SỐ LƯỢNG"),A930,IF(A930="","",K929))</f>
        <v/>
      </c>
      <c r="L930">
        <f>IF(A930="","",IF(ISNUMBER(--LEFT(A930,FIND(" - ",A930&amp;" - ")-1)),LEFT(A930,FIND(" - ",A930&amp;" - ")-1),TRIM(A930)))</f>
        <v/>
      </c>
      <c r="M930">
        <f>IF(OR(K930="",K930=A930,A930=""),"",K930&amp;"|"&amp;L930)</f>
        <v/>
      </c>
      <c r="N930">
        <f>IF(M930="","",IF(ISNUMBER(B930),B930,IFERROR(_xlfn.NUMBERVALUE(B930,".",","),0)))</f>
        <v/>
      </c>
      <c r="O930">
        <f>IF(M930="","",IF(ISNUMBER(C930),C930,IFERROR(_xlfn.NUMBERVALUE(C930,".",","),0)))</f>
        <v/>
      </c>
    </row>
    <row r="931">
      <c r="K931">
        <f>IF(OR(LEFT(B931,9)="DOANH THU",LEFT(B931,8)="SỐ LƯỢNG"),A931,IF(A931="","",K930))</f>
        <v/>
      </c>
      <c r="L931">
        <f>IF(A931="","",IF(ISNUMBER(--LEFT(A931,FIND(" - ",A931&amp;" - ")-1)),LEFT(A931,FIND(" - ",A931&amp;" - ")-1),TRIM(A931)))</f>
        <v/>
      </c>
      <c r="M931">
        <f>IF(OR(K931="",K931=A931,A931=""),"",K931&amp;"|"&amp;L931)</f>
        <v/>
      </c>
      <c r="N931">
        <f>IF(M931="","",IF(ISNUMBER(B931),B931,IFERROR(_xlfn.NUMBERVALUE(B931,".",","),0)))</f>
        <v/>
      </c>
      <c r="O931">
        <f>IF(M931="","",IF(ISNUMBER(C931),C931,IFERROR(_xlfn.NUMBERVALUE(C931,".",","),0)))</f>
        <v/>
      </c>
    </row>
    <row r="932">
      <c r="K932">
        <f>IF(OR(LEFT(B932,9)="DOANH THU",LEFT(B932,8)="SỐ LƯỢNG"),A932,IF(A932="","",K931))</f>
        <v/>
      </c>
      <c r="L932">
        <f>IF(A932="","",IF(ISNUMBER(--LEFT(A932,FIND(" - ",A932&amp;" - ")-1)),LEFT(A932,FIND(" - ",A932&amp;" - ")-1),TRIM(A932)))</f>
        <v/>
      </c>
      <c r="M932">
        <f>IF(OR(K932="",K932=A932,A932=""),"",K932&amp;"|"&amp;L932)</f>
        <v/>
      </c>
      <c r="N932">
        <f>IF(M932="","",IF(ISNUMBER(B932),B932,IFERROR(_xlfn.NUMBERVALUE(B932,".",","),0)))</f>
        <v/>
      </c>
      <c r="O932">
        <f>IF(M932="","",IF(ISNUMBER(C932),C932,IFERROR(_xlfn.NUMBERVALUE(C932,".",","),0)))</f>
        <v/>
      </c>
    </row>
    <row r="933">
      <c r="K933">
        <f>IF(OR(LEFT(B933,9)="DOANH THU",LEFT(B933,8)="SỐ LƯỢNG"),A933,IF(A933="","",K932))</f>
        <v/>
      </c>
      <c r="L933">
        <f>IF(A933="","",IF(ISNUMBER(--LEFT(A933,FIND(" - ",A933&amp;" - ")-1)),LEFT(A933,FIND(" - ",A933&amp;" - ")-1),TRIM(A933)))</f>
        <v/>
      </c>
      <c r="M933">
        <f>IF(OR(K933="",K933=A933,A933=""),"",K933&amp;"|"&amp;L933)</f>
        <v/>
      </c>
      <c r="N933">
        <f>IF(M933="","",IF(ISNUMBER(B933),B933,IFERROR(_xlfn.NUMBERVALUE(B933,".",","),0)))</f>
        <v/>
      </c>
      <c r="O933">
        <f>IF(M933="","",IF(ISNUMBER(C933),C933,IFERROR(_xlfn.NUMBERVALUE(C933,".",","),0)))</f>
        <v/>
      </c>
    </row>
    <row r="934">
      <c r="K934">
        <f>IF(OR(LEFT(B934,9)="DOANH THU",LEFT(B934,8)="SỐ LƯỢNG"),A934,IF(A934="","",K933))</f>
        <v/>
      </c>
      <c r="L934">
        <f>IF(A934="","",IF(ISNUMBER(--LEFT(A934,FIND(" - ",A934&amp;" - ")-1)),LEFT(A934,FIND(" - ",A934&amp;" - ")-1),TRIM(A934)))</f>
        <v/>
      </c>
      <c r="M934">
        <f>IF(OR(K934="",K934=A934,A934=""),"",K934&amp;"|"&amp;L934)</f>
        <v/>
      </c>
      <c r="N934">
        <f>IF(M934="","",IF(ISNUMBER(B934),B934,IFERROR(_xlfn.NUMBERVALUE(B934,".",","),0)))</f>
        <v/>
      </c>
      <c r="O934">
        <f>IF(M934="","",IF(ISNUMBER(C934),C934,IFERROR(_xlfn.NUMBERVALUE(C934,".",","),0)))</f>
        <v/>
      </c>
    </row>
    <row r="935">
      <c r="K935">
        <f>IF(OR(LEFT(B935,9)="DOANH THU",LEFT(B935,8)="SỐ LƯỢNG"),A935,IF(A935="","",K934))</f>
        <v/>
      </c>
      <c r="L935">
        <f>IF(A935="","",IF(ISNUMBER(--LEFT(A935,FIND(" - ",A935&amp;" - ")-1)),LEFT(A935,FIND(" - ",A935&amp;" - ")-1),TRIM(A935)))</f>
        <v/>
      </c>
      <c r="M935">
        <f>IF(OR(K935="",K935=A935,A935=""),"",K935&amp;"|"&amp;L935)</f>
        <v/>
      </c>
      <c r="N935">
        <f>IF(M935="","",IF(ISNUMBER(B935),B935,IFERROR(_xlfn.NUMBERVALUE(B935,".",","),0)))</f>
        <v/>
      </c>
      <c r="O935">
        <f>IF(M935="","",IF(ISNUMBER(C935),C935,IFERROR(_xlfn.NUMBERVALUE(C935,".",","),0)))</f>
        <v/>
      </c>
    </row>
    <row r="936">
      <c r="K936">
        <f>IF(OR(LEFT(B936,9)="DOANH THU",LEFT(B936,8)="SỐ LƯỢNG"),A936,IF(A936="","",K935))</f>
        <v/>
      </c>
      <c r="L936">
        <f>IF(A936="","",IF(ISNUMBER(--LEFT(A936,FIND(" - ",A936&amp;" - ")-1)),LEFT(A936,FIND(" - ",A936&amp;" - ")-1),TRIM(A936)))</f>
        <v/>
      </c>
      <c r="M936">
        <f>IF(OR(K936="",K936=A936,A936=""),"",K936&amp;"|"&amp;L936)</f>
        <v/>
      </c>
      <c r="N936">
        <f>IF(M936="","",IF(ISNUMBER(B936),B936,IFERROR(_xlfn.NUMBERVALUE(B936,".",","),0)))</f>
        <v/>
      </c>
      <c r="O936">
        <f>IF(M936="","",IF(ISNUMBER(C936),C936,IFERROR(_xlfn.NUMBERVALUE(C936,".",","),0)))</f>
        <v/>
      </c>
    </row>
    <row r="937">
      <c r="K937">
        <f>IF(OR(LEFT(B937,9)="DOANH THU",LEFT(B937,8)="SỐ LƯỢNG"),A937,IF(A937="","",K936))</f>
        <v/>
      </c>
      <c r="L937">
        <f>IF(A937="","",IF(ISNUMBER(--LEFT(A937,FIND(" - ",A937&amp;" - ")-1)),LEFT(A937,FIND(" - ",A937&amp;" - ")-1),TRIM(A937)))</f>
        <v/>
      </c>
      <c r="M937">
        <f>IF(OR(K937="",K937=A937,A937=""),"",K937&amp;"|"&amp;L937)</f>
        <v/>
      </c>
      <c r="N937">
        <f>IF(M937="","",IF(ISNUMBER(B937),B937,IFERROR(_xlfn.NUMBERVALUE(B937,".",","),0)))</f>
        <v/>
      </c>
      <c r="O937">
        <f>IF(M937="","",IF(ISNUMBER(C937),C937,IFERROR(_xlfn.NUMBERVALUE(C937,".",","),0)))</f>
        <v/>
      </c>
    </row>
    <row r="938">
      <c r="K938">
        <f>IF(OR(LEFT(B938,9)="DOANH THU",LEFT(B938,8)="SỐ LƯỢNG"),A938,IF(A938="","",K937))</f>
        <v/>
      </c>
      <c r="L938">
        <f>IF(A938="","",IF(ISNUMBER(--LEFT(A938,FIND(" - ",A938&amp;" - ")-1)),LEFT(A938,FIND(" - ",A938&amp;" - ")-1),TRIM(A938)))</f>
        <v/>
      </c>
      <c r="M938">
        <f>IF(OR(K938="",K938=A938,A938=""),"",K938&amp;"|"&amp;L938)</f>
        <v/>
      </c>
      <c r="N938">
        <f>IF(M938="","",IF(ISNUMBER(B938),B938,IFERROR(_xlfn.NUMBERVALUE(B938,".",","),0)))</f>
        <v/>
      </c>
      <c r="O938">
        <f>IF(M938="","",IF(ISNUMBER(C938),C938,IFERROR(_xlfn.NUMBERVALUE(C938,".",","),0)))</f>
        <v/>
      </c>
    </row>
    <row r="939">
      <c r="K939">
        <f>IF(OR(LEFT(B939,9)="DOANH THU",LEFT(B939,8)="SỐ LƯỢNG"),A939,IF(A939="","",K938))</f>
        <v/>
      </c>
      <c r="L939">
        <f>IF(A939="","",IF(ISNUMBER(--LEFT(A939,FIND(" - ",A939&amp;" - ")-1)),LEFT(A939,FIND(" - ",A939&amp;" - ")-1),TRIM(A939)))</f>
        <v/>
      </c>
      <c r="M939">
        <f>IF(OR(K939="",K939=A939,A939=""),"",K939&amp;"|"&amp;L939)</f>
        <v/>
      </c>
      <c r="N939">
        <f>IF(M939="","",IF(ISNUMBER(B939),B939,IFERROR(_xlfn.NUMBERVALUE(B939,".",","),0)))</f>
        <v/>
      </c>
      <c r="O939">
        <f>IF(M939="","",IF(ISNUMBER(C939),C939,IFERROR(_xlfn.NUMBERVALUE(C939,".",","),0)))</f>
        <v/>
      </c>
    </row>
    <row r="940">
      <c r="K940">
        <f>IF(OR(LEFT(B940,9)="DOANH THU",LEFT(B940,8)="SỐ LƯỢNG"),A940,IF(A940="","",K939))</f>
        <v/>
      </c>
      <c r="L940">
        <f>IF(A940="","",IF(ISNUMBER(--LEFT(A940,FIND(" - ",A940&amp;" - ")-1)),LEFT(A940,FIND(" - ",A940&amp;" - ")-1),TRIM(A940)))</f>
        <v/>
      </c>
      <c r="M940">
        <f>IF(OR(K940="",K940=A940,A940=""),"",K940&amp;"|"&amp;L940)</f>
        <v/>
      </c>
      <c r="N940">
        <f>IF(M940="","",IF(ISNUMBER(B940),B940,IFERROR(_xlfn.NUMBERVALUE(B940,".",","),0)))</f>
        <v/>
      </c>
      <c r="O940">
        <f>IF(M940="","",IF(ISNUMBER(C940),C940,IFERROR(_xlfn.NUMBERVALUE(C940,".",","),0)))</f>
        <v/>
      </c>
    </row>
    <row r="941">
      <c r="K941">
        <f>IF(OR(LEFT(B941,9)="DOANH THU",LEFT(B941,8)="SỐ LƯỢNG"),A941,IF(A941="","",K940))</f>
        <v/>
      </c>
      <c r="L941">
        <f>IF(A941="","",IF(ISNUMBER(--LEFT(A941,FIND(" - ",A941&amp;" - ")-1)),LEFT(A941,FIND(" - ",A941&amp;" - ")-1),TRIM(A941)))</f>
        <v/>
      </c>
      <c r="M941">
        <f>IF(OR(K941="",K941=A941,A941=""),"",K941&amp;"|"&amp;L941)</f>
        <v/>
      </c>
      <c r="N941">
        <f>IF(M941="","",IF(ISNUMBER(B941),B941,IFERROR(_xlfn.NUMBERVALUE(B941,".",","),0)))</f>
        <v/>
      </c>
      <c r="O941">
        <f>IF(M941="","",IF(ISNUMBER(C941),C941,IFERROR(_xlfn.NUMBERVALUE(C941,".",","),0)))</f>
        <v/>
      </c>
    </row>
    <row r="942">
      <c r="K942">
        <f>IF(OR(LEFT(B942,9)="DOANH THU",LEFT(B942,8)="SỐ LƯỢNG"),A942,IF(A942="","",K941))</f>
        <v/>
      </c>
      <c r="L942">
        <f>IF(A942="","",IF(ISNUMBER(--LEFT(A942,FIND(" - ",A942&amp;" - ")-1)),LEFT(A942,FIND(" - ",A942&amp;" - ")-1),TRIM(A942)))</f>
        <v/>
      </c>
      <c r="M942">
        <f>IF(OR(K942="",K942=A942,A942=""),"",K942&amp;"|"&amp;L942)</f>
        <v/>
      </c>
      <c r="N942">
        <f>IF(M942="","",IF(ISNUMBER(B942),B942,IFERROR(_xlfn.NUMBERVALUE(B942,".",","),0)))</f>
        <v/>
      </c>
      <c r="O942">
        <f>IF(M942="","",IF(ISNUMBER(C942),C942,IFERROR(_xlfn.NUMBERVALUE(C942,".",","),0)))</f>
        <v/>
      </c>
    </row>
    <row r="943">
      <c r="K943">
        <f>IF(OR(LEFT(B943,9)="DOANH THU",LEFT(B943,8)="SỐ LƯỢNG"),A943,IF(A943="","",K942))</f>
        <v/>
      </c>
      <c r="L943">
        <f>IF(A943="","",IF(ISNUMBER(--LEFT(A943,FIND(" - ",A943&amp;" - ")-1)),LEFT(A943,FIND(" - ",A943&amp;" - ")-1),TRIM(A943)))</f>
        <v/>
      </c>
      <c r="M943">
        <f>IF(OR(K943="",K943=A943,A943=""),"",K943&amp;"|"&amp;L943)</f>
        <v/>
      </c>
      <c r="N943">
        <f>IF(M943="","",IF(ISNUMBER(B943),B943,IFERROR(_xlfn.NUMBERVALUE(B943,".",","),0)))</f>
        <v/>
      </c>
      <c r="O943">
        <f>IF(M943="","",IF(ISNUMBER(C943),C943,IFERROR(_xlfn.NUMBERVALUE(C943,".",","),0)))</f>
        <v/>
      </c>
    </row>
    <row r="944">
      <c r="K944">
        <f>IF(OR(LEFT(B944,9)="DOANH THU",LEFT(B944,8)="SỐ LƯỢNG"),A944,IF(A944="","",K943))</f>
        <v/>
      </c>
      <c r="L944">
        <f>IF(A944="","",IF(ISNUMBER(--LEFT(A944,FIND(" - ",A944&amp;" - ")-1)),LEFT(A944,FIND(" - ",A944&amp;" - ")-1),TRIM(A944)))</f>
        <v/>
      </c>
      <c r="M944">
        <f>IF(OR(K944="",K944=A944,A944=""),"",K944&amp;"|"&amp;L944)</f>
        <v/>
      </c>
      <c r="N944">
        <f>IF(M944="","",IF(ISNUMBER(B944),B944,IFERROR(_xlfn.NUMBERVALUE(B944,".",","),0)))</f>
        <v/>
      </c>
      <c r="O944">
        <f>IF(M944="","",IF(ISNUMBER(C944),C944,IFERROR(_xlfn.NUMBERVALUE(C944,".",","),0)))</f>
        <v/>
      </c>
    </row>
    <row r="945">
      <c r="K945">
        <f>IF(OR(LEFT(B945,9)="DOANH THU",LEFT(B945,8)="SỐ LƯỢNG"),A945,IF(A945="","",K944))</f>
        <v/>
      </c>
      <c r="L945">
        <f>IF(A945="","",IF(ISNUMBER(--LEFT(A945,FIND(" - ",A945&amp;" - ")-1)),LEFT(A945,FIND(" - ",A945&amp;" - ")-1),TRIM(A945)))</f>
        <v/>
      </c>
      <c r="M945">
        <f>IF(OR(K945="",K945=A945,A945=""),"",K945&amp;"|"&amp;L945)</f>
        <v/>
      </c>
      <c r="N945">
        <f>IF(M945="","",IF(ISNUMBER(B945),B945,IFERROR(_xlfn.NUMBERVALUE(B945,".",","),0)))</f>
        <v/>
      </c>
      <c r="O945">
        <f>IF(M945="","",IF(ISNUMBER(C945),C945,IFERROR(_xlfn.NUMBERVALUE(C945,".",","),0)))</f>
        <v/>
      </c>
    </row>
    <row r="946">
      <c r="K946">
        <f>IF(OR(LEFT(B946,9)="DOANH THU",LEFT(B946,8)="SỐ LƯỢNG"),A946,IF(A946="","",K945))</f>
        <v/>
      </c>
      <c r="L946">
        <f>IF(A946="","",IF(ISNUMBER(--LEFT(A946,FIND(" - ",A946&amp;" - ")-1)),LEFT(A946,FIND(" - ",A946&amp;" - ")-1),TRIM(A946)))</f>
        <v/>
      </c>
      <c r="M946">
        <f>IF(OR(K946="",K946=A946,A946=""),"",K946&amp;"|"&amp;L946)</f>
        <v/>
      </c>
      <c r="N946">
        <f>IF(M946="","",IF(ISNUMBER(B946),B946,IFERROR(_xlfn.NUMBERVALUE(B946,".",","),0)))</f>
        <v/>
      </c>
      <c r="O946">
        <f>IF(M946="","",IF(ISNUMBER(C946),C946,IFERROR(_xlfn.NUMBERVALUE(C946,".",","),0)))</f>
        <v/>
      </c>
    </row>
    <row r="947">
      <c r="K947">
        <f>IF(OR(LEFT(B947,9)="DOANH THU",LEFT(B947,8)="SỐ LƯỢNG"),A947,IF(A947="","",K946))</f>
        <v/>
      </c>
      <c r="L947">
        <f>IF(A947="","",IF(ISNUMBER(--LEFT(A947,FIND(" - ",A947&amp;" - ")-1)),LEFT(A947,FIND(" - ",A947&amp;" - ")-1),TRIM(A947)))</f>
        <v/>
      </c>
      <c r="M947">
        <f>IF(OR(K947="",K947=A947,A947=""),"",K947&amp;"|"&amp;L947)</f>
        <v/>
      </c>
      <c r="N947">
        <f>IF(M947="","",IF(ISNUMBER(B947),B947,IFERROR(_xlfn.NUMBERVALUE(B947,".",","),0)))</f>
        <v/>
      </c>
      <c r="O947">
        <f>IF(M947="","",IF(ISNUMBER(C947),C947,IFERROR(_xlfn.NUMBERVALUE(C947,".",","),0)))</f>
        <v/>
      </c>
    </row>
    <row r="948">
      <c r="K948">
        <f>IF(OR(LEFT(B948,9)="DOANH THU",LEFT(B948,8)="SỐ LƯỢNG"),A948,IF(A948="","",K947))</f>
        <v/>
      </c>
      <c r="L948">
        <f>IF(A948="","",IF(ISNUMBER(--LEFT(A948,FIND(" - ",A948&amp;" - ")-1)),LEFT(A948,FIND(" - ",A948&amp;" - ")-1),TRIM(A948)))</f>
        <v/>
      </c>
      <c r="M948">
        <f>IF(OR(K948="",K948=A948,A948=""),"",K948&amp;"|"&amp;L948)</f>
        <v/>
      </c>
      <c r="N948">
        <f>IF(M948="","",IF(ISNUMBER(B948),B948,IFERROR(_xlfn.NUMBERVALUE(B948,".",","),0)))</f>
        <v/>
      </c>
      <c r="O948">
        <f>IF(M948="","",IF(ISNUMBER(C948),C948,IFERROR(_xlfn.NUMBERVALUE(C948,".",","),0)))</f>
        <v/>
      </c>
    </row>
    <row r="949">
      <c r="K949">
        <f>IF(OR(LEFT(B949,9)="DOANH THU",LEFT(B949,8)="SỐ LƯỢNG"),A949,IF(A949="","",K948))</f>
        <v/>
      </c>
      <c r="L949">
        <f>IF(A949="","",IF(ISNUMBER(--LEFT(A949,FIND(" - ",A949&amp;" - ")-1)),LEFT(A949,FIND(" - ",A949&amp;" - ")-1),TRIM(A949)))</f>
        <v/>
      </c>
      <c r="M949">
        <f>IF(OR(K949="",K949=A949,A949=""),"",K949&amp;"|"&amp;L949)</f>
        <v/>
      </c>
      <c r="N949">
        <f>IF(M949="","",IF(ISNUMBER(B949),B949,IFERROR(_xlfn.NUMBERVALUE(B949,".",","),0)))</f>
        <v/>
      </c>
      <c r="O949">
        <f>IF(M949="","",IF(ISNUMBER(C949),C949,IFERROR(_xlfn.NUMBERVALUE(C949,".",","),0)))</f>
        <v/>
      </c>
    </row>
    <row r="950">
      <c r="K950">
        <f>IF(OR(LEFT(B950,9)="DOANH THU",LEFT(B950,8)="SỐ LƯỢNG"),A950,IF(A950="","",K949))</f>
        <v/>
      </c>
      <c r="L950">
        <f>IF(A950="","",IF(ISNUMBER(--LEFT(A950,FIND(" - ",A950&amp;" - ")-1)),LEFT(A950,FIND(" - ",A950&amp;" - ")-1),TRIM(A950)))</f>
        <v/>
      </c>
      <c r="M950">
        <f>IF(OR(K950="",K950=A950,A950=""),"",K950&amp;"|"&amp;L950)</f>
        <v/>
      </c>
      <c r="N950">
        <f>IF(M950="","",IF(ISNUMBER(B950),B950,IFERROR(_xlfn.NUMBERVALUE(B950,".",","),0)))</f>
        <v/>
      </c>
      <c r="O950">
        <f>IF(M950="","",IF(ISNUMBER(C950),C950,IFERROR(_xlfn.NUMBERVALUE(C950,".",","),0)))</f>
        <v/>
      </c>
    </row>
    <row r="951">
      <c r="K951">
        <f>IF(OR(LEFT(B951,9)="DOANH THU",LEFT(B951,8)="SỐ LƯỢNG"),A951,IF(A951="","",K950))</f>
        <v/>
      </c>
      <c r="L951">
        <f>IF(A951="","",IF(ISNUMBER(--LEFT(A951,FIND(" - ",A951&amp;" - ")-1)),LEFT(A951,FIND(" - ",A951&amp;" - ")-1),TRIM(A951)))</f>
        <v/>
      </c>
      <c r="M951">
        <f>IF(OR(K951="",K951=A951,A951=""),"",K951&amp;"|"&amp;L951)</f>
        <v/>
      </c>
      <c r="N951">
        <f>IF(M951="","",IF(ISNUMBER(B951),B951,IFERROR(_xlfn.NUMBERVALUE(B951,".",","),0)))</f>
        <v/>
      </c>
      <c r="O951">
        <f>IF(M951="","",IF(ISNUMBER(C951),C951,IFERROR(_xlfn.NUMBERVALUE(C951,".",","),0)))</f>
        <v/>
      </c>
    </row>
    <row r="952">
      <c r="K952">
        <f>IF(OR(LEFT(B952,9)="DOANH THU",LEFT(B952,8)="SỐ LƯỢNG"),A952,IF(A952="","",K951))</f>
        <v/>
      </c>
      <c r="L952">
        <f>IF(A952="","",IF(ISNUMBER(--LEFT(A952,FIND(" - ",A952&amp;" - ")-1)),LEFT(A952,FIND(" - ",A952&amp;" - ")-1),TRIM(A952)))</f>
        <v/>
      </c>
      <c r="M952">
        <f>IF(OR(K952="",K952=A952,A952=""),"",K952&amp;"|"&amp;L952)</f>
        <v/>
      </c>
      <c r="N952">
        <f>IF(M952="","",IF(ISNUMBER(B952),B952,IFERROR(_xlfn.NUMBERVALUE(B952,".",","),0)))</f>
        <v/>
      </c>
      <c r="O952">
        <f>IF(M952="","",IF(ISNUMBER(C952),C952,IFERROR(_xlfn.NUMBERVALUE(C952,".",","),0)))</f>
        <v/>
      </c>
    </row>
    <row r="953">
      <c r="K953">
        <f>IF(OR(LEFT(B953,9)="DOANH THU",LEFT(B953,8)="SỐ LƯỢNG"),A953,IF(A953="","",K952))</f>
        <v/>
      </c>
      <c r="L953">
        <f>IF(A953="","",IF(ISNUMBER(--LEFT(A953,FIND(" - ",A953&amp;" - ")-1)),LEFT(A953,FIND(" - ",A953&amp;" - ")-1),TRIM(A953)))</f>
        <v/>
      </c>
      <c r="M953">
        <f>IF(OR(K953="",K953=A953,A953=""),"",K953&amp;"|"&amp;L953)</f>
        <v/>
      </c>
      <c r="N953">
        <f>IF(M953="","",IF(ISNUMBER(B953),B953,IFERROR(_xlfn.NUMBERVALUE(B953,".",","),0)))</f>
        <v/>
      </c>
      <c r="O953">
        <f>IF(M953="","",IF(ISNUMBER(C953),C953,IFERROR(_xlfn.NUMBERVALUE(C953,".",","),0)))</f>
        <v/>
      </c>
    </row>
    <row r="954">
      <c r="K954">
        <f>IF(OR(LEFT(B954,9)="DOANH THU",LEFT(B954,8)="SỐ LƯỢNG"),A954,IF(A954="","",K953))</f>
        <v/>
      </c>
      <c r="L954">
        <f>IF(A954="","",IF(ISNUMBER(--LEFT(A954,FIND(" - ",A954&amp;" - ")-1)),LEFT(A954,FIND(" - ",A954&amp;" - ")-1),TRIM(A954)))</f>
        <v/>
      </c>
      <c r="M954">
        <f>IF(OR(K954="",K954=A954,A954=""),"",K954&amp;"|"&amp;L954)</f>
        <v/>
      </c>
      <c r="N954">
        <f>IF(M954="","",IF(ISNUMBER(B954),B954,IFERROR(_xlfn.NUMBERVALUE(B954,".",","),0)))</f>
        <v/>
      </c>
      <c r="O954">
        <f>IF(M954="","",IF(ISNUMBER(C954),C954,IFERROR(_xlfn.NUMBERVALUE(C954,".",","),0)))</f>
        <v/>
      </c>
    </row>
    <row r="955">
      <c r="K955">
        <f>IF(OR(LEFT(B955,9)="DOANH THU",LEFT(B955,8)="SỐ LƯỢNG"),A955,IF(A955="","",K954))</f>
        <v/>
      </c>
      <c r="L955">
        <f>IF(A955="","",IF(ISNUMBER(--LEFT(A955,FIND(" - ",A955&amp;" - ")-1)),LEFT(A955,FIND(" - ",A955&amp;" - ")-1),TRIM(A955)))</f>
        <v/>
      </c>
      <c r="M955">
        <f>IF(OR(K955="",K955=A955,A955=""),"",K955&amp;"|"&amp;L955)</f>
        <v/>
      </c>
      <c r="N955">
        <f>IF(M955="","",IF(ISNUMBER(B955),B955,IFERROR(_xlfn.NUMBERVALUE(B955,".",","),0)))</f>
        <v/>
      </c>
      <c r="O955">
        <f>IF(M955="","",IF(ISNUMBER(C955),C955,IFERROR(_xlfn.NUMBERVALUE(C955,".",","),0)))</f>
        <v/>
      </c>
    </row>
    <row r="956">
      <c r="K956">
        <f>IF(OR(LEFT(B956,9)="DOANH THU",LEFT(B956,8)="SỐ LƯỢNG"),A956,IF(A956="","",K955))</f>
        <v/>
      </c>
      <c r="L956">
        <f>IF(A956="","",IF(ISNUMBER(--LEFT(A956,FIND(" - ",A956&amp;" - ")-1)),LEFT(A956,FIND(" - ",A956&amp;" - ")-1),TRIM(A956)))</f>
        <v/>
      </c>
      <c r="M956">
        <f>IF(OR(K956="",K956=A956,A956=""),"",K956&amp;"|"&amp;L956)</f>
        <v/>
      </c>
      <c r="N956">
        <f>IF(M956="","",IF(ISNUMBER(B956),B956,IFERROR(_xlfn.NUMBERVALUE(B956,".",","),0)))</f>
        <v/>
      </c>
      <c r="O956">
        <f>IF(M956="","",IF(ISNUMBER(C956),C956,IFERROR(_xlfn.NUMBERVALUE(C956,".",","),0)))</f>
        <v/>
      </c>
    </row>
    <row r="957">
      <c r="K957">
        <f>IF(OR(LEFT(B957,9)="DOANH THU",LEFT(B957,8)="SỐ LƯỢNG"),A957,IF(A957="","",K956))</f>
        <v/>
      </c>
      <c r="L957">
        <f>IF(A957="","",IF(ISNUMBER(--LEFT(A957,FIND(" - ",A957&amp;" - ")-1)),LEFT(A957,FIND(" - ",A957&amp;" - ")-1),TRIM(A957)))</f>
        <v/>
      </c>
      <c r="M957">
        <f>IF(OR(K957="",K957=A957,A957=""),"",K957&amp;"|"&amp;L957)</f>
        <v/>
      </c>
      <c r="N957">
        <f>IF(M957="","",IF(ISNUMBER(B957),B957,IFERROR(_xlfn.NUMBERVALUE(B957,".",","),0)))</f>
        <v/>
      </c>
      <c r="O957">
        <f>IF(M957="","",IF(ISNUMBER(C957),C957,IFERROR(_xlfn.NUMBERVALUE(C957,".",","),0)))</f>
        <v/>
      </c>
    </row>
    <row r="958">
      <c r="K958">
        <f>IF(OR(LEFT(B958,9)="DOANH THU",LEFT(B958,8)="SỐ LƯỢNG"),A958,IF(A958="","",K957))</f>
        <v/>
      </c>
      <c r="L958">
        <f>IF(A958="","",IF(ISNUMBER(--LEFT(A958,FIND(" - ",A958&amp;" - ")-1)),LEFT(A958,FIND(" - ",A958&amp;" - ")-1),TRIM(A958)))</f>
        <v/>
      </c>
      <c r="M958">
        <f>IF(OR(K958="",K958=A958,A958=""),"",K958&amp;"|"&amp;L958)</f>
        <v/>
      </c>
      <c r="N958">
        <f>IF(M958="","",IF(ISNUMBER(B958),B958,IFERROR(_xlfn.NUMBERVALUE(B958,".",","),0)))</f>
        <v/>
      </c>
      <c r="O958">
        <f>IF(M958="","",IF(ISNUMBER(C958),C958,IFERROR(_xlfn.NUMBERVALUE(C958,".",","),0)))</f>
        <v/>
      </c>
    </row>
    <row r="959">
      <c r="K959">
        <f>IF(OR(LEFT(B959,9)="DOANH THU",LEFT(B959,8)="SỐ LƯỢNG"),A959,IF(A959="","",K958))</f>
        <v/>
      </c>
      <c r="L959">
        <f>IF(A959="","",IF(ISNUMBER(--LEFT(A959,FIND(" - ",A959&amp;" - ")-1)),LEFT(A959,FIND(" - ",A959&amp;" - ")-1),TRIM(A959)))</f>
        <v/>
      </c>
      <c r="M959">
        <f>IF(OR(K959="",K959=A959,A959=""),"",K959&amp;"|"&amp;L959)</f>
        <v/>
      </c>
      <c r="N959">
        <f>IF(M959="","",IF(ISNUMBER(B959),B959,IFERROR(_xlfn.NUMBERVALUE(B959,".",","),0)))</f>
        <v/>
      </c>
      <c r="O959">
        <f>IF(M959="","",IF(ISNUMBER(C959),C959,IFERROR(_xlfn.NUMBERVALUE(C959,".",","),0)))</f>
        <v/>
      </c>
    </row>
    <row r="960">
      <c r="K960">
        <f>IF(OR(LEFT(B960,9)="DOANH THU",LEFT(B960,8)="SỐ LƯỢNG"),A960,IF(A960="","",K959))</f>
        <v/>
      </c>
      <c r="L960">
        <f>IF(A960="","",IF(ISNUMBER(--LEFT(A960,FIND(" - ",A960&amp;" - ")-1)),LEFT(A960,FIND(" - ",A960&amp;" - ")-1),TRIM(A960)))</f>
        <v/>
      </c>
      <c r="M960">
        <f>IF(OR(K960="",K960=A960,A960=""),"",K960&amp;"|"&amp;L960)</f>
        <v/>
      </c>
      <c r="N960">
        <f>IF(M960="","",IF(ISNUMBER(B960),B960,IFERROR(_xlfn.NUMBERVALUE(B960,".",","),0)))</f>
        <v/>
      </c>
      <c r="O960">
        <f>IF(M960="","",IF(ISNUMBER(C960),C960,IFERROR(_xlfn.NUMBERVALUE(C960,".",","),0)))</f>
        <v/>
      </c>
    </row>
    <row r="961">
      <c r="K961">
        <f>IF(OR(LEFT(B961,9)="DOANH THU",LEFT(B961,8)="SỐ LƯỢNG"),A961,IF(A961="","",K960))</f>
        <v/>
      </c>
      <c r="L961">
        <f>IF(A961="","",IF(ISNUMBER(--LEFT(A961,FIND(" - ",A961&amp;" - ")-1)),LEFT(A961,FIND(" - ",A961&amp;" - ")-1),TRIM(A961)))</f>
        <v/>
      </c>
      <c r="M961">
        <f>IF(OR(K961="",K961=A961,A961=""),"",K961&amp;"|"&amp;L961)</f>
        <v/>
      </c>
      <c r="N961">
        <f>IF(M961="","",IF(ISNUMBER(B961),B961,IFERROR(_xlfn.NUMBERVALUE(B961,".",","),0)))</f>
        <v/>
      </c>
      <c r="O961">
        <f>IF(M961="","",IF(ISNUMBER(C961),C961,IFERROR(_xlfn.NUMBERVALUE(C961,".",","),0)))</f>
        <v/>
      </c>
    </row>
    <row r="962">
      <c r="K962">
        <f>IF(OR(LEFT(B962,9)="DOANH THU",LEFT(B962,8)="SỐ LƯỢNG"),A962,IF(A962="","",K961))</f>
        <v/>
      </c>
      <c r="L962">
        <f>IF(A962="","",IF(ISNUMBER(--LEFT(A962,FIND(" - ",A962&amp;" - ")-1)),LEFT(A962,FIND(" - ",A962&amp;" - ")-1),TRIM(A962)))</f>
        <v/>
      </c>
      <c r="M962">
        <f>IF(OR(K962="",K962=A962,A962=""),"",K962&amp;"|"&amp;L962)</f>
        <v/>
      </c>
      <c r="N962">
        <f>IF(M962="","",IF(ISNUMBER(B962),B962,IFERROR(_xlfn.NUMBERVALUE(B962,".",","),0)))</f>
        <v/>
      </c>
      <c r="O962">
        <f>IF(M962="","",IF(ISNUMBER(C962),C962,IFERROR(_xlfn.NUMBERVALUE(C962,".",","),0)))</f>
        <v/>
      </c>
    </row>
    <row r="963">
      <c r="K963">
        <f>IF(OR(LEFT(B963,9)="DOANH THU",LEFT(B963,8)="SỐ LƯỢNG"),A963,IF(A963="","",K962))</f>
        <v/>
      </c>
      <c r="L963">
        <f>IF(A963="","",IF(ISNUMBER(--LEFT(A963,FIND(" - ",A963&amp;" - ")-1)),LEFT(A963,FIND(" - ",A963&amp;" - ")-1),TRIM(A963)))</f>
        <v/>
      </c>
      <c r="M963">
        <f>IF(OR(K963="",K963=A963,A963=""),"",K963&amp;"|"&amp;L963)</f>
        <v/>
      </c>
      <c r="N963">
        <f>IF(M963="","",IF(ISNUMBER(B963),B963,IFERROR(_xlfn.NUMBERVALUE(B963,".",","),0)))</f>
        <v/>
      </c>
      <c r="O963">
        <f>IF(M963="","",IF(ISNUMBER(C963),C963,IFERROR(_xlfn.NUMBERVALUE(C963,".",","),0)))</f>
        <v/>
      </c>
    </row>
    <row r="964">
      <c r="K964">
        <f>IF(OR(LEFT(B964,9)="DOANH THU",LEFT(B964,8)="SỐ LƯỢNG"),A964,IF(A964="","",K963))</f>
        <v/>
      </c>
      <c r="L964">
        <f>IF(A964="","",IF(ISNUMBER(--LEFT(A964,FIND(" - ",A964&amp;" - ")-1)),LEFT(A964,FIND(" - ",A964&amp;" - ")-1),TRIM(A964)))</f>
        <v/>
      </c>
      <c r="M964">
        <f>IF(OR(K964="",K964=A964,A964=""),"",K964&amp;"|"&amp;L964)</f>
        <v/>
      </c>
      <c r="N964">
        <f>IF(M964="","",IF(ISNUMBER(B964),B964,IFERROR(_xlfn.NUMBERVALUE(B964,".",","),0)))</f>
        <v/>
      </c>
      <c r="O964">
        <f>IF(M964="","",IF(ISNUMBER(C964),C964,IFERROR(_xlfn.NUMBERVALUE(C964,".",","),0)))</f>
        <v/>
      </c>
    </row>
    <row r="965">
      <c r="K965">
        <f>IF(OR(LEFT(B965,9)="DOANH THU",LEFT(B965,8)="SỐ LƯỢNG"),A965,IF(A965="","",K964))</f>
        <v/>
      </c>
      <c r="L965">
        <f>IF(A965="","",IF(ISNUMBER(--LEFT(A965,FIND(" - ",A965&amp;" - ")-1)),LEFT(A965,FIND(" - ",A965&amp;" - ")-1),TRIM(A965)))</f>
        <v/>
      </c>
      <c r="M965">
        <f>IF(OR(K965="",K965=A965,A965=""),"",K965&amp;"|"&amp;L965)</f>
        <v/>
      </c>
      <c r="N965">
        <f>IF(M965="","",IF(ISNUMBER(B965),B965,IFERROR(_xlfn.NUMBERVALUE(B965,".",","),0)))</f>
        <v/>
      </c>
      <c r="O965">
        <f>IF(M965="","",IF(ISNUMBER(C965),C965,IFERROR(_xlfn.NUMBERVALUE(C965,".",","),0)))</f>
        <v/>
      </c>
    </row>
    <row r="966">
      <c r="K966">
        <f>IF(OR(LEFT(B966,9)="DOANH THU",LEFT(B966,8)="SỐ LƯỢNG"),A966,IF(A966="","",K965))</f>
        <v/>
      </c>
      <c r="L966">
        <f>IF(A966="","",IF(ISNUMBER(--LEFT(A966,FIND(" - ",A966&amp;" - ")-1)),LEFT(A966,FIND(" - ",A966&amp;" - ")-1),TRIM(A966)))</f>
        <v/>
      </c>
      <c r="M966">
        <f>IF(OR(K966="",K966=A966,A966=""),"",K966&amp;"|"&amp;L966)</f>
        <v/>
      </c>
      <c r="N966">
        <f>IF(M966="","",IF(ISNUMBER(B966),B966,IFERROR(_xlfn.NUMBERVALUE(B966,".",","),0)))</f>
        <v/>
      </c>
      <c r="O966">
        <f>IF(M966="","",IF(ISNUMBER(C966),C966,IFERROR(_xlfn.NUMBERVALUE(C966,".",","),0)))</f>
        <v/>
      </c>
    </row>
    <row r="967">
      <c r="K967">
        <f>IF(OR(LEFT(B967,9)="DOANH THU",LEFT(B967,8)="SỐ LƯỢNG"),A967,IF(A967="","",K966))</f>
        <v/>
      </c>
      <c r="L967">
        <f>IF(A967="","",IF(ISNUMBER(--LEFT(A967,FIND(" - ",A967&amp;" - ")-1)),LEFT(A967,FIND(" - ",A967&amp;" - ")-1),TRIM(A967)))</f>
        <v/>
      </c>
      <c r="M967">
        <f>IF(OR(K967="",K967=A967,A967=""),"",K967&amp;"|"&amp;L967)</f>
        <v/>
      </c>
      <c r="N967">
        <f>IF(M967="","",IF(ISNUMBER(B967),B967,IFERROR(_xlfn.NUMBERVALUE(B967,".",","),0)))</f>
        <v/>
      </c>
      <c r="O967">
        <f>IF(M967="","",IF(ISNUMBER(C967),C967,IFERROR(_xlfn.NUMBERVALUE(C967,".",","),0)))</f>
        <v/>
      </c>
    </row>
    <row r="968">
      <c r="K968">
        <f>IF(OR(LEFT(B968,9)="DOANH THU",LEFT(B968,8)="SỐ LƯỢNG"),A968,IF(A968="","",K967))</f>
        <v/>
      </c>
      <c r="L968">
        <f>IF(A968="","",IF(ISNUMBER(--LEFT(A968,FIND(" - ",A968&amp;" - ")-1)),LEFT(A968,FIND(" - ",A968&amp;" - ")-1),TRIM(A968)))</f>
        <v/>
      </c>
      <c r="M968">
        <f>IF(OR(K968="",K968=A968,A968=""),"",K968&amp;"|"&amp;L968)</f>
        <v/>
      </c>
      <c r="N968">
        <f>IF(M968="","",IF(ISNUMBER(B968),B968,IFERROR(_xlfn.NUMBERVALUE(B968,".",","),0)))</f>
        <v/>
      </c>
      <c r="O968">
        <f>IF(M968="","",IF(ISNUMBER(C968),C968,IFERROR(_xlfn.NUMBERVALUE(C968,".",","),0)))</f>
        <v/>
      </c>
    </row>
    <row r="969">
      <c r="K969">
        <f>IF(OR(LEFT(B969,9)="DOANH THU",LEFT(B969,8)="SỐ LƯỢNG"),A969,IF(A969="","",K968))</f>
        <v/>
      </c>
      <c r="L969">
        <f>IF(A969="","",IF(ISNUMBER(--LEFT(A969,FIND(" - ",A969&amp;" - ")-1)),LEFT(A969,FIND(" - ",A969&amp;" - ")-1),TRIM(A969)))</f>
        <v/>
      </c>
      <c r="M969">
        <f>IF(OR(K969="",K969=A969,A969=""),"",K969&amp;"|"&amp;L969)</f>
        <v/>
      </c>
      <c r="N969">
        <f>IF(M969="","",IF(ISNUMBER(B969),B969,IFERROR(_xlfn.NUMBERVALUE(B969,".",","),0)))</f>
        <v/>
      </c>
      <c r="O969">
        <f>IF(M969="","",IF(ISNUMBER(C969),C969,IFERROR(_xlfn.NUMBERVALUE(C969,".",","),0)))</f>
        <v/>
      </c>
    </row>
    <row r="970">
      <c r="K970">
        <f>IF(OR(LEFT(B970,9)="DOANH THU",LEFT(B970,8)="SỐ LƯỢNG"),A970,IF(A970="","",K969))</f>
        <v/>
      </c>
      <c r="L970">
        <f>IF(A970="","",IF(ISNUMBER(--LEFT(A970,FIND(" - ",A970&amp;" - ")-1)),LEFT(A970,FIND(" - ",A970&amp;" - ")-1),TRIM(A970)))</f>
        <v/>
      </c>
      <c r="M970">
        <f>IF(OR(K970="",K970=A970,A970=""),"",K970&amp;"|"&amp;L970)</f>
        <v/>
      </c>
      <c r="N970">
        <f>IF(M970="","",IF(ISNUMBER(B970),B970,IFERROR(_xlfn.NUMBERVALUE(B970,".",","),0)))</f>
        <v/>
      </c>
      <c r="O970">
        <f>IF(M970="","",IF(ISNUMBER(C970),C970,IFERROR(_xlfn.NUMBERVALUE(C970,".",","),0)))</f>
        <v/>
      </c>
    </row>
    <row r="971">
      <c r="K971">
        <f>IF(OR(LEFT(B971,9)="DOANH THU",LEFT(B971,8)="SỐ LƯỢNG"),A971,IF(A971="","",K970))</f>
        <v/>
      </c>
      <c r="L971">
        <f>IF(A971="","",IF(ISNUMBER(--LEFT(A971,FIND(" - ",A971&amp;" - ")-1)),LEFT(A971,FIND(" - ",A971&amp;" - ")-1),TRIM(A971)))</f>
        <v/>
      </c>
      <c r="M971">
        <f>IF(OR(K971="",K971=A971,A971=""),"",K971&amp;"|"&amp;L971)</f>
        <v/>
      </c>
      <c r="N971">
        <f>IF(M971="","",IF(ISNUMBER(B971),B971,IFERROR(_xlfn.NUMBERVALUE(B971,".",","),0)))</f>
        <v/>
      </c>
      <c r="O971">
        <f>IF(M971="","",IF(ISNUMBER(C971),C971,IFERROR(_xlfn.NUMBERVALUE(C971,".",","),0)))</f>
        <v/>
      </c>
    </row>
    <row r="972">
      <c r="K972">
        <f>IF(OR(LEFT(B972,9)="DOANH THU",LEFT(B972,8)="SỐ LƯỢNG"),A972,IF(A972="","",K971))</f>
        <v/>
      </c>
      <c r="L972">
        <f>IF(A972="","",IF(ISNUMBER(--LEFT(A972,FIND(" - ",A972&amp;" - ")-1)),LEFT(A972,FIND(" - ",A972&amp;" - ")-1),TRIM(A972)))</f>
        <v/>
      </c>
      <c r="M972">
        <f>IF(OR(K972="",K972=A972,A972=""),"",K972&amp;"|"&amp;L972)</f>
        <v/>
      </c>
      <c r="N972">
        <f>IF(M972="","",IF(ISNUMBER(B972),B972,IFERROR(_xlfn.NUMBERVALUE(B972,".",","),0)))</f>
        <v/>
      </c>
      <c r="O972">
        <f>IF(M972="","",IF(ISNUMBER(C972),C972,IFERROR(_xlfn.NUMBERVALUE(C972,".",","),0)))</f>
        <v/>
      </c>
    </row>
    <row r="973">
      <c r="K973">
        <f>IF(OR(LEFT(B973,9)="DOANH THU",LEFT(B973,8)="SỐ LƯỢNG"),A973,IF(A973="","",K972))</f>
        <v/>
      </c>
      <c r="L973">
        <f>IF(A973="","",IF(ISNUMBER(--LEFT(A973,FIND(" - ",A973&amp;" - ")-1)),LEFT(A973,FIND(" - ",A973&amp;" - ")-1),TRIM(A973)))</f>
        <v/>
      </c>
      <c r="M973">
        <f>IF(OR(K973="",K973=A973,A973=""),"",K973&amp;"|"&amp;L973)</f>
        <v/>
      </c>
      <c r="N973">
        <f>IF(M973="","",IF(ISNUMBER(B973),B973,IFERROR(_xlfn.NUMBERVALUE(B973,".",","),0)))</f>
        <v/>
      </c>
      <c r="O973">
        <f>IF(M973="","",IF(ISNUMBER(C973),C973,IFERROR(_xlfn.NUMBERVALUE(C973,".",","),0)))</f>
        <v/>
      </c>
    </row>
    <row r="974">
      <c r="K974">
        <f>IF(OR(LEFT(B974,9)="DOANH THU",LEFT(B974,8)="SỐ LƯỢNG"),A974,IF(A974="","",K973))</f>
        <v/>
      </c>
      <c r="L974">
        <f>IF(A974="","",IF(ISNUMBER(--LEFT(A974,FIND(" - ",A974&amp;" - ")-1)),LEFT(A974,FIND(" - ",A974&amp;" - ")-1),TRIM(A974)))</f>
        <v/>
      </c>
      <c r="M974">
        <f>IF(OR(K974="",K974=A974,A974=""),"",K974&amp;"|"&amp;L974)</f>
        <v/>
      </c>
      <c r="N974">
        <f>IF(M974="","",IF(ISNUMBER(B974),B974,IFERROR(_xlfn.NUMBERVALUE(B974,".",","),0)))</f>
        <v/>
      </c>
      <c r="O974">
        <f>IF(M974="","",IF(ISNUMBER(C974),C974,IFERROR(_xlfn.NUMBERVALUE(C974,".",","),0)))</f>
        <v/>
      </c>
    </row>
    <row r="975">
      <c r="K975">
        <f>IF(OR(LEFT(B975,9)="DOANH THU",LEFT(B975,8)="SỐ LƯỢNG"),A975,IF(A975="","",K974))</f>
        <v/>
      </c>
      <c r="L975">
        <f>IF(A975="","",IF(ISNUMBER(--LEFT(A975,FIND(" - ",A975&amp;" - ")-1)),LEFT(A975,FIND(" - ",A975&amp;" - ")-1),TRIM(A975)))</f>
        <v/>
      </c>
      <c r="M975">
        <f>IF(OR(K975="",K975=A975,A975=""),"",K975&amp;"|"&amp;L975)</f>
        <v/>
      </c>
      <c r="N975">
        <f>IF(M975="","",IF(ISNUMBER(B975),B975,IFERROR(_xlfn.NUMBERVALUE(B975,".",","),0)))</f>
        <v/>
      </c>
      <c r="O975">
        <f>IF(M975="","",IF(ISNUMBER(C975),C975,IFERROR(_xlfn.NUMBERVALUE(C975,".",","),0)))</f>
        <v/>
      </c>
    </row>
    <row r="976">
      <c r="K976">
        <f>IF(OR(LEFT(B976,9)="DOANH THU",LEFT(B976,8)="SỐ LƯỢNG"),A976,IF(A976="","",K975))</f>
        <v/>
      </c>
      <c r="L976">
        <f>IF(A976="","",IF(ISNUMBER(--LEFT(A976,FIND(" - ",A976&amp;" - ")-1)),LEFT(A976,FIND(" - ",A976&amp;" - ")-1),TRIM(A976)))</f>
        <v/>
      </c>
      <c r="M976">
        <f>IF(OR(K976="",K976=A976,A976=""),"",K976&amp;"|"&amp;L976)</f>
        <v/>
      </c>
      <c r="N976">
        <f>IF(M976="","",IF(ISNUMBER(B976),B976,IFERROR(_xlfn.NUMBERVALUE(B976,".",","),0)))</f>
        <v/>
      </c>
      <c r="O976">
        <f>IF(M976="","",IF(ISNUMBER(C976),C976,IFERROR(_xlfn.NUMBERVALUE(C976,".",","),0)))</f>
        <v/>
      </c>
    </row>
    <row r="977">
      <c r="K977">
        <f>IF(OR(LEFT(B977,9)="DOANH THU",LEFT(B977,8)="SỐ LƯỢNG"),A977,IF(A977="","",K976))</f>
        <v/>
      </c>
      <c r="L977">
        <f>IF(A977="","",IF(ISNUMBER(--LEFT(A977,FIND(" - ",A977&amp;" - ")-1)),LEFT(A977,FIND(" - ",A977&amp;" - ")-1),TRIM(A977)))</f>
        <v/>
      </c>
      <c r="M977">
        <f>IF(OR(K977="",K977=A977,A977=""),"",K977&amp;"|"&amp;L977)</f>
        <v/>
      </c>
      <c r="N977">
        <f>IF(M977="","",IF(ISNUMBER(B977),B977,IFERROR(_xlfn.NUMBERVALUE(B977,".",","),0)))</f>
        <v/>
      </c>
      <c r="O977">
        <f>IF(M977="","",IF(ISNUMBER(C977),C977,IFERROR(_xlfn.NUMBERVALUE(C977,".",","),0)))</f>
        <v/>
      </c>
    </row>
    <row r="978">
      <c r="K978">
        <f>IF(OR(LEFT(B978,9)="DOANH THU",LEFT(B978,8)="SỐ LƯỢNG"),A978,IF(A978="","",K977))</f>
        <v/>
      </c>
      <c r="L978">
        <f>IF(A978="","",IF(ISNUMBER(--LEFT(A978,FIND(" - ",A978&amp;" - ")-1)),LEFT(A978,FIND(" - ",A978&amp;" - ")-1),TRIM(A978)))</f>
        <v/>
      </c>
      <c r="M978">
        <f>IF(OR(K978="",K978=A978,A978=""),"",K978&amp;"|"&amp;L978)</f>
        <v/>
      </c>
      <c r="N978">
        <f>IF(M978="","",IF(ISNUMBER(B978),B978,IFERROR(_xlfn.NUMBERVALUE(B978,".",","),0)))</f>
        <v/>
      </c>
      <c r="O978">
        <f>IF(M978="","",IF(ISNUMBER(C978),C978,IFERROR(_xlfn.NUMBERVALUE(C978,".",","),0)))</f>
        <v/>
      </c>
    </row>
    <row r="979">
      <c r="K979">
        <f>IF(OR(LEFT(B979,9)="DOANH THU",LEFT(B979,8)="SỐ LƯỢNG"),A979,IF(A979="","",K978))</f>
        <v/>
      </c>
      <c r="L979">
        <f>IF(A979="","",IF(ISNUMBER(--LEFT(A979,FIND(" - ",A979&amp;" - ")-1)),LEFT(A979,FIND(" - ",A979&amp;" - ")-1),TRIM(A979)))</f>
        <v/>
      </c>
      <c r="M979">
        <f>IF(OR(K979="",K979=A979,A979=""),"",K979&amp;"|"&amp;L979)</f>
        <v/>
      </c>
      <c r="N979">
        <f>IF(M979="","",IF(ISNUMBER(B979),B979,IFERROR(_xlfn.NUMBERVALUE(B979,".",","),0)))</f>
        <v/>
      </c>
      <c r="O979">
        <f>IF(M979="","",IF(ISNUMBER(C979),C979,IFERROR(_xlfn.NUMBERVALUE(C979,".",","),0)))</f>
        <v/>
      </c>
    </row>
    <row r="980">
      <c r="K980">
        <f>IF(OR(LEFT(B980,9)="DOANH THU",LEFT(B980,8)="SỐ LƯỢNG"),A980,IF(A980="","",K979))</f>
        <v/>
      </c>
      <c r="L980">
        <f>IF(A980="","",IF(ISNUMBER(--LEFT(A980,FIND(" - ",A980&amp;" - ")-1)),LEFT(A980,FIND(" - ",A980&amp;" - ")-1),TRIM(A980)))</f>
        <v/>
      </c>
      <c r="M980">
        <f>IF(OR(K980="",K980=A980,A980=""),"",K980&amp;"|"&amp;L980)</f>
        <v/>
      </c>
      <c r="N980">
        <f>IF(M980="","",IF(ISNUMBER(B980),B980,IFERROR(_xlfn.NUMBERVALUE(B980,".",","),0)))</f>
        <v/>
      </c>
      <c r="O980">
        <f>IF(M980="","",IF(ISNUMBER(C980),C980,IFERROR(_xlfn.NUMBERVALUE(C980,".",","),0)))</f>
        <v/>
      </c>
    </row>
    <row r="981">
      <c r="K981">
        <f>IF(OR(LEFT(B981,9)="DOANH THU",LEFT(B981,8)="SỐ LƯỢNG"),A981,IF(A981="","",K980))</f>
        <v/>
      </c>
      <c r="L981">
        <f>IF(A981="","",IF(ISNUMBER(--LEFT(A981,FIND(" - ",A981&amp;" - ")-1)),LEFT(A981,FIND(" - ",A981&amp;" - ")-1),TRIM(A981)))</f>
        <v/>
      </c>
      <c r="M981">
        <f>IF(OR(K981="",K981=A981,A981=""),"",K981&amp;"|"&amp;L981)</f>
        <v/>
      </c>
      <c r="N981">
        <f>IF(M981="","",IF(ISNUMBER(B981),B981,IFERROR(_xlfn.NUMBERVALUE(B981,".",","),0)))</f>
        <v/>
      </c>
      <c r="O981">
        <f>IF(M981="","",IF(ISNUMBER(C981),C981,IFERROR(_xlfn.NUMBERVALUE(C981,".",","),0)))</f>
        <v/>
      </c>
    </row>
    <row r="982">
      <c r="K982">
        <f>IF(OR(LEFT(B982,9)="DOANH THU",LEFT(B982,8)="SỐ LƯỢNG"),A982,IF(A982="","",K981))</f>
        <v/>
      </c>
      <c r="L982">
        <f>IF(A982="","",IF(ISNUMBER(--LEFT(A982,FIND(" - ",A982&amp;" - ")-1)),LEFT(A982,FIND(" - ",A982&amp;" - ")-1),TRIM(A982)))</f>
        <v/>
      </c>
      <c r="M982">
        <f>IF(OR(K982="",K982=A982,A982=""),"",K982&amp;"|"&amp;L982)</f>
        <v/>
      </c>
      <c r="N982">
        <f>IF(M982="","",IF(ISNUMBER(B982),B982,IFERROR(_xlfn.NUMBERVALUE(B982,".",","),0)))</f>
        <v/>
      </c>
      <c r="O982">
        <f>IF(M982="","",IF(ISNUMBER(C982),C982,IFERROR(_xlfn.NUMBERVALUE(C982,".",","),0)))</f>
        <v/>
      </c>
    </row>
    <row r="983">
      <c r="K983">
        <f>IF(OR(LEFT(B983,9)="DOANH THU",LEFT(B983,8)="SỐ LƯỢNG"),A983,IF(A983="","",K982))</f>
        <v/>
      </c>
      <c r="L983">
        <f>IF(A983="","",IF(ISNUMBER(--LEFT(A983,FIND(" - ",A983&amp;" - ")-1)),LEFT(A983,FIND(" - ",A983&amp;" - ")-1),TRIM(A983)))</f>
        <v/>
      </c>
      <c r="M983">
        <f>IF(OR(K983="",K983=A983,A983=""),"",K983&amp;"|"&amp;L983)</f>
        <v/>
      </c>
      <c r="N983">
        <f>IF(M983="","",IF(ISNUMBER(B983),B983,IFERROR(_xlfn.NUMBERVALUE(B983,".",","),0)))</f>
        <v/>
      </c>
      <c r="O983">
        <f>IF(M983="","",IF(ISNUMBER(C983),C983,IFERROR(_xlfn.NUMBERVALUE(C983,".",","),0)))</f>
        <v/>
      </c>
    </row>
    <row r="984">
      <c r="K984">
        <f>IF(OR(LEFT(B984,9)="DOANH THU",LEFT(B984,8)="SỐ LƯỢNG"),A984,IF(A984="","",K983))</f>
        <v/>
      </c>
      <c r="L984">
        <f>IF(A984="","",IF(ISNUMBER(--LEFT(A984,FIND(" - ",A984&amp;" - ")-1)),LEFT(A984,FIND(" - ",A984&amp;" - ")-1),TRIM(A984)))</f>
        <v/>
      </c>
      <c r="M984">
        <f>IF(OR(K984="",K984=A984,A984=""),"",K984&amp;"|"&amp;L984)</f>
        <v/>
      </c>
      <c r="N984">
        <f>IF(M984="","",IF(ISNUMBER(B984),B984,IFERROR(_xlfn.NUMBERVALUE(B984,".",","),0)))</f>
        <v/>
      </c>
      <c r="O984">
        <f>IF(M984="","",IF(ISNUMBER(C984),C984,IFERROR(_xlfn.NUMBERVALUE(C984,".",","),0)))</f>
        <v/>
      </c>
    </row>
    <row r="985">
      <c r="K985">
        <f>IF(OR(LEFT(B985,9)="DOANH THU",LEFT(B985,8)="SỐ LƯỢNG"),A985,IF(A985="","",K984))</f>
        <v/>
      </c>
      <c r="L985">
        <f>IF(A985="","",IF(ISNUMBER(--LEFT(A985,FIND(" - ",A985&amp;" - ")-1)),LEFT(A985,FIND(" - ",A985&amp;" - ")-1),TRIM(A985)))</f>
        <v/>
      </c>
      <c r="M985">
        <f>IF(OR(K985="",K985=A985,A985=""),"",K985&amp;"|"&amp;L985)</f>
        <v/>
      </c>
      <c r="N985">
        <f>IF(M985="","",IF(ISNUMBER(B985),B985,IFERROR(_xlfn.NUMBERVALUE(B985,".",","),0)))</f>
        <v/>
      </c>
      <c r="O985">
        <f>IF(M985="","",IF(ISNUMBER(C985),C985,IFERROR(_xlfn.NUMBERVALUE(C985,".",","),0)))</f>
        <v/>
      </c>
    </row>
    <row r="986">
      <c r="K986">
        <f>IF(OR(LEFT(B986,9)="DOANH THU",LEFT(B986,8)="SỐ LƯỢNG"),A986,IF(A986="","",K985))</f>
        <v/>
      </c>
      <c r="L986">
        <f>IF(A986="","",IF(ISNUMBER(--LEFT(A986,FIND(" - ",A986&amp;" - ")-1)),LEFT(A986,FIND(" - ",A986&amp;" - ")-1),TRIM(A986)))</f>
        <v/>
      </c>
      <c r="M986">
        <f>IF(OR(K986="",K986=A986,A986=""),"",K986&amp;"|"&amp;L986)</f>
        <v/>
      </c>
      <c r="N986">
        <f>IF(M986="","",IF(ISNUMBER(B986),B986,IFERROR(_xlfn.NUMBERVALUE(B986,".",","),0)))</f>
        <v/>
      </c>
      <c r="O986">
        <f>IF(M986="","",IF(ISNUMBER(C986),C986,IFERROR(_xlfn.NUMBERVALUE(C986,".",","),0)))</f>
        <v/>
      </c>
    </row>
    <row r="987">
      <c r="K987">
        <f>IF(OR(LEFT(B987,9)="DOANH THU",LEFT(B987,8)="SỐ LƯỢNG"),A987,IF(A987="","",K986))</f>
        <v/>
      </c>
      <c r="L987">
        <f>IF(A987="","",IF(ISNUMBER(--LEFT(A987,FIND(" - ",A987&amp;" - ")-1)),LEFT(A987,FIND(" - ",A987&amp;" - ")-1),TRIM(A987)))</f>
        <v/>
      </c>
      <c r="M987">
        <f>IF(OR(K987="",K987=A987,A987=""),"",K987&amp;"|"&amp;L987)</f>
        <v/>
      </c>
      <c r="N987">
        <f>IF(M987="","",IF(ISNUMBER(B987),B987,IFERROR(_xlfn.NUMBERVALUE(B987,".",","),0)))</f>
        <v/>
      </c>
      <c r="O987">
        <f>IF(M987="","",IF(ISNUMBER(C987),C987,IFERROR(_xlfn.NUMBERVALUE(C987,".",","),0)))</f>
        <v/>
      </c>
    </row>
    <row r="988">
      <c r="K988">
        <f>IF(OR(LEFT(B988,9)="DOANH THU",LEFT(B988,8)="SỐ LƯỢNG"),A988,IF(A988="","",K987))</f>
        <v/>
      </c>
      <c r="L988">
        <f>IF(A988="","",IF(ISNUMBER(--LEFT(A988,FIND(" - ",A988&amp;" - ")-1)),LEFT(A988,FIND(" - ",A988&amp;" - ")-1),TRIM(A988)))</f>
        <v/>
      </c>
      <c r="M988">
        <f>IF(OR(K988="",K988=A988,A988=""),"",K988&amp;"|"&amp;L988)</f>
        <v/>
      </c>
      <c r="N988">
        <f>IF(M988="","",IF(ISNUMBER(B988),B988,IFERROR(_xlfn.NUMBERVALUE(B988,".",","),0)))</f>
        <v/>
      </c>
      <c r="O988">
        <f>IF(M988="","",IF(ISNUMBER(C988),C988,IFERROR(_xlfn.NUMBERVALUE(C988,".",","),0)))</f>
        <v/>
      </c>
    </row>
    <row r="989">
      <c r="K989">
        <f>IF(OR(LEFT(B989,9)="DOANH THU",LEFT(B989,8)="SỐ LƯỢNG"),A989,IF(A989="","",K988))</f>
        <v/>
      </c>
      <c r="L989">
        <f>IF(A989="","",IF(ISNUMBER(--LEFT(A989,FIND(" - ",A989&amp;" - ")-1)),LEFT(A989,FIND(" - ",A989&amp;" - ")-1),TRIM(A989)))</f>
        <v/>
      </c>
      <c r="M989">
        <f>IF(OR(K989="",K989=A989,A989=""),"",K989&amp;"|"&amp;L989)</f>
        <v/>
      </c>
      <c r="N989">
        <f>IF(M989="","",IF(ISNUMBER(B989),B989,IFERROR(_xlfn.NUMBERVALUE(B989,".",","),0)))</f>
        <v/>
      </c>
      <c r="O989">
        <f>IF(M989="","",IF(ISNUMBER(C989),C989,IFERROR(_xlfn.NUMBERVALUE(C989,".",","),0)))</f>
        <v/>
      </c>
    </row>
    <row r="990">
      <c r="K990">
        <f>IF(OR(LEFT(B990,9)="DOANH THU",LEFT(B990,8)="SỐ LƯỢNG"),A990,IF(A990="","",K989))</f>
        <v/>
      </c>
      <c r="L990">
        <f>IF(A990="","",IF(ISNUMBER(--LEFT(A990,FIND(" - ",A990&amp;" - ")-1)),LEFT(A990,FIND(" - ",A990&amp;" - ")-1),TRIM(A990)))</f>
        <v/>
      </c>
      <c r="M990">
        <f>IF(OR(K990="",K990=A990,A990=""),"",K990&amp;"|"&amp;L990)</f>
        <v/>
      </c>
      <c r="N990">
        <f>IF(M990="","",IF(ISNUMBER(B990),B990,IFERROR(_xlfn.NUMBERVALUE(B990,".",","),0)))</f>
        <v/>
      </c>
      <c r="O990">
        <f>IF(M990="","",IF(ISNUMBER(C990),C990,IFERROR(_xlfn.NUMBERVALUE(C990,".",","),0)))</f>
        <v/>
      </c>
    </row>
    <row r="991">
      <c r="K991">
        <f>IF(OR(LEFT(B991,9)="DOANH THU",LEFT(B991,8)="SỐ LƯỢNG"),A991,IF(A991="","",K990))</f>
        <v/>
      </c>
      <c r="L991">
        <f>IF(A991="","",IF(ISNUMBER(--LEFT(A991,FIND(" - ",A991&amp;" - ")-1)),LEFT(A991,FIND(" - ",A991&amp;" - ")-1),TRIM(A991)))</f>
        <v/>
      </c>
      <c r="M991">
        <f>IF(OR(K991="",K991=A991,A991=""),"",K991&amp;"|"&amp;L991)</f>
        <v/>
      </c>
      <c r="N991">
        <f>IF(M991="","",IF(ISNUMBER(B991),B991,IFERROR(_xlfn.NUMBERVALUE(B991,".",","),0)))</f>
        <v/>
      </c>
      <c r="O991">
        <f>IF(M991="","",IF(ISNUMBER(C991),C991,IFERROR(_xlfn.NUMBERVALUE(C991,".",","),0)))</f>
        <v/>
      </c>
    </row>
    <row r="992">
      <c r="K992">
        <f>IF(OR(LEFT(B992,9)="DOANH THU",LEFT(B992,8)="SỐ LƯỢNG"),A992,IF(A992="","",K991))</f>
        <v/>
      </c>
      <c r="L992">
        <f>IF(A992="","",IF(ISNUMBER(--LEFT(A992,FIND(" - ",A992&amp;" - ")-1)),LEFT(A992,FIND(" - ",A992&amp;" - ")-1),TRIM(A992)))</f>
        <v/>
      </c>
      <c r="M992">
        <f>IF(OR(K992="",K992=A992,A992=""),"",K992&amp;"|"&amp;L992)</f>
        <v/>
      </c>
      <c r="N992">
        <f>IF(M992="","",IF(ISNUMBER(B992),B992,IFERROR(_xlfn.NUMBERVALUE(B992,".",","),0)))</f>
        <v/>
      </c>
      <c r="O992">
        <f>IF(M992="","",IF(ISNUMBER(C992),C992,IFERROR(_xlfn.NUMBERVALUE(C992,".",","),0)))</f>
        <v/>
      </c>
    </row>
    <row r="993">
      <c r="K993">
        <f>IF(OR(LEFT(B993,9)="DOANH THU",LEFT(B993,8)="SỐ LƯỢNG"),A993,IF(A993="","",K992))</f>
        <v/>
      </c>
      <c r="L993">
        <f>IF(A993="","",IF(ISNUMBER(--LEFT(A993,FIND(" - ",A993&amp;" - ")-1)),LEFT(A993,FIND(" - ",A993&amp;" - ")-1),TRIM(A993)))</f>
        <v/>
      </c>
      <c r="M993">
        <f>IF(OR(K993="",K993=A993,A993=""),"",K993&amp;"|"&amp;L993)</f>
        <v/>
      </c>
      <c r="N993">
        <f>IF(M993="","",IF(ISNUMBER(B993),B993,IFERROR(_xlfn.NUMBERVALUE(B993,".",","),0)))</f>
        <v/>
      </c>
      <c r="O993">
        <f>IF(M993="","",IF(ISNUMBER(C993),C993,IFERROR(_xlfn.NUMBERVALUE(C993,".",","),0)))</f>
        <v/>
      </c>
    </row>
    <row r="994">
      <c r="K994">
        <f>IF(OR(LEFT(B994,9)="DOANH THU",LEFT(B994,8)="SỐ LƯỢNG"),A994,IF(A994="","",K993))</f>
        <v/>
      </c>
      <c r="L994">
        <f>IF(A994="","",IF(ISNUMBER(--LEFT(A994,FIND(" - ",A994&amp;" - ")-1)),LEFT(A994,FIND(" - ",A994&amp;" - ")-1),TRIM(A994)))</f>
        <v/>
      </c>
      <c r="M994">
        <f>IF(OR(K994="",K994=A994,A994=""),"",K994&amp;"|"&amp;L994)</f>
        <v/>
      </c>
      <c r="N994">
        <f>IF(M994="","",IF(ISNUMBER(B994),B994,IFERROR(_xlfn.NUMBERVALUE(B994,".",","),0)))</f>
        <v/>
      </c>
      <c r="O994">
        <f>IF(M994="","",IF(ISNUMBER(C994),C994,IFERROR(_xlfn.NUMBERVALUE(C994,".",","),0)))</f>
        <v/>
      </c>
    </row>
    <row r="995">
      <c r="K995">
        <f>IF(OR(LEFT(B995,9)="DOANH THU",LEFT(B995,8)="SỐ LƯỢNG"),A995,IF(A995="","",K994))</f>
        <v/>
      </c>
      <c r="L995">
        <f>IF(A995="","",IF(ISNUMBER(--LEFT(A995,FIND(" - ",A995&amp;" - ")-1)),LEFT(A995,FIND(" - ",A995&amp;" - ")-1),TRIM(A995)))</f>
        <v/>
      </c>
      <c r="M995">
        <f>IF(OR(K995="",K995=A995,A995=""),"",K995&amp;"|"&amp;L995)</f>
        <v/>
      </c>
      <c r="N995">
        <f>IF(M995="","",IF(ISNUMBER(B995),B995,IFERROR(_xlfn.NUMBERVALUE(B995,".",","),0)))</f>
        <v/>
      </c>
      <c r="O995">
        <f>IF(M995="","",IF(ISNUMBER(C995),C995,IFERROR(_xlfn.NUMBERVALUE(C995,".",","),0)))</f>
        <v/>
      </c>
    </row>
    <row r="996">
      <c r="K996">
        <f>IF(OR(LEFT(B996,9)="DOANH THU",LEFT(B996,8)="SỐ LƯỢNG"),A996,IF(A996="","",K995))</f>
        <v/>
      </c>
      <c r="L996">
        <f>IF(A996="","",IF(ISNUMBER(--LEFT(A996,FIND(" - ",A996&amp;" - ")-1)),LEFT(A996,FIND(" - ",A996&amp;" - ")-1),TRIM(A996)))</f>
        <v/>
      </c>
      <c r="M996">
        <f>IF(OR(K996="",K996=A996,A996=""),"",K996&amp;"|"&amp;L996)</f>
        <v/>
      </c>
      <c r="N996">
        <f>IF(M996="","",IF(ISNUMBER(B996),B996,IFERROR(_xlfn.NUMBERVALUE(B996,".",","),0)))</f>
        <v/>
      </c>
      <c r="O996">
        <f>IF(M996="","",IF(ISNUMBER(C996),C996,IFERROR(_xlfn.NUMBERVALUE(C996,".",","),0)))</f>
        <v/>
      </c>
    </row>
    <row r="997">
      <c r="K997">
        <f>IF(OR(LEFT(B997,9)="DOANH THU",LEFT(B997,8)="SỐ LƯỢNG"),A997,IF(A997="","",K996))</f>
        <v/>
      </c>
      <c r="L997">
        <f>IF(A997="","",IF(ISNUMBER(--LEFT(A997,FIND(" - ",A997&amp;" - ")-1)),LEFT(A997,FIND(" - ",A997&amp;" - ")-1),TRIM(A997)))</f>
        <v/>
      </c>
      <c r="M997">
        <f>IF(OR(K997="",K997=A997,A997=""),"",K997&amp;"|"&amp;L997)</f>
        <v/>
      </c>
      <c r="N997">
        <f>IF(M997="","",IF(ISNUMBER(B997),B997,IFERROR(_xlfn.NUMBERVALUE(B997,".",","),0)))</f>
        <v/>
      </c>
      <c r="O997">
        <f>IF(M997="","",IF(ISNUMBER(C997),C997,IFERROR(_xlfn.NUMBERVALUE(C997,".",","),0)))</f>
        <v/>
      </c>
    </row>
    <row r="998">
      <c r="K998">
        <f>IF(OR(LEFT(B998,9)="DOANH THU",LEFT(B998,8)="SỐ LƯỢNG"),A998,IF(A998="","",K997))</f>
        <v/>
      </c>
      <c r="L998">
        <f>IF(A998="","",IF(ISNUMBER(--LEFT(A998,FIND(" - ",A998&amp;" - ")-1)),LEFT(A998,FIND(" - ",A998&amp;" - ")-1),TRIM(A998)))</f>
        <v/>
      </c>
      <c r="M998">
        <f>IF(OR(K998="",K998=A998,A998=""),"",K998&amp;"|"&amp;L998)</f>
        <v/>
      </c>
      <c r="N998">
        <f>IF(M998="","",IF(ISNUMBER(B998),B998,IFERROR(_xlfn.NUMBERVALUE(B998,".",","),0)))</f>
        <v/>
      </c>
      <c r="O998">
        <f>IF(M998="","",IF(ISNUMBER(C998),C998,IFERROR(_xlfn.NUMBERVALUE(C998,".",","),0)))</f>
        <v/>
      </c>
    </row>
    <row r="999">
      <c r="K999">
        <f>IF(OR(LEFT(B999,9)="DOANH THU",LEFT(B999,8)="SỐ LƯỢNG"),A999,IF(A999="","",K998))</f>
        <v/>
      </c>
      <c r="L999">
        <f>IF(A999="","",IF(ISNUMBER(--LEFT(A999,FIND(" - ",A999&amp;" - ")-1)),LEFT(A999,FIND(" - ",A999&amp;" - ")-1),TRIM(A999)))</f>
        <v/>
      </c>
      <c r="M999">
        <f>IF(OR(K999="",K999=A999,A999=""),"",K999&amp;"|"&amp;L999)</f>
        <v/>
      </c>
      <c r="N999">
        <f>IF(M999="","",IF(ISNUMBER(B999),B999,IFERROR(_xlfn.NUMBERVALUE(B999,".",","),0)))</f>
        <v/>
      </c>
      <c r="O999">
        <f>IF(M999="","",IF(ISNUMBER(C999),C999,IFERROR(_xlfn.NUMBERVALUE(C999,".",","),0)))</f>
        <v/>
      </c>
    </row>
    <row r="1000">
      <c r="K1000">
        <f>IF(OR(LEFT(B1000,9)="DOANH THU",LEFT(B1000,8)="SỐ LƯỢNG"),A1000,IF(A1000="","",K999))</f>
        <v/>
      </c>
      <c r="L1000">
        <f>IF(A1000="","",IF(ISNUMBER(--LEFT(A1000,FIND(" - ",A1000&amp;" - ")-1)),LEFT(A1000,FIND(" - ",A1000&amp;" - ")-1),TRIM(A1000)))</f>
        <v/>
      </c>
      <c r="M1000">
        <f>IF(OR(K1000="",K1000=A1000,A1000=""),"",K1000&amp;"|"&amp;L1000)</f>
        <v/>
      </c>
      <c r="N1000">
        <f>IF(M1000="","",IF(ISNUMBER(B1000),B1000,IFERROR(_xlfn.NUMBERVALUE(B1000,".",","),0)))</f>
        <v/>
      </c>
      <c r="O1000">
        <f>IF(M1000="","",IF(ISNUMBER(C1000),C1000,IFERROR(_xlfn.NUMBERVALUE(C1000,".",","),0)))</f>
        <v/>
      </c>
    </row>
    <row r="1001">
      <c r="K1001">
        <f>IF(OR(LEFT(B1001,9)="DOANH THU",LEFT(B1001,8)="SỐ LƯỢNG"),A1001,IF(A1001="","",K1000))</f>
        <v/>
      </c>
      <c r="L1001">
        <f>IF(A1001="","",IF(ISNUMBER(--LEFT(A1001,FIND(" - ",A1001&amp;" - ")-1)),LEFT(A1001,FIND(" - ",A1001&amp;" - ")-1),TRIM(A1001)))</f>
        <v/>
      </c>
      <c r="M1001">
        <f>IF(OR(K1001="",K1001=A1001,A1001=""),"",K1001&amp;"|"&amp;L1001)</f>
        <v/>
      </c>
      <c r="N1001">
        <f>IF(M1001="","",IF(ISNUMBER(B1001),B1001,IFERROR(_xlfn.NUMBERVALUE(B1001,".",","),0)))</f>
        <v/>
      </c>
      <c r="O1001">
        <f>IF(M1001="","",IF(ISNUMBER(C1001),C1001,IFERROR(_xlfn.NUMBERVALUE(C1001,".",","),0)))</f>
        <v/>
      </c>
    </row>
    <row r="1002">
      <c r="K1002">
        <f>IF(OR(LEFT(B1002,9)="DOANH THU",LEFT(B1002,8)="SỐ LƯỢNG"),A1002,IF(A1002="","",K1001))</f>
        <v/>
      </c>
      <c r="L1002">
        <f>IF(A1002="","",IF(ISNUMBER(--LEFT(A1002,FIND(" - ",A1002&amp;" - ")-1)),LEFT(A1002,FIND(" - ",A1002&amp;" - ")-1),TRIM(A1002)))</f>
        <v/>
      </c>
      <c r="M1002">
        <f>IF(OR(K1002="",K1002=A1002,A1002=""),"",K1002&amp;"|"&amp;L1002)</f>
        <v/>
      </c>
      <c r="N1002">
        <f>IF(M1002="","",IF(ISNUMBER(B1002),B1002,IFERROR(_xlfn.NUMBERVALUE(B1002,".",","),0)))</f>
        <v/>
      </c>
      <c r="O1002">
        <f>IF(M1002="","",IF(ISNUMBER(C1002),C1002,IFERROR(_xlfn.NUMBERVALUE(C1002,".",","),0)))</f>
        <v/>
      </c>
    </row>
    <row r="1003">
      <c r="K1003">
        <f>IF(OR(LEFT(B1003,9)="DOANH THU",LEFT(B1003,8)="SỐ LƯỢNG"),A1003,IF(A1003="","",K1002))</f>
        <v/>
      </c>
      <c r="L1003">
        <f>IF(A1003="","",IF(ISNUMBER(--LEFT(A1003,FIND(" - ",A1003&amp;" - ")-1)),LEFT(A1003,FIND(" - ",A1003&amp;" - ")-1),TRIM(A1003)))</f>
        <v/>
      </c>
      <c r="M1003">
        <f>IF(OR(K1003="",K1003=A1003,A1003=""),"",K1003&amp;"|"&amp;L1003)</f>
        <v/>
      </c>
      <c r="N1003">
        <f>IF(M1003="","",IF(ISNUMBER(B1003),B1003,IFERROR(_xlfn.NUMBERVALUE(B1003,".",","),0)))</f>
        <v/>
      </c>
      <c r="O1003">
        <f>IF(M1003="","",IF(ISNUMBER(C1003),C1003,IFERROR(_xlfn.NUMBERVALUE(C1003,".",","),0)))</f>
        <v/>
      </c>
    </row>
    <row r="1004">
      <c r="K1004">
        <f>IF(OR(LEFT(B1004,9)="DOANH THU",LEFT(B1004,8)="SỐ LƯỢNG"),A1004,IF(A1004="","",K1003))</f>
        <v/>
      </c>
      <c r="L1004">
        <f>IF(A1004="","",IF(ISNUMBER(--LEFT(A1004,FIND(" - ",A1004&amp;" - ")-1)),LEFT(A1004,FIND(" - ",A1004&amp;" - ")-1),TRIM(A1004)))</f>
        <v/>
      </c>
      <c r="M1004">
        <f>IF(OR(K1004="",K1004=A1004,A1004=""),"",K1004&amp;"|"&amp;L1004)</f>
        <v/>
      </c>
      <c r="N1004">
        <f>IF(M1004="","",IF(ISNUMBER(B1004),B1004,IFERROR(_xlfn.NUMBERVALUE(B1004,".",","),0)))</f>
        <v/>
      </c>
      <c r="O1004">
        <f>IF(M1004="","",IF(ISNUMBER(C1004),C1004,IFERROR(_xlfn.NUMBERVALUE(C1004,".",","),0)))</f>
        <v/>
      </c>
    </row>
    <row r="1005">
      <c r="K1005">
        <f>IF(OR(LEFT(B1005,9)="DOANH THU",LEFT(B1005,8)="SỐ LƯỢNG"),A1005,IF(A1005="","",K1004))</f>
        <v/>
      </c>
      <c r="L1005">
        <f>IF(A1005="","",IF(ISNUMBER(--LEFT(A1005,FIND(" - ",A1005&amp;" - ")-1)),LEFT(A1005,FIND(" - ",A1005&amp;" - ")-1),TRIM(A1005)))</f>
        <v/>
      </c>
      <c r="M1005">
        <f>IF(OR(K1005="",K1005=A1005,A1005=""),"",K1005&amp;"|"&amp;L1005)</f>
        <v/>
      </c>
      <c r="N1005">
        <f>IF(M1005="","",IF(ISNUMBER(B1005),B1005,IFERROR(_xlfn.NUMBERVALUE(B1005,".",","),0)))</f>
        <v/>
      </c>
      <c r="O1005">
        <f>IF(M1005="","",IF(ISNUMBER(C1005),C1005,IFERROR(_xlfn.NUMBERVALUE(C1005,".",","),0)))</f>
        <v/>
      </c>
    </row>
    <row r="1006">
      <c r="K1006">
        <f>IF(OR(LEFT(B1006,9)="DOANH THU",LEFT(B1006,8)="SỐ LƯỢNG"),A1006,IF(A1006="","",K1005))</f>
        <v/>
      </c>
      <c r="L1006">
        <f>IF(A1006="","",IF(ISNUMBER(--LEFT(A1006,FIND(" - ",A1006&amp;" - ")-1)),LEFT(A1006,FIND(" - ",A1006&amp;" - ")-1),TRIM(A1006)))</f>
        <v/>
      </c>
      <c r="M1006">
        <f>IF(OR(K1006="",K1006=A1006,A1006=""),"",K1006&amp;"|"&amp;L1006)</f>
        <v/>
      </c>
      <c r="N1006">
        <f>IF(M1006="","",IF(ISNUMBER(B1006),B1006,IFERROR(_xlfn.NUMBERVALUE(B1006,".",","),0)))</f>
        <v/>
      </c>
      <c r="O1006">
        <f>IF(M1006="","",IF(ISNUMBER(C1006),C1006,IFERROR(_xlfn.NUMBERVALUE(C1006,".",","),0)))</f>
        <v/>
      </c>
    </row>
    <row r="1007">
      <c r="K1007">
        <f>IF(OR(LEFT(B1007,9)="DOANH THU",LEFT(B1007,8)="SỐ LƯỢNG"),A1007,IF(A1007="","",K1006))</f>
        <v/>
      </c>
      <c r="L1007">
        <f>IF(A1007="","",IF(ISNUMBER(--LEFT(A1007,FIND(" - ",A1007&amp;" - ")-1)),LEFT(A1007,FIND(" - ",A1007&amp;" - ")-1),TRIM(A1007)))</f>
        <v/>
      </c>
      <c r="M1007">
        <f>IF(OR(K1007="",K1007=A1007,A1007=""),"",K1007&amp;"|"&amp;L1007)</f>
        <v/>
      </c>
      <c r="N1007">
        <f>IF(M1007="","",IF(ISNUMBER(B1007),B1007,IFERROR(_xlfn.NUMBERVALUE(B1007,".",","),0)))</f>
        <v/>
      </c>
      <c r="O1007">
        <f>IF(M1007="","",IF(ISNUMBER(C1007),C1007,IFERROR(_xlfn.NUMBERVALUE(C1007,".",","),0)))</f>
        <v/>
      </c>
    </row>
    <row r="1008">
      <c r="K1008">
        <f>IF(OR(LEFT(B1008,9)="DOANH THU",LEFT(B1008,8)="SỐ LƯỢNG"),A1008,IF(A1008="","",K1007))</f>
        <v/>
      </c>
      <c r="L1008">
        <f>IF(A1008="","",IF(ISNUMBER(--LEFT(A1008,FIND(" - ",A1008&amp;" - ")-1)),LEFT(A1008,FIND(" - ",A1008&amp;" - ")-1),TRIM(A1008)))</f>
        <v/>
      </c>
      <c r="M1008">
        <f>IF(OR(K1008="",K1008=A1008,A1008=""),"",K1008&amp;"|"&amp;L1008)</f>
        <v/>
      </c>
      <c r="N1008">
        <f>IF(M1008="","",IF(ISNUMBER(B1008),B1008,IFERROR(_xlfn.NUMBERVALUE(B1008,".",","),0)))</f>
        <v/>
      </c>
      <c r="O1008">
        <f>IF(M1008="","",IF(ISNUMBER(C1008),C1008,IFERROR(_xlfn.NUMBERVALUE(C1008,".",","),0)))</f>
        <v/>
      </c>
    </row>
    <row r="1009">
      <c r="K1009">
        <f>IF(OR(LEFT(B1009,9)="DOANH THU",LEFT(B1009,8)="SỐ LƯỢNG"),A1009,IF(A1009="","",K1008))</f>
        <v/>
      </c>
      <c r="L1009">
        <f>IF(A1009="","",IF(ISNUMBER(--LEFT(A1009,FIND(" - ",A1009&amp;" - ")-1)),LEFT(A1009,FIND(" - ",A1009&amp;" - ")-1),TRIM(A1009)))</f>
        <v/>
      </c>
      <c r="M1009">
        <f>IF(OR(K1009="",K1009=A1009,A1009=""),"",K1009&amp;"|"&amp;L1009)</f>
        <v/>
      </c>
      <c r="N1009">
        <f>IF(M1009="","",IF(ISNUMBER(B1009),B1009,IFERROR(_xlfn.NUMBERVALUE(B1009,".",","),0)))</f>
        <v/>
      </c>
      <c r="O1009">
        <f>IF(M1009="","",IF(ISNUMBER(C1009),C1009,IFERROR(_xlfn.NUMBERVALUE(C1009,".",","),0)))</f>
        <v/>
      </c>
    </row>
    <row r="1010">
      <c r="K1010">
        <f>IF(OR(LEFT(B1010,9)="DOANH THU",LEFT(B1010,8)="SỐ LƯỢNG"),A1010,IF(A1010="","",K1009))</f>
        <v/>
      </c>
      <c r="L1010">
        <f>IF(A1010="","",IF(ISNUMBER(--LEFT(A1010,FIND(" - ",A1010&amp;" - ")-1)),LEFT(A1010,FIND(" - ",A1010&amp;" - ")-1),TRIM(A1010)))</f>
        <v/>
      </c>
      <c r="M1010">
        <f>IF(OR(K1010="",K1010=A1010,A1010=""),"",K1010&amp;"|"&amp;L1010)</f>
        <v/>
      </c>
      <c r="N1010">
        <f>IF(M1010="","",IF(ISNUMBER(B1010),B1010,IFERROR(_xlfn.NUMBERVALUE(B1010,".",","),0)))</f>
        <v/>
      </c>
      <c r="O1010">
        <f>IF(M1010="","",IF(ISNUMBER(C1010),C1010,IFERROR(_xlfn.NUMBERVALUE(C1010,".",","),0)))</f>
        <v/>
      </c>
    </row>
    <row r="1011">
      <c r="K1011">
        <f>IF(OR(LEFT(B1011,9)="DOANH THU",LEFT(B1011,8)="SỐ LƯỢNG"),A1011,IF(A1011="","",K1010))</f>
        <v/>
      </c>
      <c r="L1011">
        <f>IF(A1011="","",IF(ISNUMBER(--LEFT(A1011,FIND(" - ",A1011&amp;" - ")-1)),LEFT(A1011,FIND(" - ",A1011&amp;" - ")-1),TRIM(A1011)))</f>
        <v/>
      </c>
      <c r="M1011">
        <f>IF(OR(K1011="",K1011=A1011,A1011=""),"",K1011&amp;"|"&amp;L1011)</f>
        <v/>
      </c>
      <c r="N1011">
        <f>IF(M1011="","",IF(ISNUMBER(B1011),B1011,IFERROR(_xlfn.NUMBERVALUE(B1011,".",","),0)))</f>
        <v/>
      </c>
      <c r="O1011">
        <f>IF(M1011="","",IF(ISNUMBER(C1011),C1011,IFERROR(_xlfn.NUMBERVALUE(C1011,".",","),0)))</f>
        <v/>
      </c>
    </row>
    <row r="1012">
      <c r="K1012">
        <f>IF(OR(LEFT(B1012,9)="DOANH THU",LEFT(B1012,8)="SỐ LƯỢNG"),A1012,IF(A1012="","",K1011))</f>
        <v/>
      </c>
      <c r="L1012">
        <f>IF(A1012="","",IF(ISNUMBER(--LEFT(A1012,FIND(" - ",A1012&amp;" - ")-1)),LEFT(A1012,FIND(" - ",A1012&amp;" - ")-1),TRIM(A1012)))</f>
        <v/>
      </c>
      <c r="M1012">
        <f>IF(OR(K1012="",K1012=A1012,A1012=""),"",K1012&amp;"|"&amp;L1012)</f>
        <v/>
      </c>
      <c r="N1012">
        <f>IF(M1012="","",IF(ISNUMBER(B1012),B1012,IFERROR(_xlfn.NUMBERVALUE(B1012,".",","),0)))</f>
        <v/>
      </c>
      <c r="O1012">
        <f>IF(M1012="","",IF(ISNUMBER(C1012),C1012,IFERROR(_xlfn.NUMBERVALUE(C1012,".",","),0)))</f>
        <v/>
      </c>
    </row>
    <row r="1013">
      <c r="K1013">
        <f>IF(OR(LEFT(B1013,9)="DOANH THU",LEFT(B1013,8)="SỐ LƯỢNG"),A1013,IF(A1013="","",K1012))</f>
        <v/>
      </c>
      <c r="L1013">
        <f>IF(A1013="","",IF(ISNUMBER(--LEFT(A1013,FIND(" - ",A1013&amp;" - ")-1)),LEFT(A1013,FIND(" - ",A1013&amp;" - ")-1),TRIM(A1013)))</f>
        <v/>
      </c>
      <c r="M1013">
        <f>IF(OR(K1013="",K1013=A1013,A1013=""),"",K1013&amp;"|"&amp;L1013)</f>
        <v/>
      </c>
      <c r="N1013">
        <f>IF(M1013="","",IF(ISNUMBER(B1013),B1013,IFERROR(_xlfn.NUMBERVALUE(B1013,".",","),0)))</f>
        <v/>
      </c>
      <c r="O1013">
        <f>IF(M1013="","",IF(ISNUMBER(C1013),C1013,IFERROR(_xlfn.NUMBERVALUE(C1013,".",","),0)))</f>
        <v/>
      </c>
    </row>
    <row r="1014">
      <c r="K1014">
        <f>IF(OR(LEFT(B1014,9)="DOANH THU",LEFT(B1014,8)="SỐ LƯỢNG"),A1014,IF(A1014="","",K1013))</f>
        <v/>
      </c>
      <c r="L1014">
        <f>IF(A1014="","",IF(ISNUMBER(--LEFT(A1014,FIND(" - ",A1014&amp;" - ")-1)),LEFT(A1014,FIND(" - ",A1014&amp;" - ")-1),TRIM(A1014)))</f>
        <v/>
      </c>
      <c r="M1014">
        <f>IF(OR(K1014="",K1014=A1014,A1014=""),"",K1014&amp;"|"&amp;L1014)</f>
        <v/>
      </c>
      <c r="N1014">
        <f>IF(M1014="","",IF(ISNUMBER(B1014),B1014,IFERROR(_xlfn.NUMBERVALUE(B1014,".",","),0)))</f>
        <v/>
      </c>
      <c r="O1014">
        <f>IF(M1014="","",IF(ISNUMBER(C1014),C1014,IFERROR(_xlfn.NUMBERVALUE(C1014,".",","),0)))</f>
        <v/>
      </c>
    </row>
    <row r="1015">
      <c r="K1015">
        <f>IF(OR(LEFT(B1015,9)="DOANH THU",LEFT(B1015,8)="SỐ LƯỢNG"),A1015,IF(A1015="","",K1014))</f>
        <v/>
      </c>
      <c r="L1015">
        <f>IF(A1015="","",IF(ISNUMBER(--LEFT(A1015,FIND(" - ",A1015&amp;" - ")-1)),LEFT(A1015,FIND(" - ",A1015&amp;" - ")-1),TRIM(A1015)))</f>
        <v/>
      </c>
      <c r="M1015">
        <f>IF(OR(K1015="",K1015=A1015,A1015=""),"",K1015&amp;"|"&amp;L1015)</f>
        <v/>
      </c>
      <c r="N1015">
        <f>IF(M1015="","",IF(ISNUMBER(B1015),B1015,IFERROR(_xlfn.NUMBERVALUE(B1015,".",","),0)))</f>
        <v/>
      </c>
      <c r="O1015">
        <f>IF(M1015="","",IF(ISNUMBER(C1015),C1015,IFERROR(_xlfn.NUMBERVALUE(C1015,".",","),0)))</f>
        <v/>
      </c>
    </row>
    <row r="1016">
      <c r="K1016">
        <f>IF(OR(LEFT(B1016,9)="DOANH THU",LEFT(B1016,8)="SỐ LƯỢNG"),A1016,IF(A1016="","",K1015))</f>
        <v/>
      </c>
      <c r="L1016">
        <f>IF(A1016="","",IF(ISNUMBER(--LEFT(A1016,FIND(" - ",A1016&amp;" - ")-1)),LEFT(A1016,FIND(" - ",A1016&amp;" - ")-1),TRIM(A1016)))</f>
        <v/>
      </c>
      <c r="M1016">
        <f>IF(OR(K1016="",K1016=A1016,A1016=""),"",K1016&amp;"|"&amp;L1016)</f>
        <v/>
      </c>
      <c r="N1016">
        <f>IF(M1016="","",IF(ISNUMBER(B1016),B1016,IFERROR(_xlfn.NUMBERVALUE(B1016,".",","),0)))</f>
        <v/>
      </c>
      <c r="O1016">
        <f>IF(M1016="","",IF(ISNUMBER(C1016),C1016,IFERROR(_xlfn.NUMBERVALUE(C1016,".",","),0)))</f>
        <v/>
      </c>
    </row>
    <row r="1017">
      <c r="K1017">
        <f>IF(OR(LEFT(B1017,9)="DOANH THU",LEFT(B1017,8)="SỐ LƯỢNG"),A1017,IF(A1017="","",K1016))</f>
        <v/>
      </c>
      <c r="L1017">
        <f>IF(A1017="","",IF(ISNUMBER(--LEFT(A1017,FIND(" - ",A1017&amp;" - ")-1)),LEFT(A1017,FIND(" - ",A1017&amp;" - ")-1),TRIM(A1017)))</f>
        <v/>
      </c>
      <c r="M1017">
        <f>IF(OR(K1017="",K1017=A1017,A1017=""),"",K1017&amp;"|"&amp;L1017)</f>
        <v/>
      </c>
      <c r="N1017">
        <f>IF(M1017="","",IF(ISNUMBER(B1017),B1017,IFERROR(_xlfn.NUMBERVALUE(B1017,".",","),0)))</f>
        <v/>
      </c>
      <c r="O1017">
        <f>IF(M1017="","",IF(ISNUMBER(C1017),C1017,IFERROR(_xlfn.NUMBERVALUE(C1017,".",","),0)))</f>
        <v/>
      </c>
    </row>
    <row r="1018">
      <c r="K1018">
        <f>IF(OR(LEFT(B1018,9)="DOANH THU",LEFT(B1018,8)="SỐ LƯỢNG"),A1018,IF(A1018="","",K1017))</f>
        <v/>
      </c>
      <c r="L1018">
        <f>IF(A1018="","",IF(ISNUMBER(--LEFT(A1018,FIND(" - ",A1018&amp;" - ")-1)),LEFT(A1018,FIND(" - ",A1018&amp;" - ")-1),TRIM(A1018)))</f>
        <v/>
      </c>
      <c r="M1018">
        <f>IF(OR(K1018="",K1018=A1018,A1018=""),"",K1018&amp;"|"&amp;L1018)</f>
        <v/>
      </c>
      <c r="N1018">
        <f>IF(M1018="","",IF(ISNUMBER(B1018),B1018,IFERROR(_xlfn.NUMBERVALUE(B1018,".",","),0)))</f>
        <v/>
      </c>
      <c r="O1018">
        <f>IF(M1018="","",IF(ISNUMBER(C1018),C1018,IFERROR(_xlfn.NUMBERVALUE(C1018,".",","),0)))</f>
        <v/>
      </c>
    </row>
    <row r="1019">
      <c r="K1019">
        <f>IF(OR(LEFT(B1019,9)="DOANH THU",LEFT(B1019,8)="SỐ LƯỢNG"),A1019,IF(A1019="","",K1018))</f>
        <v/>
      </c>
      <c r="L1019">
        <f>IF(A1019="","",IF(ISNUMBER(--LEFT(A1019,FIND(" - ",A1019&amp;" - ")-1)),LEFT(A1019,FIND(" - ",A1019&amp;" - ")-1),TRIM(A1019)))</f>
        <v/>
      </c>
      <c r="M1019">
        <f>IF(OR(K1019="",K1019=A1019,A1019=""),"",K1019&amp;"|"&amp;L1019)</f>
        <v/>
      </c>
      <c r="N1019">
        <f>IF(M1019="","",IF(ISNUMBER(B1019),B1019,IFERROR(_xlfn.NUMBERVALUE(B1019,".",","),0)))</f>
        <v/>
      </c>
      <c r="O1019">
        <f>IF(M1019="","",IF(ISNUMBER(C1019),C1019,IFERROR(_xlfn.NUMBERVALUE(C1019,".",","),0)))</f>
        <v/>
      </c>
    </row>
    <row r="1020">
      <c r="K1020">
        <f>IF(OR(LEFT(B1020,9)="DOANH THU",LEFT(B1020,8)="SỐ LƯỢNG"),A1020,IF(A1020="","",K1019))</f>
        <v/>
      </c>
      <c r="L1020">
        <f>IF(A1020="","",IF(ISNUMBER(--LEFT(A1020,FIND(" - ",A1020&amp;" - ")-1)),LEFT(A1020,FIND(" - ",A1020&amp;" - ")-1),TRIM(A1020)))</f>
        <v/>
      </c>
      <c r="M1020">
        <f>IF(OR(K1020="",K1020=A1020,A1020=""),"",K1020&amp;"|"&amp;L1020)</f>
        <v/>
      </c>
      <c r="N1020">
        <f>IF(M1020="","",IF(ISNUMBER(B1020),B1020,IFERROR(_xlfn.NUMBERVALUE(B1020,".",","),0)))</f>
        <v/>
      </c>
      <c r="O1020">
        <f>IF(M1020="","",IF(ISNUMBER(C1020),C1020,IFERROR(_xlfn.NUMBERVALUE(C1020,".",","),0)))</f>
        <v/>
      </c>
    </row>
    <row r="1021">
      <c r="K1021">
        <f>IF(OR(LEFT(B1021,9)="DOANH THU",LEFT(B1021,8)="SỐ LƯỢNG"),A1021,IF(A1021="","",K1020))</f>
        <v/>
      </c>
      <c r="L1021">
        <f>IF(A1021="","",IF(ISNUMBER(--LEFT(A1021,FIND(" - ",A1021&amp;" - ")-1)),LEFT(A1021,FIND(" - ",A1021&amp;" - ")-1),TRIM(A1021)))</f>
        <v/>
      </c>
      <c r="M1021">
        <f>IF(OR(K1021="",K1021=A1021,A1021=""),"",K1021&amp;"|"&amp;L1021)</f>
        <v/>
      </c>
      <c r="N1021">
        <f>IF(M1021="","",IF(ISNUMBER(B1021),B1021,IFERROR(_xlfn.NUMBERVALUE(B1021,".",","),0)))</f>
        <v/>
      </c>
      <c r="O1021">
        <f>IF(M1021="","",IF(ISNUMBER(C1021),C1021,IFERROR(_xlfn.NUMBERVALUE(C1021,".",","),0)))</f>
        <v/>
      </c>
    </row>
    <row r="1022">
      <c r="K1022">
        <f>IF(OR(LEFT(B1022,9)="DOANH THU",LEFT(B1022,8)="SỐ LƯỢNG"),A1022,IF(A1022="","",K1021))</f>
        <v/>
      </c>
      <c r="L1022">
        <f>IF(A1022="","",IF(ISNUMBER(--LEFT(A1022,FIND(" - ",A1022&amp;" - ")-1)),LEFT(A1022,FIND(" - ",A1022&amp;" - ")-1),TRIM(A1022)))</f>
        <v/>
      </c>
      <c r="M1022">
        <f>IF(OR(K1022="",K1022=A1022,A1022=""),"",K1022&amp;"|"&amp;L1022)</f>
        <v/>
      </c>
      <c r="N1022">
        <f>IF(M1022="","",IF(ISNUMBER(B1022),B1022,IFERROR(_xlfn.NUMBERVALUE(B1022,".",","),0)))</f>
        <v/>
      </c>
      <c r="O1022">
        <f>IF(M1022="","",IF(ISNUMBER(C1022),C1022,IFERROR(_xlfn.NUMBERVALUE(C1022,".",","),0)))</f>
        <v/>
      </c>
    </row>
    <row r="1023">
      <c r="K1023">
        <f>IF(OR(LEFT(B1023,9)="DOANH THU",LEFT(B1023,8)="SỐ LƯỢNG"),A1023,IF(A1023="","",K1022))</f>
        <v/>
      </c>
      <c r="L1023">
        <f>IF(A1023="","",IF(ISNUMBER(--LEFT(A1023,FIND(" - ",A1023&amp;" - ")-1)),LEFT(A1023,FIND(" - ",A1023&amp;" - ")-1),TRIM(A1023)))</f>
        <v/>
      </c>
      <c r="M1023">
        <f>IF(OR(K1023="",K1023=A1023,A1023=""),"",K1023&amp;"|"&amp;L1023)</f>
        <v/>
      </c>
      <c r="N1023">
        <f>IF(M1023="","",IF(ISNUMBER(B1023),B1023,IFERROR(_xlfn.NUMBERVALUE(B1023,".",","),0)))</f>
        <v/>
      </c>
      <c r="O1023">
        <f>IF(M1023="","",IF(ISNUMBER(C1023),C1023,IFERROR(_xlfn.NUMBERVALUE(C1023,".",","),0)))</f>
        <v/>
      </c>
    </row>
    <row r="1024">
      <c r="K1024">
        <f>IF(OR(LEFT(B1024,9)="DOANH THU",LEFT(B1024,8)="SỐ LƯỢNG"),A1024,IF(A1024="","",K1023))</f>
        <v/>
      </c>
      <c r="L1024">
        <f>IF(A1024="","",IF(ISNUMBER(--LEFT(A1024,FIND(" - ",A1024&amp;" - ")-1)),LEFT(A1024,FIND(" - ",A1024&amp;" - ")-1),TRIM(A1024)))</f>
        <v/>
      </c>
      <c r="M1024">
        <f>IF(OR(K1024="",K1024=A1024,A1024=""),"",K1024&amp;"|"&amp;L1024)</f>
        <v/>
      </c>
      <c r="N1024">
        <f>IF(M1024="","",IF(ISNUMBER(B1024),B1024,IFERROR(_xlfn.NUMBERVALUE(B1024,".",","),0)))</f>
        <v/>
      </c>
      <c r="O1024">
        <f>IF(M1024="","",IF(ISNUMBER(C1024),C1024,IFERROR(_xlfn.NUMBERVALUE(C1024,".",","),0)))</f>
        <v/>
      </c>
    </row>
    <row r="1025">
      <c r="K1025">
        <f>IF(OR(LEFT(B1025,9)="DOANH THU",LEFT(B1025,8)="SỐ LƯỢNG"),A1025,IF(A1025="","",K1024))</f>
        <v/>
      </c>
      <c r="L1025">
        <f>IF(A1025="","",IF(ISNUMBER(--LEFT(A1025,FIND(" - ",A1025&amp;" - ")-1)),LEFT(A1025,FIND(" - ",A1025&amp;" - ")-1),TRIM(A1025)))</f>
        <v/>
      </c>
      <c r="M1025">
        <f>IF(OR(K1025="",K1025=A1025,A1025=""),"",K1025&amp;"|"&amp;L1025)</f>
        <v/>
      </c>
      <c r="N1025">
        <f>IF(M1025="","",IF(ISNUMBER(B1025),B1025,IFERROR(_xlfn.NUMBERVALUE(B1025,".",","),0)))</f>
        <v/>
      </c>
      <c r="O1025">
        <f>IF(M1025="","",IF(ISNUMBER(C1025),C1025,IFERROR(_xlfn.NUMBERVALUE(C1025,".",","),0)))</f>
        <v/>
      </c>
    </row>
    <row r="1026">
      <c r="K1026">
        <f>IF(OR(LEFT(B1026,9)="DOANH THU",LEFT(B1026,8)="SỐ LƯỢNG"),A1026,IF(A1026="","",K1025))</f>
        <v/>
      </c>
      <c r="L1026">
        <f>IF(A1026="","",IF(ISNUMBER(--LEFT(A1026,FIND(" - ",A1026&amp;" - ")-1)),LEFT(A1026,FIND(" - ",A1026&amp;" - ")-1),TRIM(A1026)))</f>
        <v/>
      </c>
      <c r="M1026">
        <f>IF(OR(K1026="",K1026=A1026,A1026=""),"",K1026&amp;"|"&amp;L1026)</f>
        <v/>
      </c>
      <c r="N1026">
        <f>IF(M1026="","",IF(ISNUMBER(B1026),B1026,IFERROR(_xlfn.NUMBERVALUE(B1026,".",","),0)))</f>
        <v/>
      </c>
      <c r="O1026">
        <f>IF(M1026="","",IF(ISNUMBER(C1026),C1026,IFERROR(_xlfn.NUMBERVALUE(C1026,".",","),0)))</f>
        <v/>
      </c>
    </row>
    <row r="1027">
      <c r="K1027">
        <f>IF(OR(LEFT(B1027,9)="DOANH THU",LEFT(B1027,8)="SỐ LƯỢNG"),A1027,IF(A1027="","",K1026))</f>
        <v/>
      </c>
      <c r="L1027">
        <f>IF(A1027="","",IF(ISNUMBER(--LEFT(A1027,FIND(" - ",A1027&amp;" - ")-1)),LEFT(A1027,FIND(" - ",A1027&amp;" - ")-1),TRIM(A1027)))</f>
        <v/>
      </c>
      <c r="M1027">
        <f>IF(OR(K1027="",K1027=A1027,A1027=""),"",K1027&amp;"|"&amp;L1027)</f>
        <v/>
      </c>
      <c r="N1027">
        <f>IF(M1027="","",IF(ISNUMBER(B1027),B1027,IFERROR(_xlfn.NUMBERVALUE(B1027,".",","),0)))</f>
        <v/>
      </c>
      <c r="O1027">
        <f>IF(M1027="","",IF(ISNUMBER(C1027),C1027,IFERROR(_xlfn.NUMBERVALUE(C1027,".",","),0)))</f>
        <v/>
      </c>
    </row>
    <row r="1028">
      <c r="K1028">
        <f>IF(OR(LEFT(B1028,9)="DOANH THU",LEFT(B1028,8)="SỐ LƯỢNG"),A1028,IF(A1028="","",K1027))</f>
        <v/>
      </c>
      <c r="L1028">
        <f>IF(A1028="","",IF(ISNUMBER(--LEFT(A1028,FIND(" - ",A1028&amp;" - ")-1)),LEFT(A1028,FIND(" - ",A1028&amp;" - ")-1),TRIM(A1028)))</f>
        <v/>
      </c>
      <c r="M1028">
        <f>IF(OR(K1028="",K1028=A1028,A1028=""),"",K1028&amp;"|"&amp;L1028)</f>
        <v/>
      </c>
      <c r="N1028">
        <f>IF(M1028="","",IF(ISNUMBER(B1028),B1028,IFERROR(_xlfn.NUMBERVALUE(B1028,".",","),0)))</f>
        <v/>
      </c>
      <c r="O1028">
        <f>IF(M1028="","",IF(ISNUMBER(C1028),C1028,IFERROR(_xlfn.NUMBERVALUE(C1028,".",","),0)))</f>
        <v/>
      </c>
    </row>
    <row r="1029">
      <c r="K1029">
        <f>IF(OR(LEFT(B1029,9)="DOANH THU",LEFT(B1029,8)="SỐ LƯỢNG"),A1029,IF(A1029="","",K1028))</f>
        <v/>
      </c>
      <c r="L1029">
        <f>IF(A1029="","",IF(ISNUMBER(--LEFT(A1029,FIND(" - ",A1029&amp;" - ")-1)),LEFT(A1029,FIND(" - ",A1029&amp;" - ")-1),TRIM(A1029)))</f>
        <v/>
      </c>
      <c r="M1029">
        <f>IF(OR(K1029="",K1029=A1029,A1029=""),"",K1029&amp;"|"&amp;L1029)</f>
        <v/>
      </c>
      <c r="N1029">
        <f>IF(M1029="","",IF(ISNUMBER(B1029),B1029,IFERROR(_xlfn.NUMBERVALUE(B1029,".",","),0)))</f>
        <v/>
      </c>
      <c r="O1029">
        <f>IF(M1029="","",IF(ISNUMBER(C1029),C1029,IFERROR(_xlfn.NUMBERVALUE(C1029,".",","),0)))</f>
        <v/>
      </c>
    </row>
    <row r="1030">
      <c r="K1030">
        <f>IF(OR(LEFT(B1030,9)="DOANH THU",LEFT(B1030,8)="SỐ LƯỢNG"),A1030,IF(A1030="","",K1029))</f>
        <v/>
      </c>
      <c r="L1030">
        <f>IF(A1030="","",IF(ISNUMBER(--LEFT(A1030,FIND(" - ",A1030&amp;" - ")-1)),LEFT(A1030,FIND(" - ",A1030&amp;" - ")-1),TRIM(A1030)))</f>
        <v/>
      </c>
      <c r="M1030">
        <f>IF(OR(K1030="",K1030=A1030,A1030=""),"",K1030&amp;"|"&amp;L1030)</f>
        <v/>
      </c>
      <c r="N1030">
        <f>IF(M1030="","",IF(ISNUMBER(B1030),B1030,IFERROR(_xlfn.NUMBERVALUE(B1030,".",","),0)))</f>
        <v/>
      </c>
      <c r="O1030">
        <f>IF(M1030="","",IF(ISNUMBER(C1030),C1030,IFERROR(_xlfn.NUMBERVALUE(C1030,".",","),0)))</f>
        <v/>
      </c>
    </row>
    <row r="1031">
      <c r="K1031">
        <f>IF(OR(LEFT(B1031,9)="DOANH THU",LEFT(B1031,8)="SỐ LƯỢNG"),A1031,IF(A1031="","",K1030))</f>
        <v/>
      </c>
      <c r="L1031">
        <f>IF(A1031="","",IF(ISNUMBER(--LEFT(A1031,FIND(" - ",A1031&amp;" - ")-1)),LEFT(A1031,FIND(" - ",A1031&amp;" - ")-1),TRIM(A1031)))</f>
        <v/>
      </c>
      <c r="M1031">
        <f>IF(OR(K1031="",K1031=A1031,A1031=""),"",K1031&amp;"|"&amp;L1031)</f>
        <v/>
      </c>
      <c r="N1031">
        <f>IF(M1031="","",IF(ISNUMBER(B1031),B1031,IFERROR(_xlfn.NUMBERVALUE(B1031,".",","),0)))</f>
        <v/>
      </c>
      <c r="O1031">
        <f>IF(M1031="","",IF(ISNUMBER(C1031),C1031,IFERROR(_xlfn.NUMBERVALUE(C1031,".",","),0)))</f>
        <v/>
      </c>
    </row>
    <row r="1032">
      <c r="K1032">
        <f>IF(OR(LEFT(B1032,9)="DOANH THU",LEFT(B1032,8)="SỐ LƯỢNG"),A1032,IF(A1032="","",K1031))</f>
        <v/>
      </c>
      <c r="L1032">
        <f>IF(A1032="","",IF(ISNUMBER(--LEFT(A1032,FIND(" - ",A1032&amp;" - ")-1)),LEFT(A1032,FIND(" - ",A1032&amp;" - ")-1),TRIM(A1032)))</f>
        <v/>
      </c>
      <c r="M1032">
        <f>IF(OR(K1032="",K1032=A1032,A1032=""),"",K1032&amp;"|"&amp;L1032)</f>
        <v/>
      </c>
      <c r="N1032">
        <f>IF(M1032="","",IF(ISNUMBER(B1032),B1032,IFERROR(_xlfn.NUMBERVALUE(B1032,".",","),0)))</f>
        <v/>
      </c>
      <c r="O1032">
        <f>IF(M1032="","",IF(ISNUMBER(C1032),C1032,IFERROR(_xlfn.NUMBERVALUE(C1032,".",","),0)))</f>
        <v/>
      </c>
    </row>
    <row r="1033">
      <c r="K1033">
        <f>IF(OR(LEFT(B1033,9)="DOANH THU",LEFT(B1033,8)="SỐ LƯỢNG"),A1033,IF(A1033="","",K1032))</f>
        <v/>
      </c>
      <c r="L1033">
        <f>IF(A1033="","",IF(ISNUMBER(--LEFT(A1033,FIND(" - ",A1033&amp;" - ")-1)),LEFT(A1033,FIND(" - ",A1033&amp;" - ")-1),TRIM(A1033)))</f>
        <v/>
      </c>
      <c r="M1033">
        <f>IF(OR(K1033="",K1033=A1033,A1033=""),"",K1033&amp;"|"&amp;L1033)</f>
        <v/>
      </c>
      <c r="N1033">
        <f>IF(M1033="","",IF(ISNUMBER(B1033),B1033,IFERROR(_xlfn.NUMBERVALUE(B1033,".",","),0)))</f>
        <v/>
      </c>
      <c r="O1033">
        <f>IF(M1033="","",IF(ISNUMBER(C1033),C1033,IFERROR(_xlfn.NUMBERVALUE(C1033,".",","),0)))</f>
        <v/>
      </c>
    </row>
    <row r="1034">
      <c r="K1034">
        <f>IF(OR(LEFT(B1034,9)="DOANH THU",LEFT(B1034,8)="SỐ LƯỢNG"),A1034,IF(A1034="","",K1033))</f>
        <v/>
      </c>
      <c r="L1034">
        <f>IF(A1034="","",IF(ISNUMBER(--LEFT(A1034,FIND(" - ",A1034&amp;" - ")-1)),LEFT(A1034,FIND(" - ",A1034&amp;" - ")-1),TRIM(A1034)))</f>
        <v/>
      </c>
      <c r="M1034">
        <f>IF(OR(K1034="",K1034=A1034,A1034=""),"",K1034&amp;"|"&amp;L1034)</f>
        <v/>
      </c>
      <c r="N1034">
        <f>IF(M1034="","",IF(ISNUMBER(B1034),B1034,IFERROR(_xlfn.NUMBERVALUE(B1034,".",","),0)))</f>
        <v/>
      </c>
      <c r="O1034">
        <f>IF(M1034="","",IF(ISNUMBER(C1034),C1034,IFERROR(_xlfn.NUMBERVALUE(C1034,".",","),0)))</f>
        <v/>
      </c>
    </row>
    <row r="1035">
      <c r="K1035">
        <f>IF(OR(LEFT(B1035,9)="DOANH THU",LEFT(B1035,8)="SỐ LƯỢNG"),A1035,IF(A1035="","",K1034))</f>
        <v/>
      </c>
      <c r="L1035">
        <f>IF(A1035="","",IF(ISNUMBER(--LEFT(A1035,FIND(" - ",A1035&amp;" - ")-1)),LEFT(A1035,FIND(" - ",A1035&amp;" - ")-1),TRIM(A1035)))</f>
        <v/>
      </c>
      <c r="M1035">
        <f>IF(OR(K1035="",K1035=A1035,A1035=""),"",K1035&amp;"|"&amp;L1035)</f>
        <v/>
      </c>
      <c r="N1035">
        <f>IF(M1035="","",IF(ISNUMBER(B1035),B1035,IFERROR(_xlfn.NUMBERVALUE(B1035,".",","),0)))</f>
        <v/>
      </c>
      <c r="O1035">
        <f>IF(M1035="","",IF(ISNUMBER(C1035),C1035,IFERROR(_xlfn.NUMBERVALUE(C1035,".",","),0)))</f>
        <v/>
      </c>
    </row>
    <row r="1036">
      <c r="K1036">
        <f>IF(OR(LEFT(B1036,9)="DOANH THU",LEFT(B1036,8)="SỐ LƯỢNG"),A1036,IF(A1036="","",K1035))</f>
        <v/>
      </c>
      <c r="L1036">
        <f>IF(A1036="","",IF(ISNUMBER(--LEFT(A1036,FIND(" - ",A1036&amp;" - ")-1)),LEFT(A1036,FIND(" - ",A1036&amp;" - ")-1),TRIM(A1036)))</f>
        <v/>
      </c>
      <c r="M1036">
        <f>IF(OR(K1036="",K1036=A1036,A1036=""),"",K1036&amp;"|"&amp;L1036)</f>
        <v/>
      </c>
      <c r="N1036">
        <f>IF(M1036="","",IF(ISNUMBER(B1036),B1036,IFERROR(_xlfn.NUMBERVALUE(B1036,".",","),0)))</f>
        <v/>
      </c>
      <c r="O1036">
        <f>IF(M1036="","",IF(ISNUMBER(C1036),C1036,IFERROR(_xlfn.NUMBERVALUE(C1036,".",","),0)))</f>
        <v/>
      </c>
    </row>
    <row r="1037">
      <c r="K1037">
        <f>IF(OR(LEFT(B1037,9)="DOANH THU",LEFT(B1037,8)="SỐ LƯỢNG"),A1037,IF(A1037="","",K1036))</f>
        <v/>
      </c>
      <c r="L1037">
        <f>IF(A1037="","",IF(ISNUMBER(--LEFT(A1037,FIND(" - ",A1037&amp;" - ")-1)),LEFT(A1037,FIND(" - ",A1037&amp;" - ")-1),TRIM(A1037)))</f>
        <v/>
      </c>
      <c r="M1037">
        <f>IF(OR(K1037="",K1037=A1037,A1037=""),"",K1037&amp;"|"&amp;L1037)</f>
        <v/>
      </c>
      <c r="N1037">
        <f>IF(M1037="","",IF(ISNUMBER(B1037),B1037,IFERROR(_xlfn.NUMBERVALUE(B1037,".",","),0)))</f>
        <v/>
      </c>
      <c r="O1037">
        <f>IF(M1037="","",IF(ISNUMBER(C1037),C1037,IFERROR(_xlfn.NUMBERVALUE(C1037,".",","),0)))</f>
        <v/>
      </c>
    </row>
    <row r="1038">
      <c r="K1038">
        <f>IF(OR(LEFT(B1038,9)="DOANH THU",LEFT(B1038,8)="SỐ LƯỢNG"),A1038,IF(A1038="","",K1037))</f>
        <v/>
      </c>
      <c r="L1038">
        <f>IF(A1038="","",IF(ISNUMBER(--LEFT(A1038,FIND(" - ",A1038&amp;" - ")-1)),LEFT(A1038,FIND(" - ",A1038&amp;" - ")-1),TRIM(A1038)))</f>
        <v/>
      </c>
      <c r="M1038">
        <f>IF(OR(K1038="",K1038=A1038,A1038=""),"",K1038&amp;"|"&amp;L1038)</f>
        <v/>
      </c>
      <c r="N1038">
        <f>IF(M1038="","",IF(ISNUMBER(B1038),B1038,IFERROR(_xlfn.NUMBERVALUE(B1038,".",","),0)))</f>
        <v/>
      </c>
      <c r="O1038">
        <f>IF(M1038="","",IF(ISNUMBER(C1038),C1038,IFERROR(_xlfn.NUMBERVALUE(C1038,".",","),0)))</f>
        <v/>
      </c>
    </row>
    <row r="1039">
      <c r="K1039">
        <f>IF(OR(LEFT(B1039,9)="DOANH THU",LEFT(B1039,8)="SỐ LƯỢNG"),A1039,IF(A1039="","",K1038))</f>
        <v/>
      </c>
      <c r="L1039">
        <f>IF(A1039="","",IF(ISNUMBER(--LEFT(A1039,FIND(" - ",A1039&amp;" - ")-1)),LEFT(A1039,FIND(" - ",A1039&amp;" - ")-1),TRIM(A1039)))</f>
        <v/>
      </c>
      <c r="M1039">
        <f>IF(OR(K1039="",K1039=A1039,A1039=""),"",K1039&amp;"|"&amp;L1039)</f>
        <v/>
      </c>
      <c r="N1039">
        <f>IF(M1039="","",IF(ISNUMBER(B1039),B1039,IFERROR(_xlfn.NUMBERVALUE(B1039,".",","),0)))</f>
        <v/>
      </c>
      <c r="O1039">
        <f>IF(M1039="","",IF(ISNUMBER(C1039),C1039,IFERROR(_xlfn.NUMBERVALUE(C1039,".",","),0)))</f>
        <v/>
      </c>
    </row>
    <row r="1040">
      <c r="K1040">
        <f>IF(OR(LEFT(B1040,9)="DOANH THU",LEFT(B1040,8)="SỐ LƯỢNG"),A1040,IF(A1040="","",K1039))</f>
        <v/>
      </c>
      <c r="L1040">
        <f>IF(A1040="","",IF(ISNUMBER(--LEFT(A1040,FIND(" - ",A1040&amp;" - ")-1)),LEFT(A1040,FIND(" - ",A1040&amp;" - ")-1),TRIM(A1040)))</f>
        <v/>
      </c>
      <c r="M1040">
        <f>IF(OR(K1040="",K1040=A1040,A1040=""),"",K1040&amp;"|"&amp;L1040)</f>
        <v/>
      </c>
      <c r="N1040">
        <f>IF(M1040="","",IF(ISNUMBER(B1040),B1040,IFERROR(_xlfn.NUMBERVALUE(B1040,".",","),0)))</f>
        <v/>
      </c>
      <c r="O1040">
        <f>IF(M1040="","",IF(ISNUMBER(C1040),C1040,IFERROR(_xlfn.NUMBERVALUE(C1040,".",","),0)))</f>
        <v/>
      </c>
    </row>
    <row r="1041">
      <c r="K1041">
        <f>IF(OR(LEFT(B1041,9)="DOANH THU",LEFT(B1041,8)="SỐ LƯỢNG"),A1041,IF(A1041="","",K1040))</f>
        <v/>
      </c>
      <c r="L1041">
        <f>IF(A1041="","",IF(ISNUMBER(--LEFT(A1041,FIND(" - ",A1041&amp;" - ")-1)),LEFT(A1041,FIND(" - ",A1041&amp;" - ")-1),TRIM(A1041)))</f>
        <v/>
      </c>
      <c r="M1041">
        <f>IF(OR(K1041="",K1041=A1041,A1041=""),"",K1041&amp;"|"&amp;L1041)</f>
        <v/>
      </c>
      <c r="N1041">
        <f>IF(M1041="","",IF(ISNUMBER(B1041),B1041,IFERROR(_xlfn.NUMBERVALUE(B1041,".",","),0)))</f>
        <v/>
      </c>
      <c r="O1041">
        <f>IF(M1041="","",IF(ISNUMBER(C1041),C1041,IFERROR(_xlfn.NUMBERVALUE(C1041,".",","),0)))</f>
        <v/>
      </c>
    </row>
    <row r="1042">
      <c r="K1042">
        <f>IF(OR(LEFT(B1042,9)="DOANH THU",LEFT(B1042,8)="SỐ LƯỢNG"),A1042,IF(A1042="","",K1041))</f>
        <v/>
      </c>
      <c r="L1042">
        <f>IF(A1042="","",IF(ISNUMBER(--LEFT(A1042,FIND(" - ",A1042&amp;" - ")-1)),LEFT(A1042,FIND(" - ",A1042&amp;" - ")-1),TRIM(A1042)))</f>
        <v/>
      </c>
      <c r="M1042">
        <f>IF(OR(K1042="",K1042=A1042,A1042=""),"",K1042&amp;"|"&amp;L1042)</f>
        <v/>
      </c>
      <c r="N1042">
        <f>IF(M1042="","",IF(ISNUMBER(B1042),B1042,IFERROR(_xlfn.NUMBERVALUE(B1042,".",","),0)))</f>
        <v/>
      </c>
      <c r="O1042">
        <f>IF(M1042="","",IF(ISNUMBER(C1042),C1042,IFERROR(_xlfn.NUMBERVALUE(C1042,".",","),0)))</f>
        <v/>
      </c>
    </row>
    <row r="1043">
      <c r="K1043">
        <f>IF(OR(LEFT(B1043,9)="DOANH THU",LEFT(B1043,8)="SỐ LƯỢNG"),A1043,IF(A1043="","",K1042))</f>
        <v/>
      </c>
      <c r="L1043">
        <f>IF(A1043="","",IF(ISNUMBER(--LEFT(A1043,FIND(" - ",A1043&amp;" - ")-1)),LEFT(A1043,FIND(" - ",A1043&amp;" - ")-1),TRIM(A1043)))</f>
        <v/>
      </c>
      <c r="M1043">
        <f>IF(OR(K1043="",K1043=A1043,A1043=""),"",K1043&amp;"|"&amp;L1043)</f>
        <v/>
      </c>
      <c r="N1043">
        <f>IF(M1043="","",IF(ISNUMBER(B1043),B1043,IFERROR(_xlfn.NUMBERVALUE(B1043,".",","),0)))</f>
        <v/>
      </c>
      <c r="O1043">
        <f>IF(M1043="","",IF(ISNUMBER(C1043),C1043,IFERROR(_xlfn.NUMBERVALUE(C1043,".",","),0)))</f>
        <v/>
      </c>
    </row>
    <row r="1044">
      <c r="K1044">
        <f>IF(OR(LEFT(B1044,9)="DOANH THU",LEFT(B1044,8)="SỐ LƯỢNG"),A1044,IF(A1044="","",K1043))</f>
        <v/>
      </c>
      <c r="L1044">
        <f>IF(A1044="","",IF(ISNUMBER(--LEFT(A1044,FIND(" - ",A1044&amp;" - ")-1)),LEFT(A1044,FIND(" - ",A1044&amp;" - ")-1),TRIM(A1044)))</f>
        <v/>
      </c>
      <c r="M1044">
        <f>IF(OR(K1044="",K1044=A1044,A1044=""),"",K1044&amp;"|"&amp;L1044)</f>
        <v/>
      </c>
      <c r="N1044">
        <f>IF(M1044="","",IF(ISNUMBER(B1044),B1044,IFERROR(_xlfn.NUMBERVALUE(B1044,".",","),0)))</f>
        <v/>
      </c>
      <c r="O1044">
        <f>IF(M1044="","",IF(ISNUMBER(C1044),C1044,IFERROR(_xlfn.NUMBERVALUE(C1044,".",","),0)))</f>
        <v/>
      </c>
    </row>
    <row r="1045">
      <c r="K1045">
        <f>IF(OR(LEFT(B1045,9)="DOANH THU",LEFT(B1045,8)="SỐ LƯỢNG"),A1045,IF(A1045="","",K1044))</f>
        <v/>
      </c>
      <c r="L1045">
        <f>IF(A1045="","",IF(ISNUMBER(--LEFT(A1045,FIND(" - ",A1045&amp;" - ")-1)),LEFT(A1045,FIND(" - ",A1045&amp;" - ")-1),TRIM(A1045)))</f>
        <v/>
      </c>
      <c r="M1045">
        <f>IF(OR(K1045="",K1045=A1045,A1045=""),"",K1045&amp;"|"&amp;L1045)</f>
        <v/>
      </c>
      <c r="N1045">
        <f>IF(M1045="","",IF(ISNUMBER(B1045),B1045,IFERROR(_xlfn.NUMBERVALUE(B1045,".",","),0)))</f>
        <v/>
      </c>
      <c r="O1045">
        <f>IF(M1045="","",IF(ISNUMBER(C1045),C1045,IFERROR(_xlfn.NUMBERVALUE(C1045,".",","),0)))</f>
        <v/>
      </c>
    </row>
    <row r="1046">
      <c r="K1046">
        <f>IF(OR(LEFT(B1046,9)="DOANH THU",LEFT(B1046,8)="SỐ LƯỢNG"),A1046,IF(A1046="","",K1045))</f>
        <v/>
      </c>
      <c r="L1046">
        <f>IF(A1046="","",IF(ISNUMBER(--LEFT(A1046,FIND(" - ",A1046&amp;" - ")-1)),LEFT(A1046,FIND(" - ",A1046&amp;" - ")-1),TRIM(A1046)))</f>
        <v/>
      </c>
      <c r="M1046">
        <f>IF(OR(K1046="",K1046=A1046,A1046=""),"",K1046&amp;"|"&amp;L1046)</f>
        <v/>
      </c>
      <c r="N1046">
        <f>IF(M1046="","",IF(ISNUMBER(B1046),B1046,IFERROR(_xlfn.NUMBERVALUE(B1046,".",","),0)))</f>
        <v/>
      </c>
      <c r="O1046">
        <f>IF(M1046="","",IF(ISNUMBER(C1046),C1046,IFERROR(_xlfn.NUMBERVALUE(C1046,".",","),0)))</f>
        <v/>
      </c>
    </row>
    <row r="1047">
      <c r="K1047">
        <f>IF(OR(LEFT(B1047,9)="DOANH THU",LEFT(B1047,8)="SỐ LƯỢNG"),A1047,IF(A1047="","",K1046))</f>
        <v/>
      </c>
      <c r="L1047">
        <f>IF(A1047="","",IF(ISNUMBER(--LEFT(A1047,FIND(" - ",A1047&amp;" - ")-1)),LEFT(A1047,FIND(" - ",A1047&amp;" - ")-1),TRIM(A1047)))</f>
        <v/>
      </c>
      <c r="M1047">
        <f>IF(OR(K1047="",K1047=A1047,A1047=""),"",K1047&amp;"|"&amp;L1047)</f>
        <v/>
      </c>
      <c r="N1047">
        <f>IF(M1047="","",IF(ISNUMBER(B1047),B1047,IFERROR(_xlfn.NUMBERVALUE(B1047,".",","),0)))</f>
        <v/>
      </c>
      <c r="O1047">
        <f>IF(M1047="","",IF(ISNUMBER(C1047),C1047,IFERROR(_xlfn.NUMBERVALUE(C1047,".",","),0)))</f>
        <v/>
      </c>
    </row>
    <row r="1048">
      <c r="K1048">
        <f>IF(OR(LEFT(B1048,9)="DOANH THU",LEFT(B1048,8)="SỐ LƯỢNG"),A1048,IF(A1048="","",K1047))</f>
        <v/>
      </c>
      <c r="L1048">
        <f>IF(A1048="","",IF(ISNUMBER(--LEFT(A1048,FIND(" - ",A1048&amp;" - ")-1)),LEFT(A1048,FIND(" - ",A1048&amp;" - ")-1),TRIM(A1048)))</f>
        <v/>
      </c>
      <c r="M1048">
        <f>IF(OR(K1048="",K1048=A1048,A1048=""),"",K1048&amp;"|"&amp;L1048)</f>
        <v/>
      </c>
      <c r="N1048">
        <f>IF(M1048="","",IF(ISNUMBER(B1048),B1048,IFERROR(_xlfn.NUMBERVALUE(B1048,".",","),0)))</f>
        <v/>
      </c>
      <c r="O1048">
        <f>IF(M1048="","",IF(ISNUMBER(C1048),C1048,IFERROR(_xlfn.NUMBERVALUE(C1048,".",","),0)))</f>
        <v/>
      </c>
    </row>
    <row r="1049">
      <c r="K1049">
        <f>IF(OR(LEFT(B1049,9)="DOANH THU",LEFT(B1049,8)="SỐ LƯỢNG"),A1049,IF(A1049="","",K1048))</f>
        <v/>
      </c>
      <c r="L1049">
        <f>IF(A1049="","",IF(ISNUMBER(--LEFT(A1049,FIND(" - ",A1049&amp;" - ")-1)),LEFT(A1049,FIND(" - ",A1049&amp;" - ")-1),TRIM(A1049)))</f>
        <v/>
      </c>
      <c r="M1049">
        <f>IF(OR(K1049="",K1049=A1049,A1049=""),"",K1049&amp;"|"&amp;L1049)</f>
        <v/>
      </c>
      <c r="N1049">
        <f>IF(M1049="","",IF(ISNUMBER(B1049),B1049,IFERROR(_xlfn.NUMBERVALUE(B1049,".",","),0)))</f>
        <v/>
      </c>
      <c r="O1049">
        <f>IF(M1049="","",IF(ISNUMBER(C1049),C1049,IFERROR(_xlfn.NUMBERVALUE(C1049,".",","),0)))</f>
        <v/>
      </c>
    </row>
    <row r="1050">
      <c r="K1050">
        <f>IF(OR(LEFT(B1050,9)="DOANH THU",LEFT(B1050,8)="SỐ LƯỢNG"),A1050,IF(A1050="","",K1049))</f>
        <v/>
      </c>
      <c r="L1050">
        <f>IF(A1050="","",IF(ISNUMBER(--LEFT(A1050,FIND(" - ",A1050&amp;" - ")-1)),LEFT(A1050,FIND(" - ",A1050&amp;" - ")-1),TRIM(A1050)))</f>
        <v/>
      </c>
      <c r="M1050">
        <f>IF(OR(K1050="",K1050=A1050,A1050=""),"",K1050&amp;"|"&amp;L1050)</f>
        <v/>
      </c>
      <c r="N1050">
        <f>IF(M1050="","",IF(ISNUMBER(B1050),B1050,IFERROR(_xlfn.NUMBERVALUE(B1050,".",","),0)))</f>
        <v/>
      </c>
      <c r="O1050">
        <f>IF(M1050="","",IF(ISNUMBER(C1050),C1050,IFERROR(_xlfn.NUMBERVALUE(C1050,".",","),0)))</f>
        <v/>
      </c>
    </row>
    <row r="1051">
      <c r="K1051">
        <f>IF(OR(LEFT(B1051,9)="DOANH THU",LEFT(B1051,8)="SỐ LƯỢNG"),A1051,IF(A1051="","",K1050))</f>
        <v/>
      </c>
      <c r="L1051">
        <f>IF(A1051="","",IF(ISNUMBER(--LEFT(A1051,FIND(" - ",A1051&amp;" - ")-1)),LEFT(A1051,FIND(" - ",A1051&amp;" - ")-1),TRIM(A1051)))</f>
        <v/>
      </c>
      <c r="M1051">
        <f>IF(OR(K1051="",K1051=A1051,A1051=""),"",K1051&amp;"|"&amp;L1051)</f>
        <v/>
      </c>
      <c r="N1051">
        <f>IF(M1051="","",IF(ISNUMBER(B1051),B1051,IFERROR(_xlfn.NUMBERVALUE(B1051,".",","),0)))</f>
        <v/>
      </c>
      <c r="O1051">
        <f>IF(M1051="","",IF(ISNUMBER(C1051),C1051,IFERROR(_xlfn.NUMBERVALUE(C1051,".",","),0)))</f>
        <v/>
      </c>
    </row>
    <row r="1052">
      <c r="K1052">
        <f>IF(OR(LEFT(B1052,9)="DOANH THU",LEFT(B1052,8)="SỐ LƯỢNG"),A1052,IF(A1052="","",K1051))</f>
        <v/>
      </c>
      <c r="L1052">
        <f>IF(A1052="","",IF(ISNUMBER(--LEFT(A1052,FIND(" - ",A1052&amp;" - ")-1)),LEFT(A1052,FIND(" - ",A1052&amp;" - ")-1),TRIM(A1052)))</f>
        <v/>
      </c>
      <c r="M1052">
        <f>IF(OR(K1052="",K1052=A1052,A1052=""),"",K1052&amp;"|"&amp;L1052)</f>
        <v/>
      </c>
      <c r="N1052">
        <f>IF(M1052="","",IF(ISNUMBER(B1052),B1052,IFERROR(_xlfn.NUMBERVALUE(B1052,".",","),0)))</f>
        <v/>
      </c>
      <c r="O1052">
        <f>IF(M1052="","",IF(ISNUMBER(C1052),C1052,IFERROR(_xlfn.NUMBERVALUE(C1052,".",","),0)))</f>
        <v/>
      </c>
    </row>
    <row r="1053">
      <c r="K1053">
        <f>IF(OR(LEFT(B1053,9)="DOANH THU",LEFT(B1053,8)="SỐ LƯỢNG"),A1053,IF(A1053="","",K1052))</f>
        <v/>
      </c>
      <c r="L1053">
        <f>IF(A1053="","",IF(ISNUMBER(--LEFT(A1053,FIND(" - ",A1053&amp;" - ")-1)),LEFT(A1053,FIND(" - ",A1053&amp;" - ")-1),TRIM(A1053)))</f>
        <v/>
      </c>
      <c r="M1053">
        <f>IF(OR(K1053="",K1053=A1053,A1053=""),"",K1053&amp;"|"&amp;L1053)</f>
        <v/>
      </c>
      <c r="N1053">
        <f>IF(M1053="","",IF(ISNUMBER(B1053),B1053,IFERROR(_xlfn.NUMBERVALUE(B1053,".",","),0)))</f>
        <v/>
      </c>
      <c r="O1053">
        <f>IF(M1053="","",IF(ISNUMBER(C1053),C1053,IFERROR(_xlfn.NUMBERVALUE(C1053,".",","),0)))</f>
        <v/>
      </c>
    </row>
    <row r="1054">
      <c r="K1054">
        <f>IF(OR(LEFT(B1054,9)="DOANH THU",LEFT(B1054,8)="SỐ LƯỢNG"),A1054,IF(A1054="","",K1053))</f>
        <v/>
      </c>
      <c r="L1054">
        <f>IF(A1054="","",IF(ISNUMBER(--LEFT(A1054,FIND(" - ",A1054&amp;" - ")-1)),LEFT(A1054,FIND(" - ",A1054&amp;" - ")-1),TRIM(A1054)))</f>
        <v/>
      </c>
      <c r="M1054">
        <f>IF(OR(K1054="",K1054=A1054,A1054=""),"",K1054&amp;"|"&amp;L1054)</f>
        <v/>
      </c>
      <c r="N1054">
        <f>IF(M1054="","",IF(ISNUMBER(B1054),B1054,IFERROR(_xlfn.NUMBERVALUE(B1054,".",","),0)))</f>
        <v/>
      </c>
      <c r="O1054">
        <f>IF(M1054="","",IF(ISNUMBER(C1054),C1054,IFERROR(_xlfn.NUMBERVALUE(C1054,".",","),0)))</f>
        <v/>
      </c>
    </row>
    <row r="1055">
      <c r="K1055">
        <f>IF(OR(LEFT(B1055,9)="DOANH THU",LEFT(B1055,8)="SỐ LƯỢNG"),A1055,IF(A1055="","",K1054))</f>
        <v/>
      </c>
      <c r="L1055">
        <f>IF(A1055="","",IF(ISNUMBER(--LEFT(A1055,FIND(" - ",A1055&amp;" - ")-1)),LEFT(A1055,FIND(" - ",A1055&amp;" - ")-1),TRIM(A1055)))</f>
        <v/>
      </c>
      <c r="M1055">
        <f>IF(OR(K1055="",K1055=A1055,A1055=""),"",K1055&amp;"|"&amp;L1055)</f>
        <v/>
      </c>
      <c r="N1055">
        <f>IF(M1055="","",IF(ISNUMBER(B1055),B1055,IFERROR(_xlfn.NUMBERVALUE(B1055,".",","),0)))</f>
        <v/>
      </c>
      <c r="O1055">
        <f>IF(M1055="","",IF(ISNUMBER(C1055),C1055,IFERROR(_xlfn.NUMBERVALUE(C1055,".",","),0)))</f>
        <v/>
      </c>
    </row>
    <row r="1056">
      <c r="K1056">
        <f>IF(OR(LEFT(B1056,9)="DOANH THU",LEFT(B1056,8)="SỐ LƯỢNG"),A1056,IF(A1056="","",K1055))</f>
        <v/>
      </c>
      <c r="L1056">
        <f>IF(A1056="","",IF(ISNUMBER(--LEFT(A1056,FIND(" - ",A1056&amp;" - ")-1)),LEFT(A1056,FIND(" - ",A1056&amp;" - ")-1),TRIM(A1056)))</f>
        <v/>
      </c>
      <c r="M1056">
        <f>IF(OR(K1056="",K1056=A1056,A1056=""),"",K1056&amp;"|"&amp;L1056)</f>
        <v/>
      </c>
      <c r="N1056">
        <f>IF(M1056="","",IF(ISNUMBER(B1056),B1056,IFERROR(_xlfn.NUMBERVALUE(B1056,".",","),0)))</f>
        <v/>
      </c>
      <c r="O1056">
        <f>IF(M1056="","",IF(ISNUMBER(C1056),C1056,IFERROR(_xlfn.NUMBERVALUE(C1056,".",","),0)))</f>
        <v/>
      </c>
    </row>
    <row r="1057">
      <c r="K1057">
        <f>IF(OR(LEFT(B1057,9)="DOANH THU",LEFT(B1057,8)="SỐ LƯỢNG"),A1057,IF(A1057="","",K1056))</f>
        <v/>
      </c>
      <c r="L1057">
        <f>IF(A1057="","",IF(ISNUMBER(--LEFT(A1057,FIND(" - ",A1057&amp;" - ")-1)),LEFT(A1057,FIND(" - ",A1057&amp;" - ")-1),TRIM(A1057)))</f>
        <v/>
      </c>
      <c r="M1057">
        <f>IF(OR(K1057="",K1057=A1057,A1057=""),"",K1057&amp;"|"&amp;L1057)</f>
        <v/>
      </c>
      <c r="N1057">
        <f>IF(M1057="","",IF(ISNUMBER(B1057),B1057,IFERROR(_xlfn.NUMBERVALUE(B1057,".",","),0)))</f>
        <v/>
      </c>
      <c r="O1057">
        <f>IF(M1057="","",IF(ISNUMBER(C1057),C1057,IFERROR(_xlfn.NUMBERVALUE(C1057,".",","),0)))</f>
        <v/>
      </c>
    </row>
    <row r="1058">
      <c r="K1058">
        <f>IF(OR(LEFT(B1058,9)="DOANH THU",LEFT(B1058,8)="SỐ LƯỢNG"),A1058,IF(A1058="","",K1057))</f>
        <v/>
      </c>
      <c r="L1058">
        <f>IF(A1058="","",IF(ISNUMBER(--LEFT(A1058,FIND(" - ",A1058&amp;" - ")-1)),LEFT(A1058,FIND(" - ",A1058&amp;" - ")-1),TRIM(A1058)))</f>
        <v/>
      </c>
      <c r="M1058">
        <f>IF(OR(K1058="",K1058=A1058,A1058=""),"",K1058&amp;"|"&amp;L1058)</f>
        <v/>
      </c>
      <c r="N1058">
        <f>IF(M1058="","",IF(ISNUMBER(B1058),B1058,IFERROR(_xlfn.NUMBERVALUE(B1058,".",","),0)))</f>
        <v/>
      </c>
      <c r="O1058">
        <f>IF(M1058="","",IF(ISNUMBER(C1058),C1058,IFERROR(_xlfn.NUMBERVALUE(C1058,".",","),0)))</f>
        <v/>
      </c>
    </row>
    <row r="1059">
      <c r="K1059">
        <f>IF(OR(LEFT(B1059,9)="DOANH THU",LEFT(B1059,8)="SỐ LƯỢNG"),A1059,IF(A1059="","",K1058))</f>
        <v/>
      </c>
      <c r="L1059">
        <f>IF(A1059="","",IF(ISNUMBER(--LEFT(A1059,FIND(" - ",A1059&amp;" - ")-1)),LEFT(A1059,FIND(" - ",A1059&amp;" - ")-1),TRIM(A1059)))</f>
        <v/>
      </c>
      <c r="M1059">
        <f>IF(OR(K1059="",K1059=A1059,A1059=""),"",K1059&amp;"|"&amp;L1059)</f>
        <v/>
      </c>
      <c r="N1059">
        <f>IF(M1059="","",IF(ISNUMBER(B1059),B1059,IFERROR(_xlfn.NUMBERVALUE(B1059,".",","),0)))</f>
        <v/>
      </c>
      <c r="O1059">
        <f>IF(M1059="","",IF(ISNUMBER(C1059),C1059,IFERROR(_xlfn.NUMBERVALUE(C1059,".",","),0)))</f>
        <v/>
      </c>
    </row>
    <row r="1060">
      <c r="K1060">
        <f>IF(OR(LEFT(B1060,9)="DOANH THU",LEFT(B1060,8)="SỐ LƯỢNG"),A1060,IF(A1060="","",K1059))</f>
        <v/>
      </c>
      <c r="L1060">
        <f>IF(A1060="","",IF(ISNUMBER(--LEFT(A1060,FIND(" - ",A1060&amp;" - ")-1)),LEFT(A1060,FIND(" - ",A1060&amp;" - ")-1),TRIM(A1060)))</f>
        <v/>
      </c>
      <c r="M1060">
        <f>IF(OR(K1060="",K1060=A1060,A1060=""),"",K1060&amp;"|"&amp;L1060)</f>
        <v/>
      </c>
      <c r="N1060">
        <f>IF(M1060="","",IF(ISNUMBER(B1060),B1060,IFERROR(_xlfn.NUMBERVALUE(B1060,".",","),0)))</f>
        <v/>
      </c>
      <c r="O1060">
        <f>IF(M1060="","",IF(ISNUMBER(C1060),C1060,IFERROR(_xlfn.NUMBERVALUE(C1060,".",","),0)))</f>
        <v/>
      </c>
    </row>
    <row r="1061">
      <c r="K1061">
        <f>IF(OR(LEFT(B1061,9)="DOANH THU",LEFT(B1061,8)="SỐ LƯỢNG"),A1061,IF(A1061="","",K1060))</f>
        <v/>
      </c>
      <c r="L1061">
        <f>IF(A1061="","",IF(ISNUMBER(--LEFT(A1061,FIND(" - ",A1061&amp;" - ")-1)),LEFT(A1061,FIND(" - ",A1061&amp;" - ")-1),TRIM(A1061)))</f>
        <v/>
      </c>
      <c r="M1061">
        <f>IF(OR(K1061="",K1061=A1061,A1061=""),"",K1061&amp;"|"&amp;L1061)</f>
        <v/>
      </c>
      <c r="N1061">
        <f>IF(M1061="","",IF(ISNUMBER(B1061),B1061,IFERROR(_xlfn.NUMBERVALUE(B1061,".",","),0)))</f>
        <v/>
      </c>
      <c r="O1061">
        <f>IF(M1061="","",IF(ISNUMBER(C1061),C1061,IFERROR(_xlfn.NUMBERVALUE(C1061,".",","),0)))</f>
        <v/>
      </c>
    </row>
    <row r="1062">
      <c r="K1062">
        <f>IF(OR(LEFT(B1062,9)="DOANH THU",LEFT(B1062,8)="SỐ LƯỢNG"),A1062,IF(A1062="","",K1061))</f>
        <v/>
      </c>
      <c r="L1062">
        <f>IF(A1062="","",IF(ISNUMBER(--LEFT(A1062,FIND(" - ",A1062&amp;" - ")-1)),LEFT(A1062,FIND(" - ",A1062&amp;" - ")-1),TRIM(A1062)))</f>
        <v/>
      </c>
      <c r="M1062">
        <f>IF(OR(K1062="",K1062=A1062,A1062=""),"",K1062&amp;"|"&amp;L1062)</f>
        <v/>
      </c>
      <c r="N1062">
        <f>IF(M1062="","",IF(ISNUMBER(B1062),B1062,IFERROR(_xlfn.NUMBERVALUE(B1062,".",","),0)))</f>
        <v/>
      </c>
      <c r="O1062">
        <f>IF(M1062="","",IF(ISNUMBER(C1062),C1062,IFERROR(_xlfn.NUMBERVALUE(C1062,".",","),0)))</f>
        <v/>
      </c>
    </row>
    <row r="1063">
      <c r="K1063">
        <f>IF(OR(LEFT(B1063,9)="DOANH THU",LEFT(B1063,8)="SỐ LƯỢNG"),A1063,IF(A1063="","",K1062))</f>
        <v/>
      </c>
      <c r="L1063">
        <f>IF(A1063="","",IF(ISNUMBER(--LEFT(A1063,FIND(" - ",A1063&amp;" - ")-1)),LEFT(A1063,FIND(" - ",A1063&amp;" - ")-1),TRIM(A1063)))</f>
        <v/>
      </c>
      <c r="M1063">
        <f>IF(OR(K1063="",K1063=A1063,A1063=""),"",K1063&amp;"|"&amp;L1063)</f>
        <v/>
      </c>
      <c r="N1063">
        <f>IF(M1063="","",IF(ISNUMBER(B1063),B1063,IFERROR(_xlfn.NUMBERVALUE(B1063,".",","),0)))</f>
        <v/>
      </c>
      <c r="O1063">
        <f>IF(M1063="","",IF(ISNUMBER(C1063),C1063,IFERROR(_xlfn.NUMBERVALUE(C1063,".",","),0)))</f>
        <v/>
      </c>
    </row>
    <row r="1064">
      <c r="K1064">
        <f>IF(OR(LEFT(B1064,9)="DOANH THU",LEFT(B1064,8)="SỐ LƯỢNG"),A1064,IF(A1064="","",K1063))</f>
        <v/>
      </c>
      <c r="L1064">
        <f>IF(A1064="","",IF(ISNUMBER(--LEFT(A1064,FIND(" - ",A1064&amp;" - ")-1)),LEFT(A1064,FIND(" - ",A1064&amp;" - ")-1),TRIM(A1064)))</f>
        <v/>
      </c>
      <c r="M1064">
        <f>IF(OR(K1064="",K1064=A1064,A1064=""),"",K1064&amp;"|"&amp;L1064)</f>
        <v/>
      </c>
      <c r="N1064">
        <f>IF(M1064="","",IF(ISNUMBER(B1064),B1064,IFERROR(_xlfn.NUMBERVALUE(B1064,".",","),0)))</f>
        <v/>
      </c>
      <c r="O1064">
        <f>IF(M1064="","",IF(ISNUMBER(C1064),C1064,IFERROR(_xlfn.NUMBERVALUE(C1064,".",","),0)))</f>
        <v/>
      </c>
    </row>
    <row r="1065">
      <c r="K1065">
        <f>IF(OR(LEFT(B1065,9)="DOANH THU",LEFT(B1065,8)="SỐ LƯỢNG"),A1065,IF(A1065="","",K1064))</f>
        <v/>
      </c>
      <c r="L1065">
        <f>IF(A1065="","",IF(ISNUMBER(--LEFT(A1065,FIND(" - ",A1065&amp;" - ")-1)),LEFT(A1065,FIND(" - ",A1065&amp;" - ")-1),TRIM(A1065)))</f>
        <v/>
      </c>
      <c r="M1065">
        <f>IF(OR(K1065="",K1065=A1065,A1065=""),"",K1065&amp;"|"&amp;L1065)</f>
        <v/>
      </c>
      <c r="N1065">
        <f>IF(M1065="","",IF(ISNUMBER(B1065),B1065,IFERROR(_xlfn.NUMBERVALUE(B1065,".",","),0)))</f>
        <v/>
      </c>
      <c r="O1065">
        <f>IF(M1065="","",IF(ISNUMBER(C1065),C1065,IFERROR(_xlfn.NUMBERVALUE(C1065,".",","),0)))</f>
        <v/>
      </c>
    </row>
    <row r="1066">
      <c r="K1066">
        <f>IF(OR(LEFT(B1066,9)="DOANH THU",LEFT(B1066,8)="SỐ LƯỢNG"),A1066,IF(A1066="","",K1065))</f>
        <v/>
      </c>
      <c r="L1066">
        <f>IF(A1066="","",IF(ISNUMBER(--LEFT(A1066,FIND(" - ",A1066&amp;" - ")-1)),LEFT(A1066,FIND(" - ",A1066&amp;" - ")-1),TRIM(A1066)))</f>
        <v/>
      </c>
      <c r="M1066">
        <f>IF(OR(K1066="",K1066=A1066,A1066=""),"",K1066&amp;"|"&amp;L1066)</f>
        <v/>
      </c>
      <c r="N1066">
        <f>IF(M1066="","",IF(ISNUMBER(B1066),B1066,IFERROR(_xlfn.NUMBERVALUE(B1066,".",","),0)))</f>
        <v/>
      </c>
      <c r="O1066">
        <f>IF(M1066="","",IF(ISNUMBER(C1066),C1066,IFERROR(_xlfn.NUMBERVALUE(C1066,".",","),0)))</f>
        <v/>
      </c>
    </row>
    <row r="1067">
      <c r="K1067">
        <f>IF(OR(LEFT(B1067,9)="DOANH THU",LEFT(B1067,8)="SỐ LƯỢNG"),A1067,IF(A1067="","",K1066))</f>
        <v/>
      </c>
      <c r="L1067">
        <f>IF(A1067="","",IF(ISNUMBER(--LEFT(A1067,FIND(" - ",A1067&amp;" - ")-1)),LEFT(A1067,FIND(" - ",A1067&amp;" - ")-1),TRIM(A1067)))</f>
        <v/>
      </c>
      <c r="M1067">
        <f>IF(OR(K1067="",K1067=A1067,A1067=""),"",K1067&amp;"|"&amp;L1067)</f>
        <v/>
      </c>
      <c r="N1067">
        <f>IF(M1067="","",IF(ISNUMBER(B1067),B1067,IFERROR(_xlfn.NUMBERVALUE(B1067,".",","),0)))</f>
        <v/>
      </c>
      <c r="O1067">
        <f>IF(M1067="","",IF(ISNUMBER(C1067),C1067,IFERROR(_xlfn.NUMBERVALUE(C1067,".",","),0)))</f>
        <v/>
      </c>
    </row>
    <row r="1068">
      <c r="K1068">
        <f>IF(OR(LEFT(B1068,9)="DOANH THU",LEFT(B1068,8)="SỐ LƯỢNG"),A1068,IF(A1068="","",K1067))</f>
        <v/>
      </c>
      <c r="L1068">
        <f>IF(A1068="","",IF(ISNUMBER(--LEFT(A1068,FIND(" - ",A1068&amp;" - ")-1)),LEFT(A1068,FIND(" - ",A1068&amp;" - ")-1),TRIM(A1068)))</f>
        <v/>
      </c>
      <c r="M1068">
        <f>IF(OR(K1068="",K1068=A1068,A1068=""),"",K1068&amp;"|"&amp;L1068)</f>
        <v/>
      </c>
      <c r="N1068">
        <f>IF(M1068="","",IF(ISNUMBER(B1068),B1068,IFERROR(_xlfn.NUMBERVALUE(B1068,".",","),0)))</f>
        <v/>
      </c>
      <c r="O1068">
        <f>IF(M1068="","",IF(ISNUMBER(C1068),C1068,IFERROR(_xlfn.NUMBERVALUE(C1068,".",","),0)))</f>
        <v/>
      </c>
    </row>
    <row r="1069">
      <c r="K1069">
        <f>IF(OR(LEFT(B1069,9)="DOANH THU",LEFT(B1069,8)="SỐ LƯỢNG"),A1069,IF(A1069="","",K1068))</f>
        <v/>
      </c>
      <c r="L1069">
        <f>IF(A1069="","",IF(ISNUMBER(--LEFT(A1069,FIND(" - ",A1069&amp;" - ")-1)),LEFT(A1069,FIND(" - ",A1069&amp;" - ")-1),TRIM(A1069)))</f>
        <v/>
      </c>
      <c r="M1069">
        <f>IF(OR(K1069="",K1069=A1069,A1069=""),"",K1069&amp;"|"&amp;L1069)</f>
        <v/>
      </c>
      <c r="N1069">
        <f>IF(M1069="","",IF(ISNUMBER(B1069),B1069,IFERROR(_xlfn.NUMBERVALUE(B1069,".",","),0)))</f>
        <v/>
      </c>
      <c r="O1069">
        <f>IF(M1069="","",IF(ISNUMBER(C1069),C1069,IFERROR(_xlfn.NUMBERVALUE(C1069,".",","),0)))</f>
        <v/>
      </c>
    </row>
    <row r="1070">
      <c r="K1070">
        <f>IF(OR(LEFT(B1070,9)="DOANH THU",LEFT(B1070,8)="SỐ LƯỢNG"),A1070,IF(A1070="","",K1069))</f>
        <v/>
      </c>
      <c r="L1070">
        <f>IF(A1070="","",IF(ISNUMBER(--LEFT(A1070,FIND(" - ",A1070&amp;" - ")-1)),LEFT(A1070,FIND(" - ",A1070&amp;" - ")-1),TRIM(A1070)))</f>
        <v/>
      </c>
      <c r="M1070">
        <f>IF(OR(K1070="",K1070=A1070,A1070=""),"",K1070&amp;"|"&amp;L1070)</f>
        <v/>
      </c>
      <c r="N1070">
        <f>IF(M1070="","",IF(ISNUMBER(B1070),B1070,IFERROR(_xlfn.NUMBERVALUE(B1070,".",","),0)))</f>
        <v/>
      </c>
      <c r="O1070">
        <f>IF(M1070="","",IF(ISNUMBER(C1070),C1070,IFERROR(_xlfn.NUMBERVALUE(C1070,".",","),0)))</f>
        <v/>
      </c>
    </row>
    <row r="1071">
      <c r="K1071">
        <f>IF(OR(LEFT(B1071,9)="DOANH THU",LEFT(B1071,8)="SỐ LƯỢNG"),A1071,IF(A1071="","",K1070))</f>
        <v/>
      </c>
      <c r="L1071">
        <f>IF(A1071="","",IF(ISNUMBER(--LEFT(A1071,FIND(" - ",A1071&amp;" - ")-1)),LEFT(A1071,FIND(" - ",A1071&amp;" - ")-1),TRIM(A1071)))</f>
        <v/>
      </c>
      <c r="M1071">
        <f>IF(OR(K1071="",K1071=A1071,A1071=""),"",K1071&amp;"|"&amp;L1071)</f>
        <v/>
      </c>
      <c r="N1071">
        <f>IF(M1071="","",IF(ISNUMBER(B1071),B1071,IFERROR(_xlfn.NUMBERVALUE(B1071,".",","),0)))</f>
        <v/>
      </c>
      <c r="O1071">
        <f>IF(M1071="","",IF(ISNUMBER(C1071),C1071,IFERROR(_xlfn.NUMBERVALUE(C1071,".",","),0)))</f>
        <v/>
      </c>
    </row>
    <row r="1072">
      <c r="K1072">
        <f>IF(OR(LEFT(B1072,9)="DOANH THU",LEFT(B1072,8)="SỐ LƯỢNG"),A1072,IF(A1072="","",K1071))</f>
        <v/>
      </c>
      <c r="L1072">
        <f>IF(A1072="","",IF(ISNUMBER(--LEFT(A1072,FIND(" - ",A1072&amp;" - ")-1)),LEFT(A1072,FIND(" - ",A1072&amp;" - ")-1),TRIM(A1072)))</f>
        <v/>
      </c>
      <c r="M1072">
        <f>IF(OR(K1072="",K1072=A1072,A1072=""),"",K1072&amp;"|"&amp;L1072)</f>
        <v/>
      </c>
      <c r="N1072">
        <f>IF(M1072="","",IF(ISNUMBER(B1072),B1072,IFERROR(_xlfn.NUMBERVALUE(B1072,".",","),0)))</f>
        <v/>
      </c>
      <c r="O1072">
        <f>IF(M1072="","",IF(ISNUMBER(C1072),C1072,IFERROR(_xlfn.NUMBERVALUE(C1072,".",","),0)))</f>
        <v/>
      </c>
    </row>
    <row r="1073">
      <c r="K1073">
        <f>IF(OR(LEFT(B1073,9)="DOANH THU",LEFT(B1073,8)="SỐ LƯỢNG"),A1073,IF(A1073="","",K1072))</f>
        <v/>
      </c>
      <c r="L1073">
        <f>IF(A1073="","",IF(ISNUMBER(--LEFT(A1073,FIND(" - ",A1073&amp;" - ")-1)),LEFT(A1073,FIND(" - ",A1073&amp;" - ")-1),TRIM(A1073)))</f>
        <v/>
      </c>
      <c r="M1073">
        <f>IF(OR(K1073="",K1073=A1073,A1073=""),"",K1073&amp;"|"&amp;L1073)</f>
        <v/>
      </c>
      <c r="N1073">
        <f>IF(M1073="","",IF(ISNUMBER(B1073),B1073,IFERROR(_xlfn.NUMBERVALUE(B1073,".",","),0)))</f>
        <v/>
      </c>
      <c r="O1073">
        <f>IF(M1073="","",IF(ISNUMBER(C1073),C1073,IFERROR(_xlfn.NUMBERVALUE(C1073,".",","),0)))</f>
        <v/>
      </c>
    </row>
    <row r="1074">
      <c r="K1074">
        <f>IF(OR(LEFT(B1074,9)="DOANH THU",LEFT(B1074,8)="SỐ LƯỢNG"),A1074,IF(A1074="","",K1073))</f>
        <v/>
      </c>
      <c r="L1074">
        <f>IF(A1074="","",IF(ISNUMBER(--LEFT(A1074,FIND(" - ",A1074&amp;" - ")-1)),LEFT(A1074,FIND(" - ",A1074&amp;" - ")-1),TRIM(A1074)))</f>
        <v/>
      </c>
      <c r="M1074">
        <f>IF(OR(K1074="",K1074=A1074,A1074=""),"",K1074&amp;"|"&amp;L1074)</f>
        <v/>
      </c>
      <c r="N1074">
        <f>IF(M1074="","",IF(ISNUMBER(B1074),B1074,IFERROR(_xlfn.NUMBERVALUE(B1074,".",","),0)))</f>
        <v/>
      </c>
      <c r="O1074">
        <f>IF(M1074="","",IF(ISNUMBER(C1074),C1074,IFERROR(_xlfn.NUMBERVALUE(C1074,".",","),0)))</f>
        <v/>
      </c>
    </row>
    <row r="1075">
      <c r="K1075">
        <f>IF(OR(LEFT(B1075,9)="DOANH THU",LEFT(B1075,8)="SỐ LƯỢNG"),A1075,IF(A1075="","",K1074))</f>
        <v/>
      </c>
      <c r="L1075">
        <f>IF(A1075="","",IF(ISNUMBER(--LEFT(A1075,FIND(" - ",A1075&amp;" - ")-1)),LEFT(A1075,FIND(" - ",A1075&amp;" - ")-1),TRIM(A1075)))</f>
        <v/>
      </c>
      <c r="M1075">
        <f>IF(OR(K1075="",K1075=A1075,A1075=""),"",K1075&amp;"|"&amp;L1075)</f>
        <v/>
      </c>
      <c r="N1075">
        <f>IF(M1075="","",IF(ISNUMBER(B1075),B1075,IFERROR(_xlfn.NUMBERVALUE(B1075,".",","),0)))</f>
        <v/>
      </c>
      <c r="O1075">
        <f>IF(M1075="","",IF(ISNUMBER(C1075),C1075,IFERROR(_xlfn.NUMBERVALUE(C1075,".",","),0)))</f>
        <v/>
      </c>
    </row>
    <row r="1076">
      <c r="K1076">
        <f>IF(OR(LEFT(B1076,9)="DOANH THU",LEFT(B1076,8)="SỐ LƯỢNG"),A1076,IF(A1076="","",K1075))</f>
        <v/>
      </c>
      <c r="L1076">
        <f>IF(A1076="","",IF(ISNUMBER(--LEFT(A1076,FIND(" - ",A1076&amp;" - ")-1)),LEFT(A1076,FIND(" - ",A1076&amp;" - ")-1),TRIM(A1076)))</f>
        <v/>
      </c>
      <c r="M1076">
        <f>IF(OR(K1076="",K1076=A1076,A1076=""),"",K1076&amp;"|"&amp;L1076)</f>
        <v/>
      </c>
      <c r="N1076">
        <f>IF(M1076="","",IF(ISNUMBER(B1076),B1076,IFERROR(_xlfn.NUMBERVALUE(B1076,".",","),0)))</f>
        <v/>
      </c>
      <c r="O1076">
        <f>IF(M1076="","",IF(ISNUMBER(C1076),C1076,IFERROR(_xlfn.NUMBERVALUE(C1076,".",","),0)))</f>
        <v/>
      </c>
    </row>
    <row r="1077">
      <c r="K1077">
        <f>IF(OR(LEFT(B1077,9)="DOANH THU",LEFT(B1077,8)="SỐ LƯỢNG"),A1077,IF(A1077="","",K1076))</f>
        <v/>
      </c>
      <c r="L1077">
        <f>IF(A1077="","",IF(ISNUMBER(--LEFT(A1077,FIND(" - ",A1077&amp;" - ")-1)),LEFT(A1077,FIND(" - ",A1077&amp;" - ")-1),TRIM(A1077)))</f>
        <v/>
      </c>
      <c r="M1077">
        <f>IF(OR(K1077="",K1077=A1077,A1077=""),"",K1077&amp;"|"&amp;L1077)</f>
        <v/>
      </c>
      <c r="N1077">
        <f>IF(M1077="","",IF(ISNUMBER(B1077),B1077,IFERROR(_xlfn.NUMBERVALUE(B1077,".",","),0)))</f>
        <v/>
      </c>
      <c r="O1077">
        <f>IF(M1077="","",IF(ISNUMBER(C1077),C1077,IFERROR(_xlfn.NUMBERVALUE(C1077,".",","),0)))</f>
        <v/>
      </c>
    </row>
    <row r="1078">
      <c r="K1078">
        <f>IF(OR(LEFT(B1078,9)="DOANH THU",LEFT(B1078,8)="SỐ LƯỢNG"),A1078,IF(A1078="","",K1077))</f>
        <v/>
      </c>
      <c r="L1078">
        <f>IF(A1078="","",IF(ISNUMBER(--LEFT(A1078,FIND(" - ",A1078&amp;" - ")-1)),LEFT(A1078,FIND(" - ",A1078&amp;" - ")-1),TRIM(A1078)))</f>
        <v/>
      </c>
      <c r="M1078">
        <f>IF(OR(K1078="",K1078=A1078,A1078=""),"",K1078&amp;"|"&amp;L1078)</f>
        <v/>
      </c>
      <c r="N1078">
        <f>IF(M1078="","",IF(ISNUMBER(B1078),B1078,IFERROR(_xlfn.NUMBERVALUE(B1078,".",","),0)))</f>
        <v/>
      </c>
      <c r="O1078">
        <f>IF(M1078="","",IF(ISNUMBER(C1078),C1078,IFERROR(_xlfn.NUMBERVALUE(C1078,".",","),0)))</f>
        <v/>
      </c>
    </row>
    <row r="1079">
      <c r="K1079">
        <f>IF(OR(LEFT(B1079,9)="DOANH THU",LEFT(B1079,8)="SỐ LƯỢNG"),A1079,IF(A1079="","",K1078))</f>
        <v/>
      </c>
      <c r="L1079">
        <f>IF(A1079="","",IF(ISNUMBER(--LEFT(A1079,FIND(" - ",A1079&amp;" - ")-1)),LEFT(A1079,FIND(" - ",A1079&amp;" - ")-1),TRIM(A1079)))</f>
        <v/>
      </c>
      <c r="M1079">
        <f>IF(OR(K1079="",K1079=A1079,A1079=""),"",K1079&amp;"|"&amp;L1079)</f>
        <v/>
      </c>
      <c r="N1079">
        <f>IF(M1079="","",IF(ISNUMBER(B1079),B1079,IFERROR(_xlfn.NUMBERVALUE(B1079,".",","),0)))</f>
        <v/>
      </c>
      <c r="O1079">
        <f>IF(M1079="","",IF(ISNUMBER(C1079),C1079,IFERROR(_xlfn.NUMBERVALUE(C1079,".",","),0)))</f>
        <v/>
      </c>
    </row>
    <row r="1080">
      <c r="K1080">
        <f>IF(OR(LEFT(B1080,9)="DOANH THU",LEFT(B1080,8)="SỐ LƯỢNG"),A1080,IF(A1080="","",K1079))</f>
        <v/>
      </c>
      <c r="L1080">
        <f>IF(A1080="","",IF(ISNUMBER(--LEFT(A1080,FIND(" - ",A1080&amp;" - ")-1)),LEFT(A1080,FIND(" - ",A1080&amp;" - ")-1),TRIM(A1080)))</f>
        <v/>
      </c>
      <c r="M1080">
        <f>IF(OR(K1080="",K1080=A1080,A1080=""),"",K1080&amp;"|"&amp;L1080)</f>
        <v/>
      </c>
      <c r="N1080">
        <f>IF(M1080="","",IF(ISNUMBER(B1080),B1080,IFERROR(_xlfn.NUMBERVALUE(B1080,".",","),0)))</f>
        <v/>
      </c>
      <c r="O1080">
        <f>IF(M1080="","",IF(ISNUMBER(C1080),C1080,IFERROR(_xlfn.NUMBERVALUE(C1080,".",","),0)))</f>
        <v/>
      </c>
    </row>
    <row r="1081">
      <c r="K1081">
        <f>IF(OR(LEFT(B1081,9)="DOANH THU",LEFT(B1081,8)="SỐ LƯỢNG"),A1081,IF(A1081="","",K1080))</f>
        <v/>
      </c>
      <c r="L1081">
        <f>IF(A1081="","",IF(ISNUMBER(--LEFT(A1081,FIND(" - ",A1081&amp;" - ")-1)),LEFT(A1081,FIND(" - ",A1081&amp;" - ")-1),TRIM(A1081)))</f>
        <v/>
      </c>
      <c r="M1081">
        <f>IF(OR(K1081="",K1081=A1081,A1081=""),"",K1081&amp;"|"&amp;L1081)</f>
        <v/>
      </c>
      <c r="N1081">
        <f>IF(M1081="","",IF(ISNUMBER(B1081),B1081,IFERROR(_xlfn.NUMBERVALUE(B1081,".",","),0)))</f>
        <v/>
      </c>
      <c r="O1081">
        <f>IF(M1081="","",IF(ISNUMBER(C1081),C1081,IFERROR(_xlfn.NUMBERVALUE(C1081,".",","),0)))</f>
        <v/>
      </c>
    </row>
    <row r="1082">
      <c r="K1082">
        <f>IF(OR(LEFT(B1082,9)="DOANH THU",LEFT(B1082,8)="SỐ LƯỢNG"),A1082,IF(A1082="","",K1081))</f>
        <v/>
      </c>
      <c r="L1082">
        <f>IF(A1082="","",IF(ISNUMBER(--LEFT(A1082,FIND(" - ",A1082&amp;" - ")-1)),LEFT(A1082,FIND(" - ",A1082&amp;" - ")-1),TRIM(A1082)))</f>
        <v/>
      </c>
      <c r="M1082">
        <f>IF(OR(K1082="",K1082=A1082,A1082=""),"",K1082&amp;"|"&amp;L1082)</f>
        <v/>
      </c>
      <c r="N1082">
        <f>IF(M1082="","",IF(ISNUMBER(B1082),B1082,IFERROR(_xlfn.NUMBERVALUE(B1082,".",","),0)))</f>
        <v/>
      </c>
      <c r="O1082">
        <f>IF(M1082="","",IF(ISNUMBER(C1082),C1082,IFERROR(_xlfn.NUMBERVALUE(C1082,".",","),0)))</f>
        <v/>
      </c>
    </row>
    <row r="1083">
      <c r="K1083">
        <f>IF(OR(LEFT(B1083,9)="DOANH THU",LEFT(B1083,8)="SỐ LƯỢNG"),A1083,IF(A1083="","",K1082))</f>
        <v/>
      </c>
      <c r="L1083">
        <f>IF(A1083="","",IF(ISNUMBER(--LEFT(A1083,FIND(" - ",A1083&amp;" - ")-1)),LEFT(A1083,FIND(" - ",A1083&amp;" - ")-1),TRIM(A1083)))</f>
        <v/>
      </c>
      <c r="M1083">
        <f>IF(OR(K1083="",K1083=A1083,A1083=""),"",K1083&amp;"|"&amp;L1083)</f>
        <v/>
      </c>
      <c r="N1083">
        <f>IF(M1083="","",IF(ISNUMBER(B1083),B1083,IFERROR(_xlfn.NUMBERVALUE(B1083,".",","),0)))</f>
        <v/>
      </c>
      <c r="O1083">
        <f>IF(M1083="","",IF(ISNUMBER(C1083),C1083,IFERROR(_xlfn.NUMBERVALUE(C1083,".",","),0)))</f>
        <v/>
      </c>
    </row>
    <row r="1084">
      <c r="K1084">
        <f>IF(OR(LEFT(B1084,9)="DOANH THU",LEFT(B1084,8)="SỐ LƯỢNG"),A1084,IF(A1084="","",K1083))</f>
        <v/>
      </c>
      <c r="L1084">
        <f>IF(A1084="","",IF(ISNUMBER(--LEFT(A1084,FIND(" - ",A1084&amp;" - ")-1)),LEFT(A1084,FIND(" - ",A1084&amp;" - ")-1),TRIM(A1084)))</f>
        <v/>
      </c>
      <c r="M1084">
        <f>IF(OR(K1084="",K1084=A1084,A1084=""),"",K1084&amp;"|"&amp;L1084)</f>
        <v/>
      </c>
      <c r="N1084">
        <f>IF(M1084="","",IF(ISNUMBER(B1084),B1084,IFERROR(_xlfn.NUMBERVALUE(B1084,".",","),0)))</f>
        <v/>
      </c>
      <c r="O1084">
        <f>IF(M1084="","",IF(ISNUMBER(C1084),C1084,IFERROR(_xlfn.NUMBERVALUE(C1084,".",","),0)))</f>
        <v/>
      </c>
    </row>
    <row r="1085">
      <c r="K1085">
        <f>IF(OR(LEFT(B1085,9)="DOANH THU",LEFT(B1085,8)="SỐ LƯỢNG"),A1085,IF(A1085="","",K1084))</f>
        <v/>
      </c>
      <c r="L1085">
        <f>IF(A1085="","",IF(ISNUMBER(--LEFT(A1085,FIND(" - ",A1085&amp;" - ")-1)),LEFT(A1085,FIND(" - ",A1085&amp;" - ")-1),TRIM(A1085)))</f>
        <v/>
      </c>
      <c r="M1085">
        <f>IF(OR(K1085="",K1085=A1085,A1085=""),"",K1085&amp;"|"&amp;L1085)</f>
        <v/>
      </c>
      <c r="N1085">
        <f>IF(M1085="","",IF(ISNUMBER(B1085),B1085,IFERROR(_xlfn.NUMBERVALUE(B1085,".",","),0)))</f>
        <v/>
      </c>
      <c r="O1085">
        <f>IF(M1085="","",IF(ISNUMBER(C1085),C1085,IFERROR(_xlfn.NUMBERVALUE(C1085,".",","),0)))</f>
        <v/>
      </c>
    </row>
    <row r="1086">
      <c r="K1086">
        <f>IF(OR(LEFT(B1086,9)="DOANH THU",LEFT(B1086,8)="SỐ LƯỢNG"),A1086,IF(A1086="","",K1085))</f>
        <v/>
      </c>
      <c r="L1086">
        <f>IF(A1086="","",IF(ISNUMBER(--LEFT(A1086,FIND(" - ",A1086&amp;" - ")-1)),LEFT(A1086,FIND(" - ",A1086&amp;" - ")-1),TRIM(A1086)))</f>
        <v/>
      </c>
      <c r="M1086">
        <f>IF(OR(K1086="",K1086=A1086,A1086=""),"",K1086&amp;"|"&amp;L1086)</f>
        <v/>
      </c>
      <c r="N1086">
        <f>IF(M1086="","",IF(ISNUMBER(B1086),B1086,IFERROR(_xlfn.NUMBERVALUE(B1086,".",","),0)))</f>
        <v/>
      </c>
      <c r="O1086">
        <f>IF(M1086="","",IF(ISNUMBER(C1086),C1086,IFERROR(_xlfn.NUMBERVALUE(C1086,".",","),0)))</f>
        <v/>
      </c>
    </row>
    <row r="1087">
      <c r="K1087">
        <f>IF(OR(LEFT(B1087,9)="DOANH THU",LEFT(B1087,8)="SỐ LƯỢNG"),A1087,IF(A1087="","",K1086))</f>
        <v/>
      </c>
      <c r="L1087">
        <f>IF(A1087="","",IF(ISNUMBER(--LEFT(A1087,FIND(" - ",A1087&amp;" - ")-1)),LEFT(A1087,FIND(" - ",A1087&amp;" - ")-1),TRIM(A1087)))</f>
        <v/>
      </c>
      <c r="M1087">
        <f>IF(OR(K1087="",K1087=A1087,A1087=""),"",K1087&amp;"|"&amp;L1087)</f>
        <v/>
      </c>
      <c r="N1087">
        <f>IF(M1087="","",IF(ISNUMBER(B1087),B1087,IFERROR(_xlfn.NUMBERVALUE(B1087,".",","),0)))</f>
        <v/>
      </c>
      <c r="O1087">
        <f>IF(M1087="","",IF(ISNUMBER(C1087),C1087,IFERROR(_xlfn.NUMBERVALUE(C1087,".",","),0)))</f>
        <v/>
      </c>
    </row>
    <row r="1088">
      <c r="K1088">
        <f>IF(OR(LEFT(B1088,9)="DOANH THU",LEFT(B1088,8)="SỐ LƯỢNG"),A1088,IF(A1088="","",K1087))</f>
        <v/>
      </c>
      <c r="L1088">
        <f>IF(A1088="","",IF(ISNUMBER(--LEFT(A1088,FIND(" - ",A1088&amp;" - ")-1)),LEFT(A1088,FIND(" - ",A1088&amp;" - ")-1),TRIM(A1088)))</f>
        <v/>
      </c>
      <c r="M1088">
        <f>IF(OR(K1088="",K1088=A1088,A1088=""),"",K1088&amp;"|"&amp;L1088)</f>
        <v/>
      </c>
      <c r="N1088">
        <f>IF(M1088="","",IF(ISNUMBER(B1088),B1088,IFERROR(_xlfn.NUMBERVALUE(B1088,".",","),0)))</f>
        <v/>
      </c>
      <c r="O1088">
        <f>IF(M1088="","",IF(ISNUMBER(C1088),C1088,IFERROR(_xlfn.NUMBERVALUE(C1088,".",","),0)))</f>
        <v/>
      </c>
    </row>
    <row r="1089">
      <c r="K1089">
        <f>IF(OR(LEFT(B1089,9)="DOANH THU",LEFT(B1089,8)="SỐ LƯỢNG"),A1089,IF(A1089="","",K1088))</f>
        <v/>
      </c>
      <c r="L1089">
        <f>IF(A1089="","",IF(ISNUMBER(--LEFT(A1089,FIND(" - ",A1089&amp;" - ")-1)),LEFT(A1089,FIND(" - ",A1089&amp;" - ")-1),TRIM(A1089)))</f>
        <v/>
      </c>
      <c r="M1089">
        <f>IF(OR(K1089="",K1089=A1089,A1089=""),"",K1089&amp;"|"&amp;L1089)</f>
        <v/>
      </c>
      <c r="N1089">
        <f>IF(M1089="","",IF(ISNUMBER(B1089),B1089,IFERROR(_xlfn.NUMBERVALUE(B1089,".",","),0)))</f>
        <v/>
      </c>
      <c r="O1089">
        <f>IF(M1089="","",IF(ISNUMBER(C1089),C1089,IFERROR(_xlfn.NUMBERVALUE(C1089,".",","),0)))</f>
        <v/>
      </c>
    </row>
    <row r="1090">
      <c r="K1090">
        <f>IF(OR(LEFT(B1090,9)="DOANH THU",LEFT(B1090,8)="SỐ LƯỢNG"),A1090,IF(A1090="","",K1089))</f>
        <v/>
      </c>
      <c r="L1090">
        <f>IF(A1090="","",IF(ISNUMBER(--LEFT(A1090,FIND(" - ",A1090&amp;" - ")-1)),LEFT(A1090,FIND(" - ",A1090&amp;" - ")-1),TRIM(A1090)))</f>
        <v/>
      </c>
      <c r="M1090">
        <f>IF(OR(K1090="",K1090=A1090,A1090=""),"",K1090&amp;"|"&amp;L1090)</f>
        <v/>
      </c>
      <c r="N1090">
        <f>IF(M1090="","",IF(ISNUMBER(B1090),B1090,IFERROR(_xlfn.NUMBERVALUE(B1090,".",","),0)))</f>
        <v/>
      </c>
      <c r="O1090">
        <f>IF(M1090="","",IF(ISNUMBER(C1090),C1090,IFERROR(_xlfn.NUMBERVALUE(C1090,".",","),0)))</f>
        <v/>
      </c>
    </row>
    <row r="1091">
      <c r="K1091">
        <f>IF(OR(LEFT(B1091,9)="DOANH THU",LEFT(B1091,8)="SỐ LƯỢNG"),A1091,IF(A1091="","",K1090))</f>
        <v/>
      </c>
      <c r="L1091">
        <f>IF(A1091="","",IF(ISNUMBER(--LEFT(A1091,FIND(" - ",A1091&amp;" - ")-1)),LEFT(A1091,FIND(" - ",A1091&amp;" - ")-1),TRIM(A1091)))</f>
        <v/>
      </c>
      <c r="M1091">
        <f>IF(OR(K1091="",K1091=A1091,A1091=""),"",K1091&amp;"|"&amp;L1091)</f>
        <v/>
      </c>
      <c r="N1091">
        <f>IF(M1091="","",IF(ISNUMBER(B1091),B1091,IFERROR(_xlfn.NUMBERVALUE(B1091,".",","),0)))</f>
        <v/>
      </c>
      <c r="O1091">
        <f>IF(M1091="","",IF(ISNUMBER(C1091),C1091,IFERROR(_xlfn.NUMBERVALUE(C1091,".",","),0)))</f>
        <v/>
      </c>
    </row>
    <row r="1092">
      <c r="K1092">
        <f>IF(OR(LEFT(B1092,9)="DOANH THU",LEFT(B1092,8)="SỐ LƯỢNG"),A1092,IF(A1092="","",K1091))</f>
        <v/>
      </c>
      <c r="L1092">
        <f>IF(A1092="","",IF(ISNUMBER(--LEFT(A1092,FIND(" - ",A1092&amp;" - ")-1)),LEFT(A1092,FIND(" - ",A1092&amp;" - ")-1),TRIM(A1092)))</f>
        <v/>
      </c>
      <c r="M1092">
        <f>IF(OR(K1092="",K1092=A1092,A1092=""),"",K1092&amp;"|"&amp;L1092)</f>
        <v/>
      </c>
      <c r="N1092">
        <f>IF(M1092="","",IF(ISNUMBER(B1092),B1092,IFERROR(_xlfn.NUMBERVALUE(B1092,".",","),0)))</f>
        <v/>
      </c>
      <c r="O1092">
        <f>IF(M1092="","",IF(ISNUMBER(C1092),C1092,IFERROR(_xlfn.NUMBERVALUE(C1092,".",","),0)))</f>
        <v/>
      </c>
    </row>
    <row r="1093">
      <c r="K1093">
        <f>IF(OR(LEFT(B1093,9)="DOANH THU",LEFT(B1093,8)="SỐ LƯỢNG"),A1093,IF(A1093="","",K1092))</f>
        <v/>
      </c>
      <c r="L1093">
        <f>IF(A1093="","",IF(ISNUMBER(--LEFT(A1093,FIND(" - ",A1093&amp;" - ")-1)),LEFT(A1093,FIND(" - ",A1093&amp;" - ")-1),TRIM(A1093)))</f>
        <v/>
      </c>
      <c r="M1093">
        <f>IF(OR(K1093="",K1093=A1093,A1093=""),"",K1093&amp;"|"&amp;L1093)</f>
        <v/>
      </c>
      <c r="N1093">
        <f>IF(M1093="","",IF(ISNUMBER(B1093),B1093,IFERROR(_xlfn.NUMBERVALUE(B1093,".",","),0)))</f>
        <v/>
      </c>
      <c r="O1093">
        <f>IF(M1093="","",IF(ISNUMBER(C1093),C1093,IFERROR(_xlfn.NUMBERVALUE(C1093,".",","),0)))</f>
        <v/>
      </c>
    </row>
    <row r="1094">
      <c r="K1094">
        <f>IF(OR(LEFT(B1094,9)="DOANH THU",LEFT(B1094,8)="SỐ LƯỢNG"),A1094,IF(A1094="","",K1093))</f>
        <v/>
      </c>
      <c r="L1094">
        <f>IF(A1094="","",IF(ISNUMBER(--LEFT(A1094,FIND(" - ",A1094&amp;" - ")-1)),LEFT(A1094,FIND(" - ",A1094&amp;" - ")-1),TRIM(A1094)))</f>
        <v/>
      </c>
      <c r="M1094">
        <f>IF(OR(K1094="",K1094=A1094,A1094=""),"",K1094&amp;"|"&amp;L1094)</f>
        <v/>
      </c>
      <c r="N1094">
        <f>IF(M1094="","",IF(ISNUMBER(B1094),B1094,IFERROR(_xlfn.NUMBERVALUE(B1094,".",","),0)))</f>
        <v/>
      </c>
      <c r="O1094">
        <f>IF(M1094="","",IF(ISNUMBER(C1094),C1094,IFERROR(_xlfn.NUMBERVALUE(C1094,".",","),0)))</f>
        <v/>
      </c>
    </row>
    <row r="1095">
      <c r="K1095">
        <f>IF(OR(LEFT(B1095,9)="DOANH THU",LEFT(B1095,8)="SỐ LƯỢNG"),A1095,IF(A1095="","",K1094))</f>
        <v/>
      </c>
      <c r="L1095">
        <f>IF(A1095="","",IF(ISNUMBER(--LEFT(A1095,FIND(" - ",A1095&amp;" - ")-1)),LEFT(A1095,FIND(" - ",A1095&amp;" - ")-1),TRIM(A1095)))</f>
        <v/>
      </c>
      <c r="M1095">
        <f>IF(OR(K1095="",K1095=A1095,A1095=""),"",K1095&amp;"|"&amp;L1095)</f>
        <v/>
      </c>
      <c r="N1095">
        <f>IF(M1095="","",IF(ISNUMBER(B1095),B1095,IFERROR(_xlfn.NUMBERVALUE(B1095,".",","),0)))</f>
        <v/>
      </c>
      <c r="O1095">
        <f>IF(M1095="","",IF(ISNUMBER(C1095),C1095,IFERROR(_xlfn.NUMBERVALUE(C1095,".",","),0)))</f>
        <v/>
      </c>
    </row>
    <row r="1096">
      <c r="K1096">
        <f>IF(OR(LEFT(B1096,9)="DOANH THU",LEFT(B1096,8)="SỐ LƯỢNG"),A1096,IF(A1096="","",K1095))</f>
        <v/>
      </c>
      <c r="L1096">
        <f>IF(A1096="","",IF(ISNUMBER(--LEFT(A1096,FIND(" - ",A1096&amp;" - ")-1)),LEFT(A1096,FIND(" - ",A1096&amp;" - ")-1),TRIM(A1096)))</f>
        <v/>
      </c>
      <c r="M1096">
        <f>IF(OR(K1096="",K1096=A1096,A1096=""),"",K1096&amp;"|"&amp;L1096)</f>
        <v/>
      </c>
      <c r="N1096">
        <f>IF(M1096="","",IF(ISNUMBER(B1096),B1096,IFERROR(_xlfn.NUMBERVALUE(B1096,".",","),0)))</f>
        <v/>
      </c>
      <c r="O1096">
        <f>IF(M1096="","",IF(ISNUMBER(C1096),C1096,IFERROR(_xlfn.NUMBERVALUE(C1096,".",","),0)))</f>
        <v/>
      </c>
    </row>
    <row r="1097">
      <c r="K1097">
        <f>IF(OR(LEFT(B1097,9)="DOANH THU",LEFT(B1097,8)="SỐ LƯỢNG"),A1097,IF(A1097="","",K1096))</f>
        <v/>
      </c>
      <c r="L1097">
        <f>IF(A1097="","",IF(ISNUMBER(--LEFT(A1097,FIND(" - ",A1097&amp;" - ")-1)),LEFT(A1097,FIND(" - ",A1097&amp;" - ")-1),TRIM(A1097)))</f>
        <v/>
      </c>
      <c r="M1097">
        <f>IF(OR(K1097="",K1097=A1097,A1097=""),"",K1097&amp;"|"&amp;L1097)</f>
        <v/>
      </c>
      <c r="N1097">
        <f>IF(M1097="","",IF(ISNUMBER(B1097),B1097,IFERROR(_xlfn.NUMBERVALUE(B1097,".",","),0)))</f>
        <v/>
      </c>
      <c r="O1097">
        <f>IF(M1097="","",IF(ISNUMBER(C1097),C1097,IFERROR(_xlfn.NUMBERVALUE(C1097,".",","),0)))</f>
        <v/>
      </c>
    </row>
    <row r="1098">
      <c r="K1098">
        <f>IF(OR(LEFT(B1098,9)="DOANH THU",LEFT(B1098,8)="SỐ LƯỢNG"),A1098,IF(A1098="","",K1097))</f>
        <v/>
      </c>
      <c r="L1098">
        <f>IF(A1098="","",IF(ISNUMBER(--LEFT(A1098,FIND(" - ",A1098&amp;" - ")-1)),LEFT(A1098,FIND(" - ",A1098&amp;" - ")-1),TRIM(A1098)))</f>
        <v/>
      </c>
      <c r="M1098">
        <f>IF(OR(K1098="",K1098=A1098,A1098=""),"",K1098&amp;"|"&amp;L1098)</f>
        <v/>
      </c>
      <c r="N1098">
        <f>IF(M1098="","",IF(ISNUMBER(B1098),B1098,IFERROR(_xlfn.NUMBERVALUE(B1098,".",","),0)))</f>
        <v/>
      </c>
      <c r="O1098">
        <f>IF(M1098="","",IF(ISNUMBER(C1098),C1098,IFERROR(_xlfn.NUMBERVALUE(C1098,".",","),0)))</f>
        <v/>
      </c>
    </row>
    <row r="1099">
      <c r="K1099">
        <f>IF(OR(LEFT(B1099,9)="DOANH THU",LEFT(B1099,8)="SỐ LƯỢNG"),A1099,IF(A1099="","",K1098))</f>
        <v/>
      </c>
      <c r="L1099">
        <f>IF(A1099="","",IF(ISNUMBER(--LEFT(A1099,FIND(" - ",A1099&amp;" - ")-1)),LEFT(A1099,FIND(" - ",A1099&amp;" - ")-1),TRIM(A1099)))</f>
        <v/>
      </c>
      <c r="M1099">
        <f>IF(OR(K1099="",K1099=A1099,A1099=""),"",K1099&amp;"|"&amp;L1099)</f>
        <v/>
      </c>
      <c r="N1099">
        <f>IF(M1099="","",IF(ISNUMBER(B1099),B1099,IFERROR(_xlfn.NUMBERVALUE(B1099,".",","),0)))</f>
        <v/>
      </c>
      <c r="O1099">
        <f>IF(M1099="","",IF(ISNUMBER(C1099),C1099,IFERROR(_xlfn.NUMBERVALUE(C1099,".",","),0)))</f>
        <v/>
      </c>
    </row>
    <row r="1100">
      <c r="K1100">
        <f>IF(OR(LEFT(B1100,9)="DOANH THU",LEFT(B1100,8)="SỐ LƯỢNG"),A1100,IF(A1100="","",K1099))</f>
        <v/>
      </c>
      <c r="L1100">
        <f>IF(A1100="","",IF(ISNUMBER(--LEFT(A1100,FIND(" - ",A1100&amp;" - ")-1)),LEFT(A1100,FIND(" - ",A1100&amp;" - ")-1),TRIM(A1100)))</f>
        <v/>
      </c>
      <c r="M1100">
        <f>IF(OR(K1100="",K1100=A1100,A1100=""),"",K1100&amp;"|"&amp;L1100)</f>
        <v/>
      </c>
      <c r="N1100">
        <f>IF(M1100="","",IF(ISNUMBER(B1100),B1100,IFERROR(_xlfn.NUMBERVALUE(B1100,".",","),0)))</f>
        <v/>
      </c>
      <c r="O1100">
        <f>IF(M1100="","",IF(ISNUMBER(C1100),C1100,IFERROR(_xlfn.NUMBERVALUE(C1100,".",","),0)))</f>
        <v/>
      </c>
    </row>
    <row r="1101">
      <c r="K1101">
        <f>IF(OR(LEFT(B1101,9)="DOANH THU",LEFT(B1101,8)="SỐ LƯỢNG"),A1101,IF(A1101="","",K1100))</f>
        <v/>
      </c>
      <c r="L1101">
        <f>IF(A1101="","",IF(ISNUMBER(--LEFT(A1101,FIND(" - ",A1101&amp;" - ")-1)),LEFT(A1101,FIND(" - ",A1101&amp;" - ")-1),TRIM(A1101)))</f>
        <v/>
      </c>
      <c r="M1101">
        <f>IF(OR(K1101="",K1101=A1101,A1101=""),"",K1101&amp;"|"&amp;L1101)</f>
        <v/>
      </c>
      <c r="N1101">
        <f>IF(M1101="","",IF(ISNUMBER(B1101),B1101,IFERROR(_xlfn.NUMBERVALUE(B1101,".",","),0)))</f>
        <v/>
      </c>
      <c r="O1101">
        <f>IF(M1101="","",IF(ISNUMBER(C1101),C1101,IFERROR(_xlfn.NUMBERVALUE(C1101,".",","),0)))</f>
        <v/>
      </c>
    </row>
    <row r="1102">
      <c r="K1102">
        <f>IF(OR(LEFT(B1102,9)="DOANH THU",LEFT(B1102,8)="SỐ LƯỢNG"),A1102,IF(A1102="","",K1101))</f>
        <v/>
      </c>
      <c r="L1102">
        <f>IF(A1102="","",IF(ISNUMBER(--LEFT(A1102,FIND(" - ",A1102&amp;" - ")-1)),LEFT(A1102,FIND(" - ",A1102&amp;" - ")-1),TRIM(A1102)))</f>
        <v/>
      </c>
      <c r="M1102">
        <f>IF(OR(K1102="",K1102=A1102,A1102=""),"",K1102&amp;"|"&amp;L1102)</f>
        <v/>
      </c>
      <c r="N1102">
        <f>IF(M1102="","",IF(ISNUMBER(B1102),B1102,IFERROR(_xlfn.NUMBERVALUE(B1102,".",","),0)))</f>
        <v/>
      </c>
      <c r="O1102">
        <f>IF(M1102="","",IF(ISNUMBER(C1102),C1102,IFERROR(_xlfn.NUMBERVALUE(C1102,".",","),0)))</f>
        <v/>
      </c>
    </row>
    <row r="1103">
      <c r="K1103">
        <f>IF(OR(LEFT(B1103,9)="DOANH THU",LEFT(B1103,8)="SỐ LƯỢNG"),A1103,IF(A1103="","",K1102))</f>
        <v/>
      </c>
      <c r="L1103">
        <f>IF(A1103="","",IF(ISNUMBER(--LEFT(A1103,FIND(" - ",A1103&amp;" - ")-1)),LEFT(A1103,FIND(" - ",A1103&amp;" - ")-1),TRIM(A1103)))</f>
        <v/>
      </c>
      <c r="M1103">
        <f>IF(OR(K1103="",K1103=A1103,A1103=""),"",K1103&amp;"|"&amp;L1103)</f>
        <v/>
      </c>
      <c r="N1103">
        <f>IF(M1103="","",IF(ISNUMBER(B1103),B1103,IFERROR(_xlfn.NUMBERVALUE(B1103,".",","),0)))</f>
        <v/>
      </c>
      <c r="O1103">
        <f>IF(M1103="","",IF(ISNUMBER(C1103),C1103,IFERROR(_xlfn.NUMBERVALUE(C1103,".",","),0)))</f>
        <v/>
      </c>
    </row>
    <row r="1104">
      <c r="K1104">
        <f>IF(OR(LEFT(B1104,9)="DOANH THU",LEFT(B1104,8)="SỐ LƯỢNG"),A1104,IF(A1104="","",K1103))</f>
        <v/>
      </c>
      <c r="L1104">
        <f>IF(A1104="","",IF(ISNUMBER(--LEFT(A1104,FIND(" - ",A1104&amp;" - ")-1)),LEFT(A1104,FIND(" - ",A1104&amp;" - ")-1),TRIM(A1104)))</f>
        <v/>
      </c>
      <c r="M1104">
        <f>IF(OR(K1104="",K1104=A1104,A1104=""),"",K1104&amp;"|"&amp;L1104)</f>
        <v/>
      </c>
      <c r="N1104">
        <f>IF(M1104="","",IF(ISNUMBER(B1104),B1104,IFERROR(_xlfn.NUMBERVALUE(B1104,".",","),0)))</f>
        <v/>
      </c>
      <c r="O1104">
        <f>IF(M1104="","",IF(ISNUMBER(C1104),C1104,IFERROR(_xlfn.NUMBERVALUE(C1104,".",","),0)))</f>
        <v/>
      </c>
    </row>
    <row r="1105">
      <c r="K1105">
        <f>IF(OR(LEFT(B1105,9)="DOANH THU",LEFT(B1105,8)="SỐ LƯỢNG"),A1105,IF(A1105="","",K1104))</f>
        <v/>
      </c>
      <c r="L1105">
        <f>IF(A1105="","",IF(ISNUMBER(--LEFT(A1105,FIND(" - ",A1105&amp;" - ")-1)),LEFT(A1105,FIND(" - ",A1105&amp;" - ")-1),TRIM(A1105)))</f>
        <v/>
      </c>
      <c r="M1105">
        <f>IF(OR(K1105="",K1105=A1105,A1105=""),"",K1105&amp;"|"&amp;L1105)</f>
        <v/>
      </c>
      <c r="N1105">
        <f>IF(M1105="","",IF(ISNUMBER(B1105),B1105,IFERROR(_xlfn.NUMBERVALUE(B1105,".",","),0)))</f>
        <v/>
      </c>
      <c r="O1105">
        <f>IF(M1105="","",IF(ISNUMBER(C1105),C1105,IFERROR(_xlfn.NUMBERVALUE(C1105,".",","),0)))</f>
        <v/>
      </c>
    </row>
    <row r="1106">
      <c r="K1106">
        <f>IF(OR(LEFT(B1106,9)="DOANH THU",LEFT(B1106,8)="SỐ LƯỢNG"),A1106,IF(A1106="","",K1105))</f>
        <v/>
      </c>
      <c r="L1106">
        <f>IF(A1106="","",IF(ISNUMBER(--LEFT(A1106,FIND(" - ",A1106&amp;" - ")-1)),LEFT(A1106,FIND(" - ",A1106&amp;" - ")-1),TRIM(A1106)))</f>
        <v/>
      </c>
      <c r="M1106">
        <f>IF(OR(K1106="",K1106=A1106,A1106=""),"",K1106&amp;"|"&amp;L1106)</f>
        <v/>
      </c>
      <c r="N1106">
        <f>IF(M1106="","",IF(ISNUMBER(B1106),B1106,IFERROR(_xlfn.NUMBERVALUE(B1106,".",","),0)))</f>
        <v/>
      </c>
      <c r="O1106">
        <f>IF(M1106="","",IF(ISNUMBER(C1106),C1106,IFERROR(_xlfn.NUMBERVALUE(C1106,".",","),0)))</f>
        <v/>
      </c>
    </row>
    <row r="1107">
      <c r="K1107">
        <f>IF(OR(LEFT(B1107,9)="DOANH THU",LEFT(B1107,8)="SỐ LƯỢNG"),A1107,IF(A1107="","",K1106))</f>
        <v/>
      </c>
      <c r="L1107">
        <f>IF(A1107="","",IF(ISNUMBER(--LEFT(A1107,FIND(" - ",A1107&amp;" - ")-1)),LEFT(A1107,FIND(" - ",A1107&amp;" - ")-1),TRIM(A1107)))</f>
        <v/>
      </c>
      <c r="M1107">
        <f>IF(OR(K1107="",K1107=A1107,A1107=""),"",K1107&amp;"|"&amp;L1107)</f>
        <v/>
      </c>
      <c r="N1107">
        <f>IF(M1107="","",IF(ISNUMBER(B1107),B1107,IFERROR(_xlfn.NUMBERVALUE(B1107,".",","),0)))</f>
        <v/>
      </c>
      <c r="O1107">
        <f>IF(M1107="","",IF(ISNUMBER(C1107),C1107,IFERROR(_xlfn.NUMBERVALUE(C1107,".",","),0)))</f>
        <v/>
      </c>
    </row>
    <row r="1108">
      <c r="K1108">
        <f>IF(OR(LEFT(B1108,9)="DOANH THU",LEFT(B1108,8)="SỐ LƯỢNG"),A1108,IF(A1108="","",K1107))</f>
        <v/>
      </c>
      <c r="L1108">
        <f>IF(A1108="","",IF(ISNUMBER(--LEFT(A1108,FIND(" - ",A1108&amp;" - ")-1)),LEFT(A1108,FIND(" - ",A1108&amp;" - ")-1),TRIM(A1108)))</f>
        <v/>
      </c>
      <c r="M1108">
        <f>IF(OR(K1108="",K1108=A1108,A1108=""),"",K1108&amp;"|"&amp;L1108)</f>
        <v/>
      </c>
      <c r="N1108">
        <f>IF(M1108="","",IF(ISNUMBER(B1108),B1108,IFERROR(_xlfn.NUMBERVALUE(B1108,".",","),0)))</f>
        <v/>
      </c>
      <c r="O1108">
        <f>IF(M1108="","",IF(ISNUMBER(C1108),C1108,IFERROR(_xlfn.NUMBERVALUE(C1108,".",","),0)))</f>
        <v/>
      </c>
    </row>
    <row r="1109">
      <c r="K1109">
        <f>IF(OR(LEFT(B1109,9)="DOANH THU",LEFT(B1109,8)="SỐ LƯỢNG"),A1109,IF(A1109="","",K1108))</f>
        <v/>
      </c>
      <c r="L1109">
        <f>IF(A1109="","",IF(ISNUMBER(--LEFT(A1109,FIND(" - ",A1109&amp;" - ")-1)),LEFT(A1109,FIND(" - ",A1109&amp;" - ")-1),TRIM(A1109)))</f>
        <v/>
      </c>
      <c r="M1109">
        <f>IF(OR(K1109="",K1109=A1109,A1109=""),"",K1109&amp;"|"&amp;L1109)</f>
        <v/>
      </c>
      <c r="N1109">
        <f>IF(M1109="","",IF(ISNUMBER(B1109),B1109,IFERROR(_xlfn.NUMBERVALUE(B1109,".",","),0)))</f>
        <v/>
      </c>
      <c r="O1109">
        <f>IF(M1109="","",IF(ISNUMBER(C1109),C1109,IFERROR(_xlfn.NUMBERVALUE(C1109,".",","),0)))</f>
        <v/>
      </c>
    </row>
    <row r="1110">
      <c r="K1110">
        <f>IF(OR(LEFT(B1110,9)="DOANH THU",LEFT(B1110,8)="SỐ LƯỢNG"),A1110,IF(A1110="","",K1109))</f>
        <v/>
      </c>
      <c r="L1110">
        <f>IF(A1110="","",IF(ISNUMBER(--LEFT(A1110,FIND(" - ",A1110&amp;" - ")-1)),LEFT(A1110,FIND(" - ",A1110&amp;" - ")-1),TRIM(A1110)))</f>
        <v/>
      </c>
      <c r="M1110">
        <f>IF(OR(K1110="",K1110=A1110,A1110=""),"",K1110&amp;"|"&amp;L1110)</f>
        <v/>
      </c>
      <c r="N1110">
        <f>IF(M1110="","",IF(ISNUMBER(B1110),B1110,IFERROR(_xlfn.NUMBERVALUE(B1110,".",","),0)))</f>
        <v/>
      </c>
      <c r="O1110">
        <f>IF(M1110="","",IF(ISNUMBER(C1110),C1110,IFERROR(_xlfn.NUMBERVALUE(C1110,".",","),0)))</f>
        <v/>
      </c>
    </row>
    <row r="1111">
      <c r="K1111">
        <f>IF(OR(LEFT(B1111,9)="DOANH THU",LEFT(B1111,8)="SỐ LƯỢNG"),A1111,IF(A1111="","",K1110))</f>
        <v/>
      </c>
      <c r="L1111">
        <f>IF(A1111="","",IF(ISNUMBER(--LEFT(A1111,FIND(" - ",A1111&amp;" - ")-1)),LEFT(A1111,FIND(" - ",A1111&amp;" - ")-1),TRIM(A1111)))</f>
        <v/>
      </c>
      <c r="M1111">
        <f>IF(OR(K1111="",K1111=A1111,A1111=""),"",K1111&amp;"|"&amp;L1111)</f>
        <v/>
      </c>
      <c r="N1111">
        <f>IF(M1111="","",IF(ISNUMBER(B1111),B1111,IFERROR(_xlfn.NUMBERVALUE(B1111,".",","),0)))</f>
        <v/>
      </c>
      <c r="O1111">
        <f>IF(M1111="","",IF(ISNUMBER(C1111),C1111,IFERROR(_xlfn.NUMBERVALUE(C1111,".",","),0)))</f>
        <v/>
      </c>
    </row>
    <row r="1112">
      <c r="K1112">
        <f>IF(OR(LEFT(B1112,9)="DOANH THU",LEFT(B1112,8)="SỐ LƯỢNG"),A1112,IF(A1112="","",K1111))</f>
        <v/>
      </c>
      <c r="L1112">
        <f>IF(A1112="","",IF(ISNUMBER(--LEFT(A1112,FIND(" - ",A1112&amp;" - ")-1)),LEFT(A1112,FIND(" - ",A1112&amp;" - ")-1),TRIM(A1112)))</f>
        <v/>
      </c>
      <c r="M1112">
        <f>IF(OR(K1112="",K1112=A1112,A1112=""),"",K1112&amp;"|"&amp;L1112)</f>
        <v/>
      </c>
      <c r="N1112">
        <f>IF(M1112="","",IF(ISNUMBER(B1112),B1112,IFERROR(_xlfn.NUMBERVALUE(B1112,".",","),0)))</f>
        <v/>
      </c>
      <c r="O1112">
        <f>IF(M1112="","",IF(ISNUMBER(C1112),C1112,IFERROR(_xlfn.NUMBERVALUE(C1112,".",","),0)))</f>
        <v/>
      </c>
    </row>
    <row r="1113">
      <c r="K1113">
        <f>IF(OR(LEFT(B1113,9)="DOANH THU",LEFT(B1113,8)="SỐ LƯỢNG"),A1113,IF(A1113="","",K1112))</f>
        <v/>
      </c>
      <c r="L1113">
        <f>IF(A1113="","",IF(ISNUMBER(--LEFT(A1113,FIND(" - ",A1113&amp;" - ")-1)),LEFT(A1113,FIND(" - ",A1113&amp;" - ")-1),TRIM(A1113)))</f>
        <v/>
      </c>
      <c r="M1113">
        <f>IF(OR(K1113="",K1113=A1113,A1113=""),"",K1113&amp;"|"&amp;L1113)</f>
        <v/>
      </c>
      <c r="N1113">
        <f>IF(M1113="","",IF(ISNUMBER(B1113),B1113,IFERROR(_xlfn.NUMBERVALUE(B1113,".",","),0)))</f>
        <v/>
      </c>
      <c r="O1113">
        <f>IF(M1113="","",IF(ISNUMBER(C1113),C1113,IFERROR(_xlfn.NUMBERVALUE(C1113,".",","),0)))</f>
        <v/>
      </c>
    </row>
    <row r="1114">
      <c r="K1114">
        <f>IF(OR(LEFT(B1114,9)="DOANH THU",LEFT(B1114,8)="SỐ LƯỢNG"),A1114,IF(A1114="","",K1113))</f>
        <v/>
      </c>
      <c r="L1114">
        <f>IF(A1114="","",IF(ISNUMBER(--LEFT(A1114,FIND(" - ",A1114&amp;" - ")-1)),LEFT(A1114,FIND(" - ",A1114&amp;" - ")-1),TRIM(A1114)))</f>
        <v/>
      </c>
      <c r="M1114">
        <f>IF(OR(K1114="",K1114=A1114,A1114=""),"",K1114&amp;"|"&amp;L1114)</f>
        <v/>
      </c>
      <c r="N1114">
        <f>IF(M1114="","",IF(ISNUMBER(B1114),B1114,IFERROR(_xlfn.NUMBERVALUE(B1114,".",","),0)))</f>
        <v/>
      </c>
      <c r="O1114">
        <f>IF(M1114="","",IF(ISNUMBER(C1114),C1114,IFERROR(_xlfn.NUMBERVALUE(C1114,".",","),0)))</f>
        <v/>
      </c>
    </row>
    <row r="1115">
      <c r="K1115">
        <f>IF(OR(LEFT(B1115,9)="DOANH THU",LEFT(B1115,8)="SỐ LƯỢNG"),A1115,IF(A1115="","",K1114))</f>
        <v/>
      </c>
      <c r="L1115">
        <f>IF(A1115="","",IF(ISNUMBER(--LEFT(A1115,FIND(" - ",A1115&amp;" - ")-1)),LEFT(A1115,FIND(" - ",A1115&amp;" - ")-1),TRIM(A1115)))</f>
        <v/>
      </c>
      <c r="M1115">
        <f>IF(OR(K1115="",K1115=A1115,A1115=""),"",K1115&amp;"|"&amp;L1115)</f>
        <v/>
      </c>
      <c r="N1115">
        <f>IF(M1115="","",IF(ISNUMBER(B1115),B1115,IFERROR(_xlfn.NUMBERVALUE(B1115,".",","),0)))</f>
        <v/>
      </c>
      <c r="O1115">
        <f>IF(M1115="","",IF(ISNUMBER(C1115),C1115,IFERROR(_xlfn.NUMBERVALUE(C1115,".",","),0)))</f>
        <v/>
      </c>
    </row>
    <row r="1116">
      <c r="K1116">
        <f>IF(OR(LEFT(B1116,9)="DOANH THU",LEFT(B1116,8)="SỐ LƯỢNG"),A1116,IF(A1116="","",K1115))</f>
        <v/>
      </c>
      <c r="L1116">
        <f>IF(A1116="","",IF(ISNUMBER(--LEFT(A1116,FIND(" - ",A1116&amp;" - ")-1)),LEFT(A1116,FIND(" - ",A1116&amp;" - ")-1),TRIM(A1116)))</f>
        <v/>
      </c>
      <c r="M1116">
        <f>IF(OR(K1116="",K1116=A1116,A1116=""),"",K1116&amp;"|"&amp;L1116)</f>
        <v/>
      </c>
      <c r="N1116">
        <f>IF(M1116="","",IF(ISNUMBER(B1116),B1116,IFERROR(_xlfn.NUMBERVALUE(B1116,".",","),0)))</f>
        <v/>
      </c>
      <c r="O1116">
        <f>IF(M1116="","",IF(ISNUMBER(C1116),C1116,IFERROR(_xlfn.NUMBERVALUE(C1116,".",","),0)))</f>
        <v/>
      </c>
    </row>
    <row r="1117">
      <c r="K1117">
        <f>IF(OR(LEFT(B1117,9)="DOANH THU",LEFT(B1117,8)="SỐ LƯỢNG"),A1117,IF(A1117="","",K1116))</f>
        <v/>
      </c>
      <c r="L1117">
        <f>IF(A1117="","",IF(ISNUMBER(--LEFT(A1117,FIND(" - ",A1117&amp;" - ")-1)),LEFT(A1117,FIND(" - ",A1117&amp;" - ")-1),TRIM(A1117)))</f>
        <v/>
      </c>
      <c r="M1117">
        <f>IF(OR(K1117="",K1117=A1117,A1117=""),"",K1117&amp;"|"&amp;L1117)</f>
        <v/>
      </c>
      <c r="N1117">
        <f>IF(M1117="","",IF(ISNUMBER(B1117),B1117,IFERROR(_xlfn.NUMBERVALUE(B1117,".",","),0)))</f>
        <v/>
      </c>
      <c r="O1117">
        <f>IF(M1117="","",IF(ISNUMBER(C1117),C1117,IFERROR(_xlfn.NUMBERVALUE(C1117,".",","),0)))</f>
        <v/>
      </c>
    </row>
    <row r="1118">
      <c r="K1118">
        <f>IF(OR(LEFT(B1118,9)="DOANH THU",LEFT(B1118,8)="SỐ LƯỢNG"),A1118,IF(A1118="","",K1117))</f>
        <v/>
      </c>
      <c r="L1118">
        <f>IF(A1118="","",IF(ISNUMBER(--LEFT(A1118,FIND(" - ",A1118&amp;" - ")-1)),LEFT(A1118,FIND(" - ",A1118&amp;" - ")-1),TRIM(A1118)))</f>
        <v/>
      </c>
      <c r="M1118">
        <f>IF(OR(K1118="",K1118=A1118,A1118=""),"",K1118&amp;"|"&amp;L1118)</f>
        <v/>
      </c>
      <c r="N1118">
        <f>IF(M1118="","",IF(ISNUMBER(B1118),B1118,IFERROR(_xlfn.NUMBERVALUE(B1118,".",","),0)))</f>
        <v/>
      </c>
      <c r="O1118">
        <f>IF(M1118="","",IF(ISNUMBER(C1118),C1118,IFERROR(_xlfn.NUMBERVALUE(C1118,".",","),0)))</f>
        <v/>
      </c>
    </row>
    <row r="1119">
      <c r="K1119">
        <f>IF(OR(LEFT(B1119,9)="DOANH THU",LEFT(B1119,8)="SỐ LƯỢNG"),A1119,IF(A1119="","",K1118))</f>
        <v/>
      </c>
      <c r="L1119">
        <f>IF(A1119="","",IF(ISNUMBER(--LEFT(A1119,FIND(" - ",A1119&amp;" - ")-1)),LEFT(A1119,FIND(" - ",A1119&amp;" - ")-1),TRIM(A1119)))</f>
        <v/>
      </c>
      <c r="M1119">
        <f>IF(OR(K1119="",K1119=A1119,A1119=""),"",K1119&amp;"|"&amp;L1119)</f>
        <v/>
      </c>
      <c r="N1119">
        <f>IF(M1119="","",IF(ISNUMBER(B1119),B1119,IFERROR(_xlfn.NUMBERVALUE(B1119,".",","),0)))</f>
        <v/>
      </c>
      <c r="O1119">
        <f>IF(M1119="","",IF(ISNUMBER(C1119),C1119,IFERROR(_xlfn.NUMBERVALUE(C1119,".",","),0)))</f>
        <v/>
      </c>
    </row>
    <row r="1120">
      <c r="K1120">
        <f>IF(OR(LEFT(B1120,9)="DOANH THU",LEFT(B1120,8)="SỐ LƯỢNG"),A1120,IF(A1120="","",K1119))</f>
        <v/>
      </c>
      <c r="L1120">
        <f>IF(A1120="","",IF(ISNUMBER(--LEFT(A1120,FIND(" - ",A1120&amp;" - ")-1)),LEFT(A1120,FIND(" - ",A1120&amp;" - ")-1),TRIM(A1120)))</f>
        <v/>
      </c>
      <c r="M1120">
        <f>IF(OR(K1120="",K1120=A1120,A1120=""),"",K1120&amp;"|"&amp;L1120)</f>
        <v/>
      </c>
      <c r="N1120">
        <f>IF(M1120="","",IF(ISNUMBER(B1120),B1120,IFERROR(_xlfn.NUMBERVALUE(B1120,".",","),0)))</f>
        <v/>
      </c>
      <c r="O1120">
        <f>IF(M1120="","",IF(ISNUMBER(C1120),C1120,IFERROR(_xlfn.NUMBERVALUE(C1120,".",","),0)))</f>
        <v/>
      </c>
    </row>
    <row r="1121">
      <c r="K1121">
        <f>IF(OR(LEFT(B1121,9)="DOANH THU",LEFT(B1121,8)="SỐ LƯỢNG"),A1121,IF(A1121="","",K1120))</f>
        <v/>
      </c>
      <c r="L1121">
        <f>IF(A1121="","",IF(ISNUMBER(--LEFT(A1121,FIND(" - ",A1121&amp;" - ")-1)),LEFT(A1121,FIND(" - ",A1121&amp;" - ")-1),TRIM(A1121)))</f>
        <v/>
      </c>
      <c r="M1121">
        <f>IF(OR(K1121="",K1121=A1121,A1121=""),"",K1121&amp;"|"&amp;L1121)</f>
        <v/>
      </c>
      <c r="N1121">
        <f>IF(M1121="","",IF(ISNUMBER(B1121),B1121,IFERROR(_xlfn.NUMBERVALUE(B1121,".",","),0)))</f>
        <v/>
      </c>
      <c r="O1121">
        <f>IF(M1121="","",IF(ISNUMBER(C1121),C1121,IFERROR(_xlfn.NUMBERVALUE(C1121,".",","),0)))</f>
        <v/>
      </c>
    </row>
    <row r="1122">
      <c r="K1122">
        <f>IF(OR(LEFT(B1122,9)="DOANH THU",LEFT(B1122,8)="SỐ LƯỢNG"),A1122,IF(A1122="","",K1121))</f>
        <v/>
      </c>
      <c r="L1122">
        <f>IF(A1122="","",IF(ISNUMBER(--LEFT(A1122,FIND(" - ",A1122&amp;" - ")-1)),LEFT(A1122,FIND(" - ",A1122&amp;" - ")-1),TRIM(A1122)))</f>
        <v/>
      </c>
      <c r="M1122">
        <f>IF(OR(K1122="",K1122=A1122,A1122=""),"",K1122&amp;"|"&amp;L1122)</f>
        <v/>
      </c>
      <c r="N1122">
        <f>IF(M1122="","",IF(ISNUMBER(B1122),B1122,IFERROR(_xlfn.NUMBERVALUE(B1122,".",","),0)))</f>
        <v/>
      </c>
      <c r="O1122">
        <f>IF(M1122="","",IF(ISNUMBER(C1122),C1122,IFERROR(_xlfn.NUMBERVALUE(C1122,".",","),0)))</f>
        <v/>
      </c>
    </row>
    <row r="1123">
      <c r="K1123">
        <f>IF(OR(LEFT(B1123,9)="DOANH THU",LEFT(B1123,8)="SỐ LƯỢNG"),A1123,IF(A1123="","",K1122))</f>
        <v/>
      </c>
      <c r="L1123">
        <f>IF(A1123="","",IF(ISNUMBER(--LEFT(A1123,FIND(" - ",A1123&amp;" - ")-1)),LEFT(A1123,FIND(" - ",A1123&amp;" - ")-1),TRIM(A1123)))</f>
        <v/>
      </c>
      <c r="M1123">
        <f>IF(OR(K1123="",K1123=A1123,A1123=""),"",K1123&amp;"|"&amp;L1123)</f>
        <v/>
      </c>
      <c r="N1123">
        <f>IF(M1123="","",IF(ISNUMBER(B1123),B1123,IFERROR(_xlfn.NUMBERVALUE(B1123,".",","),0)))</f>
        <v/>
      </c>
      <c r="O1123">
        <f>IF(M1123="","",IF(ISNUMBER(C1123),C1123,IFERROR(_xlfn.NUMBERVALUE(C1123,".",","),0)))</f>
        <v/>
      </c>
    </row>
    <row r="1124">
      <c r="K1124">
        <f>IF(OR(LEFT(B1124,9)="DOANH THU",LEFT(B1124,8)="SỐ LƯỢNG"),A1124,IF(A1124="","",K1123))</f>
        <v/>
      </c>
      <c r="L1124">
        <f>IF(A1124="","",IF(ISNUMBER(--LEFT(A1124,FIND(" - ",A1124&amp;" - ")-1)),LEFT(A1124,FIND(" - ",A1124&amp;" - ")-1),TRIM(A1124)))</f>
        <v/>
      </c>
      <c r="M1124">
        <f>IF(OR(K1124="",K1124=A1124,A1124=""),"",K1124&amp;"|"&amp;L1124)</f>
        <v/>
      </c>
      <c r="N1124">
        <f>IF(M1124="","",IF(ISNUMBER(B1124),B1124,IFERROR(_xlfn.NUMBERVALUE(B1124,".",","),0)))</f>
        <v/>
      </c>
      <c r="O1124">
        <f>IF(M1124="","",IF(ISNUMBER(C1124),C1124,IFERROR(_xlfn.NUMBERVALUE(C1124,".",","),0)))</f>
        <v/>
      </c>
    </row>
    <row r="1125">
      <c r="K1125">
        <f>IF(OR(LEFT(B1125,9)="DOANH THU",LEFT(B1125,8)="SỐ LƯỢNG"),A1125,IF(A1125="","",K1124))</f>
        <v/>
      </c>
      <c r="L1125">
        <f>IF(A1125="","",IF(ISNUMBER(--LEFT(A1125,FIND(" - ",A1125&amp;" - ")-1)),LEFT(A1125,FIND(" - ",A1125&amp;" - ")-1),TRIM(A1125)))</f>
        <v/>
      </c>
      <c r="M1125">
        <f>IF(OR(K1125="",K1125=A1125,A1125=""),"",K1125&amp;"|"&amp;L1125)</f>
        <v/>
      </c>
      <c r="N1125">
        <f>IF(M1125="","",IF(ISNUMBER(B1125),B1125,IFERROR(_xlfn.NUMBERVALUE(B1125,".",","),0)))</f>
        <v/>
      </c>
      <c r="O1125">
        <f>IF(M1125="","",IF(ISNUMBER(C1125),C1125,IFERROR(_xlfn.NUMBERVALUE(C1125,".",","),0)))</f>
        <v/>
      </c>
    </row>
    <row r="1126">
      <c r="K1126">
        <f>IF(OR(LEFT(B1126,9)="DOANH THU",LEFT(B1126,8)="SỐ LƯỢNG"),A1126,IF(A1126="","",K1125))</f>
        <v/>
      </c>
      <c r="L1126">
        <f>IF(A1126="","",IF(ISNUMBER(--LEFT(A1126,FIND(" - ",A1126&amp;" - ")-1)),LEFT(A1126,FIND(" - ",A1126&amp;" - ")-1),TRIM(A1126)))</f>
        <v/>
      </c>
      <c r="M1126">
        <f>IF(OR(K1126="",K1126=A1126,A1126=""),"",K1126&amp;"|"&amp;L1126)</f>
        <v/>
      </c>
      <c r="N1126">
        <f>IF(M1126="","",IF(ISNUMBER(B1126),B1126,IFERROR(_xlfn.NUMBERVALUE(B1126,".",","),0)))</f>
        <v/>
      </c>
      <c r="O1126">
        <f>IF(M1126="","",IF(ISNUMBER(C1126),C1126,IFERROR(_xlfn.NUMBERVALUE(C1126,".",","),0)))</f>
        <v/>
      </c>
    </row>
    <row r="1127">
      <c r="K1127">
        <f>IF(OR(LEFT(B1127,9)="DOANH THU",LEFT(B1127,8)="SỐ LƯỢNG"),A1127,IF(A1127="","",K1126))</f>
        <v/>
      </c>
      <c r="L1127">
        <f>IF(A1127="","",IF(ISNUMBER(--LEFT(A1127,FIND(" - ",A1127&amp;" - ")-1)),LEFT(A1127,FIND(" - ",A1127&amp;" - ")-1),TRIM(A1127)))</f>
        <v/>
      </c>
      <c r="M1127">
        <f>IF(OR(K1127="",K1127=A1127,A1127=""),"",K1127&amp;"|"&amp;L1127)</f>
        <v/>
      </c>
      <c r="N1127">
        <f>IF(M1127="","",IF(ISNUMBER(B1127),B1127,IFERROR(_xlfn.NUMBERVALUE(B1127,".",","),0)))</f>
        <v/>
      </c>
      <c r="O1127">
        <f>IF(M1127="","",IF(ISNUMBER(C1127),C1127,IFERROR(_xlfn.NUMBERVALUE(C1127,".",","),0)))</f>
        <v/>
      </c>
    </row>
    <row r="1128">
      <c r="K1128">
        <f>IF(OR(LEFT(B1128,9)="DOANH THU",LEFT(B1128,8)="SỐ LƯỢNG"),A1128,IF(A1128="","",K1127))</f>
        <v/>
      </c>
      <c r="L1128">
        <f>IF(A1128="","",IF(ISNUMBER(--LEFT(A1128,FIND(" - ",A1128&amp;" - ")-1)),LEFT(A1128,FIND(" - ",A1128&amp;" - ")-1),TRIM(A1128)))</f>
        <v/>
      </c>
      <c r="M1128">
        <f>IF(OR(K1128="",K1128=A1128,A1128=""),"",K1128&amp;"|"&amp;L1128)</f>
        <v/>
      </c>
      <c r="N1128">
        <f>IF(M1128="","",IF(ISNUMBER(B1128),B1128,IFERROR(_xlfn.NUMBERVALUE(B1128,".",","),0)))</f>
        <v/>
      </c>
      <c r="O1128">
        <f>IF(M1128="","",IF(ISNUMBER(C1128),C1128,IFERROR(_xlfn.NUMBERVALUE(C1128,".",","),0)))</f>
        <v/>
      </c>
    </row>
    <row r="1129">
      <c r="K1129">
        <f>IF(OR(LEFT(B1129,9)="DOANH THU",LEFT(B1129,8)="SỐ LƯỢNG"),A1129,IF(A1129="","",K1128))</f>
        <v/>
      </c>
      <c r="L1129">
        <f>IF(A1129="","",IF(ISNUMBER(--LEFT(A1129,FIND(" - ",A1129&amp;" - ")-1)),LEFT(A1129,FIND(" - ",A1129&amp;" - ")-1),TRIM(A1129)))</f>
        <v/>
      </c>
      <c r="M1129">
        <f>IF(OR(K1129="",K1129=A1129,A1129=""),"",K1129&amp;"|"&amp;L1129)</f>
        <v/>
      </c>
      <c r="N1129">
        <f>IF(M1129="","",IF(ISNUMBER(B1129),B1129,IFERROR(_xlfn.NUMBERVALUE(B1129,".",","),0)))</f>
        <v/>
      </c>
      <c r="O1129">
        <f>IF(M1129="","",IF(ISNUMBER(C1129),C1129,IFERROR(_xlfn.NUMBERVALUE(C1129,".",","),0)))</f>
        <v/>
      </c>
    </row>
    <row r="1130">
      <c r="K1130">
        <f>IF(OR(LEFT(B1130,9)="DOANH THU",LEFT(B1130,8)="SỐ LƯỢNG"),A1130,IF(A1130="","",K1129))</f>
        <v/>
      </c>
      <c r="L1130">
        <f>IF(A1130="","",IF(ISNUMBER(--LEFT(A1130,FIND(" - ",A1130&amp;" - ")-1)),LEFT(A1130,FIND(" - ",A1130&amp;" - ")-1),TRIM(A1130)))</f>
        <v/>
      </c>
      <c r="M1130">
        <f>IF(OR(K1130="",K1130=A1130,A1130=""),"",K1130&amp;"|"&amp;L1130)</f>
        <v/>
      </c>
      <c r="N1130">
        <f>IF(M1130="","",IF(ISNUMBER(B1130),B1130,IFERROR(_xlfn.NUMBERVALUE(B1130,".",","),0)))</f>
        <v/>
      </c>
      <c r="O1130">
        <f>IF(M1130="","",IF(ISNUMBER(C1130),C1130,IFERROR(_xlfn.NUMBERVALUE(C1130,".",","),0)))</f>
        <v/>
      </c>
    </row>
    <row r="1131">
      <c r="K1131">
        <f>IF(OR(LEFT(B1131,9)="DOANH THU",LEFT(B1131,8)="SỐ LƯỢNG"),A1131,IF(A1131="","",K1130))</f>
        <v/>
      </c>
      <c r="L1131">
        <f>IF(A1131="","",IF(ISNUMBER(--LEFT(A1131,FIND(" - ",A1131&amp;" - ")-1)),LEFT(A1131,FIND(" - ",A1131&amp;" - ")-1),TRIM(A1131)))</f>
        <v/>
      </c>
      <c r="M1131">
        <f>IF(OR(K1131="",K1131=A1131,A1131=""),"",K1131&amp;"|"&amp;L1131)</f>
        <v/>
      </c>
      <c r="N1131">
        <f>IF(M1131="","",IF(ISNUMBER(B1131),B1131,IFERROR(_xlfn.NUMBERVALUE(B1131,".",","),0)))</f>
        <v/>
      </c>
      <c r="O1131">
        <f>IF(M1131="","",IF(ISNUMBER(C1131),C1131,IFERROR(_xlfn.NUMBERVALUE(C1131,".",","),0)))</f>
        <v/>
      </c>
    </row>
    <row r="1132">
      <c r="K1132">
        <f>IF(OR(LEFT(B1132,9)="DOANH THU",LEFT(B1132,8)="SỐ LƯỢNG"),A1132,IF(A1132="","",K1131))</f>
        <v/>
      </c>
      <c r="L1132">
        <f>IF(A1132="","",IF(ISNUMBER(--LEFT(A1132,FIND(" - ",A1132&amp;" - ")-1)),LEFT(A1132,FIND(" - ",A1132&amp;" - ")-1),TRIM(A1132)))</f>
        <v/>
      </c>
      <c r="M1132">
        <f>IF(OR(K1132="",K1132=A1132,A1132=""),"",K1132&amp;"|"&amp;L1132)</f>
        <v/>
      </c>
      <c r="N1132">
        <f>IF(M1132="","",IF(ISNUMBER(B1132),B1132,IFERROR(_xlfn.NUMBERVALUE(B1132,".",","),0)))</f>
        <v/>
      </c>
      <c r="O1132">
        <f>IF(M1132="","",IF(ISNUMBER(C1132),C1132,IFERROR(_xlfn.NUMBERVALUE(C1132,".",","),0)))</f>
        <v/>
      </c>
    </row>
    <row r="1133">
      <c r="K1133">
        <f>IF(OR(LEFT(B1133,9)="DOANH THU",LEFT(B1133,8)="SỐ LƯỢNG"),A1133,IF(A1133="","",K1132))</f>
        <v/>
      </c>
      <c r="L1133">
        <f>IF(A1133="","",IF(ISNUMBER(--LEFT(A1133,FIND(" - ",A1133&amp;" - ")-1)),LEFT(A1133,FIND(" - ",A1133&amp;" - ")-1),TRIM(A1133)))</f>
        <v/>
      </c>
      <c r="M1133">
        <f>IF(OR(K1133="",K1133=A1133,A1133=""),"",K1133&amp;"|"&amp;L1133)</f>
        <v/>
      </c>
      <c r="N1133">
        <f>IF(M1133="","",IF(ISNUMBER(B1133),B1133,IFERROR(_xlfn.NUMBERVALUE(B1133,".",","),0)))</f>
        <v/>
      </c>
      <c r="O1133">
        <f>IF(M1133="","",IF(ISNUMBER(C1133),C1133,IFERROR(_xlfn.NUMBERVALUE(C1133,".",","),0)))</f>
        <v/>
      </c>
    </row>
    <row r="1134">
      <c r="K1134">
        <f>IF(OR(LEFT(B1134,9)="DOANH THU",LEFT(B1134,8)="SỐ LƯỢNG"),A1134,IF(A1134="","",K1133))</f>
        <v/>
      </c>
      <c r="L1134">
        <f>IF(A1134="","",IF(ISNUMBER(--LEFT(A1134,FIND(" - ",A1134&amp;" - ")-1)),LEFT(A1134,FIND(" - ",A1134&amp;" - ")-1),TRIM(A1134)))</f>
        <v/>
      </c>
      <c r="M1134">
        <f>IF(OR(K1134="",K1134=A1134,A1134=""),"",K1134&amp;"|"&amp;L1134)</f>
        <v/>
      </c>
      <c r="N1134">
        <f>IF(M1134="","",IF(ISNUMBER(B1134),B1134,IFERROR(_xlfn.NUMBERVALUE(B1134,".",","),0)))</f>
        <v/>
      </c>
      <c r="O1134">
        <f>IF(M1134="","",IF(ISNUMBER(C1134),C1134,IFERROR(_xlfn.NUMBERVALUE(C1134,".",","),0)))</f>
        <v/>
      </c>
    </row>
    <row r="1135">
      <c r="K1135">
        <f>IF(OR(LEFT(B1135,9)="DOANH THU",LEFT(B1135,8)="SỐ LƯỢNG"),A1135,IF(A1135="","",K1134))</f>
        <v/>
      </c>
      <c r="L1135">
        <f>IF(A1135="","",IF(ISNUMBER(--LEFT(A1135,FIND(" - ",A1135&amp;" - ")-1)),LEFT(A1135,FIND(" - ",A1135&amp;" - ")-1),TRIM(A1135)))</f>
        <v/>
      </c>
      <c r="M1135">
        <f>IF(OR(K1135="",K1135=A1135,A1135=""),"",K1135&amp;"|"&amp;L1135)</f>
        <v/>
      </c>
      <c r="N1135">
        <f>IF(M1135="","",IF(ISNUMBER(B1135),B1135,IFERROR(_xlfn.NUMBERVALUE(B1135,".",","),0)))</f>
        <v/>
      </c>
      <c r="O1135">
        <f>IF(M1135="","",IF(ISNUMBER(C1135),C1135,IFERROR(_xlfn.NUMBERVALUE(C1135,".",","),0)))</f>
        <v/>
      </c>
    </row>
    <row r="1136">
      <c r="K1136">
        <f>IF(OR(LEFT(B1136,9)="DOANH THU",LEFT(B1136,8)="SỐ LƯỢNG"),A1136,IF(A1136="","",K1135))</f>
        <v/>
      </c>
      <c r="L1136">
        <f>IF(A1136="","",IF(ISNUMBER(--LEFT(A1136,FIND(" - ",A1136&amp;" - ")-1)),LEFT(A1136,FIND(" - ",A1136&amp;" - ")-1),TRIM(A1136)))</f>
        <v/>
      </c>
      <c r="M1136">
        <f>IF(OR(K1136="",K1136=A1136,A1136=""),"",K1136&amp;"|"&amp;L1136)</f>
        <v/>
      </c>
      <c r="N1136">
        <f>IF(M1136="","",IF(ISNUMBER(B1136),B1136,IFERROR(_xlfn.NUMBERVALUE(B1136,".",","),0)))</f>
        <v/>
      </c>
      <c r="O1136">
        <f>IF(M1136="","",IF(ISNUMBER(C1136),C1136,IFERROR(_xlfn.NUMBERVALUE(C1136,".",","),0)))</f>
        <v/>
      </c>
    </row>
    <row r="1137">
      <c r="K1137">
        <f>IF(OR(LEFT(B1137,9)="DOANH THU",LEFT(B1137,8)="SỐ LƯỢNG"),A1137,IF(A1137="","",K1136))</f>
        <v/>
      </c>
      <c r="L1137">
        <f>IF(A1137="","",IF(ISNUMBER(--LEFT(A1137,FIND(" - ",A1137&amp;" - ")-1)),LEFT(A1137,FIND(" - ",A1137&amp;" - ")-1),TRIM(A1137)))</f>
        <v/>
      </c>
      <c r="M1137">
        <f>IF(OR(K1137="",K1137=A1137,A1137=""),"",K1137&amp;"|"&amp;L1137)</f>
        <v/>
      </c>
      <c r="N1137">
        <f>IF(M1137="","",IF(ISNUMBER(B1137),B1137,IFERROR(_xlfn.NUMBERVALUE(B1137,".",","),0)))</f>
        <v/>
      </c>
      <c r="O1137">
        <f>IF(M1137="","",IF(ISNUMBER(C1137),C1137,IFERROR(_xlfn.NUMBERVALUE(C1137,".",","),0)))</f>
        <v/>
      </c>
    </row>
    <row r="1138">
      <c r="K1138">
        <f>IF(OR(LEFT(B1138,9)="DOANH THU",LEFT(B1138,8)="SỐ LƯỢNG"),A1138,IF(A1138="","",K1137))</f>
        <v/>
      </c>
      <c r="L1138">
        <f>IF(A1138="","",IF(ISNUMBER(--LEFT(A1138,FIND(" - ",A1138&amp;" - ")-1)),LEFT(A1138,FIND(" - ",A1138&amp;" - ")-1),TRIM(A1138)))</f>
        <v/>
      </c>
      <c r="M1138">
        <f>IF(OR(K1138="",K1138=A1138,A1138=""),"",K1138&amp;"|"&amp;L1138)</f>
        <v/>
      </c>
      <c r="N1138">
        <f>IF(M1138="","",IF(ISNUMBER(B1138),B1138,IFERROR(_xlfn.NUMBERVALUE(B1138,".",","),0)))</f>
        <v/>
      </c>
      <c r="O1138">
        <f>IF(M1138="","",IF(ISNUMBER(C1138),C1138,IFERROR(_xlfn.NUMBERVALUE(C1138,".",","),0)))</f>
        <v/>
      </c>
    </row>
    <row r="1139">
      <c r="K1139">
        <f>IF(OR(LEFT(B1139,9)="DOANH THU",LEFT(B1139,8)="SỐ LƯỢNG"),A1139,IF(A1139="","",K1138))</f>
        <v/>
      </c>
      <c r="L1139">
        <f>IF(A1139="","",IF(ISNUMBER(--LEFT(A1139,FIND(" - ",A1139&amp;" - ")-1)),LEFT(A1139,FIND(" - ",A1139&amp;" - ")-1),TRIM(A1139)))</f>
        <v/>
      </c>
      <c r="M1139">
        <f>IF(OR(K1139="",K1139=A1139,A1139=""),"",K1139&amp;"|"&amp;L1139)</f>
        <v/>
      </c>
      <c r="N1139">
        <f>IF(M1139="","",IF(ISNUMBER(B1139),B1139,IFERROR(_xlfn.NUMBERVALUE(B1139,".",","),0)))</f>
        <v/>
      </c>
      <c r="O1139">
        <f>IF(M1139="","",IF(ISNUMBER(C1139),C1139,IFERROR(_xlfn.NUMBERVALUE(C1139,".",","),0)))</f>
        <v/>
      </c>
    </row>
    <row r="1140">
      <c r="K1140">
        <f>IF(OR(LEFT(B1140,9)="DOANH THU",LEFT(B1140,8)="SỐ LƯỢNG"),A1140,IF(A1140="","",K1139))</f>
        <v/>
      </c>
      <c r="L1140">
        <f>IF(A1140="","",IF(ISNUMBER(--LEFT(A1140,FIND(" - ",A1140&amp;" - ")-1)),LEFT(A1140,FIND(" - ",A1140&amp;" - ")-1),TRIM(A1140)))</f>
        <v/>
      </c>
      <c r="M1140">
        <f>IF(OR(K1140="",K1140=A1140,A1140=""),"",K1140&amp;"|"&amp;L1140)</f>
        <v/>
      </c>
      <c r="N1140">
        <f>IF(M1140="","",IF(ISNUMBER(B1140),B1140,IFERROR(_xlfn.NUMBERVALUE(B1140,".",","),0)))</f>
        <v/>
      </c>
      <c r="O1140">
        <f>IF(M1140="","",IF(ISNUMBER(C1140),C1140,IFERROR(_xlfn.NUMBERVALUE(C1140,".",","),0)))</f>
        <v/>
      </c>
    </row>
    <row r="1141">
      <c r="K1141">
        <f>IF(OR(LEFT(B1141,9)="DOANH THU",LEFT(B1141,8)="SỐ LƯỢNG"),A1141,IF(A1141="","",K1140))</f>
        <v/>
      </c>
      <c r="L1141">
        <f>IF(A1141="","",IF(ISNUMBER(--LEFT(A1141,FIND(" - ",A1141&amp;" - ")-1)),LEFT(A1141,FIND(" - ",A1141&amp;" - ")-1),TRIM(A1141)))</f>
        <v/>
      </c>
      <c r="M1141">
        <f>IF(OR(K1141="",K1141=A1141,A1141=""),"",K1141&amp;"|"&amp;L1141)</f>
        <v/>
      </c>
      <c r="N1141">
        <f>IF(M1141="","",IF(ISNUMBER(B1141),B1141,IFERROR(_xlfn.NUMBERVALUE(B1141,".",","),0)))</f>
        <v/>
      </c>
      <c r="O1141">
        <f>IF(M1141="","",IF(ISNUMBER(C1141),C1141,IFERROR(_xlfn.NUMBERVALUE(C1141,".",","),0)))</f>
        <v/>
      </c>
    </row>
    <row r="1142">
      <c r="K1142">
        <f>IF(OR(LEFT(B1142,9)="DOANH THU",LEFT(B1142,8)="SỐ LƯỢNG"),A1142,IF(A1142="","",K1141))</f>
        <v/>
      </c>
      <c r="L1142">
        <f>IF(A1142="","",IF(ISNUMBER(--LEFT(A1142,FIND(" - ",A1142&amp;" - ")-1)),LEFT(A1142,FIND(" - ",A1142&amp;" - ")-1),TRIM(A1142)))</f>
        <v/>
      </c>
      <c r="M1142">
        <f>IF(OR(K1142="",K1142=A1142,A1142=""),"",K1142&amp;"|"&amp;L1142)</f>
        <v/>
      </c>
      <c r="N1142">
        <f>IF(M1142="","",IF(ISNUMBER(B1142),B1142,IFERROR(_xlfn.NUMBERVALUE(B1142,".",","),0)))</f>
        <v/>
      </c>
      <c r="O1142">
        <f>IF(M1142="","",IF(ISNUMBER(C1142),C1142,IFERROR(_xlfn.NUMBERVALUE(C1142,".",","),0)))</f>
        <v/>
      </c>
    </row>
    <row r="1143">
      <c r="K1143">
        <f>IF(OR(LEFT(B1143,9)="DOANH THU",LEFT(B1143,8)="SỐ LƯỢNG"),A1143,IF(A1143="","",K1142))</f>
        <v/>
      </c>
      <c r="L1143">
        <f>IF(A1143="","",IF(ISNUMBER(--LEFT(A1143,FIND(" - ",A1143&amp;" - ")-1)),LEFT(A1143,FIND(" - ",A1143&amp;" - ")-1),TRIM(A1143)))</f>
        <v/>
      </c>
      <c r="M1143">
        <f>IF(OR(K1143="",K1143=A1143,A1143=""),"",K1143&amp;"|"&amp;L1143)</f>
        <v/>
      </c>
      <c r="N1143">
        <f>IF(M1143="","",IF(ISNUMBER(B1143),B1143,IFERROR(_xlfn.NUMBERVALUE(B1143,".",","),0)))</f>
        <v/>
      </c>
      <c r="O1143">
        <f>IF(M1143="","",IF(ISNUMBER(C1143),C1143,IFERROR(_xlfn.NUMBERVALUE(C1143,".",","),0)))</f>
        <v/>
      </c>
    </row>
    <row r="1144">
      <c r="K1144">
        <f>IF(OR(LEFT(B1144,9)="DOANH THU",LEFT(B1144,8)="SỐ LƯỢNG"),A1144,IF(A1144="","",K1143))</f>
        <v/>
      </c>
      <c r="L1144">
        <f>IF(A1144="","",IF(ISNUMBER(--LEFT(A1144,FIND(" - ",A1144&amp;" - ")-1)),LEFT(A1144,FIND(" - ",A1144&amp;" - ")-1),TRIM(A1144)))</f>
        <v/>
      </c>
      <c r="M1144">
        <f>IF(OR(K1144="",K1144=A1144,A1144=""),"",K1144&amp;"|"&amp;L1144)</f>
        <v/>
      </c>
      <c r="N1144">
        <f>IF(M1144="","",IF(ISNUMBER(B1144),B1144,IFERROR(_xlfn.NUMBERVALUE(B1144,".",","),0)))</f>
        <v/>
      </c>
      <c r="O1144">
        <f>IF(M1144="","",IF(ISNUMBER(C1144),C1144,IFERROR(_xlfn.NUMBERVALUE(C1144,".",","),0)))</f>
        <v/>
      </c>
    </row>
    <row r="1145">
      <c r="K1145">
        <f>IF(OR(LEFT(B1145,9)="DOANH THU",LEFT(B1145,8)="SỐ LƯỢNG"),A1145,IF(A1145="","",K1144))</f>
        <v/>
      </c>
      <c r="L1145">
        <f>IF(A1145="","",IF(ISNUMBER(--LEFT(A1145,FIND(" - ",A1145&amp;" - ")-1)),LEFT(A1145,FIND(" - ",A1145&amp;" - ")-1),TRIM(A1145)))</f>
        <v/>
      </c>
      <c r="M1145">
        <f>IF(OR(K1145="",K1145=A1145,A1145=""),"",K1145&amp;"|"&amp;L1145)</f>
        <v/>
      </c>
      <c r="N1145">
        <f>IF(M1145="","",IF(ISNUMBER(B1145),B1145,IFERROR(_xlfn.NUMBERVALUE(B1145,".",","),0)))</f>
        <v/>
      </c>
      <c r="O1145">
        <f>IF(M1145="","",IF(ISNUMBER(C1145),C1145,IFERROR(_xlfn.NUMBERVALUE(C1145,".",","),0)))</f>
        <v/>
      </c>
    </row>
    <row r="1146">
      <c r="K1146">
        <f>IF(OR(LEFT(B1146,9)="DOANH THU",LEFT(B1146,8)="SỐ LƯỢNG"),A1146,IF(A1146="","",K1145))</f>
        <v/>
      </c>
      <c r="L1146">
        <f>IF(A1146="","",IF(ISNUMBER(--LEFT(A1146,FIND(" - ",A1146&amp;" - ")-1)),LEFT(A1146,FIND(" - ",A1146&amp;" - ")-1),TRIM(A1146)))</f>
        <v/>
      </c>
      <c r="M1146">
        <f>IF(OR(K1146="",K1146=A1146,A1146=""),"",K1146&amp;"|"&amp;L1146)</f>
        <v/>
      </c>
      <c r="N1146">
        <f>IF(M1146="","",IF(ISNUMBER(B1146),B1146,IFERROR(_xlfn.NUMBERVALUE(B1146,".",","),0)))</f>
        <v/>
      </c>
      <c r="O1146">
        <f>IF(M1146="","",IF(ISNUMBER(C1146),C1146,IFERROR(_xlfn.NUMBERVALUE(C1146,".",","),0)))</f>
        <v/>
      </c>
    </row>
    <row r="1147">
      <c r="K1147">
        <f>IF(OR(LEFT(B1147,9)="DOANH THU",LEFT(B1147,8)="SỐ LƯỢNG"),A1147,IF(A1147="","",K1146))</f>
        <v/>
      </c>
      <c r="L1147">
        <f>IF(A1147="","",IF(ISNUMBER(--LEFT(A1147,FIND(" - ",A1147&amp;" - ")-1)),LEFT(A1147,FIND(" - ",A1147&amp;" - ")-1),TRIM(A1147)))</f>
        <v/>
      </c>
      <c r="M1147">
        <f>IF(OR(K1147="",K1147=A1147,A1147=""),"",K1147&amp;"|"&amp;L1147)</f>
        <v/>
      </c>
      <c r="N1147">
        <f>IF(M1147="","",IF(ISNUMBER(B1147),B1147,IFERROR(_xlfn.NUMBERVALUE(B1147,".",","),0)))</f>
        <v/>
      </c>
      <c r="O1147">
        <f>IF(M1147="","",IF(ISNUMBER(C1147),C1147,IFERROR(_xlfn.NUMBERVALUE(C1147,".",","),0)))</f>
        <v/>
      </c>
    </row>
    <row r="1148">
      <c r="K1148">
        <f>IF(OR(LEFT(B1148,9)="DOANH THU",LEFT(B1148,8)="SỐ LƯỢNG"),A1148,IF(A1148="","",K1147))</f>
        <v/>
      </c>
      <c r="L1148">
        <f>IF(A1148="","",IF(ISNUMBER(--LEFT(A1148,FIND(" - ",A1148&amp;" - ")-1)),LEFT(A1148,FIND(" - ",A1148&amp;" - ")-1),TRIM(A1148)))</f>
        <v/>
      </c>
      <c r="M1148">
        <f>IF(OR(K1148="",K1148=A1148,A1148=""),"",K1148&amp;"|"&amp;L1148)</f>
        <v/>
      </c>
      <c r="N1148">
        <f>IF(M1148="","",IF(ISNUMBER(B1148),B1148,IFERROR(_xlfn.NUMBERVALUE(B1148,".",","),0)))</f>
        <v/>
      </c>
      <c r="O1148">
        <f>IF(M1148="","",IF(ISNUMBER(C1148),C1148,IFERROR(_xlfn.NUMBERVALUE(C1148,".",","),0)))</f>
        <v/>
      </c>
    </row>
    <row r="1149">
      <c r="K1149">
        <f>IF(OR(LEFT(B1149,9)="DOANH THU",LEFT(B1149,8)="SỐ LƯỢNG"),A1149,IF(A1149="","",K1148))</f>
        <v/>
      </c>
      <c r="L1149">
        <f>IF(A1149="","",IF(ISNUMBER(--LEFT(A1149,FIND(" - ",A1149&amp;" - ")-1)),LEFT(A1149,FIND(" - ",A1149&amp;" - ")-1),TRIM(A1149)))</f>
        <v/>
      </c>
      <c r="M1149">
        <f>IF(OR(K1149="",K1149=A1149,A1149=""),"",K1149&amp;"|"&amp;L1149)</f>
        <v/>
      </c>
      <c r="N1149">
        <f>IF(M1149="","",IF(ISNUMBER(B1149),B1149,IFERROR(_xlfn.NUMBERVALUE(B1149,".",","),0)))</f>
        <v/>
      </c>
      <c r="O1149">
        <f>IF(M1149="","",IF(ISNUMBER(C1149),C1149,IFERROR(_xlfn.NUMBERVALUE(C1149,".",","),0)))</f>
        <v/>
      </c>
    </row>
    <row r="1150">
      <c r="K1150">
        <f>IF(OR(LEFT(B1150,9)="DOANH THU",LEFT(B1150,8)="SỐ LƯỢNG"),A1150,IF(A1150="","",K1149))</f>
        <v/>
      </c>
      <c r="L1150">
        <f>IF(A1150="","",IF(ISNUMBER(--LEFT(A1150,FIND(" - ",A1150&amp;" - ")-1)),LEFT(A1150,FIND(" - ",A1150&amp;" - ")-1),TRIM(A1150)))</f>
        <v/>
      </c>
      <c r="M1150">
        <f>IF(OR(K1150="",K1150=A1150,A1150=""),"",K1150&amp;"|"&amp;L1150)</f>
        <v/>
      </c>
      <c r="N1150">
        <f>IF(M1150="","",IF(ISNUMBER(B1150),B1150,IFERROR(_xlfn.NUMBERVALUE(B1150,".",","),0)))</f>
        <v/>
      </c>
      <c r="O1150">
        <f>IF(M1150="","",IF(ISNUMBER(C1150),C1150,IFERROR(_xlfn.NUMBERVALUE(C1150,".",","),0)))</f>
        <v/>
      </c>
    </row>
    <row r="1151">
      <c r="K1151">
        <f>IF(OR(LEFT(B1151,9)="DOANH THU",LEFT(B1151,8)="SỐ LƯỢNG"),A1151,IF(A1151="","",K1150))</f>
        <v/>
      </c>
      <c r="L1151">
        <f>IF(A1151="","",IF(ISNUMBER(--LEFT(A1151,FIND(" - ",A1151&amp;" - ")-1)),LEFT(A1151,FIND(" - ",A1151&amp;" - ")-1),TRIM(A1151)))</f>
        <v/>
      </c>
      <c r="M1151">
        <f>IF(OR(K1151="",K1151=A1151,A1151=""),"",K1151&amp;"|"&amp;L1151)</f>
        <v/>
      </c>
      <c r="N1151">
        <f>IF(M1151="","",IF(ISNUMBER(B1151),B1151,IFERROR(_xlfn.NUMBERVALUE(B1151,".",","),0)))</f>
        <v/>
      </c>
      <c r="O1151">
        <f>IF(M1151="","",IF(ISNUMBER(C1151),C1151,IFERROR(_xlfn.NUMBERVALUE(C1151,".",","),0)))</f>
        <v/>
      </c>
    </row>
    <row r="1152">
      <c r="K1152">
        <f>IF(OR(LEFT(B1152,9)="DOANH THU",LEFT(B1152,8)="SỐ LƯỢNG"),A1152,IF(A1152="","",K1151))</f>
        <v/>
      </c>
      <c r="L1152">
        <f>IF(A1152="","",IF(ISNUMBER(--LEFT(A1152,FIND(" - ",A1152&amp;" - ")-1)),LEFT(A1152,FIND(" - ",A1152&amp;" - ")-1),TRIM(A1152)))</f>
        <v/>
      </c>
      <c r="M1152">
        <f>IF(OR(K1152="",K1152=A1152,A1152=""),"",K1152&amp;"|"&amp;L1152)</f>
        <v/>
      </c>
      <c r="N1152">
        <f>IF(M1152="","",IF(ISNUMBER(B1152),B1152,IFERROR(_xlfn.NUMBERVALUE(B1152,".",","),0)))</f>
        <v/>
      </c>
      <c r="O1152">
        <f>IF(M1152="","",IF(ISNUMBER(C1152),C1152,IFERROR(_xlfn.NUMBERVALUE(C1152,".",","),0)))</f>
        <v/>
      </c>
    </row>
    <row r="1153">
      <c r="K1153">
        <f>IF(OR(LEFT(B1153,9)="DOANH THU",LEFT(B1153,8)="SỐ LƯỢNG"),A1153,IF(A1153="","",K1152))</f>
        <v/>
      </c>
      <c r="L1153">
        <f>IF(A1153="","",IF(ISNUMBER(--LEFT(A1153,FIND(" - ",A1153&amp;" - ")-1)),LEFT(A1153,FIND(" - ",A1153&amp;" - ")-1),TRIM(A1153)))</f>
        <v/>
      </c>
      <c r="M1153">
        <f>IF(OR(K1153="",K1153=A1153,A1153=""),"",K1153&amp;"|"&amp;L1153)</f>
        <v/>
      </c>
      <c r="N1153">
        <f>IF(M1153="","",IF(ISNUMBER(B1153),B1153,IFERROR(_xlfn.NUMBERVALUE(B1153,".",","),0)))</f>
        <v/>
      </c>
      <c r="O1153">
        <f>IF(M1153="","",IF(ISNUMBER(C1153),C1153,IFERROR(_xlfn.NUMBERVALUE(C1153,".",","),0)))</f>
        <v/>
      </c>
    </row>
    <row r="1154">
      <c r="K1154">
        <f>IF(OR(LEFT(B1154,9)="DOANH THU",LEFT(B1154,8)="SỐ LƯỢNG"),A1154,IF(A1154="","",K1153))</f>
        <v/>
      </c>
      <c r="L1154">
        <f>IF(A1154="","",IF(ISNUMBER(--LEFT(A1154,FIND(" - ",A1154&amp;" - ")-1)),LEFT(A1154,FIND(" - ",A1154&amp;" - ")-1),TRIM(A1154)))</f>
        <v/>
      </c>
      <c r="M1154">
        <f>IF(OR(K1154="",K1154=A1154,A1154=""),"",K1154&amp;"|"&amp;L1154)</f>
        <v/>
      </c>
      <c r="N1154">
        <f>IF(M1154="","",IF(ISNUMBER(B1154),B1154,IFERROR(_xlfn.NUMBERVALUE(B1154,".",","),0)))</f>
        <v/>
      </c>
      <c r="O1154">
        <f>IF(M1154="","",IF(ISNUMBER(C1154),C1154,IFERROR(_xlfn.NUMBERVALUE(C1154,".",","),0)))</f>
        <v/>
      </c>
    </row>
    <row r="1155">
      <c r="K1155">
        <f>IF(OR(LEFT(B1155,9)="DOANH THU",LEFT(B1155,8)="SỐ LƯỢNG"),A1155,IF(A1155="","",K1154))</f>
        <v/>
      </c>
      <c r="L1155">
        <f>IF(A1155="","",IF(ISNUMBER(--LEFT(A1155,FIND(" - ",A1155&amp;" - ")-1)),LEFT(A1155,FIND(" - ",A1155&amp;" - ")-1),TRIM(A1155)))</f>
        <v/>
      </c>
      <c r="M1155">
        <f>IF(OR(K1155="",K1155=A1155,A1155=""),"",K1155&amp;"|"&amp;L1155)</f>
        <v/>
      </c>
      <c r="N1155">
        <f>IF(M1155="","",IF(ISNUMBER(B1155),B1155,IFERROR(_xlfn.NUMBERVALUE(B1155,".",","),0)))</f>
        <v/>
      </c>
      <c r="O1155">
        <f>IF(M1155="","",IF(ISNUMBER(C1155),C1155,IFERROR(_xlfn.NUMBERVALUE(C1155,".",","),0)))</f>
        <v/>
      </c>
    </row>
    <row r="1156">
      <c r="K1156">
        <f>IF(OR(LEFT(B1156,9)="DOANH THU",LEFT(B1156,8)="SỐ LƯỢNG"),A1156,IF(A1156="","",K1155))</f>
        <v/>
      </c>
      <c r="L1156">
        <f>IF(A1156="","",IF(ISNUMBER(--LEFT(A1156,FIND(" - ",A1156&amp;" - ")-1)),LEFT(A1156,FIND(" - ",A1156&amp;" - ")-1),TRIM(A1156)))</f>
        <v/>
      </c>
      <c r="M1156">
        <f>IF(OR(K1156="",K1156=A1156,A1156=""),"",K1156&amp;"|"&amp;L1156)</f>
        <v/>
      </c>
      <c r="N1156">
        <f>IF(M1156="","",IF(ISNUMBER(B1156),B1156,IFERROR(_xlfn.NUMBERVALUE(B1156,".",","),0)))</f>
        <v/>
      </c>
      <c r="O1156">
        <f>IF(M1156="","",IF(ISNUMBER(C1156),C1156,IFERROR(_xlfn.NUMBERVALUE(C1156,".",","),0)))</f>
        <v/>
      </c>
    </row>
    <row r="1157">
      <c r="K1157">
        <f>IF(OR(LEFT(B1157,9)="DOANH THU",LEFT(B1157,8)="SỐ LƯỢNG"),A1157,IF(A1157="","",K1156))</f>
        <v/>
      </c>
      <c r="L1157">
        <f>IF(A1157="","",IF(ISNUMBER(--LEFT(A1157,FIND(" - ",A1157&amp;" - ")-1)),LEFT(A1157,FIND(" - ",A1157&amp;" - ")-1),TRIM(A1157)))</f>
        <v/>
      </c>
      <c r="M1157">
        <f>IF(OR(K1157="",K1157=A1157,A1157=""),"",K1157&amp;"|"&amp;L1157)</f>
        <v/>
      </c>
      <c r="N1157">
        <f>IF(M1157="","",IF(ISNUMBER(B1157),B1157,IFERROR(_xlfn.NUMBERVALUE(B1157,".",","),0)))</f>
        <v/>
      </c>
      <c r="O1157">
        <f>IF(M1157="","",IF(ISNUMBER(C1157),C1157,IFERROR(_xlfn.NUMBERVALUE(C1157,".",","),0)))</f>
        <v/>
      </c>
    </row>
    <row r="1158">
      <c r="K1158">
        <f>IF(OR(LEFT(B1158,9)="DOANH THU",LEFT(B1158,8)="SỐ LƯỢNG"),A1158,IF(A1158="","",K1157))</f>
        <v/>
      </c>
      <c r="L1158">
        <f>IF(A1158="","",IF(ISNUMBER(--LEFT(A1158,FIND(" - ",A1158&amp;" - ")-1)),LEFT(A1158,FIND(" - ",A1158&amp;" - ")-1),TRIM(A1158)))</f>
        <v/>
      </c>
      <c r="M1158">
        <f>IF(OR(K1158="",K1158=A1158,A1158=""),"",K1158&amp;"|"&amp;L1158)</f>
        <v/>
      </c>
      <c r="N1158">
        <f>IF(M1158="","",IF(ISNUMBER(B1158),B1158,IFERROR(_xlfn.NUMBERVALUE(B1158,".",","),0)))</f>
        <v/>
      </c>
      <c r="O1158">
        <f>IF(M1158="","",IF(ISNUMBER(C1158),C1158,IFERROR(_xlfn.NUMBERVALUE(C1158,".",","),0)))</f>
        <v/>
      </c>
    </row>
    <row r="1159">
      <c r="K1159">
        <f>IF(OR(LEFT(B1159,9)="DOANH THU",LEFT(B1159,8)="SỐ LƯỢNG"),A1159,IF(A1159="","",K1158))</f>
        <v/>
      </c>
      <c r="L1159">
        <f>IF(A1159="","",IF(ISNUMBER(--LEFT(A1159,FIND(" - ",A1159&amp;" - ")-1)),LEFT(A1159,FIND(" - ",A1159&amp;" - ")-1),TRIM(A1159)))</f>
        <v/>
      </c>
      <c r="M1159">
        <f>IF(OR(K1159="",K1159=A1159,A1159=""),"",K1159&amp;"|"&amp;L1159)</f>
        <v/>
      </c>
      <c r="N1159">
        <f>IF(M1159="","",IF(ISNUMBER(B1159),B1159,IFERROR(_xlfn.NUMBERVALUE(B1159,".",","),0)))</f>
        <v/>
      </c>
      <c r="O1159">
        <f>IF(M1159="","",IF(ISNUMBER(C1159),C1159,IFERROR(_xlfn.NUMBERVALUE(C1159,".",","),0)))</f>
        <v/>
      </c>
    </row>
    <row r="1160">
      <c r="K1160">
        <f>IF(OR(LEFT(B1160,9)="DOANH THU",LEFT(B1160,8)="SỐ LƯỢNG"),A1160,IF(A1160="","",K1159))</f>
        <v/>
      </c>
      <c r="L1160">
        <f>IF(A1160="","",IF(ISNUMBER(--LEFT(A1160,FIND(" - ",A1160&amp;" - ")-1)),LEFT(A1160,FIND(" - ",A1160&amp;" - ")-1),TRIM(A1160)))</f>
        <v/>
      </c>
      <c r="M1160">
        <f>IF(OR(K1160="",K1160=A1160,A1160=""),"",K1160&amp;"|"&amp;L1160)</f>
        <v/>
      </c>
      <c r="N1160">
        <f>IF(M1160="","",IF(ISNUMBER(B1160),B1160,IFERROR(_xlfn.NUMBERVALUE(B1160,".",","),0)))</f>
        <v/>
      </c>
      <c r="O1160">
        <f>IF(M1160="","",IF(ISNUMBER(C1160),C1160,IFERROR(_xlfn.NUMBERVALUE(C1160,".",","),0)))</f>
        <v/>
      </c>
    </row>
    <row r="1161">
      <c r="K1161">
        <f>IF(OR(LEFT(B1161,9)="DOANH THU",LEFT(B1161,8)="SỐ LƯỢNG"),A1161,IF(A1161="","",K1160))</f>
        <v/>
      </c>
      <c r="L1161">
        <f>IF(A1161="","",IF(ISNUMBER(--LEFT(A1161,FIND(" - ",A1161&amp;" - ")-1)),LEFT(A1161,FIND(" - ",A1161&amp;" - ")-1),TRIM(A1161)))</f>
        <v/>
      </c>
      <c r="M1161">
        <f>IF(OR(K1161="",K1161=A1161,A1161=""),"",K1161&amp;"|"&amp;L1161)</f>
        <v/>
      </c>
      <c r="N1161">
        <f>IF(M1161="","",IF(ISNUMBER(B1161),B1161,IFERROR(_xlfn.NUMBERVALUE(B1161,".",","),0)))</f>
        <v/>
      </c>
      <c r="O1161">
        <f>IF(M1161="","",IF(ISNUMBER(C1161),C1161,IFERROR(_xlfn.NUMBERVALUE(C1161,".",","),0)))</f>
        <v/>
      </c>
    </row>
    <row r="1162">
      <c r="K1162">
        <f>IF(OR(LEFT(B1162,9)="DOANH THU",LEFT(B1162,8)="SỐ LƯỢNG"),A1162,IF(A1162="","",K1161))</f>
        <v/>
      </c>
      <c r="L1162">
        <f>IF(A1162="","",IF(ISNUMBER(--LEFT(A1162,FIND(" - ",A1162&amp;" - ")-1)),LEFT(A1162,FIND(" - ",A1162&amp;" - ")-1),TRIM(A1162)))</f>
        <v/>
      </c>
      <c r="M1162">
        <f>IF(OR(K1162="",K1162=A1162,A1162=""),"",K1162&amp;"|"&amp;L1162)</f>
        <v/>
      </c>
      <c r="N1162">
        <f>IF(M1162="","",IF(ISNUMBER(B1162),B1162,IFERROR(_xlfn.NUMBERVALUE(B1162,".",","),0)))</f>
        <v/>
      </c>
      <c r="O1162">
        <f>IF(M1162="","",IF(ISNUMBER(C1162),C1162,IFERROR(_xlfn.NUMBERVALUE(C1162,".",","),0)))</f>
        <v/>
      </c>
    </row>
    <row r="1163">
      <c r="K1163">
        <f>IF(OR(LEFT(B1163,9)="DOANH THU",LEFT(B1163,8)="SỐ LƯỢNG"),A1163,IF(A1163="","",K1162))</f>
        <v/>
      </c>
      <c r="L1163">
        <f>IF(A1163="","",IF(ISNUMBER(--LEFT(A1163,FIND(" - ",A1163&amp;" - ")-1)),LEFT(A1163,FIND(" - ",A1163&amp;" - ")-1),TRIM(A1163)))</f>
        <v/>
      </c>
      <c r="M1163">
        <f>IF(OR(K1163="",K1163=A1163,A1163=""),"",K1163&amp;"|"&amp;L1163)</f>
        <v/>
      </c>
      <c r="N1163">
        <f>IF(M1163="","",IF(ISNUMBER(B1163),B1163,IFERROR(_xlfn.NUMBERVALUE(B1163,".",","),0)))</f>
        <v/>
      </c>
      <c r="O1163">
        <f>IF(M1163="","",IF(ISNUMBER(C1163),C1163,IFERROR(_xlfn.NUMBERVALUE(C1163,".",","),0)))</f>
        <v/>
      </c>
    </row>
    <row r="1164">
      <c r="K1164">
        <f>IF(OR(LEFT(B1164,9)="DOANH THU",LEFT(B1164,8)="SỐ LƯỢNG"),A1164,IF(A1164="","",K1163))</f>
        <v/>
      </c>
      <c r="L1164">
        <f>IF(A1164="","",IF(ISNUMBER(--LEFT(A1164,FIND(" - ",A1164&amp;" - ")-1)),LEFT(A1164,FIND(" - ",A1164&amp;" - ")-1),TRIM(A1164)))</f>
        <v/>
      </c>
      <c r="M1164">
        <f>IF(OR(K1164="",K1164=A1164,A1164=""),"",K1164&amp;"|"&amp;L1164)</f>
        <v/>
      </c>
      <c r="N1164">
        <f>IF(M1164="","",IF(ISNUMBER(B1164),B1164,IFERROR(_xlfn.NUMBERVALUE(B1164,".",","),0)))</f>
        <v/>
      </c>
      <c r="O1164">
        <f>IF(M1164="","",IF(ISNUMBER(C1164),C1164,IFERROR(_xlfn.NUMBERVALUE(C1164,".",","),0)))</f>
        <v/>
      </c>
    </row>
    <row r="1165">
      <c r="K1165">
        <f>IF(OR(LEFT(B1165,9)="DOANH THU",LEFT(B1165,8)="SỐ LƯỢNG"),A1165,IF(A1165="","",K1164))</f>
        <v/>
      </c>
      <c r="L1165">
        <f>IF(A1165="","",IF(ISNUMBER(--LEFT(A1165,FIND(" - ",A1165&amp;" - ")-1)),LEFT(A1165,FIND(" - ",A1165&amp;" - ")-1),TRIM(A1165)))</f>
        <v/>
      </c>
      <c r="M1165">
        <f>IF(OR(K1165="",K1165=A1165,A1165=""),"",K1165&amp;"|"&amp;L1165)</f>
        <v/>
      </c>
      <c r="N1165">
        <f>IF(M1165="","",IF(ISNUMBER(B1165),B1165,IFERROR(_xlfn.NUMBERVALUE(B1165,".",","),0)))</f>
        <v/>
      </c>
      <c r="O1165">
        <f>IF(M1165="","",IF(ISNUMBER(C1165),C1165,IFERROR(_xlfn.NUMBERVALUE(C1165,".",","),0)))</f>
        <v/>
      </c>
    </row>
    <row r="1166">
      <c r="K1166">
        <f>IF(OR(LEFT(B1166,9)="DOANH THU",LEFT(B1166,8)="SỐ LƯỢNG"),A1166,IF(A1166="","",K1165))</f>
        <v/>
      </c>
      <c r="L1166">
        <f>IF(A1166="","",IF(ISNUMBER(--LEFT(A1166,FIND(" - ",A1166&amp;" - ")-1)),LEFT(A1166,FIND(" - ",A1166&amp;" - ")-1),TRIM(A1166)))</f>
        <v/>
      </c>
      <c r="M1166">
        <f>IF(OR(K1166="",K1166=A1166,A1166=""),"",K1166&amp;"|"&amp;L1166)</f>
        <v/>
      </c>
      <c r="N1166">
        <f>IF(M1166="","",IF(ISNUMBER(B1166),B1166,IFERROR(_xlfn.NUMBERVALUE(B1166,".",","),0)))</f>
        <v/>
      </c>
      <c r="O1166">
        <f>IF(M1166="","",IF(ISNUMBER(C1166),C1166,IFERROR(_xlfn.NUMBERVALUE(C1166,".",","),0)))</f>
        <v/>
      </c>
    </row>
    <row r="1167">
      <c r="K1167">
        <f>IF(OR(LEFT(B1167,9)="DOANH THU",LEFT(B1167,8)="SỐ LƯỢNG"),A1167,IF(A1167="","",K1166))</f>
        <v/>
      </c>
      <c r="L1167">
        <f>IF(A1167="","",IF(ISNUMBER(--LEFT(A1167,FIND(" - ",A1167&amp;" - ")-1)),LEFT(A1167,FIND(" - ",A1167&amp;" - ")-1),TRIM(A1167)))</f>
        <v/>
      </c>
      <c r="M1167">
        <f>IF(OR(K1167="",K1167=A1167,A1167=""),"",K1167&amp;"|"&amp;L1167)</f>
        <v/>
      </c>
      <c r="N1167">
        <f>IF(M1167="","",IF(ISNUMBER(B1167),B1167,IFERROR(_xlfn.NUMBERVALUE(B1167,".",","),0)))</f>
        <v/>
      </c>
      <c r="O1167">
        <f>IF(M1167="","",IF(ISNUMBER(C1167),C1167,IFERROR(_xlfn.NUMBERVALUE(C1167,".",","),0)))</f>
        <v/>
      </c>
    </row>
    <row r="1168">
      <c r="K1168">
        <f>IF(OR(LEFT(B1168,9)="DOANH THU",LEFT(B1168,8)="SỐ LƯỢNG"),A1168,IF(A1168="","",K1167))</f>
        <v/>
      </c>
      <c r="L1168">
        <f>IF(A1168="","",IF(ISNUMBER(--LEFT(A1168,FIND(" - ",A1168&amp;" - ")-1)),LEFT(A1168,FIND(" - ",A1168&amp;" - ")-1),TRIM(A1168)))</f>
        <v/>
      </c>
      <c r="M1168">
        <f>IF(OR(K1168="",K1168=A1168,A1168=""),"",K1168&amp;"|"&amp;L1168)</f>
        <v/>
      </c>
      <c r="N1168">
        <f>IF(M1168="","",IF(ISNUMBER(B1168),B1168,IFERROR(_xlfn.NUMBERVALUE(B1168,".",","),0)))</f>
        <v/>
      </c>
      <c r="O1168">
        <f>IF(M1168="","",IF(ISNUMBER(C1168),C1168,IFERROR(_xlfn.NUMBERVALUE(C1168,".",","),0)))</f>
        <v/>
      </c>
    </row>
    <row r="1169">
      <c r="K1169">
        <f>IF(OR(LEFT(B1169,9)="DOANH THU",LEFT(B1169,8)="SỐ LƯỢNG"),A1169,IF(A1169="","",K1168))</f>
        <v/>
      </c>
      <c r="L1169">
        <f>IF(A1169="","",IF(ISNUMBER(--LEFT(A1169,FIND(" - ",A1169&amp;" - ")-1)),LEFT(A1169,FIND(" - ",A1169&amp;" - ")-1),TRIM(A1169)))</f>
        <v/>
      </c>
      <c r="M1169">
        <f>IF(OR(K1169="",K1169=A1169,A1169=""),"",K1169&amp;"|"&amp;L1169)</f>
        <v/>
      </c>
      <c r="N1169">
        <f>IF(M1169="","",IF(ISNUMBER(B1169),B1169,IFERROR(_xlfn.NUMBERVALUE(B1169,".",","),0)))</f>
        <v/>
      </c>
      <c r="O1169">
        <f>IF(M1169="","",IF(ISNUMBER(C1169),C1169,IFERROR(_xlfn.NUMBERVALUE(C1169,".",","),0)))</f>
        <v/>
      </c>
    </row>
    <row r="1170">
      <c r="K1170">
        <f>IF(OR(LEFT(B1170,9)="DOANH THU",LEFT(B1170,8)="SỐ LƯỢNG"),A1170,IF(A1170="","",K1169))</f>
        <v/>
      </c>
      <c r="L1170">
        <f>IF(A1170="","",IF(ISNUMBER(--LEFT(A1170,FIND(" - ",A1170&amp;" - ")-1)),LEFT(A1170,FIND(" - ",A1170&amp;" - ")-1),TRIM(A1170)))</f>
        <v/>
      </c>
      <c r="M1170">
        <f>IF(OR(K1170="",K1170=A1170,A1170=""),"",K1170&amp;"|"&amp;L1170)</f>
        <v/>
      </c>
      <c r="N1170">
        <f>IF(M1170="","",IF(ISNUMBER(B1170),B1170,IFERROR(_xlfn.NUMBERVALUE(B1170,".",","),0)))</f>
        <v/>
      </c>
      <c r="O1170">
        <f>IF(M1170="","",IF(ISNUMBER(C1170),C1170,IFERROR(_xlfn.NUMBERVALUE(C1170,".",","),0)))</f>
        <v/>
      </c>
    </row>
    <row r="1171">
      <c r="K1171">
        <f>IF(OR(LEFT(B1171,9)="DOANH THU",LEFT(B1171,8)="SỐ LƯỢNG"),A1171,IF(A1171="","",K1170))</f>
        <v/>
      </c>
      <c r="L1171">
        <f>IF(A1171="","",IF(ISNUMBER(--LEFT(A1171,FIND(" - ",A1171&amp;" - ")-1)),LEFT(A1171,FIND(" - ",A1171&amp;" - ")-1),TRIM(A1171)))</f>
        <v/>
      </c>
      <c r="M1171">
        <f>IF(OR(K1171="",K1171=A1171,A1171=""),"",K1171&amp;"|"&amp;L1171)</f>
        <v/>
      </c>
      <c r="N1171">
        <f>IF(M1171="","",IF(ISNUMBER(B1171),B1171,IFERROR(_xlfn.NUMBERVALUE(B1171,".",","),0)))</f>
        <v/>
      </c>
      <c r="O1171">
        <f>IF(M1171="","",IF(ISNUMBER(C1171),C1171,IFERROR(_xlfn.NUMBERVALUE(C1171,".",","),0)))</f>
        <v/>
      </c>
    </row>
    <row r="1172">
      <c r="K1172">
        <f>IF(OR(LEFT(B1172,9)="DOANH THU",LEFT(B1172,8)="SỐ LƯỢNG"),A1172,IF(A1172="","",K1171))</f>
        <v/>
      </c>
      <c r="L1172">
        <f>IF(A1172="","",IF(ISNUMBER(--LEFT(A1172,FIND(" - ",A1172&amp;" - ")-1)),LEFT(A1172,FIND(" - ",A1172&amp;" - ")-1),TRIM(A1172)))</f>
        <v/>
      </c>
      <c r="M1172">
        <f>IF(OR(K1172="",K1172=A1172,A1172=""),"",K1172&amp;"|"&amp;L1172)</f>
        <v/>
      </c>
      <c r="N1172">
        <f>IF(M1172="","",IF(ISNUMBER(B1172),B1172,IFERROR(_xlfn.NUMBERVALUE(B1172,".",","),0)))</f>
        <v/>
      </c>
      <c r="O1172">
        <f>IF(M1172="","",IF(ISNUMBER(C1172),C1172,IFERROR(_xlfn.NUMBERVALUE(C1172,".",","),0)))</f>
        <v/>
      </c>
    </row>
    <row r="1173">
      <c r="K1173">
        <f>IF(OR(LEFT(B1173,9)="DOANH THU",LEFT(B1173,8)="SỐ LƯỢNG"),A1173,IF(A1173="","",K1172))</f>
        <v/>
      </c>
      <c r="L1173">
        <f>IF(A1173="","",IF(ISNUMBER(--LEFT(A1173,FIND(" - ",A1173&amp;" - ")-1)),LEFT(A1173,FIND(" - ",A1173&amp;" - ")-1),TRIM(A1173)))</f>
        <v/>
      </c>
      <c r="M1173">
        <f>IF(OR(K1173="",K1173=A1173,A1173=""),"",K1173&amp;"|"&amp;L1173)</f>
        <v/>
      </c>
      <c r="N1173">
        <f>IF(M1173="","",IF(ISNUMBER(B1173),B1173,IFERROR(_xlfn.NUMBERVALUE(B1173,".",","),0)))</f>
        <v/>
      </c>
      <c r="O1173">
        <f>IF(M1173="","",IF(ISNUMBER(C1173),C1173,IFERROR(_xlfn.NUMBERVALUE(C1173,".",","),0)))</f>
        <v/>
      </c>
    </row>
    <row r="1174">
      <c r="K1174">
        <f>IF(OR(LEFT(B1174,9)="DOANH THU",LEFT(B1174,8)="SỐ LƯỢNG"),A1174,IF(A1174="","",K1173))</f>
        <v/>
      </c>
      <c r="L1174">
        <f>IF(A1174="","",IF(ISNUMBER(--LEFT(A1174,FIND(" - ",A1174&amp;" - ")-1)),LEFT(A1174,FIND(" - ",A1174&amp;" - ")-1),TRIM(A1174)))</f>
        <v/>
      </c>
      <c r="M1174">
        <f>IF(OR(K1174="",K1174=A1174,A1174=""),"",K1174&amp;"|"&amp;L1174)</f>
        <v/>
      </c>
      <c r="N1174">
        <f>IF(M1174="","",IF(ISNUMBER(B1174),B1174,IFERROR(_xlfn.NUMBERVALUE(B1174,".",","),0)))</f>
        <v/>
      </c>
      <c r="O1174">
        <f>IF(M1174="","",IF(ISNUMBER(C1174),C1174,IFERROR(_xlfn.NUMBERVALUE(C1174,".",","),0)))</f>
        <v/>
      </c>
    </row>
    <row r="1175">
      <c r="K1175">
        <f>IF(OR(LEFT(B1175,9)="DOANH THU",LEFT(B1175,8)="SỐ LƯỢNG"),A1175,IF(A1175="","",K1174))</f>
        <v/>
      </c>
      <c r="L1175">
        <f>IF(A1175="","",IF(ISNUMBER(--LEFT(A1175,FIND(" - ",A1175&amp;" - ")-1)),LEFT(A1175,FIND(" - ",A1175&amp;" - ")-1),TRIM(A1175)))</f>
        <v/>
      </c>
      <c r="M1175">
        <f>IF(OR(K1175="",K1175=A1175,A1175=""),"",K1175&amp;"|"&amp;L1175)</f>
        <v/>
      </c>
      <c r="N1175">
        <f>IF(M1175="","",IF(ISNUMBER(B1175),B1175,IFERROR(_xlfn.NUMBERVALUE(B1175,".",","),0)))</f>
        <v/>
      </c>
      <c r="O1175">
        <f>IF(M1175="","",IF(ISNUMBER(C1175),C1175,IFERROR(_xlfn.NUMBERVALUE(C1175,".",","),0)))</f>
        <v/>
      </c>
    </row>
    <row r="1176">
      <c r="K1176">
        <f>IF(OR(LEFT(B1176,9)="DOANH THU",LEFT(B1176,8)="SỐ LƯỢNG"),A1176,IF(A1176="","",K1175))</f>
        <v/>
      </c>
      <c r="L1176">
        <f>IF(A1176="","",IF(ISNUMBER(--LEFT(A1176,FIND(" - ",A1176&amp;" - ")-1)),LEFT(A1176,FIND(" - ",A1176&amp;" - ")-1),TRIM(A1176)))</f>
        <v/>
      </c>
      <c r="M1176">
        <f>IF(OR(K1176="",K1176=A1176,A1176=""),"",K1176&amp;"|"&amp;L1176)</f>
        <v/>
      </c>
      <c r="N1176">
        <f>IF(M1176="","",IF(ISNUMBER(B1176),B1176,IFERROR(_xlfn.NUMBERVALUE(B1176,".",","),0)))</f>
        <v/>
      </c>
      <c r="O1176">
        <f>IF(M1176="","",IF(ISNUMBER(C1176),C1176,IFERROR(_xlfn.NUMBERVALUE(C1176,".",","),0)))</f>
        <v/>
      </c>
    </row>
    <row r="1177">
      <c r="K1177">
        <f>IF(OR(LEFT(B1177,9)="DOANH THU",LEFT(B1177,8)="SỐ LƯỢNG"),A1177,IF(A1177="","",K1176))</f>
        <v/>
      </c>
      <c r="L1177">
        <f>IF(A1177="","",IF(ISNUMBER(--LEFT(A1177,FIND(" - ",A1177&amp;" - ")-1)),LEFT(A1177,FIND(" - ",A1177&amp;" - ")-1),TRIM(A1177)))</f>
        <v/>
      </c>
      <c r="M1177">
        <f>IF(OR(K1177="",K1177=A1177,A1177=""),"",K1177&amp;"|"&amp;L1177)</f>
        <v/>
      </c>
      <c r="N1177">
        <f>IF(M1177="","",IF(ISNUMBER(B1177),B1177,IFERROR(_xlfn.NUMBERVALUE(B1177,".",","),0)))</f>
        <v/>
      </c>
      <c r="O1177">
        <f>IF(M1177="","",IF(ISNUMBER(C1177),C1177,IFERROR(_xlfn.NUMBERVALUE(C1177,".",","),0)))</f>
        <v/>
      </c>
    </row>
    <row r="1178">
      <c r="K1178">
        <f>IF(OR(LEFT(B1178,9)="DOANH THU",LEFT(B1178,8)="SỐ LƯỢNG"),A1178,IF(A1178="","",K1177))</f>
        <v/>
      </c>
      <c r="L1178">
        <f>IF(A1178="","",IF(ISNUMBER(--LEFT(A1178,FIND(" - ",A1178&amp;" - ")-1)),LEFT(A1178,FIND(" - ",A1178&amp;" - ")-1),TRIM(A1178)))</f>
        <v/>
      </c>
      <c r="M1178">
        <f>IF(OR(K1178="",K1178=A1178,A1178=""),"",K1178&amp;"|"&amp;L1178)</f>
        <v/>
      </c>
      <c r="N1178">
        <f>IF(M1178="","",IF(ISNUMBER(B1178),B1178,IFERROR(_xlfn.NUMBERVALUE(B1178,".",","),0)))</f>
        <v/>
      </c>
      <c r="O1178">
        <f>IF(M1178="","",IF(ISNUMBER(C1178),C1178,IFERROR(_xlfn.NUMBERVALUE(C1178,".",","),0)))</f>
        <v/>
      </c>
    </row>
    <row r="1179">
      <c r="K1179">
        <f>IF(OR(LEFT(B1179,9)="DOANH THU",LEFT(B1179,8)="SỐ LƯỢNG"),A1179,IF(A1179="","",K1178))</f>
        <v/>
      </c>
      <c r="L1179">
        <f>IF(A1179="","",IF(ISNUMBER(--LEFT(A1179,FIND(" - ",A1179&amp;" - ")-1)),LEFT(A1179,FIND(" - ",A1179&amp;" - ")-1),TRIM(A1179)))</f>
        <v/>
      </c>
      <c r="M1179">
        <f>IF(OR(K1179="",K1179=A1179,A1179=""),"",K1179&amp;"|"&amp;L1179)</f>
        <v/>
      </c>
      <c r="N1179">
        <f>IF(M1179="","",IF(ISNUMBER(B1179),B1179,IFERROR(_xlfn.NUMBERVALUE(B1179,".",","),0)))</f>
        <v/>
      </c>
      <c r="O1179">
        <f>IF(M1179="","",IF(ISNUMBER(C1179),C1179,IFERROR(_xlfn.NUMBERVALUE(C1179,".",","),0)))</f>
        <v/>
      </c>
    </row>
    <row r="1180">
      <c r="K1180">
        <f>IF(OR(LEFT(B1180,9)="DOANH THU",LEFT(B1180,8)="SỐ LƯỢNG"),A1180,IF(A1180="","",K1179))</f>
        <v/>
      </c>
      <c r="L1180">
        <f>IF(A1180="","",IF(ISNUMBER(--LEFT(A1180,FIND(" - ",A1180&amp;" - ")-1)),LEFT(A1180,FIND(" - ",A1180&amp;" - ")-1),TRIM(A1180)))</f>
        <v/>
      </c>
      <c r="M1180">
        <f>IF(OR(K1180="",K1180=A1180,A1180=""),"",K1180&amp;"|"&amp;L1180)</f>
        <v/>
      </c>
      <c r="N1180">
        <f>IF(M1180="","",IF(ISNUMBER(B1180),B1180,IFERROR(_xlfn.NUMBERVALUE(B1180,".",","),0)))</f>
        <v/>
      </c>
      <c r="O1180">
        <f>IF(M1180="","",IF(ISNUMBER(C1180),C1180,IFERROR(_xlfn.NUMBERVALUE(C1180,".",","),0)))</f>
        <v/>
      </c>
    </row>
    <row r="1181">
      <c r="K1181">
        <f>IF(OR(LEFT(B1181,9)="DOANH THU",LEFT(B1181,8)="SỐ LƯỢNG"),A1181,IF(A1181="","",K1180))</f>
        <v/>
      </c>
      <c r="L1181">
        <f>IF(A1181="","",IF(ISNUMBER(--LEFT(A1181,FIND(" - ",A1181&amp;" - ")-1)),LEFT(A1181,FIND(" - ",A1181&amp;" - ")-1),TRIM(A1181)))</f>
        <v/>
      </c>
      <c r="M1181">
        <f>IF(OR(K1181="",K1181=A1181,A1181=""),"",K1181&amp;"|"&amp;L1181)</f>
        <v/>
      </c>
      <c r="N1181">
        <f>IF(M1181="","",IF(ISNUMBER(B1181),B1181,IFERROR(_xlfn.NUMBERVALUE(B1181,".",","),0)))</f>
        <v/>
      </c>
      <c r="O1181">
        <f>IF(M1181="","",IF(ISNUMBER(C1181),C1181,IFERROR(_xlfn.NUMBERVALUE(C1181,".",","),0)))</f>
        <v/>
      </c>
    </row>
    <row r="1182">
      <c r="K1182">
        <f>IF(OR(LEFT(B1182,9)="DOANH THU",LEFT(B1182,8)="SỐ LƯỢNG"),A1182,IF(A1182="","",K1181))</f>
        <v/>
      </c>
      <c r="L1182">
        <f>IF(A1182="","",IF(ISNUMBER(--LEFT(A1182,FIND(" - ",A1182&amp;" - ")-1)),LEFT(A1182,FIND(" - ",A1182&amp;" - ")-1),TRIM(A1182)))</f>
        <v/>
      </c>
      <c r="M1182">
        <f>IF(OR(K1182="",K1182=A1182,A1182=""),"",K1182&amp;"|"&amp;L1182)</f>
        <v/>
      </c>
      <c r="N1182">
        <f>IF(M1182="","",IF(ISNUMBER(B1182),B1182,IFERROR(_xlfn.NUMBERVALUE(B1182,".",","),0)))</f>
        <v/>
      </c>
      <c r="O1182">
        <f>IF(M1182="","",IF(ISNUMBER(C1182),C1182,IFERROR(_xlfn.NUMBERVALUE(C1182,".",","),0)))</f>
        <v/>
      </c>
    </row>
    <row r="1183">
      <c r="K1183">
        <f>IF(OR(LEFT(B1183,9)="DOANH THU",LEFT(B1183,8)="SỐ LƯỢNG"),A1183,IF(A1183="","",K1182))</f>
        <v/>
      </c>
      <c r="L1183">
        <f>IF(A1183="","",IF(ISNUMBER(--LEFT(A1183,FIND(" - ",A1183&amp;" - ")-1)),LEFT(A1183,FIND(" - ",A1183&amp;" - ")-1),TRIM(A1183)))</f>
        <v/>
      </c>
      <c r="M1183">
        <f>IF(OR(K1183="",K1183=A1183,A1183=""),"",K1183&amp;"|"&amp;L1183)</f>
        <v/>
      </c>
      <c r="N1183">
        <f>IF(M1183="","",IF(ISNUMBER(B1183),B1183,IFERROR(_xlfn.NUMBERVALUE(B1183,".",","),0)))</f>
        <v/>
      </c>
      <c r="O1183">
        <f>IF(M1183="","",IF(ISNUMBER(C1183),C1183,IFERROR(_xlfn.NUMBERVALUE(C1183,".",","),0)))</f>
        <v/>
      </c>
    </row>
    <row r="1184">
      <c r="K1184">
        <f>IF(OR(LEFT(B1184,9)="DOANH THU",LEFT(B1184,8)="SỐ LƯỢNG"),A1184,IF(A1184="","",K1183))</f>
        <v/>
      </c>
      <c r="L1184">
        <f>IF(A1184="","",IF(ISNUMBER(--LEFT(A1184,FIND(" - ",A1184&amp;" - ")-1)),LEFT(A1184,FIND(" - ",A1184&amp;" - ")-1),TRIM(A1184)))</f>
        <v/>
      </c>
      <c r="M1184">
        <f>IF(OR(K1184="",K1184=A1184,A1184=""),"",K1184&amp;"|"&amp;L1184)</f>
        <v/>
      </c>
      <c r="N1184">
        <f>IF(M1184="","",IF(ISNUMBER(B1184),B1184,IFERROR(_xlfn.NUMBERVALUE(B1184,".",","),0)))</f>
        <v/>
      </c>
      <c r="O1184">
        <f>IF(M1184="","",IF(ISNUMBER(C1184),C1184,IFERROR(_xlfn.NUMBERVALUE(C1184,".",","),0)))</f>
        <v/>
      </c>
    </row>
    <row r="1185">
      <c r="K1185">
        <f>IF(OR(LEFT(B1185,9)="DOANH THU",LEFT(B1185,8)="SỐ LƯỢNG"),A1185,IF(A1185="","",K1184))</f>
        <v/>
      </c>
      <c r="L1185">
        <f>IF(A1185="","",IF(ISNUMBER(--LEFT(A1185,FIND(" - ",A1185&amp;" - ")-1)),LEFT(A1185,FIND(" - ",A1185&amp;" - ")-1),TRIM(A1185)))</f>
        <v/>
      </c>
      <c r="M1185">
        <f>IF(OR(K1185="",K1185=A1185,A1185=""),"",K1185&amp;"|"&amp;L1185)</f>
        <v/>
      </c>
      <c r="N1185">
        <f>IF(M1185="","",IF(ISNUMBER(B1185),B1185,IFERROR(_xlfn.NUMBERVALUE(B1185,".",","),0)))</f>
        <v/>
      </c>
      <c r="O1185">
        <f>IF(M1185="","",IF(ISNUMBER(C1185),C1185,IFERROR(_xlfn.NUMBERVALUE(C1185,".",","),0)))</f>
        <v/>
      </c>
    </row>
    <row r="1186">
      <c r="K1186">
        <f>IF(OR(LEFT(B1186,9)="DOANH THU",LEFT(B1186,8)="SỐ LƯỢNG"),A1186,IF(A1186="","",K1185))</f>
        <v/>
      </c>
      <c r="L1186">
        <f>IF(A1186="","",IF(ISNUMBER(--LEFT(A1186,FIND(" - ",A1186&amp;" - ")-1)),LEFT(A1186,FIND(" - ",A1186&amp;" - ")-1),TRIM(A1186)))</f>
        <v/>
      </c>
      <c r="M1186">
        <f>IF(OR(K1186="",K1186=A1186,A1186=""),"",K1186&amp;"|"&amp;L1186)</f>
        <v/>
      </c>
      <c r="N1186">
        <f>IF(M1186="","",IF(ISNUMBER(B1186),B1186,IFERROR(_xlfn.NUMBERVALUE(B1186,".",","),0)))</f>
        <v/>
      </c>
      <c r="O1186">
        <f>IF(M1186="","",IF(ISNUMBER(C1186),C1186,IFERROR(_xlfn.NUMBERVALUE(C1186,".",","),0)))</f>
        <v/>
      </c>
    </row>
    <row r="1187">
      <c r="K1187">
        <f>IF(OR(LEFT(B1187,9)="DOANH THU",LEFT(B1187,8)="SỐ LƯỢNG"),A1187,IF(A1187="","",K1186))</f>
        <v/>
      </c>
      <c r="L1187">
        <f>IF(A1187="","",IF(ISNUMBER(--LEFT(A1187,FIND(" - ",A1187&amp;" - ")-1)),LEFT(A1187,FIND(" - ",A1187&amp;" - ")-1),TRIM(A1187)))</f>
        <v/>
      </c>
      <c r="M1187">
        <f>IF(OR(K1187="",K1187=A1187,A1187=""),"",K1187&amp;"|"&amp;L1187)</f>
        <v/>
      </c>
      <c r="N1187">
        <f>IF(M1187="","",IF(ISNUMBER(B1187),B1187,IFERROR(_xlfn.NUMBERVALUE(B1187,".",","),0)))</f>
        <v/>
      </c>
      <c r="O1187">
        <f>IF(M1187="","",IF(ISNUMBER(C1187),C1187,IFERROR(_xlfn.NUMBERVALUE(C1187,".",","),0)))</f>
        <v/>
      </c>
    </row>
    <row r="1188">
      <c r="K1188">
        <f>IF(OR(LEFT(B1188,9)="DOANH THU",LEFT(B1188,8)="SỐ LƯỢNG"),A1188,IF(A1188="","",K1187))</f>
        <v/>
      </c>
      <c r="L1188">
        <f>IF(A1188="","",IF(ISNUMBER(--LEFT(A1188,FIND(" - ",A1188&amp;" - ")-1)),LEFT(A1188,FIND(" - ",A1188&amp;" - ")-1),TRIM(A1188)))</f>
        <v/>
      </c>
      <c r="M1188">
        <f>IF(OR(K1188="",K1188=A1188,A1188=""),"",K1188&amp;"|"&amp;L1188)</f>
        <v/>
      </c>
      <c r="N1188">
        <f>IF(M1188="","",IF(ISNUMBER(B1188),B1188,IFERROR(_xlfn.NUMBERVALUE(B1188,".",","),0)))</f>
        <v/>
      </c>
      <c r="O1188">
        <f>IF(M1188="","",IF(ISNUMBER(C1188),C1188,IFERROR(_xlfn.NUMBERVALUE(C1188,".",","),0)))</f>
        <v/>
      </c>
    </row>
    <row r="1189">
      <c r="K1189">
        <f>IF(OR(LEFT(B1189,9)="DOANH THU",LEFT(B1189,8)="SỐ LƯỢNG"),A1189,IF(A1189="","",K1188))</f>
        <v/>
      </c>
      <c r="L1189">
        <f>IF(A1189="","",IF(ISNUMBER(--LEFT(A1189,FIND(" - ",A1189&amp;" - ")-1)),LEFT(A1189,FIND(" - ",A1189&amp;" - ")-1),TRIM(A1189)))</f>
        <v/>
      </c>
      <c r="M1189">
        <f>IF(OR(K1189="",K1189=A1189,A1189=""),"",K1189&amp;"|"&amp;L1189)</f>
        <v/>
      </c>
      <c r="N1189">
        <f>IF(M1189="","",IF(ISNUMBER(B1189),B1189,IFERROR(_xlfn.NUMBERVALUE(B1189,".",","),0)))</f>
        <v/>
      </c>
      <c r="O1189">
        <f>IF(M1189="","",IF(ISNUMBER(C1189),C1189,IFERROR(_xlfn.NUMBERVALUE(C1189,".",","),0)))</f>
        <v/>
      </c>
    </row>
    <row r="1190">
      <c r="K1190">
        <f>IF(OR(LEFT(B1190,9)="DOANH THU",LEFT(B1190,8)="SỐ LƯỢNG"),A1190,IF(A1190="","",K1189))</f>
        <v/>
      </c>
      <c r="L1190">
        <f>IF(A1190="","",IF(ISNUMBER(--LEFT(A1190,FIND(" - ",A1190&amp;" - ")-1)),LEFT(A1190,FIND(" - ",A1190&amp;" - ")-1),TRIM(A1190)))</f>
        <v/>
      </c>
      <c r="M1190">
        <f>IF(OR(K1190="",K1190=A1190,A1190=""),"",K1190&amp;"|"&amp;L1190)</f>
        <v/>
      </c>
      <c r="N1190">
        <f>IF(M1190="","",IF(ISNUMBER(B1190),B1190,IFERROR(_xlfn.NUMBERVALUE(B1190,".",","),0)))</f>
        <v/>
      </c>
      <c r="O1190">
        <f>IF(M1190="","",IF(ISNUMBER(C1190),C1190,IFERROR(_xlfn.NUMBERVALUE(C1190,".",","),0)))</f>
        <v/>
      </c>
    </row>
    <row r="1191">
      <c r="K1191">
        <f>IF(OR(LEFT(B1191,9)="DOANH THU",LEFT(B1191,8)="SỐ LƯỢNG"),A1191,IF(A1191="","",K1190))</f>
        <v/>
      </c>
      <c r="L1191">
        <f>IF(A1191="","",IF(ISNUMBER(--LEFT(A1191,FIND(" - ",A1191&amp;" - ")-1)),LEFT(A1191,FIND(" - ",A1191&amp;" - ")-1),TRIM(A1191)))</f>
        <v/>
      </c>
      <c r="M1191">
        <f>IF(OR(K1191="",K1191=A1191,A1191=""),"",K1191&amp;"|"&amp;L1191)</f>
        <v/>
      </c>
      <c r="N1191">
        <f>IF(M1191="","",IF(ISNUMBER(B1191),B1191,IFERROR(_xlfn.NUMBERVALUE(B1191,".",","),0)))</f>
        <v/>
      </c>
      <c r="O1191">
        <f>IF(M1191="","",IF(ISNUMBER(C1191),C1191,IFERROR(_xlfn.NUMBERVALUE(C1191,".",","),0)))</f>
        <v/>
      </c>
    </row>
    <row r="1192">
      <c r="K1192">
        <f>IF(OR(LEFT(B1192,9)="DOANH THU",LEFT(B1192,8)="SỐ LƯỢNG"),A1192,IF(A1192="","",K1191))</f>
        <v/>
      </c>
      <c r="L1192">
        <f>IF(A1192="","",IF(ISNUMBER(--LEFT(A1192,FIND(" - ",A1192&amp;" - ")-1)),LEFT(A1192,FIND(" - ",A1192&amp;" - ")-1),TRIM(A1192)))</f>
        <v/>
      </c>
      <c r="M1192">
        <f>IF(OR(K1192="",K1192=A1192,A1192=""),"",K1192&amp;"|"&amp;L1192)</f>
        <v/>
      </c>
      <c r="N1192">
        <f>IF(M1192="","",IF(ISNUMBER(B1192),B1192,IFERROR(_xlfn.NUMBERVALUE(B1192,".",","),0)))</f>
        <v/>
      </c>
      <c r="O1192">
        <f>IF(M1192="","",IF(ISNUMBER(C1192),C1192,IFERROR(_xlfn.NUMBERVALUE(C1192,".",","),0)))</f>
        <v/>
      </c>
    </row>
    <row r="1193">
      <c r="K1193">
        <f>IF(OR(LEFT(B1193,9)="DOANH THU",LEFT(B1193,8)="SỐ LƯỢNG"),A1193,IF(A1193="","",K1192))</f>
        <v/>
      </c>
      <c r="L1193">
        <f>IF(A1193="","",IF(ISNUMBER(--LEFT(A1193,FIND(" - ",A1193&amp;" - ")-1)),LEFT(A1193,FIND(" - ",A1193&amp;" - ")-1),TRIM(A1193)))</f>
        <v/>
      </c>
      <c r="M1193">
        <f>IF(OR(K1193="",K1193=A1193,A1193=""),"",K1193&amp;"|"&amp;L1193)</f>
        <v/>
      </c>
      <c r="N1193">
        <f>IF(M1193="","",IF(ISNUMBER(B1193),B1193,IFERROR(_xlfn.NUMBERVALUE(B1193,".",","),0)))</f>
        <v/>
      </c>
      <c r="O1193">
        <f>IF(M1193="","",IF(ISNUMBER(C1193),C1193,IFERROR(_xlfn.NUMBERVALUE(C1193,".",","),0)))</f>
        <v/>
      </c>
    </row>
    <row r="1194">
      <c r="K1194">
        <f>IF(OR(LEFT(B1194,9)="DOANH THU",LEFT(B1194,8)="SỐ LƯỢNG"),A1194,IF(A1194="","",K1193))</f>
        <v/>
      </c>
      <c r="L1194">
        <f>IF(A1194="","",IF(ISNUMBER(--LEFT(A1194,FIND(" - ",A1194&amp;" - ")-1)),LEFT(A1194,FIND(" - ",A1194&amp;" - ")-1),TRIM(A1194)))</f>
        <v/>
      </c>
      <c r="M1194">
        <f>IF(OR(K1194="",K1194=A1194,A1194=""),"",K1194&amp;"|"&amp;L1194)</f>
        <v/>
      </c>
      <c r="N1194">
        <f>IF(M1194="","",IF(ISNUMBER(B1194),B1194,IFERROR(_xlfn.NUMBERVALUE(B1194,".",","),0)))</f>
        <v/>
      </c>
      <c r="O1194">
        <f>IF(M1194="","",IF(ISNUMBER(C1194),C1194,IFERROR(_xlfn.NUMBERVALUE(C1194,".",","),0)))</f>
        <v/>
      </c>
    </row>
    <row r="1195">
      <c r="K1195">
        <f>IF(OR(LEFT(B1195,9)="DOANH THU",LEFT(B1195,8)="SỐ LƯỢNG"),A1195,IF(A1195="","",K1194))</f>
        <v/>
      </c>
      <c r="L1195">
        <f>IF(A1195="","",IF(ISNUMBER(--LEFT(A1195,FIND(" - ",A1195&amp;" - ")-1)),LEFT(A1195,FIND(" - ",A1195&amp;" - ")-1),TRIM(A1195)))</f>
        <v/>
      </c>
      <c r="M1195">
        <f>IF(OR(K1195="",K1195=A1195,A1195=""),"",K1195&amp;"|"&amp;L1195)</f>
        <v/>
      </c>
      <c r="N1195">
        <f>IF(M1195="","",IF(ISNUMBER(B1195),B1195,IFERROR(_xlfn.NUMBERVALUE(B1195,".",","),0)))</f>
        <v/>
      </c>
      <c r="O1195">
        <f>IF(M1195="","",IF(ISNUMBER(C1195),C1195,IFERROR(_xlfn.NUMBERVALUE(C1195,".",","),0)))</f>
        <v/>
      </c>
    </row>
    <row r="1196">
      <c r="K1196">
        <f>IF(OR(LEFT(B1196,9)="DOANH THU",LEFT(B1196,8)="SỐ LƯỢNG"),A1196,IF(A1196="","",K1195))</f>
        <v/>
      </c>
      <c r="L1196">
        <f>IF(A1196="","",IF(ISNUMBER(--LEFT(A1196,FIND(" - ",A1196&amp;" - ")-1)),LEFT(A1196,FIND(" - ",A1196&amp;" - ")-1),TRIM(A1196)))</f>
        <v/>
      </c>
      <c r="M1196">
        <f>IF(OR(K1196="",K1196=A1196,A1196=""),"",K1196&amp;"|"&amp;L1196)</f>
        <v/>
      </c>
      <c r="N1196">
        <f>IF(M1196="","",IF(ISNUMBER(B1196),B1196,IFERROR(_xlfn.NUMBERVALUE(B1196,".",","),0)))</f>
        <v/>
      </c>
      <c r="O1196">
        <f>IF(M1196="","",IF(ISNUMBER(C1196),C1196,IFERROR(_xlfn.NUMBERVALUE(C1196,".",","),0)))</f>
        <v/>
      </c>
    </row>
    <row r="1197">
      <c r="K1197">
        <f>IF(OR(LEFT(B1197,9)="DOANH THU",LEFT(B1197,8)="SỐ LƯỢNG"),A1197,IF(A1197="","",K1196))</f>
        <v/>
      </c>
      <c r="L1197">
        <f>IF(A1197="","",IF(ISNUMBER(--LEFT(A1197,FIND(" - ",A1197&amp;" - ")-1)),LEFT(A1197,FIND(" - ",A1197&amp;" - ")-1),TRIM(A1197)))</f>
        <v/>
      </c>
      <c r="M1197">
        <f>IF(OR(K1197="",K1197=A1197,A1197=""),"",K1197&amp;"|"&amp;L1197)</f>
        <v/>
      </c>
      <c r="N1197">
        <f>IF(M1197="","",IF(ISNUMBER(B1197),B1197,IFERROR(_xlfn.NUMBERVALUE(B1197,".",","),0)))</f>
        <v/>
      </c>
      <c r="O1197">
        <f>IF(M1197="","",IF(ISNUMBER(C1197),C1197,IFERROR(_xlfn.NUMBERVALUE(C1197,".",","),0)))</f>
        <v/>
      </c>
    </row>
    <row r="1198">
      <c r="K1198">
        <f>IF(OR(LEFT(B1198,9)="DOANH THU",LEFT(B1198,8)="SỐ LƯỢNG"),A1198,IF(A1198="","",K1197))</f>
        <v/>
      </c>
      <c r="L1198">
        <f>IF(A1198="","",IF(ISNUMBER(--LEFT(A1198,FIND(" - ",A1198&amp;" - ")-1)),LEFT(A1198,FIND(" - ",A1198&amp;" - ")-1),TRIM(A1198)))</f>
        <v/>
      </c>
      <c r="M1198">
        <f>IF(OR(K1198="",K1198=A1198,A1198=""),"",K1198&amp;"|"&amp;L1198)</f>
        <v/>
      </c>
      <c r="N1198">
        <f>IF(M1198="","",IF(ISNUMBER(B1198),B1198,IFERROR(_xlfn.NUMBERVALUE(B1198,".",","),0)))</f>
        <v/>
      </c>
      <c r="O1198">
        <f>IF(M1198="","",IF(ISNUMBER(C1198),C1198,IFERROR(_xlfn.NUMBERVALUE(C1198,".",","),0)))</f>
        <v/>
      </c>
    </row>
    <row r="1199">
      <c r="K1199">
        <f>IF(OR(LEFT(B1199,9)="DOANH THU",LEFT(B1199,8)="SỐ LƯỢNG"),A1199,IF(A1199="","",K1198))</f>
        <v/>
      </c>
      <c r="L1199">
        <f>IF(A1199="","",IF(ISNUMBER(--LEFT(A1199,FIND(" - ",A1199&amp;" - ")-1)),LEFT(A1199,FIND(" - ",A1199&amp;" - ")-1),TRIM(A1199)))</f>
        <v/>
      </c>
      <c r="M1199">
        <f>IF(OR(K1199="",K1199=A1199,A1199=""),"",K1199&amp;"|"&amp;L1199)</f>
        <v/>
      </c>
      <c r="N1199">
        <f>IF(M1199="","",IF(ISNUMBER(B1199),B1199,IFERROR(_xlfn.NUMBERVALUE(B1199,".",","),0)))</f>
        <v/>
      </c>
      <c r="O1199">
        <f>IF(M1199="","",IF(ISNUMBER(C1199),C1199,IFERROR(_xlfn.NUMBERVALUE(C1199,".",","),0)))</f>
        <v/>
      </c>
    </row>
    <row r="1200">
      <c r="K1200">
        <f>IF(OR(LEFT(B1200,9)="DOANH THU",LEFT(B1200,8)="SỐ LƯỢNG"),A1200,IF(A1200="","",K1199))</f>
        <v/>
      </c>
      <c r="L1200">
        <f>IF(A1200="","",IF(ISNUMBER(--LEFT(A1200,FIND(" - ",A1200&amp;" - ")-1)),LEFT(A1200,FIND(" - ",A1200&amp;" - ")-1),TRIM(A1200)))</f>
        <v/>
      </c>
      <c r="M1200">
        <f>IF(OR(K1200="",K1200=A1200,A1200=""),"",K1200&amp;"|"&amp;L1200)</f>
        <v/>
      </c>
      <c r="N1200">
        <f>IF(M1200="","",IF(ISNUMBER(B1200),B1200,IFERROR(_xlfn.NUMBERVALUE(B1200,".",","),0)))</f>
        <v/>
      </c>
      <c r="O1200">
        <f>IF(M1200="","",IF(ISNUMBER(C1200),C1200,IFERROR(_xlfn.NUMBERVALUE(C1200,".",","),0)))</f>
        <v/>
      </c>
    </row>
    <row r="1201">
      <c r="K1201">
        <f>IF(OR(LEFT(B1201,9)="DOANH THU",LEFT(B1201,8)="SỐ LƯỢNG"),A1201,IF(A1201="","",K1200))</f>
        <v/>
      </c>
      <c r="L1201">
        <f>IF(A1201="","",IF(ISNUMBER(--LEFT(A1201,FIND(" - ",A1201&amp;" - ")-1)),LEFT(A1201,FIND(" - ",A1201&amp;" - ")-1),TRIM(A1201)))</f>
        <v/>
      </c>
      <c r="M1201">
        <f>IF(OR(K1201="",K1201=A1201,A1201=""),"",K1201&amp;"|"&amp;L1201)</f>
        <v/>
      </c>
      <c r="N1201">
        <f>IF(M1201="","",IF(ISNUMBER(B1201),B1201,IFERROR(_xlfn.NUMBERVALUE(B1201,".",","),0)))</f>
        <v/>
      </c>
      <c r="O1201">
        <f>IF(M1201="","",IF(ISNUMBER(C1201),C1201,IFERROR(_xlfn.NUMBERVALUE(C1201,".",","),0)))</f>
        <v/>
      </c>
    </row>
    <row r="1202">
      <c r="K1202">
        <f>IF(OR(LEFT(B1202,9)="DOANH THU",LEFT(B1202,8)="SỐ LƯỢNG"),A1202,IF(A1202="","",K1201))</f>
        <v/>
      </c>
      <c r="L1202">
        <f>IF(A1202="","",IF(ISNUMBER(--LEFT(A1202,FIND(" - ",A1202&amp;" - ")-1)),LEFT(A1202,FIND(" - ",A1202&amp;" - ")-1),TRIM(A1202)))</f>
        <v/>
      </c>
      <c r="M1202">
        <f>IF(OR(K1202="",K1202=A1202,A1202=""),"",K1202&amp;"|"&amp;L1202)</f>
        <v/>
      </c>
      <c r="N1202">
        <f>IF(M1202="","",IF(ISNUMBER(B1202),B1202,IFERROR(_xlfn.NUMBERVALUE(B1202,".",","),0)))</f>
        <v/>
      </c>
      <c r="O1202">
        <f>IF(M1202="","",IF(ISNUMBER(C1202),C1202,IFERROR(_xlfn.NUMBERVALUE(C1202,".",","),0)))</f>
        <v/>
      </c>
    </row>
    <row r="1203">
      <c r="K1203">
        <f>IF(OR(LEFT(B1203,9)="DOANH THU",LEFT(B1203,8)="SỐ LƯỢNG"),A1203,IF(A1203="","",K1202))</f>
        <v/>
      </c>
      <c r="L1203">
        <f>IF(A1203="","",IF(ISNUMBER(--LEFT(A1203,FIND(" - ",A1203&amp;" - ")-1)),LEFT(A1203,FIND(" - ",A1203&amp;" - ")-1),TRIM(A1203)))</f>
        <v/>
      </c>
      <c r="M1203">
        <f>IF(OR(K1203="",K1203=A1203,A1203=""),"",K1203&amp;"|"&amp;L1203)</f>
        <v/>
      </c>
      <c r="N1203">
        <f>IF(M1203="","",IF(ISNUMBER(B1203),B1203,IFERROR(_xlfn.NUMBERVALUE(B1203,".",","),0)))</f>
        <v/>
      </c>
      <c r="O1203">
        <f>IF(M1203="","",IF(ISNUMBER(C1203),C1203,IFERROR(_xlfn.NUMBERVALUE(C1203,".",","),0)))</f>
        <v/>
      </c>
    </row>
    <row r="1204">
      <c r="K1204">
        <f>IF(OR(LEFT(B1204,9)="DOANH THU",LEFT(B1204,8)="SỐ LƯỢNG"),A1204,IF(A1204="","",K1203))</f>
        <v/>
      </c>
      <c r="L1204">
        <f>IF(A1204="","",IF(ISNUMBER(--LEFT(A1204,FIND(" - ",A1204&amp;" - ")-1)),LEFT(A1204,FIND(" - ",A1204&amp;" - ")-1),TRIM(A1204)))</f>
        <v/>
      </c>
      <c r="M1204">
        <f>IF(OR(K1204="",K1204=A1204,A1204=""),"",K1204&amp;"|"&amp;L1204)</f>
        <v/>
      </c>
      <c r="N1204">
        <f>IF(M1204="","",IF(ISNUMBER(B1204),B1204,IFERROR(_xlfn.NUMBERVALUE(B1204,".",","),0)))</f>
        <v/>
      </c>
      <c r="O1204">
        <f>IF(M1204="","",IF(ISNUMBER(C1204),C1204,IFERROR(_xlfn.NUMBERVALUE(C1204,".",","),0)))</f>
        <v/>
      </c>
    </row>
    <row r="1205">
      <c r="K1205">
        <f>IF(OR(LEFT(B1205,9)="DOANH THU",LEFT(B1205,8)="SỐ LƯỢNG"),A1205,IF(A1205="","",K1204))</f>
        <v/>
      </c>
      <c r="L1205">
        <f>IF(A1205="","",IF(ISNUMBER(--LEFT(A1205,FIND(" - ",A1205&amp;" - ")-1)),LEFT(A1205,FIND(" - ",A1205&amp;" - ")-1),TRIM(A1205)))</f>
        <v/>
      </c>
      <c r="M1205">
        <f>IF(OR(K1205="",K1205=A1205,A1205=""),"",K1205&amp;"|"&amp;L1205)</f>
        <v/>
      </c>
      <c r="N1205">
        <f>IF(M1205="","",IF(ISNUMBER(B1205),B1205,IFERROR(_xlfn.NUMBERVALUE(B1205,".",","),0)))</f>
        <v/>
      </c>
      <c r="O1205">
        <f>IF(M1205="","",IF(ISNUMBER(C1205),C1205,IFERROR(_xlfn.NUMBERVALUE(C1205,".",","),0)))</f>
        <v/>
      </c>
    </row>
    <row r="1206">
      <c r="K1206">
        <f>IF(OR(LEFT(B1206,9)="DOANH THU",LEFT(B1206,8)="SỐ LƯỢNG"),A1206,IF(A1206="","",K1205))</f>
        <v/>
      </c>
      <c r="L1206">
        <f>IF(A1206="","",IF(ISNUMBER(--LEFT(A1206,FIND(" - ",A1206&amp;" - ")-1)),LEFT(A1206,FIND(" - ",A1206&amp;" - ")-1),TRIM(A1206)))</f>
        <v/>
      </c>
      <c r="M1206">
        <f>IF(OR(K1206="",K1206=A1206,A1206=""),"",K1206&amp;"|"&amp;L1206)</f>
        <v/>
      </c>
      <c r="N1206">
        <f>IF(M1206="","",IF(ISNUMBER(B1206),B1206,IFERROR(_xlfn.NUMBERVALUE(B1206,".",","),0)))</f>
        <v/>
      </c>
      <c r="O1206">
        <f>IF(M1206="","",IF(ISNUMBER(C1206),C1206,IFERROR(_xlfn.NUMBERVALUE(C1206,".",","),0)))</f>
        <v/>
      </c>
    </row>
    <row r="1207">
      <c r="K1207">
        <f>IF(OR(LEFT(B1207,9)="DOANH THU",LEFT(B1207,8)="SỐ LƯỢNG"),A1207,IF(A1207="","",K1206))</f>
        <v/>
      </c>
      <c r="L1207">
        <f>IF(A1207="","",IF(ISNUMBER(--LEFT(A1207,FIND(" - ",A1207&amp;" - ")-1)),LEFT(A1207,FIND(" - ",A1207&amp;" - ")-1),TRIM(A1207)))</f>
        <v/>
      </c>
      <c r="M1207">
        <f>IF(OR(K1207="",K1207=A1207,A1207=""),"",K1207&amp;"|"&amp;L1207)</f>
        <v/>
      </c>
      <c r="N1207">
        <f>IF(M1207="","",IF(ISNUMBER(B1207),B1207,IFERROR(_xlfn.NUMBERVALUE(B1207,".",","),0)))</f>
        <v/>
      </c>
      <c r="O1207">
        <f>IF(M1207="","",IF(ISNUMBER(C1207),C1207,IFERROR(_xlfn.NUMBERVALUE(C1207,".",","),0)))</f>
        <v/>
      </c>
    </row>
    <row r="1208">
      <c r="K1208">
        <f>IF(OR(LEFT(B1208,9)="DOANH THU",LEFT(B1208,8)="SỐ LƯỢNG"),A1208,IF(A1208="","",K1207))</f>
        <v/>
      </c>
      <c r="L1208">
        <f>IF(A1208="","",IF(ISNUMBER(--LEFT(A1208,FIND(" - ",A1208&amp;" - ")-1)),LEFT(A1208,FIND(" - ",A1208&amp;" - ")-1),TRIM(A1208)))</f>
        <v/>
      </c>
      <c r="M1208">
        <f>IF(OR(K1208="",K1208=A1208,A1208=""),"",K1208&amp;"|"&amp;L1208)</f>
        <v/>
      </c>
      <c r="N1208">
        <f>IF(M1208="","",IF(ISNUMBER(B1208),B1208,IFERROR(_xlfn.NUMBERVALUE(B1208,".",","),0)))</f>
        <v/>
      </c>
      <c r="O1208">
        <f>IF(M1208="","",IF(ISNUMBER(C1208),C1208,IFERROR(_xlfn.NUMBERVALUE(C1208,".",","),0)))</f>
        <v/>
      </c>
    </row>
    <row r="1209">
      <c r="K1209">
        <f>IF(OR(LEFT(B1209,9)="DOANH THU",LEFT(B1209,8)="SỐ LƯỢNG"),A1209,IF(A1209="","",K1208))</f>
        <v/>
      </c>
      <c r="L1209">
        <f>IF(A1209="","",IF(ISNUMBER(--LEFT(A1209,FIND(" - ",A1209&amp;" - ")-1)),LEFT(A1209,FIND(" - ",A1209&amp;" - ")-1),TRIM(A1209)))</f>
        <v/>
      </c>
      <c r="M1209">
        <f>IF(OR(K1209="",K1209=A1209,A1209=""),"",K1209&amp;"|"&amp;L1209)</f>
        <v/>
      </c>
      <c r="N1209">
        <f>IF(M1209="","",IF(ISNUMBER(B1209),B1209,IFERROR(_xlfn.NUMBERVALUE(B1209,".",","),0)))</f>
        <v/>
      </c>
      <c r="O1209">
        <f>IF(M1209="","",IF(ISNUMBER(C1209),C1209,IFERROR(_xlfn.NUMBERVALUE(C1209,".",","),0)))</f>
        <v/>
      </c>
    </row>
    <row r="1210">
      <c r="K1210">
        <f>IF(OR(LEFT(B1210,9)="DOANH THU",LEFT(B1210,8)="SỐ LƯỢNG"),A1210,IF(A1210="","",K1209))</f>
        <v/>
      </c>
      <c r="L1210">
        <f>IF(A1210="","",IF(ISNUMBER(--LEFT(A1210,FIND(" - ",A1210&amp;" - ")-1)),LEFT(A1210,FIND(" - ",A1210&amp;" - ")-1),TRIM(A1210)))</f>
        <v/>
      </c>
      <c r="M1210">
        <f>IF(OR(K1210="",K1210=A1210,A1210=""),"",K1210&amp;"|"&amp;L1210)</f>
        <v/>
      </c>
      <c r="N1210">
        <f>IF(M1210="","",IF(ISNUMBER(B1210),B1210,IFERROR(_xlfn.NUMBERVALUE(B1210,".",","),0)))</f>
        <v/>
      </c>
      <c r="O1210">
        <f>IF(M1210="","",IF(ISNUMBER(C1210),C1210,IFERROR(_xlfn.NUMBERVALUE(C1210,".",","),0)))</f>
        <v/>
      </c>
    </row>
    <row r="1211">
      <c r="K1211">
        <f>IF(OR(LEFT(B1211,9)="DOANH THU",LEFT(B1211,8)="SỐ LƯỢNG"),A1211,IF(A1211="","",K1210))</f>
        <v/>
      </c>
      <c r="L1211">
        <f>IF(A1211="","",IF(ISNUMBER(--LEFT(A1211,FIND(" - ",A1211&amp;" - ")-1)),LEFT(A1211,FIND(" - ",A1211&amp;" - ")-1),TRIM(A1211)))</f>
        <v/>
      </c>
      <c r="M1211">
        <f>IF(OR(K1211="",K1211=A1211,A1211=""),"",K1211&amp;"|"&amp;L1211)</f>
        <v/>
      </c>
      <c r="N1211">
        <f>IF(M1211="","",IF(ISNUMBER(B1211),B1211,IFERROR(_xlfn.NUMBERVALUE(B1211,".",","),0)))</f>
        <v/>
      </c>
      <c r="O1211">
        <f>IF(M1211="","",IF(ISNUMBER(C1211),C1211,IFERROR(_xlfn.NUMBERVALUE(C1211,".",","),0)))</f>
        <v/>
      </c>
    </row>
    <row r="1212">
      <c r="K1212">
        <f>IF(OR(LEFT(B1212,9)="DOANH THU",LEFT(B1212,8)="SỐ LƯỢNG"),A1212,IF(A1212="","",K1211))</f>
        <v/>
      </c>
      <c r="L1212">
        <f>IF(A1212="","",IF(ISNUMBER(--LEFT(A1212,FIND(" - ",A1212&amp;" - ")-1)),LEFT(A1212,FIND(" - ",A1212&amp;" - ")-1),TRIM(A1212)))</f>
        <v/>
      </c>
      <c r="M1212">
        <f>IF(OR(K1212="",K1212=A1212,A1212=""),"",K1212&amp;"|"&amp;L1212)</f>
        <v/>
      </c>
      <c r="N1212">
        <f>IF(M1212="","",IF(ISNUMBER(B1212),B1212,IFERROR(_xlfn.NUMBERVALUE(B1212,".",","),0)))</f>
        <v/>
      </c>
      <c r="O1212">
        <f>IF(M1212="","",IF(ISNUMBER(C1212),C1212,IFERROR(_xlfn.NUMBERVALUE(C1212,".",","),0)))</f>
        <v/>
      </c>
    </row>
    <row r="1213">
      <c r="K1213">
        <f>IF(OR(LEFT(B1213,9)="DOANH THU",LEFT(B1213,8)="SỐ LƯỢNG"),A1213,IF(A1213="","",K1212))</f>
        <v/>
      </c>
      <c r="L1213">
        <f>IF(A1213="","",IF(ISNUMBER(--LEFT(A1213,FIND(" - ",A1213&amp;" - ")-1)),LEFT(A1213,FIND(" - ",A1213&amp;" - ")-1),TRIM(A1213)))</f>
        <v/>
      </c>
      <c r="M1213">
        <f>IF(OR(K1213="",K1213=A1213,A1213=""),"",K1213&amp;"|"&amp;L1213)</f>
        <v/>
      </c>
      <c r="N1213">
        <f>IF(M1213="","",IF(ISNUMBER(B1213),B1213,IFERROR(_xlfn.NUMBERVALUE(B1213,".",","),0)))</f>
        <v/>
      </c>
      <c r="O1213">
        <f>IF(M1213="","",IF(ISNUMBER(C1213),C1213,IFERROR(_xlfn.NUMBERVALUE(C1213,".",","),0)))</f>
        <v/>
      </c>
    </row>
    <row r="1214">
      <c r="K1214">
        <f>IF(OR(LEFT(B1214,9)="DOANH THU",LEFT(B1214,8)="SỐ LƯỢNG"),A1214,IF(A1214="","",K1213))</f>
        <v/>
      </c>
      <c r="L1214">
        <f>IF(A1214="","",IF(ISNUMBER(--LEFT(A1214,FIND(" - ",A1214&amp;" - ")-1)),LEFT(A1214,FIND(" - ",A1214&amp;" - ")-1),TRIM(A1214)))</f>
        <v/>
      </c>
      <c r="M1214">
        <f>IF(OR(K1214="",K1214=A1214,A1214=""),"",K1214&amp;"|"&amp;L1214)</f>
        <v/>
      </c>
      <c r="N1214">
        <f>IF(M1214="","",IF(ISNUMBER(B1214),B1214,IFERROR(_xlfn.NUMBERVALUE(B1214,".",","),0)))</f>
        <v/>
      </c>
      <c r="O1214">
        <f>IF(M1214="","",IF(ISNUMBER(C1214),C1214,IFERROR(_xlfn.NUMBERVALUE(C1214,".",","),0)))</f>
        <v/>
      </c>
    </row>
    <row r="1215">
      <c r="K1215">
        <f>IF(OR(LEFT(B1215,9)="DOANH THU",LEFT(B1215,8)="SỐ LƯỢNG"),A1215,IF(A1215="","",K1214))</f>
        <v/>
      </c>
      <c r="L1215">
        <f>IF(A1215="","",IF(ISNUMBER(--LEFT(A1215,FIND(" - ",A1215&amp;" - ")-1)),LEFT(A1215,FIND(" - ",A1215&amp;" - ")-1),TRIM(A1215)))</f>
        <v/>
      </c>
      <c r="M1215">
        <f>IF(OR(K1215="",K1215=A1215,A1215=""),"",K1215&amp;"|"&amp;L1215)</f>
        <v/>
      </c>
      <c r="N1215">
        <f>IF(M1215="","",IF(ISNUMBER(B1215),B1215,IFERROR(_xlfn.NUMBERVALUE(B1215,".",","),0)))</f>
        <v/>
      </c>
      <c r="O1215">
        <f>IF(M1215="","",IF(ISNUMBER(C1215),C1215,IFERROR(_xlfn.NUMBERVALUE(C1215,".",","),0)))</f>
        <v/>
      </c>
    </row>
    <row r="1216">
      <c r="K1216">
        <f>IF(OR(LEFT(B1216,9)="DOANH THU",LEFT(B1216,8)="SỐ LƯỢNG"),A1216,IF(A1216="","",K1215))</f>
        <v/>
      </c>
      <c r="L1216">
        <f>IF(A1216="","",IF(ISNUMBER(--LEFT(A1216,FIND(" - ",A1216&amp;" - ")-1)),LEFT(A1216,FIND(" - ",A1216&amp;" - ")-1),TRIM(A1216)))</f>
        <v/>
      </c>
      <c r="M1216">
        <f>IF(OR(K1216="",K1216=A1216,A1216=""),"",K1216&amp;"|"&amp;L1216)</f>
        <v/>
      </c>
      <c r="N1216">
        <f>IF(M1216="","",IF(ISNUMBER(B1216),B1216,IFERROR(_xlfn.NUMBERVALUE(B1216,".",","),0)))</f>
        <v/>
      </c>
      <c r="O1216">
        <f>IF(M1216="","",IF(ISNUMBER(C1216),C1216,IFERROR(_xlfn.NUMBERVALUE(C1216,".",","),0)))</f>
        <v/>
      </c>
    </row>
    <row r="1217">
      <c r="K1217">
        <f>IF(OR(LEFT(B1217,9)="DOANH THU",LEFT(B1217,8)="SỐ LƯỢNG"),A1217,IF(A1217="","",K1216))</f>
        <v/>
      </c>
      <c r="L1217">
        <f>IF(A1217="","",IF(ISNUMBER(--LEFT(A1217,FIND(" - ",A1217&amp;" - ")-1)),LEFT(A1217,FIND(" - ",A1217&amp;" - ")-1),TRIM(A1217)))</f>
        <v/>
      </c>
      <c r="M1217">
        <f>IF(OR(K1217="",K1217=A1217,A1217=""),"",K1217&amp;"|"&amp;L1217)</f>
        <v/>
      </c>
      <c r="N1217">
        <f>IF(M1217="","",IF(ISNUMBER(B1217),B1217,IFERROR(_xlfn.NUMBERVALUE(B1217,".",","),0)))</f>
        <v/>
      </c>
      <c r="O1217">
        <f>IF(M1217="","",IF(ISNUMBER(C1217),C1217,IFERROR(_xlfn.NUMBERVALUE(C1217,".",","),0)))</f>
        <v/>
      </c>
    </row>
    <row r="1218">
      <c r="K1218">
        <f>IF(OR(LEFT(B1218,9)="DOANH THU",LEFT(B1218,8)="SỐ LƯỢNG"),A1218,IF(A1218="","",K1217))</f>
        <v/>
      </c>
      <c r="L1218">
        <f>IF(A1218="","",IF(ISNUMBER(--LEFT(A1218,FIND(" - ",A1218&amp;" - ")-1)),LEFT(A1218,FIND(" - ",A1218&amp;" - ")-1),TRIM(A1218)))</f>
        <v/>
      </c>
      <c r="M1218">
        <f>IF(OR(K1218="",K1218=A1218,A1218=""),"",K1218&amp;"|"&amp;L1218)</f>
        <v/>
      </c>
      <c r="N1218">
        <f>IF(M1218="","",IF(ISNUMBER(B1218),B1218,IFERROR(_xlfn.NUMBERVALUE(B1218,".",","),0)))</f>
        <v/>
      </c>
      <c r="O1218">
        <f>IF(M1218="","",IF(ISNUMBER(C1218),C1218,IFERROR(_xlfn.NUMBERVALUE(C1218,".",","),0)))</f>
        <v/>
      </c>
    </row>
    <row r="1219">
      <c r="K1219">
        <f>IF(OR(LEFT(B1219,9)="DOANH THU",LEFT(B1219,8)="SỐ LƯỢNG"),A1219,IF(A1219="","",K1218))</f>
        <v/>
      </c>
      <c r="L1219">
        <f>IF(A1219="","",IF(ISNUMBER(--LEFT(A1219,FIND(" - ",A1219&amp;" - ")-1)),LEFT(A1219,FIND(" - ",A1219&amp;" - ")-1),TRIM(A1219)))</f>
        <v/>
      </c>
      <c r="M1219">
        <f>IF(OR(K1219="",K1219=A1219,A1219=""),"",K1219&amp;"|"&amp;L1219)</f>
        <v/>
      </c>
      <c r="N1219">
        <f>IF(M1219="","",IF(ISNUMBER(B1219),B1219,IFERROR(_xlfn.NUMBERVALUE(B1219,".",","),0)))</f>
        <v/>
      </c>
      <c r="O1219">
        <f>IF(M1219="","",IF(ISNUMBER(C1219),C1219,IFERROR(_xlfn.NUMBERVALUE(C1219,".",","),0)))</f>
        <v/>
      </c>
    </row>
    <row r="1220">
      <c r="K1220">
        <f>IF(OR(LEFT(B1220,9)="DOANH THU",LEFT(B1220,8)="SỐ LƯỢNG"),A1220,IF(A1220="","",K1219))</f>
        <v/>
      </c>
      <c r="L1220">
        <f>IF(A1220="","",IF(ISNUMBER(--LEFT(A1220,FIND(" - ",A1220&amp;" - ")-1)),LEFT(A1220,FIND(" - ",A1220&amp;" - ")-1),TRIM(A1220)))</f>
        <v/>
      </c>
      <c r="M1220">
        <f>IF(OR(K1220="",K1220=A1220,A1220=""),"",K1220&amp;"|"&amp;L1220)</f>
        <v/>
      </c>
      <c r="N1220">
        <f>IF(M1220="","",IF(ISNUMBER(B1220),B1220,IFERROR(_xlfn.NUMBERVALUE(B1220,".",","),0)))</f>
        <v/>
      </c>
      <c r="O1220">
        <f>IF(M1220="","",IF(ISNUMBER(C1220),C1220,IFERROR(_xlfn.NUMBERVALUE(C1220,".",","),0)))</f>
        <v/>
      </c>
    </row>
    <row r="1221">
      <c r="K1221">
        <f>IF(OR(LEFT(B1221,9)="DOANH THU",LEFT(B1221,8)="SỐ LƯỢNG"),A1221,IF(A1221="","",K1220))</f>
        <v/>
      </c>
      <c r="L1221">
        <f>IF(A1221="","",IF(ISNUMBER(--LEFT(A1221,FIND(" - ",A1221&amp;" - ")-1)),LEFT(A1221,FIND(" - ",A1221&amp;" - ")-1),TRIM(A1221)))</f>
        <v/>
      </c>
      <c r="M1221">
        <f>IF(OR(K1221="",K1221=A1221,A1221=""),"",K1221&amp;"|"&amp;L1221)</f>
        <v/>
      </c>
      <c r="N1221">
        <f>IF(M1221="","",IF(ISNUMBER(B1221),B1221,IFERROR(_xlfn.NUMBERVALUE(B1221,".",","),0)))</f>
        <v/>
      </c>
      <c r="O1221">
        <f>IF(M1221="","",IF(ISNUMBER(C1221),C1221,IFERROR(_xlfn.NUMBERVALUE(C1221,".",","),0)))</f>
        <v/>
      </c>
    </row>
    <row r="1222">
      <c r="K1222">
        <f>IF(OR(LEFT(B1222,9)="DOANH THU",LEFT(B1222,8)="SỐ LƯỢNG"),A1222,IF(A1222="","",K1221))</f>
        <v/>
      </c>
      <c r="L1222">
        <f>IF(A1222="","",IF(ISNUMBER(--LEFT(A1222,FIND(" - ",A1222&amp;" - ")-1)),LEFT(A1222,FIND(" - ",A1222&amp;" - ")-1),TRIM(A1222)))</f>
        <v/>
      </c>
      <c r="M1222">
        <f>IF(OR(K1222="",K1222=A1222,A1222=""),"",K1222&amp;"|"&amp;L1222)</f>
        <v/>
      </c>
      <c r="N1222">
        <f>IF(M1222="","",IF(ISNUMBER(B1222),B1222,IFERROR(_xlfn.NUMBERVALUE(B1222,".",","),0)))</f>
        <v/>
      </c>
      <c r="O1222">
        <f>IF(M1222="","",IF(ISNUMBER(C1222),C1222,IFERROR(_xlfn.NUMBERVALUE(C1222,".",","),0)))</f>
        <v/>
      </c>
    </row>
    <row r="1223">
      <c r="K1223">
        <f>IF(OR(LEFT(B1223,9)="DOANH THU",LEFT(B1223,8)="SỐ LƯỢNG"),A1223,IF(A1223="","",K1222))</f>
        <v/>
      </c>
      <c r="L1223">
        <f>IF(A1223="","",IF(ISNUMBER(--LEFT(A1223,FIND(" - ",A1223&amp;" - ")-1)),LEFT(A1223,FIND(" - ",A1223&amp;" - ")-1),TRIM(A1223)))</f>
        <v/>
      </c>
      <c r="M1223">
        <f>IF(OR(K1223="",K1223=A1223,A1223=""),"",K1223&amp;"|"&amp;L1223)</f>
        <v/>
      </c>
      <c r="N1223">
        <f>IF(M1223="","",IF(ISNUMBER(B1223),B1223,IFERROR(_xlfn.NUMBERVALUE(B1223,".",","),0)))</f>
        <v/>
      </c>
      <c r="O1223">
        <f>IF(M1223="","",IF(ISNUMBER(C1223),C1223,IFERROR(_xlfn.NUMBERVALUE(C1223,".",","),0)))</f>
        <v/>
      </c>
    </row>
    <row r="1224">
      <c r="K1224">
        <f>IF(OR(LEFT(B1224,9)="DOANH THU",LEFT(B1224,8)="SỐ LƯỢNG"),A1224,IF(A1224="","",K1223))</f>
        <v/>
      </c>
      <c r="L1224">
        <f>IF(A1224="","",IF(ISNUMBER(--LEFT(A1224,FIND(" - ",A1224&amp;" - ")-1)),LEFT(A1224,FIND(" - ",A1224&amp;" - ")-1),TRIM(A1224)))</f>
        <v/>
      </c>
      <c r="M1224">
        <f>IF(OR(K1224="",K1224=A1224,A1224=""),"",K1224&amp;"|"&amp;L1224)</f>
        <v/>
      </c>
      <c r="N1224">
        <f>IF(M1224="","",IF(ISNUMBER(B1224),B1224,IFERROR(_xlfn.NUMBERVALUE(B1224,".",","),0)))</f>
        <v/>
      </c>
      <c r="O1224">
        <f>IF(M1224="","",IF(ISNUMBER(C1224),C1224,IFERROR(_xlfn.NUMBERVALUE(C1224,".",","),0)))</f>
        <v/>
      </c>
    </row>
    <row r="1225">
      <c r="K1225">
        <f>IF(OR(LEFT(B1225,9)="DOANH THU",LEFT(B1225,8)="SỐ LƯỢNG"),A1225,IF(A1225="","",K1224))</f>
        <v/>
      </c>
      <c r="L1225">
        <f>IF(A1225="","",IF(ISNUMBER(--LEFT(A1225,FIND(" - ",A1225&amp;" - ")-1)),LEFT(A1225,FIND(" - ",A1225&amp;" - ")-1),TRIM(A1225)))</f>
        <v/>
      </c>
      <c r="M1225">
        <f>IF(OR(K1225="",K1225=A1225,A1225=""),"",K1225&amp;"|"&amp;L1225)</f>
        <v/>
      </c>
      <c r="N1225">
        <f>IF(M1225="","",IF(ISNUMBER(B1225),B1225,IFERROR(_xlfn.NUMBERVALUE(B1225,".",","),0)))</f>
        <v/>
      </c>
      <c r="O1225">
        <f>IF(M1225="","",IF(ISNUMBER(C1225),C1225,IFERROR(_xlfn.NUMBERVALUE(C1225,".",","),0)))</f>
        <v/>
      </c>
    </row>
    <row r="1226">
      <c r="K1226">
        <f>IF(OR(LEFT(B1226,9)="DOANH THU",LEFT(B1226,8)="SỐ LƯỢNG"),A1226,IF(A1226="","",K1225))</f>
        <v/>
      </c>
      <c r="L1226">
        <f>IF(A1226="","",IF(ISNUMBER(--LEFT(A1226,FIND(" - ",A1226&amp;" - ")-1)),LEFT(A1226,FIND(" - ",A1226&amp;" - ")-1),TRIM(A1226)))</f>
        <v/>
      </c>
      <c r="M1226">
        <f>IF(OR(K1226="",K1226=A1226,A1226=""),"",K1226&amp;"|"&amp;L1226)</f>
        <v/>
      </c>
      <c r="N1226">
        <f>IF(M1226="","",IF(ISNUMBER(B1226),B1226,IFERROR(_xlfn.NUMBERVALUE(B1226,".",","),0)))</f>
        <v/>
      </c>
      <c r="O1226">
        <f>IF(M1226="","",IF(ISNUMBER(C1226),C1226,IFERROR(_xlfn.NUMBERVALUE(C1226,".",","),0)))</f>
        <v/>
      </c>
    </row>
    <row r="1227">
      <c r="K1227">
        <f>IF(OR(LEFT(B1227,9)="DOANH THU",LEFT(B1227,8)="SỐ LƯỢNG"),A1227,IF(A1227="","",K1226))</f>
        <v/>
      </c>
      <c r="L1227">
        <f>IF(A1227="","",IF(ISNUMBER(--LEFT(A1227,FIND(" - ",A1227&amp;" - ")-1)),LEFT(A1227,FIND(" - ",A1227&amp;" - ")-1),TRIM(A1227)))</f>
        <v/>
      </c>
      <c r="M1227">
        <f>IF(OR(K1227="",K1227=A1227,A1227=""),"",K1227&amp;"|"&amp;L1227)</f>
        <v/>
      </c>
      <c r="N1227">
        <f>IF(M1227="","",IF(ISNUMBER(B1227),B1227,IFERROR(_xlfn.NUMBERVALUE(B1227,".",","),0)))</f>
        <v/>
      </c>
      <c r="O1227">
        <f>IF(M1227="","",IF(ISNUMBER(C1227),C1227,IFERROR(_xlfn.NUMBERVALUE(C1227,".",","),0)))</f>
        <v/>
      </c>
    </row>
    <row r="1228">
      <c r="K1228">
        <f>IF(OR(LEFT(B1228,9)="DOANH THU",LEFT(B1228,8)="SỐ LƯỢNG"),A1228,IF(A1228="","",K1227))</f>
        <v/>
      </c>
      <c r="L1228">
        <f>IF(A1228="","",IF(ISNUMBER(--LEFT(A1228,FIND(" - ",A1228&amp;" - ")-1)),LEFT(A1228,FIND(" - ",A1228&amp;" - ")-1),TRIM(A1228)))</f>
        <v/>
      </c>
      <c r="M1228">
        <f>IF(OR(K1228="",K1228=A1228,A1228=""),"",K1228&amp;"|"&amp;L1228)</f>
        <v/>
      </c>
      <c r="N1228">
        <f>IF(M1228="","",IF(ISNUMBER(B1228),B1228,IFERROR(_xlfn.NUMBERVALUE(B1228,".",","),0)))</f>
        <v/>
      </c>
      <c r="O1228">
        <f>IF(M1228="","",IF(ISNUMBER(C1228),C1228,IFERROR(_xlfn.NUMBERVALUE(C1228,".",","),0)))</f>
        <v/>
      </c>
    </row>
    <row r="1229">
      <c r="K1229">
        <f>IF(OR(LEFT(B1229,9)="DOANH THU",LEFT(B1229,8)="SỐ LƯỢNG"),A1229,IF(A1229="","",K1228))</f>
        <v/>
      </c>
      <c r="L1229">
        <f>IF(A1229="","",IF(ISNUMBER(--LEFT(A1229,FIND(" - ",A1229&amp;" - ")-1)),LEFT(A1229,FIND(" - ",A1229&amp;" - ")-1),TRIM(A1229)))</f>
        <v/>
      </c>
      <c r="M1229">
        <f>IF(OR(K1229="",K1229=A1229,A1229=""),"",K1229&amp;"|"&amp;L1229)</f>
        <v/>
      </c>
      <c r="N1229">
        <f>IF(M1229="","",IF(ISNUMBER(B1229),B1229,IFERROR(_xlfn.NUMBERVALUE(B1229,".",","),0)))</f>
        <v/>
      </c>
      <c r="O1229">
        <f>IF(M1229="","",IF(ISNUMBER(C1229),C1229,IFERROR(_xlfn.NUMBERVALUE(C1229,".",","),0)))</f>
        <v/>
      </c>
    </row>
    <row r="1230">
      <c r="K1230">
        <f>IF(OR(LEFT(B1230,9)="DOANH THU",LEFT(B1230,8)="SỐ LƯỢNG"),A1230,IF(A1230="","",K1229))</f>
        <v/>
      </c>
      <c r="L1230">
        <f>IF(A1230="","",IF(ISNUMBER(--LEFT(A1230,FIND(" - ",A1230&amp;" - ")-1)),LEFT(A1230,FIND(" - ",A1230&amp;" - ")-1),TRIM(A1230)))</f>
        <v/>
      </c>
      <c r="M1230">
        <f>IF(OR(K1230="",K1230=A1230,A1230=""),"",K1230&amp;"|"&amp;L1230)</f>
        <v/>
      </c>
      <c r="N1230">
        <f>IF(M1230="","",IF(ISNUMBER(B1230),B1230,IFERROR(_xlfn.NUMBERVALUE(B1230,".",","),0)))</f>
        <v/>
      </c>
      <c r="O1230">
        <f>IF(M1230="","",IF(ISNUMBER(C1230),C1230,IFERROR(_xlfn.NUMBERVALUE(C1230,".",","),0)))</f>
        <v/>
      </c>
    </row>
    <row r="1231">
      <c r="K1231">
        <f>IF(OR(LEFT(B1231,9)="DOANH THU",LEFT(B1231,8)="SỐ LƯỢNG"),A1231,IF(A1231="","",K1230))</f>
        <v/>
      </c>
      <c r="L1231">
        <f>IF(A1231="","",IF(ISNUMBER(--LEFT(A1231,FIND(" - ",A1231&amp;" - ")-1)),LEFT(A1231,FIND(" - ",A1231&amp;" - ")-1),TRIM(A1231)))</f>
        <v/>
      </c>
      <c r="M1231">
        <f>IF(OR(K1231="",K1231=A1231,A1231=""),"",K1231&amp;"|"&amp;L1231)</f>
        <v/>
      </c>
      <c r="N1231">
        <f>IF(M1231="","",IF(ISNUMBER(B1231),B1231,IFERROR(_xlfn.NUMBERVALUE(B1231,".",","),0)))</f>
        <v/>
      </c>
      <c r="O1231">
        <f>IF(M1231="","",IF(ISNUMBER(C1231),C1231,IFERROR(_xlfn.NUMBERVALUE(C1231,".",","),0)))</f>
        <v/>
      </c>
    </row>
    <row r="1232">
      <c r="K1232">
        <f>IF(OR(LEFT(B1232,9)="DOANH THU",LEFT(B1232,8)="SỐ LƯỢNG"),A1232,IF(A1232="","",K1231))</f>
        <v/>
      </c>
      <c r="L1232">
        <f>IF(A1232="","",IF(ISNUMBER(--LEFT(A1232,FIND(" - ",A1232&amp;" - ")-1)),LEFT(A1232,FIND(" - ",A1232&amp;" - ")-1),TRIM(A1232)))</f>
        <v/>
      </c>
      <c r="M1232">
        <f>IF(OR(K1232="",K1232=A1232,A1232=""),"",K1232&amp;"|"&amp;L1232)</f>
        <v/>
      </c>
      <c r="N1232">
        <f>IF(M1232="","",IF(ISNUMBER(B1232),B1232,IFERROR(_xlfn.NUMBERVALUE(B1232,".",","),0)))</f>
        <v/>
      </c>
      <c r="O1232">
        <f>IF(M1232="","",IF(ISNUMBER(C1232),C1232,IFERROR(_xlfn.NUMBERVALUE(C1232,".",","),0)))</f>
        <v/>
      </c>
    </row>
    <row r="1233">
      <c r="K1233">
        <f>IF(OR(LEFT(B1233,9)="DOANH THU",LEFT(B1233,8)="SỐ LƯỢNG"),A1233,IF(A1233="","",K1232))</f>
        <v/>
      </c>
      <c r="L1233">
        <f>IF(A1233="","",IF(ISNUMBER(--LEFT(A1233,FIND(" - ",A1233&amp;" - ")-1)),LEFT(A1233,FIND(" - ",A1233&amp;" - ")-1),TRIM(A1233)))</f>
        <v/>
      </c>
      <c r="M1233">
        <f>IF(OR(K1233="",K1233=A1233,A1233=""),"",K1233&amp;"|"&amp;L1233)</f>
        <v/>
      </c>
      <c r="N1233">
        <f>IF(M1233="","",IF(ISNUMBER(B1233),B1233,IFERROR(_xlfn.NUMBERVALUE(B1233,".",","),0)))</f>
        <v/>
      </c>
      <c r="O1233">
        <f>IF(M1233="","",IF(ISNUMBER(C1233),C1233,IFERROR(_xlfn.NUMBERVALUE(C1233,".",","),0)))</f>
        <v/>
      </c>
    </row>
    <row r="1234">
      <c r="K1234">
        <f>IF(OR(LEFT(B1234,9)="DOANH THU",LEFT(B1234,8)="SỐ LƯỢNG"),A1234,IF(A1234="","",K1233))</f>
        <v/>
      </c>
      <c r="L1234">
        <f>IF(A1234="","",IF(ISNUMBER(--LEFT(A1234,FIND(" - ",A1234&amp;" - ")-1)),LEFT(A1234,FIND(" - ",A1234&amp;" - ")-1),TRIM(A1234)))</f>
        <v/>
      </c>
      <c r="M1234">
        <f>IF(OR(K1234="",K1234=A1234,A1234=""),"",K1234&amp;"|"&amp;L1234)</f>
        <v/>
      </c>
      <c r="N1234">
        <f>IF(M1234="","",IF(ISNUMBER(B1234),B1234,IFERROR(_xlfn.NUMBERVALUE(B1234,".",","),0)))</f>
        <v/>
      </c>
      <c r="O1234">
        <f>IF(M1234="","",IF(ISNUMBER(C1234),C1234,IFERROR(_xlfn.NUMBERVALUE(C1234,".",","),0)))</f>
        <v/>
      </c>
    </row>
    <row r="1235">
      <c r="K1235">
        <f>IF(OR(LEFT(B1235,9)="DOANH THU",LEFT(B1235,8)="SỐ LƯỢNG"),A1235,IF(A1235="","",K1234))</f>
        <v/>
      </c>
      <c r="L1235">
        <f>IF(A1235="","",IF(ISNUMBER(--LEFT(A1235,FIND(" - ",A1235&amp;" - ")-1)),LEFT(A1235,FIND(" - ",A1235&amp;" - ")-1),TRIM(A1235)))</f>
        <v/>
      </c>
      <c r="M1235">
        <f>IF(OR(K1235="",K1235=A1235,A1235=""),"",K1235&amp;"|"&amp;L1235)</f>
        <v/>
      </c>
      <c r="N1235">
        <f>IF(M1235="","",IF(ISNUMBER(B1235),B1235,IFERROR(_xlfn.NUMBERVALUE(B1235,".",","),0)))</f>
        <v/>
      </c>
      <c r="O1235">
        <f>IF(M1235="","",IF(ISNUMBER(C1235),C1235,IFERROR(_xlfn.NUMBERVALUE(C1235,".",","),0)))</f>
        <v/>
      </c>
    </row>
    <row r="1236">
      <c r="K1236">
        <f>IF(OR(LEFT(B1236,9)="DOANH THU",LEFT(B1236,8)="SỐ LƯỢNG"),A1236,IF(A1236="","",K1235))</f>
        <v/>
      </c>
      <c r="L1236">
        <f>IF(A1236="","",IF(ISNUMBER(--LEFT(A1236,FIND(" - ",A1236&amp;" - ")-1)),LEFT(A1236,FIND(" - ",A1236&amp;" - ")-1),TRIM(A1236)))</f>
        <v/>
      </c>
      <c r="M1236">
        <f>IF(OR(K1236="",K1236=A1236,A1236=""),"",K1236&amp;"|"&amp;L1236)</f>
        <v/>
      </c>
      <c r="N1236">
        <f>IF(M1236="","",IF(ISNUMBER(B1236),B1236,IFERROR(_xlfn.NUMBERVALUE(B1236,".",","),0)))</f>
        <v/>
      </c>
      <c r="O1236">
        <f>IF(M1236="","",IF(ISNUMBER(C1236),C1236,IFERROR(_xlfn.NUMBERVALUE(C1236,".",","),0)))</f>
        <v/>
      </c>
    </row>
    <row r="1237">
      <c r="K1237">
        <f>IF(OR(LEFT(B1237,9)="DOANH THU",LEFT(B1237,8)="SỐ LƯỢNG"),A1237,IF(A1237="","",K1236))</f>
        <v/>
      </c>
      <c r="L1237">
        <f>IF(A1237="","",IF(ISNUMBER(--LEFT(A1237,FIND(" - ",A1237&amp;" - ")-1)),LEFT(A1237,FIND(" - ",A1237&amp;" - ")-1),TRIM(A1237)))</f>
        <v/>
      </c>
      <c r="M1237">
        <f>IF(OR(K1237="",K1237=A1237,A1237=""),"",K1237&amp;"|"&amp;L1237)</f>
        <v/>
      </c>
      <c r="N1237">
        <f>IF(M1237="","",IF(ISNUMBER(B1237),B1237,IFERROR(_xlfn.NUMBERVALUE(B1237,".",","),0)))</f>
        <v/>
      </c>
      <c r="O1237">
        <f>IF(M1237="","",IF(ISNUMBER(C1237),C1237,IFERROR(_xlfn.NUMBERVALUE(C1237,".",","),0)))</f>
        <v/>
      </c>
    </row>
    <row r="1238">
      <c r="K1238">
        <f>IF(OR(LEFT(B1238,9)="DOANH THU",LEFT(B1238,8)="SỐ LƯỢNG"),A1238,IF(A1238="","",K1237))</f>
        <v/>
      </c>
      <c r="L1238">
        <f>IF(A1238="","",IF(ISNUMBER(--LEFT(A1238,FIND(" - ",A1238&amp;" - ")-1)),LEFT(A1238,FIND(" - ",A1238&amp;" - ")-1),TRIM(A1238)))</f>
        <v/>
      </c>
      <c r="M1238">
        <f>IF(OR(K1238="",K1238=A1238,A1238=""),"",K1238&amp;"|"&amp;L1238)</f>
        <v/>
      </c>
      <c r="N1238">
        <f>IF(M1238="","",IF(ISNUMBER(B1238),B1238,IFERROR(_xlfn.NUMBERVALUE(B1238,".",","),0)))</f>
        <v/>
      </c>
      <c r="O1238">
        <f>IF(M1238="","",IF(ISNUMBER(C1238),C1238,IFERROR(_xlfn.NUMBERVALUE(C1238,".",","),0)))</f>
        <v/>
      </c>
    </row>
    <row r="1239">
      <c r="K1239">
        <f>IF(OR(LEFT(B1239,9)="DOANH THU",LEFT(B1239,8)="SỐ LƯỢNG"),A1239,IF(A1239="","",K1238))</f>
        <v/>
      </c>
      <c r="L1239">
        <f>IF(A1239="","",IF(ISNUMBER(--LEFT(A1239,FIND(" - ",A1239&amp;" - ")-1)),LEFT(A1239,FIND(" - ",A1239&amp;" - ")-1),TRIM(A1239)))</f>
        <v/>
      </c>
      <c r="M1239">
        <f>IF(OR(K1239="",K1239=A1239,A1239=""),"",K1239&amp;"|"&amp;L1239)</f>
        <v/>
      </c>
      <c r="N1239">
        <f>IF(M1239="","",IF(ISNUMBER(B1239),B1239,IFERROR(_xlfn.NUMBERVALUE(B1239,".",","),0)))</f>
        <v/>
      </c>
      <c r="O1239">
        <f>IF(M1239="","",IF(ISNUMBER(C1239),C1239,IFERROR(_xlfn.NUMBERVALUE(C1239,".",","),0)))</f>
        <v/>
      </c>
    </row>
    <row r="1240">
      <c r="K1240">
        <f>IF(OR(LEFT(B1240,9)="DOANH THU",LEFT(B1240,8)="SỐ LƯỢNG"),A1240,IF(A1240="","",K1239))</f>
        <v/>
      </c>
      <c r="L1240">
        <f>IF(A1240="","",IF(ISNUMBER(--LEFT(A1240,FIND(" - ",A1240&amp;" - ")-1)),LEFT(A1240,FIND(" - ",A1240&amp;" - ")-1),TRIM(A1240)))</f>
        <v/>
      </c>
      <c r="M1240">
        <f>IF(OR(K1240="",K1240=A1240,A1240=""),"",K1240&amp;"|"&amp;L1240)</f>
        <v/>
      </c>
      <c r="N1240">
        <f>IF(M1240="","",IF(ISNUMBER(B1240),B1240,IFERROR(_xlfn.NUMBERVALUE(B1240,".",","),0)))</f>
        <v/>
      </c>
      <c r="O1240">
        <f>IF(M1240="","",IF(ISNUMBER(C1240),C1240,IFERROR(_xlfn.NUMBERVALUE(C1240,".",","),0)))</f>
        <v/>
      </c>
    </row>
    <row r="1241">
      <c r="K1241">
        <f>IF(OR(LEFT(B1241,9)="DOANH THU",LEFT(B1241,8)="SỐ LƯỢNG"),A1241,IF(A1241="","",K1240))</f>
        <v/>
      </c>
      <c r="L1241">
        <f>IF(A1241="","",IF(ISNUMBER(--LEFT(A1241,FIND(" - ",A1241&amp;" - ")-1)),LEFT(A1241,FIND(" - ",A1241&amp;" - ")-1),TRIM(A1241)))</f>
        <v/>
      </c>
      <c r="M1241">
        <f>IF(OR(K1241="",K1241=A1241,A1241=""),"",K1241&amp;"|"&amp;L1241)</f>
        <v/>
      </c>
      <c r="N1241">
        <f>IF(M1241="","",IF(ISNUMBER(B1241),B1241,IFERROR(_xlfn.NUMBERVALUE(B1241,".",","),0)))</f>
        <v/>
      </c>
      <c r="O1241">
        <f>IF(M1241="","",IF(ISNUMBER(C1241),C1241,IFERROR(_xlfn.NUMBERVALUE(C1241,".",","),0)))</f>
        <v/>
      </c>
    </row>
    <row r="1242">
      <c r="K1242">
        <f>IF(OR(LEFT(B1242,9)="DOANH THU",LEFT(B1242,8)="SỐ LƯỢNG"),A1242,IF(A1242="","",K1241))</f>
        <v/>
      </c>
      <c r="L1242">
        <f>IF(A1242="","",IF(ISNUMBER(--LEFT(A1242,FIND(" - ",A1242&amp;" - ")-1)),LEFT(A1242,FIND(" - ",A1242&amp;" - ")-1),TRIM(A1242)))</f>
        <v/>
      </c>
      <c r="M1242">
        <f>IF(OR(K1242="",K1242=A1242,A1242=""),"",K1242&amp;"|"&amp;L1242)</f>
        <v/>
      </c>
      <c r="N1242">
        <f>IF(M1242="","",IF(ISNUMBER(B1242),B1242,IFERROR(_xlfn.NUMBERVALUE(B1242,".",","),0)))</f>
        <v/>
      </c>
      <c r="O1242">
        <f>IF(M1242="","",IF(ISNUMBER(C1242),C1242,IFERROR(_xlfn.NUMBERVALUE(C1242,".",","),0)))</f>
        <v/>
      </c>
    </row>
    <row r="1243">
      <c r="K1243">
        <f>IF(OR(LEFT(B1243,9)="DOANH THU",LEFT(B1243,8)="SỐ LƯỢNG"),A1243,IF(A1243="","",K1242))</f>
        <v/>
      </c>
      <c r="L1243">
        <f>IF(A1243="","",IF(ISNUMBER(--LEFT(A1243,FIND(" - ",A1243&amp;" - ")-1)),LEFT(A1243,FIND(" - ",A1243&amp;" - ")-1),TRIM(A1243)))</f>
        <v/>
      </c>
      <c r="M1243">
        <f>IF(OR(K1243="",K1243=A1243,A1243=""),"",K1243&amp;"|"&amp;L1243)</f>
        <v/>
      </c>
      <c r="N1243">
        <f>IF(M1243="","",IF(ISNUMBER(B1243),B1243,IFERROR(_xlfn.NUMBERVALUE(B1243,".",","),0)))</f>
        <v/>
      </c>
      <c r="O1243">
        <f>IF(M1243="","",IF(ISNUMBER(C1243),C1243,IFERROR(_xlfn.NUMBERVALUE(C1243,".",","),0)))</f>
        <v/>
      </c>
    </row>
    <row r="1244">
      <c r="K1244">
        <f>IF(OR(LEFT(B1244,9)="DOANH THU",LEFT(B1244,8)="SỐ LƯỢNG"),A1244,IF(A1244="","",K1243))</f>
        <v/>
      </c>
      <c r="L1244">
        <f>IF(A1244="","",IF(ISNUMBER(--LEFT(A1244,FIND(" - ",A1244&amp;" - ")-1)),LEFT(A1244,FIND(" - ",A1244&amp;" - ")-1),TRIM(A1244)))</f>
        <v/>
      </c>
      <c r="M1244">
        <f>IF(OR(K1244="",K1244=A1244,A1244=""),"",K1244&amp;"|"&amp;L1244)</f>
        <v/>
      </c>
      <c r="N1244">
        <f>IF(M1244="","",IF(ISNUMBER(B1244),B1244,IFERROR(_xlfn.NUMBERVALUE(B1244,".",","),0)))</f>
        <v/>
      </c>
      <c r="O1244">
        <f>IF(M1244="","",IF(ISNUMBER(C1244),C1244,IFERROR(_xlfn.NUMBERVALUE(C1244,".",","),0)))</f>
        <v/>
      </c>
    </row>
    <row r="1245">
      <c r="K1245">
        <f>IF(OR(LEFT(B1245,9)="DOANH THU",LEFT(B1245,8)="SỐ LƯỢNG"),A1245,IF(A1245="","",K1244))</f>
        <v/>
      </c>
      <c r="L1245">
        <f>IF(A1245="","",IF(ISNUMBER(--LEFT(A1245,FIND(" - ",A1245&amp;" - ")-1)),LEFT(A1245,FIND(" - ",A1245&amp;" - ")-1),TRIM(A1245)))</f>
        <v/>
      </c>
      <c r="M1245">
        <f>IF(OR(K1245="",K1245=A1245,A1245=""),"",K1245&amp;"|"&amp;L1245)</f>
        <v/>
      </c>
      <c r="N1245">
        <f>IF(M1245="","",IF(ISNUMBER(B1245),B1245,IFERROR(_xlfn.NUMBERVALUE(B1245,".",","),0)))</f>
        <v/>
      </c>
      <c r="O1245">
        <f>IF(M1245="","",IF(ISNUMBER(C1245),C1245,IFERROR(_xlfn.NUMBERVALUE(C1245,".",","),0)))</f>
        <v/>
      </c>
    </row>
    <row r="1246">
      <c r="K1246">
        <f>IF(OR(LEFT(B1246,9)="DOANH THU",LEFT(B1246,8)="SỐ LƯỢNG"),A1246,IF(A1246="","",K1245))</f>
        <v/>
      </c>
      <c r="L1246">
        <f>IF(A1246="","",IF(ISNUMBER(--LEFT(A1246,FIND(" - ",A1246&amp;" - ")-1)),LEFT(A1246,FIND(" - ",A1246&amp;" - ")-1),TRIM(A1246)))</f>
        <v/>
      </c>
      <c r="M1246">
        <f>IF(OR(K1246="",K1246=A1246,A1246=""),"",K1246&amp;"|"&amp;L1246)</f>
        <v/>
      </c>
      <c r="N1246">
        <f>IF(M1246="","",IF(ISNUMBER(B1246),B1246,IFERROR(_xlfn.NUMBERVALUE(B1246,".",","),0)))</f>
        <v/>
      </c>
      <c r="O1246">
        <f>IF(M1246="","",IF(ISNUMBER(C1246),C1246,IFERROR(_xlfn.NUMBERVALUE(C1246,".",","),0)))</f>
        <v/>
      </c>
    </row>
    <row r="1247">
      <c r="K1247">
        <f>IF(OR(LEFT(B1247,9)="DOANH THU",LEFT(B1247,8)="SỐ LƯỢNG"),A1247,IF(A1247="","",K1246))</f>
        <v/>
      </c>
      <c r="L1247">
        <f>IF(A1247="","",IF(ISNUMBER(--LEFT(A1247,FIND(" - ",A1247&amp;" - ")-1)),LEFT(A1247,FIND(" - ",A1247&amp;" - ")-1),TRIM(A1247)))</f>
        <v/>
      </c>
      <c r="M1247">
        <f>IF(OR(K1247="",K1247=A1247,A1247=""),"",K1247&amp;"|"&amp;L1247)</f>
        <v/>
      </c>
      <c r="N1247">
        <f>IF(M1247="","",IF(ISNUMBER(B1247),B1247,IFERROR(_xlfn.NUMBERVALUE(B1247,".",","),0)))</f>
        <v/>
      </c>
      <c r="O1247">
        <f>IF(M1247="","",IF(ISNUMBER(C1247),C1247,IFERROR(_xlfn.NUMBERVALUE(C1247,".",","),0)))</f>
        <v/>
      </c>
    </row>
    <row r="1248">
      <c r="K1248">
        <f>IF(OR(LEFT(B1248,9)="DOANH THU",LEFT(B1248,8)="SỐ LƯỢNG"),A1248,IF(A1248="","",K1247))</f>
        <v/>
      </c>
      <c r="L1248">
        <f>IF(A1248="","",IF(ISNUMBER(--LEFT(A1248,FIND(" - ",A1248&amp;" - ")-1)),LEFT(A1248,FIND(" - ",A1248&amp;" - ")-1),TRIM(A1248)))</f>
        <v/>
      </c>
      <c r="M1248">
        <f>IF(OR(K1248="",K1248=A1248,A1248=""),"",K1248&amp;"|"&amp;L1248)</f>
        <v/>
      </c>
      <c r="N1248">
        <f>IF(M1248="","",IF(ISNUMBER(B1248),B1248,IFERROR(_xlfn.NUMBERVALUE(B1248,".",","),0)))</f>
        <v/>
      </c>
      <c r="O1248">
        <f>IF(M1248="","",IF(ISNUMBER(C1248),C1248,IFERROR(_xlfn.NUMBERVALUE(C1248,".",","),0)))</f>
        <v/>
      </c>
    </row>
    <row r="1249">
      <c r="K1249">
        <f>IF(OR(LEFT(B1249,9)="DOANH THU",LEFT(B1249,8)="SỐ LƯỢNG"),A1249,IF(A1249="","",K1248))</f>
        <v/>
      </c>
      <c r="L1249">
        <f>IF(A1249="","",IF(ISNUMBER(--LEFT(A1249,FIND(" - ",A1249&amp;" - ")-1)),LEFT(A1249,FIND(" - ",A1249&amp;" - ")-1),TRIM(A1249)))</f>
        <v/>
      </c>
      <c r="M1249">
        <f>IF(OR(K1249="",K1249=A1249,A1249=""),"",K1249&amp;"|"&amp;L1249)</f>
        <v/>
      </c>
      <c r="N1249">
        <f>IF(M1249="","",IF(ISNUMBER(B1249),B1249,IFERROR(_xlfn.NUMBERVALUE(B1249,".",","),0)))</f>
        <v/>
      </c>
      <c r="O1249">
        <f>IF(M1249="","",IF(ISNUMBER(C1249),C1249,IFERROR(_xlfn.NUMBERVALUE(C1249,".",","),0)))</f>
        <v/>
      </c>
    </row>
    <row r="1250">
      <c r="K1250">
        <f>IF(OR(LEFT(B1250,9)="DOANH THU",LEFT(B1250,8)="SỐ LƯỢNG"),A1250,IF(A1250="","",K1249))</f>
        <v/>
      </c>
      <c r="L1250">
        <f>IF(A1250="","",IF(ISNUMBER(--LEFT(A1250,FIND(" - ",A1250&amp;" - ")-1)),LEFT(A1250,FIND(" - ",A1250&amp;" - ")-1),TRIM(A1250)))</f>
        <v/>
      </c>
      <c r="M1250">
        <f>IF(OR(K1250="",K1250=A1250,A1250=""),"",K1250&amp;"|"&amp;L1250)</f>
        <v/>
      </c>
      <c r="N1250">
        <f>IF(M1250="","",IF(ISNUMBER(B1250),B1250,IFERROR(_xlfn.NUMBERVALUE(B1250,".",","),0)))</f>
        <v/>
      </c>
      <c r="O1250">
        <f>IF(M1250="","",IF(ISNUMBER(C1250),C1250,IFERROR(_xlfn.NUMBERVALUE(C1250,".",","),0)))</f>
        <v/>
      </c>
    </row>
    <row r="1251">
      <c r="K1251">
        <f>IF(OR(LEFT(B1251,9)="DOANH THU",LEFT(B1251,8)="SỐ LƯỢNG"),A1251,IF(A1251="","",K1250))</f>
        <v/>
      </c>
      <c r="L1251">
        <f>IF(A1251="","",IF(ISNUMBER(--LEFT(A1251,FIND(" - ",A1251&amp;" - ")-1)),LEFT(A1251,FIND(" - ",A1251&amp;" - ")-1),TRIM(A1251)))</f>
        <v/>
      </c>
      <c r="M1251">
        <f>IF(OR(K1251="",K1251=A1251,A1251=""),"",K1251&amp;"|"&amp;L1251)</f>
        <v/>
      </c>
      <c r="N1251">
        <f>IF(M1251="","",IF(ISNUMBER(B1251),B1251,IFERROR(_xlfn.NUMBERVALUE(B1251,".",","),0)))</f>
        <v/>
      </c>
      <c r="O1251">
        <f>IF(M1251="","",IF(ISNUMBER(C1251),C1251,IFERROR(_xlfn.NUMBERVALUE(C1251,".",","),0)))</f>
        <v/>
      </c>
    </row>
    <row r="1252">
      <c r="K1252">
        <f>IF(OR(LEFT(B1252,9)="DOANH THU",LEFT(B1252,8)="SỐ LƯỢNG"),A1252,IF(A1252="","",K1251))</f>
        <v/>
      </c>
      <c r="L1252">
        <f>IF(A1252="","",IF(ISNUMBER(--LEFT(A1252,FIND(" - ",A1252&amp;" - ")-1)),LEFT(A1252,FIND(" - ",A1252&amp;" - ")-1),TRIM(A1252)))</f>
        <v/>
      </c>
      <c r="M1252">
        <f>IF(OR(K1252="",K1252=A1252,A1252=""),"",K1252&amp;"|"&amp;L1252)</f>
        <v/>
      </c>
      <c r="N1252">
        <f>IF(M1252="","",IF(ISNUMBER(B1252),B1252,IFERROR(_xlfn.NUMBERVALUE(B1252,".",","),0)))</f>
        <v/>
      </c>
      <c r="O1252">
        <f>IF(M1252="","",IF(ISNUMBER(C1252),C1252,IFERROR(_xlfn.NUMBERVALUE(C1252,".",","),0)))</f>
        <v/>
      </c>
    </row>
    <row r="1253">
      <c r="K1253">
        <f>IF(OR(LEFT(B1253,9)="DOANH THU",LEFT(B1253,8)="SỐ LƯỢNG"),A1253,IF(A1253="","",K1252))</f>
        <v/>
      </c>
      <c r="L1253">
        <f>IF(A1253="","",IF(ISNUMBER(--LEFT(A1253,FIND(" - ",A1253&amp;" - ")-1)),LEFT(A1253,FIND(" - ",A1253&amp;" - ")-1),TRIM(A1253)))</f>
        <v/>
      </c>
      <c r="M1253">
        <f>IF(OR(K1253="",K1253=A1253,A1253=""),"",K1253&amp;"|"&amp;L1253)</f>
        <v/>
      </c>
      <c r="N1253">
        <f>IF(M1253="","",IF(ISNUMBER(B1253),B1253,IFERROR(_xlfn.NUMBERVALUE(B1253,".",","),0)))</f>
        <v/>
      </c>
      <c r="O1253">
        <f>IF(M1253="","",IF(ISNUMBER(C1253),C1253,IFERROR(_xlfn.NUMBERVALUE(C1253,".",","),0)))</f>
        <v/>
      </c>
    </row>
    <row r="1254">
      <c r="K1254">
        <f>IF(OR(LEFT(B1254,9)="DOANH THU",LEFT(B1254,8)="SỐ LƯỢNG"),A1254,IF(A1254="","",K1253))</f>
        <v/>
      </c>
      <c r="L1254">
        <f>IF(A1254="","",IF(ISNUMBER(--LEFT(A1254,FIND(" - ",A1254&amp;" - ")-1)),LEFT(A1254,FIND(" - ",A1254&amp;" - ")-1),TRIM(A1254)))</f>
        <v/>
      </c>
      <c r="M1254">
        <f>IF(OR(K1254="",K1254=A1254,A1254=""),"",K1254&amp;"|"&amp;L1254)</f>
        <v/>
      </c>
      <c r="N1254">
        <f>IF(M1254="","",IF(ISNUMBER(B1254),B1254,IFERROR(_xlfn.NUMBERVALUE(B1254,".",","),0)))</f>
        <v/>
      </c>
      <c r="O1254">
        <f>IF(M1254="","",IF(ISNUMBER(C1254),C1254,IFERROR(_xlfn.NUMBERVALUE(C1254,".",","),0)))</f>
        <v/>
      </c>
    </row>
    <row r="1255">
      <c r="K1255">
        <f>IF(OR(LEFT(B1255,9)="DOANH THU",LEFT(B1255,8)="SỐ LƯỢNG"),A1255,IF(A1255="","",K1254))</f>
        <v/>
      </c>
      <c r="L1255">
        <f>IF(A1255="","",IF(ISNUMBER(--LEFT(A1255,FIND(" - ",A1255&amp;" - ")-1)),LEFT(A1255,FIND(" - ",A1255&amp;" - ")-1),TRIM(A1255)))</f>
        <v/>
      </c>
      <c r="M1255">
        <f>IF(OR(K1255="",K1255=A1255,A1255=""),"",K1255&amp;"|"&amp;L1255)</f>
        <v/>
      </c>
      <c r="N1255">
        <f>IF(M1255="","",IF(ISNUMBER(B1255),B1255,IFERROR(_xlfn.NUMBERVALUE(B1255,".",","),0)))</f>
        <v/>
      </c>
      <c r="O1255">
        <f>IF(M1255="","",IF(ISNUMBER(C1255),C1255,IFERROR(_xlfn.NUMBERVALUE(C1255,".",","),0)))</f>
        <v/>
      </c>
    </row>
    <row r="1256">
      <c r="K1256">
        <f>IF(OR(LEFT(B1256,9)="DOANH THU",LEFT(B1256,8)="SỐ LƯỢNG"),A1256,IF(A1256="","",K1255))</f>
        <v/>
      </c>
      <c r="L1256">
        <f>IF(A1256="","",IF(ISNUMBER(--LEFT(A1256,FIND(" - ",A1256&amp;" - ")-1)),LEFT(A1256,FIND(" - ",A1256&amp;" - ")-1),TRIM(A1256)))</f>
        <v/>
      </c>
      <c r="M1256">
        <f>IF(OR(K1256="",K1256=A1256,A1256=""),"",K1256&amp;"|"&amp;L1256)</f>
        <v/>
      </c>
      <c r="N1256">
        <f>IF(M1256="","",IF(ISNUMBER(B1256),B1256,IFERROR(_xlfn.NUMBERVALUE(B1256,".",","),0)))</f>
        <v/>
      </c>
      <c r="O1256">
        <f>IF(M1256="","",IF(ISNUMBER(C1256),C1256,IFERROR(_xlfn.NUMBERVALUE(C1256,".",","),0)))</f>
        <v/>
      </c>
    </row>
    <row r="1257">
      <c r="K1257">
        <f>IF(OR(LEFT(B1257,9)="DOANH THU",LEFT(B1257,8)="SỐ LƯỢNG"),A1257,IF(A1257="","",K1256))</f>
        <v/>
      </c>
      <c r="L1257">
        <f>IF(A1257="","",IF(ISNUMBER(--LEFT(A1257,FIND(" - ",A1257&amp;" - ")-1)),LEFT(A1257,FIND(" - ",A1257&amp;" - ")-1),TRIM(A1257)))</f>
        <v/>
      </c>
      <c r="M1257">
        <f>IF(OR(K1257="",K1257=A1257,A1257=""),"",K1257&amp;"|"&amp;L1257)</f>
        <v/>
      </c>
      <c r="N1257">
        <f>IF(M1257="","",IF(ISNUMBER(B1257),B1257,IFERROR(_xlfn.NUMBERVALUE(B1257,".",","),0)))</f>
        <v/>
      </c>
      <c r="O1257">
        <f>IF(M1257="","",IF(ISNUMBER(C1257),C1257,IFERROR(_xlfn.NUMBERVALUE(C1257,".",","),0)))</f>
        <v/>
      </c>
    </row>
    <row r="1258">
      <c r="K1258">
        <f>IF(OR(LEFT(B1258,9)="DOANH THU",LEFT(B1258,8)="SỐ LƯỢNG"),A1258,IF(A1258="","",K1257))</f>
        <v/>
      </c>
      <c r="L1258">
        <f>IF(A1258="","",IF(ISNUMBER(--LEFT(A1258,FIND(" - ",A1258&amp;" - ")-1)),LEFT(A1258,FIND(" - ",A1258&amp;" - ")-1),TRIM(A1258)))</f>
        <v/>
      </c>
      <c r="M1258">
        <f>IF(OR(K1258="",K1258=A1258,A1258=""),"",K1258&amp;"|"&amp;L1258)</f>
        <v/>
      </c>
      <c r="N1258">
        <f>IF(M1258="","",IF(ISNUMBER(B1258),B1258,IFERROR(_xlfn.NUMBERVALUE(B1258,".",","),0)))</f>
        <v/>
      </c>
      <c r="O1258">
        <f>IF(M1258="","",IF(ISNUMBER(C1258),C1258,IFERROR(_xlfn.NUMBERVALUE(C1258,".",","),0)))</f>
        <v/>
      </c>
    </row>
    <row r="1259">
      <c r="K1259">
        <f>IF(OR(LEFT(B1259,9)="DOANH THU",LEFT(B1259,8)="SỐ LƯỢNG"),A1259,IF(A1259="","",K1258))</f>
        <v/>
      </c>
      <c r="L1259">
        <f>IF(A1259="","",IF(ISNUMBER(--LEFT(A1259,FIND(" - ",A1259&amp;" - ")-1)),LEFT(A1259,FIND(" - ",A1259&amp;" - ")-1),TRIM(A1259)))</f>
        <v/>
      </c>
      <c r="M1259">
        <f>IF(OR(K1259="",K1259=A1259,A1259=""),"",K1259&amp;"|"&amp;L1259)</f>
        <v/>
      </c>
      <c r="N1259">
        <f>IF(M1259="","",IF(ISNUMBER(B1259),B1259,IFERROR(_xlfn.NUMBERVALUE(B1259,".",","),0)))</f>
        <v/>
      </c>
      <c r="O1259">
        <f>IF(M1259="","",IF(ISNUMBER(C1259),C1259,IFERROR(_xlfn.NUMBERVALUE(C1259,".",","),0)))</f>
        <v/>
      </c>
    </row>
    <row r="1260">
      <c r="K1260">
        <f>IF(OR(LEFT(B1260,9)="DOANH THU",LEFT(B1260,8)="SỐ LƯỢNG"),A1260,IF(A1260="","",K1259))</f>
        <v/>
      </c>
      <c r="L1260">
        <f>IF(A1260="","",IF(ISNUMBER(--LEFT(A1260,FIND(" - ",A1260&amp;" - ")-1)),LEFT(A1260,FIND(" - ",A1260&amp;" - ")-1),TRIM(A1260)))</f>
        <v/>
      </c>
      <c r="M1260">
        <f>IF(OR(K1260="",K1260=A1260,A1260=""),"",K1260&amp;"|"&amp;L1260)</f>
        <v/>
      </c>
      <c r="N1260">
        <f>IF(M1260="","",IF(ISNUMBER(B1260),B1260,IFERROR(_xlfn.NUMBERVALUE(B1260,".",","),0)))</f>
        <v/>
      </c>
      <c r="O1260">
        <f>IF(M1260="","",IF(ISNUMBER(C1260),C1260,IFERROR(_xlfn.NUMBERVALUE(C1260,".",","),0)))</f>
        <v/>
      </c>
    </row>
    <row r="1261">
      <c r="K1261">
        <f>IF(OR(LEFT(B1261,9)="DOANH THU",LEFT(B1261,8)="SỐ LƯỢNG"),A1261,IF(A1261="","",K1260))</f>
        <v/>
      </c>
      <c r="L1261">
        <f>IF(A1261="","",IF(ISNUMBER(--LEFT(A1261,FIND(" - ",A1261&amp;" - ")-1)),LEFT(A1261,FIND(" - ",A1261&amp;" - ")-1),TRIM(A1261)))</f>
        <v/>
      </c>
      <c r="M1261">
        <f>IF(OR(K1261="",K1261=A1261,A1261=""),"",K1261&amp;"|"&amp;L1261)</f>
        <v/>
      </c>
      <c r="N1261">
        <f>IF(M1261="","",IF(ISNUMBER(B1261),B1261,IFERROR(_xlfn.NUMBERVALUE(B1261,".",","),0)))</f>
        <v/>
      </c>
      <c r="O1261">
        <f>IF(M1261="","",IF(ISNUMBER(C1261),C1261,IFERROR(_xlfn.NUMBERVALUE(C1261,".",","),0)))</f>
        <v/>
      </c>
    </row>
    <row r="1262">
      <c r="K1262">
        <f>IF(OR(LEFT(B1262,9)="DOANH THU",LEFT(B1262,8)="SỐ LƯỢNG"),A1262,IF(A1262="","",K1261))</f>
        <v/>
      </c>
      <c r="L1262">
        <f>IF(A1262="","",IF(ISNUMBER(--LEFT(A1262,FIND(" - ",A1262&amp;" - ")-1)),LEFT(A1262,FIND(" - ",A1262&amp;" - ")-1),TRIM(A1262)))</f>
        <v/>
      </c>
      <c r="M1262">
        <f>IF(OR(K1262="",K1262=A1262,A1262=""),"",K1262&amp;"|"&amp;L1262)</f>
        <v/>
      </c>
      <c r="N1262">
        <f>IF(M1262="","",IF(ISNUMBER(B1262),B1262,IFERROR(_xlfn.NUMBERVALUE(B1262,".",","),0)))</f>
        <v/>
      </c>
      <c r="O1262">
        <f>IF(M1262="","",IF(ISNUMBER(C1262),C1262,IFERROR(_xlfn.NUMBERVALUE(C1262,".",","),0)))</f>
        <v/>
      </c>
    </row>
    <row r="1263">
      <c r="K1263">
        <f>IF(OR(LEFT(B1263,9)="DOANH THU",LEFT(B1263,8)="SỐ LƯỢNG"),A1263,IF(A1263="","",K1262))</f>
        <v/>
      </c>
      <c r="L1263">
        <f>IF(A1263="","",IF(ISNUMBER(--LEFT(A1263,FIND(" - ",A1263&amp;" - ")-1)),LEFT(A1263,FIND(" - ",A1263&amp;" - ")-1),TRIM(A1263)))</f>
        <v/>
      </c>
      <c r="M1263">
        <f>IF(OR(K1263="",K1263=A1263,A1263=""),"",K1263&amp;"|"&amp;L1263)</f>
        <v/>
      </c>
      <c r="N1263">
        <f>IF(M1263="","",IF(ISNUMBER(B1263),B1263,IFERROR(_xlfn.NUMBERVALUE(B1263,".",","),0)))</f>
        <v/>
      </c>
      <c r="O1263">
        <f>IF(M1263="","",IF(ISNUMBER(C1263),C1263,IFERROR(_xlfn.NUMBERVALUE(C1263,".",","),0)))</f>
        <v/>
      </c>
    </row>
    <row r="1264">
      <c r="K1264">
        <f>IF(OR(LEFT(B1264,9)="DOANH THU",LEFT(B1264,8)="SỐ LƯỢNG"),A1264,IF(A1264="","",K1263))</f>
        <v/>
      </c>
      <c r="L1264">
        <f>IF(A1264="","",IF(ISNUMBER(--LEFT(A1264,FIND(" - ",A1264&amp;" - ")-1)),LEFT(A1264,FIND(" - ",A1264&amp;" - ")-1),TRIM(A1264)))</f>
        <v/>
      </c>
      <c r="M1264">
        <f>IF(OR(K1264="",K1264=A1264,A1264=""),"",K1264&amp;"|"&amp;L1264)</f>
        <v/>
      </c>
      <c r="N1264">
        <f>IF(M1264="","",IF(ISNUMBER(B1264),B1264,IFERROR(_xlfn.NUMBERVALUE(B1264,".",","),0)))</f>
        <v/>
      </c>
      <c r="O1264">
        <f>IF(M1264="","",IF(ISNUMBER(C1264),C1264,IFERROR(_xlfn.NUMBERVALUE(C1264,".",","),0)))</f>
        <v/>
      </c>
    </row>
    <row r="1265">
      <c r="K1265">
        <f>IF(OR(LEFT(B1265,9)="DOANH THU",LEFT(B1265,8)="SỐ LƯỢNG"),A1265,IF(A1265="","",K1264))</f>
        <v/>
      </c>
      <c r="L1265">
        <f>IF(A1265="","",IF(ISNUMBER(--LEFT(A1265,FIND(" - ",A1265&amp;" - ")-1)),LEFT(A1265,FIND(" - ",A1265&amp;" - ")-1),TRIM(A1265)))</f>
        <v/>
      </c>
      <c r="M1265">
        <f>IF(OR(K1265="",K1265=A1265,A1265=""),"",K1265&amp;"|"&amp;L1265)</f>
        <v/>
      </c>
      <c r="N1265">
        <f>IF(M1265="","",IF(ISNUMBER(B1265),B1265,IFERROR(_xlfn.NUMBERVALUE(B1265,".",","),0)))</f>
        <v/>
      </c>
      <c r="O1265">
        <f>IF(M1265="","",IF(ISNUMBER(C1265),C1265,IFERROR(_xlfn.NUMBERVALUE(C1265,".",","),0)))</f>
        <v/>
      </c>
    </row>
    <row r="1266">
      <c r="K1266">
        <f>IF(OR(LEFT(B1266,9)="DOANH THU",LEFT(B1266,8)="SỐ LƯỢNG"),A1266,IF(A1266="","",K1265))</f>
        <v/>
      </c>
      <c r="L1266">
        <f>IF(A1266="","",IF(ISNUMBER(--LEFT(A1266,FIND(" - ",A1266&amp;" - ")-1)),LEFT(A1266,FIND(" - ",A1266&amp;" - ")-1),TRIM(A1266)))</f>
        <v/>
      </c>
      <c r="M1266">
        <f>IF(OR(K1266="",K1266=A1266,A1266=""),"",K1266&amp;"|"&amp;L1266)</f>
        <v/>
      </c>
      <c r="N1266">
        <f>IF(M1266="","",IF(ISNUMBER(B1266),B1266,IFERROR(_xlfn.NUMBERVALUE(B1266,".",","),0)))</f>
        <v/>
      </c>
      <c r="O1266">
        <f>IF(M1266="","",IF(ISNUMBER(C1266),C1266,IFERROR(_xlfn.NUMBERVALUE(C1266,".",","),0)))</f>
        <v/>
      </c>
    </row>
    <row r="1267">
      <c r="K1267">
        <f>IF(OR(LEFT(B1267,9)="DOANH THU",LEFT(B1267,8)="SỐ LƯỢNG"),A1267,IF(A1267="","",K1266))</f>
        <v/>
      </c>
      <c r="L1267">
        <f>IF(A1267="","",IF(ISNUMBER(--LEFT(A1267,FIND(" - ",A1267&amp;" - ")-1)),LEFT(A1267,FIND(" - ",A1267&amp;" - ")-1),TRIM(A1267)))</f>
        <v/>
      </c>
      <c r="M1267">
        <f>IF(OR(K1267="",K1267=A1267,A1267=""),"",K1267&amp;"|"&amp;L1267)</f>
        <v/>
      </c>
      <c r="N1267">
        <f>IF(M1267="","",IF(ISNUMBER(B1267),B1267,IFERROR(_xlfn.NUMBERVALUE(B1267,".",","),0)))</f>
        <v/>
      </c>
      <c r="O1267">
        <f>IF(M1267="","",IF(ISNUMBER(C1267),C1267,IFERROR(_xlfn.NUMBERVALUE(C1267,".",","),0)))</f>
        <v/>
      </c>
    </row>
    <row r="1268">
      <c r="K1268">
        <f>IF(OR(LEFT(B1268,9)="DOANH THU",LEFT(B1268,8)="SỐ LƯỢNG"),A1268,IF(A1268="","",K1267))</f>
        <v/>
      </c>
      <c r="L1268">
        <f>IF(A1268="","",IF(ISNUMBER(--LEFT(A1268,FIND(" - ",A1268&amp;" - ")-1)),LEFT(A1268,FIND(" - ",A1268&amp;" - ")-1),TRIM(A1268)))</f>
        <v/>
      </c>
      <c r="M1268">
        <f>IF(OR(K1268="",K1268=A1268,A1268=""),"",K1268&amp;"|"&amp;L1268)</f>
        <v/>
      </c>
      <c r="N1268">
        <f>IF(M1268="","",IF(ISNUMBER(B1268),B1268,IFERROR(_xlfn.NUMBERVALUE(B1268,".",","),0)))</f>
        <v/>
      </c>
      <c r="O1268">
        <f>IF(M1268="","",IF(ISNUMBER(C1268),C1268,IFERROR(_xlfn.NUMBERVALUE(C1268,".",","),0)))</f>
        <v/>
      </c>
    </row>
    <row r="1269">
      <c r="K1269">
        <f>IF(OR(LEFT(B1269,9)="DOANH THU",LEFT(B1269,8)="SỐ LƯỢNG"),A1269,IF(A1269="","",K1268))</f>
        <v/>
      </c>
      <c r="L1269">
        <f>IF(A1269="","",IF(ISNUMBER(--LEFT(A1269,FIND(" - ",A1269&amp;" - ")-1)),LEFT(A1269,FIND(" - ",A1269&amp;" - ")-1),TRIM(A1269)))</f>
        <v/>
      </c>
      <c r="M1269">
        <f>IF(OR(K1269="",K1269=A1269,A1269=""),"",K1269&amp;"|"&amp;L1269)</f>
        <v/>
      </c>
      <c r="N1269">
        <f>IF(M1269="","",IF(ISNUMBER(B1269),B1269,IFERROR(_xlfn.NUMBERVALUE(B1269,".",","),0)))</f>
        <v/>
      </c>
      <c r="O1269">
        <f>IF(M1269="","",IF(ISNUMBER(C1269),C1269,IFERROR(_xlfn.NUMBERVALUE(C1269,".",","),0)))</f>
        <v/>
      </c>
    </row>
    <row r="1270">
      <c r="K1270">
        <f>IF(OR(LEFT(B1270,9)="DOANH THU",LEFT(B1270,8)="SỐ LƯỢNG"),A1270,IF(A1270="","",K1269))</f>
        <v/>
      </c>
      <c r="L1270">
        <f>IF(A1270="","",IF(ISNUMBER(--LEFT(A1270,FIND(" - ",A1270&amp;" - ")-1)),LEFT(A1270,FIND(" - ",A1270&amp;" - ")-1),TRIM(A1270)))</f>
        <v/>
      </c>
      <c r="M1270">
        <f>IF(OR(K1270="",K1270=A1270,A1270=""),"",K1270&amp;"|"&amp;L1270)</f>
        <v/>
      </c>
      <c r="N1270">
        <f>IF(M1270="","",IF(ISNUMBER(B1270),B1270,IFERROR(_xlfn.NUMBERVALUE(B1270,".",","),0)))</f>
        <v/>
      </c>
      <c r="O1270">
        <f>IF(M1270="","",IF(ISNUMBER(C1270),C1270,IFERROR(_xlfn.NUMBERVALUE(C1270,".",","),0)))</f>
        <v/>
      </c>
    </row>
    <row r="1271">
      <c r="K1271">
        <f>IF(OR(LEFT(B1271,9)="DOANH THU",LEFT(B1271,8)="SỐ LƯỢNG"),A1271,IF(A1271="","",K1270))</f>
        <v/>
      </c>
      <c r="L1271">
        <f>IF(A1271="","",IF(ISNUMBER(--LEFT(A1271,FIND(" - ",A1271&amp;" - ")-1)),LEFT(A1271,FIND(" - ",A1271&amp;" - ")-1),TRIM(A1271)))</f>
        <v/>
      </c>
      <c r="M1271">
        <f>IF(OR(K1271="",K1271=A1271,A1271=""),"",K1271&amp;"|"&amp;L1271)</f>
        <v/>
      </c>
      <c r="N1271">
        <f>IF(M1271="","",IF(ISNUMBER(B1271),B1271,IFERROR(_xlfn.NUMBERVALUE(B1271,".",","),0)))</f>
        <v/>
      </c>
      <c r="O1271">
        <f>IF(M1271="","",IF(ISNUMBER(C1271),C1271,IFERROR(_xlfn.NUMBERVALUE(C1271,".",","),0)))</f>
        <v/>
      </c>
    </row>
    <row r="1272">
      <c r="K1272">
        <f>IF(OR(LEFT(B1272,9)="DOANH THU",LEFT(B1272,8)="SỐ LƯỢNG"),A1272,IF(A1272="","",K1271))</f>
        <v/>
      </c>
      <c r="L1272">
        <f>IF(A1272="","",IF(ISNUMBER(--LEFT(A1272,FIND(" - ",A1272&amp;" - ")-1)),LEFT(A1272,FIND(" - ",A1272&amp;" - ")-1),TRIM(A1272)))</f>
        <v/>
      </c>
      <c r="M1272">
        <f>IF(OR(K1272="",K1272=A1272,A1272=""),"",K1272&amp;"|"&amp;L1272)</f>
        <v/>
      </c>
      <c r="N1272">
        <f>IF(M1272="","",IF(ISNUMBER(B1272),B1272,IFERROR(_xlfn.NUMBERVALUE(B1272,".",","),0)))</f>
        <v/>
      </c>
      <c r="O1272">
        <f>IF(M1272="","",IF(ISNUMBER(C1272),C1272,IFERROR(_xlfn.NUMBERVALUE(C1272,".",","),0)))</f>
        <v/>
      </c>
    </row>
    <row r="1273">
      <c r="K1273">
        <f>IF(OR(LEFT(B1273,9)="DOANH THU",LEFT(B1273,8)="SỐ LƯỢNG"),A1273,IF(A1273="","",K1272))</f>
        <v/>
      </c>
      <c r="L1273">
        <f>IF(A1273="","",IF(ISNUMBER(--LEFT(A1273,FIND(" - ",A1273&amp;" - ")-1)),LEFT(A1273,FIND(" - ",A1273&amp;" - ")-1),TRIM(A1273)))</f>
        <v/>
      </c>
      <c r="M1273">
        <f>IF(OR(K1273="",K1273=A1273,A1273=""),"",K1273&amp;"|"&amp;L1273)</f>
        <v/>
      </c>
      <c r="N1273">
        <f>IF(M1273="","",IF(ISNUMBER(B1273),B1273,IFERROR(_xlfn.NUMBERVALUE(B1273,".",","),0)))</f>
        <v/>
      </c>
      <c r="O1273">
        <f>IF(M1273="","",IF(ISNUMBER(C1273),C1273,IFERROR(_xlfn.NUMBERVALUE(C1273,".",","),0)))</f>
        <v/>
      </c>
    </row>
    <row r="1274">
      <c r="K1274">
        <f>IF(OR(LEFT(B1274,9)="DOANH THU",LEFT(B1274,8)="SỐ LƯỢNG"),A1274,IF(A1274="","",K1273))</f>
        <v/>
      </c>
      <c r="L1274">
        <f>IF(A1274="","",IF(ISNUMBER(--LEFT(A1274,FIND(" - ",A1274&amp;" - ")-1)),LEFT(A1274,FIND(" - ",A1274&amp;" - ")-1),TRIM(A1274)))</f>
        <v/>
      </c>
      <c r="M1274">
        <f>IF(OR(K1274="",K1274=A1274,A1274=""),"",K1274&amp;"|"&amp;L1274)</f>
        <v/>
      </c>
      <c r="N1274">
        <f>IF(M1274="","",IF(ISNUMBER(B1274),B1274,IFERROR(_xlfn.NUMBERVALUE(B1274,".",","),0)))</f>
        <v/>
      </c>
      <c r="O1274">
        <f>IF(M1274="","",IF(ISNUMBER(C1274),C1274,IFERROR(_xlfn.NUMBERVALUE(C1274,".",","),0)))</f>
        <v/>
      </c>
    </row>
    <row r="1275">
      <c r="K1275">
        <f>IF(OR(LEFT(B1275,9)="DOANH THU",LEFT(B1275,8)="SỐ LƯỢNG"),A1275,IF(A1275="","",K1274))</f>
        <v/>
      </c>
      <c r="L1275">
        <f>IF(A1275="","",IF(ISNUMBER(--LEFT(A1275,FIND(" - ",A1275&amp;" - ")-1)),LEFT(A1275,FIND(" - ",A1275&amp;" - ")-1),TRIM(A1275)))</f>
        <v/>
      </c>
      <c r="M1275">
        <f>IF(OR(K1275="",K1275=A1275,A1275=""),"",K1275&amp;"|"&amp;L1275)</f>
        <v/>
      </c>
      <c r="N1275">
        <f>IF(M1275="","",IF(ISNUMBER(B1275),B1275,IFERROR(_xlfn.NUMBERVALUE(B1275,".",","),0)))</f>
        <v/>
      </c>
      <c r="O1275">
        <f>IF(M1275="","",IF(ISNUMBER(C1275),C1275,IFERROR(_xlfn.NUMBERVALUE(C1275,".",","),0)))</f>
        <v/>
      </c>
    </row>
    <row r="1276">
      <c r="K1276">
        <f>IF(OR(LEFT(B1276,9)="DOANH THU",LEFT(B1276,8)="SỐ LƯỢNG"),A1276,IF(A1276="","",K1275))</f>
        <v/>
      </c>
      <c r="L1276">
        <f>IF(A1276="","",IF(ISNUMBER(--LEFT(A1276,FIND(" - ",A1276&amp;" - ")-1)),LEFT(A1276,FIND(" - ",A1276&amp;" - ")-1),TRIM(A1276)))</f>
        <v/>
      </c>
      <c r="M1276">
        <f>IF(OR(K1276="",K1276=A1276,A1276=""),"",K1276&amp;"|"&amp;L1276)</f>
        <v/>
      </c>
      <c r="N1276">
        <f>IF(M1276="","",IF(ISNUMBER(B1276),B1276,IFERROR(_xlfn.NUMBERVALUE(B1276,".",","),0)))</f>
        <v/>
      </c>
      <c r="O1276">
        <f>IF(M1276="","",IF(ISNUMBER(C1276),C1276,IFERROR(_xlfn.NUMBERVALUE(C1276,".",","),0)))</f>
        <v/>
      </c>
    </row>
    <row r="1277">
      <c r="K1277">
        <f>IF(OR(LEFT(B1277,9)="DOANH THU",LEFT(B1277,8)="SỐ LƯỢNG"),A1277,IF(A1277="","",K1276))</f>
        <v/>
      </c>
      <c r="L1277">
        <f>IF(A1277="","",IF(ISNUMBER(--LEFT(A1277,FIND(" - ",A1277&amp;" - ")-1)),LEFT(A1277,FIND(" - ",A1277&amp;" - ")-1),TRIM(A1277)))</f>
        <v/>
      </c>
      <c r="M1277">
        <f>IF(OR(K1277="",K1277=A1277,A1277=""),"",K1277&amp;"|"&amp;L1277)</f>
        <v/>
      </c>
      <c r="N1277">
        <f>IF(M1277="","",IF(ISNUMBER(B1277),B1277,IFERROR(_xlfn.NUMBERVALUE(B1277,".",","),0)))</f>
        <v/>
      </c>
      <c r="O1277">
        <f>IF(M1277="","",IF(ISNUMBER(C1277),C1277,IFERROR(_xlfn.NUMBERVALUE(C1277,".",","),0)))</f>
        <v/>
      </c>
    </row>
    <row r="1278">
      <c r="K1278">
        <f>IF(OR(LEFT(B1278,9)="DOANH THU",LEFT(B1278,8)="SỐ LƯỢNG"),A1278,IF(A1278="","",K1277))</f>
        <v/>
      </c>
      <c r="L1278">
        <f>IF(A1278="","",IF(ISNUMBER(--LEFT(A1278,FIND(" - ",A1278&amp;" - ")-1)),LEFT(A1278,FIND(" - ",A1278&amp;" - ")-1),TRIM(A1278)))</f>
        <v/>
      </c>
      <c r="M1278">
        <f>IF(OR(K1278="",K1278=A1278,A1278=""),"",K1278&amp;"|"&amp;L1278)</f>
        <v/>
      </c>
      <c r="N1278">
        <f>IF(M1278="","",IF(ISNUMBER(B1278),B1278,IFERROR(_xlfn.NUMBERVALUE(B1278,".",","),0)))</f>
        <v/>
      </c>
      <c r="O1278">
        <f>IF(M1278="","",IF(ISNUMBER(C1278),C1278,IFERROR(_xlfn.NUMBERVALUE(C1278,".",","),0)))</f>
        <v/>
      </c>
    </row>
    <row r="1279">
      <c r="K1279">
        <f>IF(OR(LEFT(B1279,9)="DOANH THU",LEFT(B1279,8)="SỐ LƯỢNG"),A1279,IF(A1279="","",K1278))</f>
        <v/>
      </c>
      <c r="L1279">
        <f>IF(A1279="","",IF(ISNUMBER(--LEFT(A1279,FIND(" - ",A1279&amp;" - ")-1)),LEFT(A1279,FIND(" - ",A1279&amp;" - ")-1),TRIM(A1279)))</f>
        <v/>
      </c>
      <c r="M1279">
        <f>IF(OR(K1279="",K1279=A1279,A1279=""),"",K1279&amp;"|"&amp;L1279)</f>
        <v/>
      </c>
      <c r="N1279">
        <f>IF(M1279="","",IF(ISNUMBER(B1279),B1279,IFERROR(_xlfn.NUMBERVALUE(B1279,".",","),0)))</f>
        <v/>
      </c>
      <c r="O1279">
        <f>IF(M1279="","",IF(ISNUMBER(C1279),C1279,IFERROR(_xlfn.NUMBERVALUE(C1279,".",","),0)))</f>
        <v/>
      </c>
    </row>
    <row r="1280">
      <c r="K1280">
        <f>IF(OR(LEFT(B1280,9)="DOANH THU",LEFT(B1280,8)="SỐ LƯỢNG"),A1280,IF(A1280="","",K1279))</f>
        <v/>
      </c>
      <c r="L1280">
        <f>IF(A1280="","",IF(ISNUMBER(--LEFT(A1280,FIND(" - ",A1280&amp;" - ")-1)),LEFT(A1280,FIND(" - ",A1280&amp;" - ")-1),TRIM(A1280)))</f>
        <v/>
      </c>
      <c r="M1280">
        <f>IF(OR(K1280="",K1280=A1280,A1280=""),"",K1280&amp;"|"&amp;L1280)</f>
        <v/>
      </c>
      <c r="N1280">
        <f>IF(M1280="","",IF(ISNUMBER(B1280),B1280,IFERROR(_xlfn.NUMBERVALUE(B1280,".",","),0)))</f>
        <v/>
      </c>
      <c r="O1280">
        <f>IF(M1280="","",IF(ISNUMBER(C1280),C1280,IFERROR(_xlfn.NUMBERVALUE(C1280,".",","),0)))</f>
        <v/>
      </c>
    </row>
    <row r="1281">
      <c r="K1281">
        <f>IF(OR(LEFT(B1281,9)="DOANH THU",LEFT(B1281,8)="SỐ LƯỢNG"),A1281,IF(A1281="","",K1280))</f>
        <v/>
      </c>
      <c r="L1281">
        <f>IF(A1281="","",IF(ISNUMBER(--LEFT(A1281,FIND(" - ",A1281&amp;" - ")-1)),LEFT(A1281,FIND(" - ",A1281&amp;" - ")-1),TRIM(A1281)))</f>
        <v/>
      </c>
      <c r="M1281">
        <f>IF(OR(K1281="",K1281=A1281,A1281=""),"",K1281&amp;"|"&amp;L1281)</f>
        <v/>
      </c>
      <c r="N1281">
        <f>IF(M1281="","",IF(ISNUMBER(B1281),B1281,IFERROR(_xlfn.NUMBERVALUE(B1281,".",","),0)))</f>
        <v/>
      </c>
      <c r="O1281">
        <f>IF(M1281="","",IF(ISNUMBER(C1281),C1281,IFERROR(_xlfn.NUMBERVALUE(C1281,".",","),0)))</f>
        <v/>
      </c>
    </row>
    <row r="1282">
      <c r="K1282">
        <f>IF(OR(LEFT(B1282,9)="DOANH THU",LEFT(B1282,8)="SỐ LƯỢNG"),A1282,IF(A1282="","",K1281))</f>
        <v/>
      </c>
      <c r="L1282">
        <f>IF(A1282="","",IF(ISNUMBER(--LEFT(A1282,FIND(" - ",A1282&amp;" - ")-1)),LEFT(A1282,FIND(" - ",A1282&amp;" - ")-1),TRIM(A1282)))</f>
        <v/>
      </c>
      <c r="M1282">
        <f>IF(OR(K1282="",K1282=A1282,A1282=""),"",K1282&amp;"|"&amp;L1282)</f>
        <v/>
      </c>
      <c r="N1282">
        <f>IF(M1282="","",IF(ISNUMBER(B1282),B1282,IFERROR(_xlfn.NUMBERVALUE(B1282,".",","),0)))</f>
        <v/>
      </c>
      <c r="O1282">
        <f>IF(M1282="","",IF(ISNUMBER(C1282),C1282,IFERROR(_xlfn.NUMBERVALUE(C1282,".",","),0)))</f>
        <v/>
      </c>
    </row>
    <row r="1283">
      <c r="K1283">
        <f>IF(OR(LEFT(B1283,9)="DOANH THU",LEFT(B1283,8)="SỐ LƯỢNG"),A1283,IF(A1283="","",K1282))</f>
        <v/>
      </c>
      <c r="L1283">
        <f>IF(A1283="","",IF(ISNUMBER(--LEFT(A1283,FIND(" - ",A1283&amp;" - ")-1)),LEFT(A1283,FIND(" - ",A1283&amp;" - ")-1),TRIM(A1283)))</f>
        <v/>
      </c>
      <c r="M1283">
        <f>IF(OR(K1283="",K1283=A1283,A1283=""),"",K1283&amp;"|"&amp;L1283)</f>
        <v/>
      </c>
      <c r="N1283">
        <f>IF(M1283="","",IF(ISNUMBER(B1283),B1283,IFERROR(_xlfn.NUMBERVALUE(B1283,".",","),0)))</f>
        <v/>
      </c>
      <c r="O1283">
        <f>IF(M1283="","",IF(ISNUMBER(C1283),C1283,IFERROR(_xlfn.NUMBERVALUE(C1283,".",","),0)))</f>
        <v/>
      </c>
    </row>
    <row r="1284">
      <c r="K1284">
        <f>IF(OR(LEFT(B1284,9)="DOANH THU",LEFT(B1284,8)="SỐ LƯỢNG"),A1284,IF(A1284="","",K1283))</f>
        <v/>
      </c>
      <c r="L1284">
        <f>IF(A1284="","",IF(ISNUMBER(--LEFT(A1284,FIND(" - ",A1284&amp;" - ")-1)),LEFT(A1284,FIND(" - ",A1284&amp;" - ")-1),TRIM(A1284)))</f>
        <v/>
      </c>
      <c r="M1284">
        <f>IF(OR(K1284="",K1284=A1284,A1284=""),"",K1284&amp;"|"&amp;L1284)</f>
        <v/>
      </c>
      <c r="N1284">
        <f>IF(M1284="","",IF(ISNUMBER(B1284),B1284,IFERROR(_xlfn.NUMBERVALUE(B1284,".",","),0)))</f>
        <v/>
      </c>
      <c r="O1284">
        <f>IF(M1284="","",IF(ISNUMBER(C1284),C1284,IFERROR(_xlfn.NUMBERVALUE(C1284,".",","),0)))</f>
        <v/>
      </c>
    </row>
    <row r="1285">
      <c r="K1285">
        <f>IF(OR(LEFT(B1285,9)="DOANH THU",LEFT(B1285,8)="SỐ LƯỢNG"),A1285,IF(A1285="","",K1284))</f>
        <v/>
      </c>
      <c r="L1285">
        <f>IF(A1285="","",IF(ISNUMBER(--LEFT(A1285,FIND(" - ",A1285&amp;" - ")-1)),LEFT(A1285,FIND(" - ",A1285&amp;" - ")-1),TRIM(A1285)))</f>
        <v/>
      </c>
      <c r="M1285">
        <f>IF(OR(K1285="",K1285=A1285,A1285=""),"",K1285&amp;"|"&amp;L1285)</f>
        <v/>
      </c>
      <c r="N1285">
        <f>IF(M1285="","",IF(ISNUMBER(B1285),B1285,IFERROR(_xlfn.NUMBERVALUE(B1285,".",","),0)))</f>
        <v/>
      </c>
      <c r="O1285">
        <f>IF(M1285="","",IF(ISNUMBER(C1285),C1285,IFERROR(_xlfn.NUMBERVALUE(C1285,".",","),0)))</f>
        <v/>
      </c>
    </row>
    <row r="1286">
      <c r="K1286">
        <f>IF(OR(LEFT(B1286,9)="DOANH THU",LEFT(B1286,8)="SỐ LƯỢNG"),A1286,IF(A1286="","",K1285))</f>
        <v/>
      </c>
      <c r="L1286">
        <f>IF(A1286="","",IF(ISNUMBER(--LEFT(A1286,FIND(" - ",A1286&amp;" - ")-1)),LEFT(A1286,FIND(" - ",A1286&amp;" - ")-1),TRIM(A1286)))</f>
        <v/>
      </c>
      <c r="M1286">
        <f>IF(OR(K1286="",K1286=A1286,A1286=""),"",K1286&amp;"|"&amp;L1286)</f>
        <v/>
      </c>
      <c r="N1286">
        <f>IF(M1286="","",IF(ISNUMBER(B1286),B1286,IFERROR(_xlfn.NUMBERVALUE(B1286,".",","),0)))</f>
        <v/>
      </c>
      <c r="O1286">
        <f>IF(M1286="","",IF(ISNUMBER(C1286),C1286,IFERROR(_xlfn.NUMBERVALUE(C1286,".",","),0)))</f>
        <v/>
      </c>
    </row>
    <row r="1287">
      <c r="K1287">
        <f>IF(OR(LEFT(B1287,9)="DOANH THU",LEFT(B1287,8)="SỐ LƯỢNG"),A1287,IF(A1287="","",K1286))</f>
        <v/>
      </c>
      <c r="L1287">
        <f>IF(A1287="","",IF(ISNUMBER(--LEFT(A1287,FIND(" - ",A1287&amp;" - ")-1)),LEFT(A1287,FIND(" - ",A1287&amp;" - ")-1),TRIM(A1287)))</f>
        <v/>
      </c>
      <c r="M1287">
        <f>IF(OR(K1287="",K1287=A1287,A1287=""),"",K1287&amp;"|"&amp;L1287)</f>
        <v/>
      </c>
      <c r="N1287">
        <f>IF(M1287="","",IF(ISNUMBER(B1287),B1287,IFERROR(_xlfn.NUMBERVALUE(B1287,".",","),0)))</f>
        <v/>
      </c>
      <c r="O1287">
        <f>IF(M1287="","",IF(ISNUMBER(C1287),C1287,IFERROR(_xlfn.NUMBERVALUE(C1287,".",","),0)))</f>
        <v/>
      </c>
    </row>
    <row r="1288">
      <c r="K1288">
        <f>IF(OR(LEFT(B1288,9)="DOANH THU",LEFT(B1288,8)="SỐ LƯỢNG"),A1288,IF(A1288="","",K1287))</f>
        <v/>
      </c>
      <c r="L1288">
        <f>IF(A1288="","",IF(ISNUMBER(--LEFT(A1288,FIND(" - ",A1288&amp;" - ")-1)),LEFT(A1288,FIND(" - ",A1288&amp;" - ")-1),TRIM(A1288)))</f>
        <v/>
      </c>
      <c r="M1288">
        <f>IF(OR(K1288="",K1288=A1288,A1288=""),"",K1288&amp;"|"&amp;L1288)</f>
        <v/>
      </c>
      <c r="N1288">
        <f>IF(M1288="","",IF(ISNUMBER(B1288),B1288,IFERROR(_xlfn.NUMBERVALUE(B1288,".",","),0)))</f>
        <v/>
      </c>
      <c r="O1288">
        <f>IF(M1288="","",IF(ISNUMBER(C1288),C1288,IFERROR(_xlfn.NUMBERVALUE(C1288,".",","),0)))</f>
        <v/>
      </c>
    </row>
    <row r="1289">
      <c r="K1289">
        <f>IF(OR(LEFT(B1289,9)="DOANH THU",LEFT(B1289,8)="SỐ LƯỢNG"),A1289,IF(A1289="","",K1288))</f>
        <v/>
      </c>
      <c r="L1289">
        <f>IF(A1289="","",IF(ISNUMBER(--LEFT(A1289,FIND(" - ",A1289&amp;" - ")-1)),LEFT(A1289,FIND(" - ",A1289&amp;" - ")-1),TRIM(A1289)))</f>
        <v/>
      </c>
      <c r="M1289">
        <f>IF(OR(K1289="",K1289=A1289,A1289=""),"",K1289&amp;"|"&amp;L1289)</f>
        <v/>
      </c>
      <c r="N1289">
        <f>IF(M1289="","",IF(ISNUMBER(B1289),B1289,IFERROR(_xlfn.NUMBERVALUE(B1289,".",","),0)))</f>
        <v/>
      </c>
      <c r="O1289">
        <f>IF(M1289="","",IF(ISNUMBER(C1289),C1289,IFERROR(_xlfn.NUMBERVALUE(C1289,".",","),0)))</f>
        <v/>
      </c>
    </row>
    <row r="1290">
      <c r="K1290">
        <f>IF(OR(LEFT(B1290,9)="DOANH THU",LEFT(B1290,8)="SỐ LƯỢNG"),A1290,IF(A1290="","",K1289))</f>
        <v/>
      </c>
      <c r="L1290">
        <f>IF(A1290="","",IF(ISNUMBER(--LEFT(A1290,FIND(" - ",A1290&amp;" - ")-1)),LEFT(A1290,FIND(" - ",A1290&amp;" - ")-1),TRIM(A1290)))</f>
        <v/>
      </c>
      <c r="M1290">
        <f>IF(OR(K1290="",K1290=A1290,A1290=""),"",K1290&amp;"|"&amp;L1290)</f>
        <v/>
      </c>
      <c r="N1290">
        <f>IF(M1290="","",IF(ISNUMBER(B1290),B1290,IFERROR(_xlfn.NUMBERVALUE(B1290,".",","),0)))</f>
        <v/>
      </c>
      <c r="O1290">
        <f>IF(M1290="","",IF(ISNUMBER(C1290),C1290,IFERROR(_xlfn.NUMBERVALUE(C1290,".",","),0)))</f>
        <v/>
      </c>
    </row>
    <row r="1291">
      <c r="K1291">
        <f>IF(OR(LEFT(B1291,9)="DOANH THU",LEFT(B1291,8)="SỐ LƯỢNG"),A1291,IF(A1291="","",K1290))</f>
        <v/>
      </c>
      <c r="L1291">
        <f>IF(A1291="","",IF(ISNUMBER(--LEFT(A1291,FIND(" - ",A1291&amp;" - ")-1)),LEFT(A1291,FIND(" - ",A1291&amp;" - ")-1),TRIM(A1291)))</f>
        <v/>
      </c>
      <c r="M1291">
        <f>IF(OR(K1291="",K1291=A1291,A1291=""),"",K1291&amp;"|"&amp;L1291)</f>
        <v/>
      </c>
      <c r="N1291">
        <f>IF(M1291="","",IF(ISNUMBER(B1291),B1291,IFERROR(_xlfn.NUMBERVALUE(B1291,".",","),0)))</f>
        <v/>
      </c>
      <c r="O1291">
        <f>IF(M1291="","",IF(ISNUMBER(C1291),C1291,IFERROR(_xlfn.NUMBERVALUE(C1291,".",","),0)))</f>
        <v/>
      </c>
    </row>
    <row r="1292">
      <c r="K1292">
        <f>IF(OR(LEFT(B1292,9)="DOANH THU",LEFT(B1292,8)="SỐ LƯỢNG"),A1292,IF(A1292="","",K1291))</f>
        <v/>
      </c>
      <c r="L1292">
        <f>IF(A1292="","",IF(ISNUMBER(--LEFT(A1292,FIND(" - ",A1292&amp;" - ")-1)),LEFT(A1292,FIND(" - ",A1292&amp;" - ")-1),TRIM(A1292)))</f>
        <v/>
      </c>
      <c r="M1292">
        <f>IF(OR(K1292="",K1292=A1292,A1292=""),"",K1292&amp;"|"&amp;L1292)</f>
        <v/>
      </c>
      <c r="N1292">
        <f>IF(M1292="","",IF(ISNUMBER(B1292),B1292,IFERROR(_xlfn.NUMBERVALUE(B1292,".",","),0)))</f>
        <v/>
      </c>
      <c r="O1292">
        <f>IF(M1292="","",IF(ISNUMBER(C1292),C1292,IFERROR(_xlfn.NUMBERVALUE(C1292,".",","),0)))</f>
        <v/>
      </c>
    </row>
    <row r="1293">
      <c r="K1293">
        <f>IF(OR(LEFT(B1293,9)="DOANH THU",LEFT(B1293,8)="SỐ LƯỢNG"),A1293,IF(A1293="","",K1292))</f>
        <v/>
      </c>
      <c r="L1293">
        <f>IF(A1293="","",IF(ISNUMBER(--LEFT(A1293,FIND(" - ",A1293&amp;" - ")-1)),LEFT(A1293,FIND(" - ",A1293&amp;" - ")-1),TRIM(A1293)))</f>
        <v/>
      </c>
      <c r="M1293">
        <f>IF(OR(K1293="",K1293=A1293,A1293=""),"",K1293&amp;"|"&amp;L1293)</f>
        <v/>
      </c>
      <c r="N1293">
        <f>IF(M1293="","",IF(ISNUMBER(B1293),B1293,IFERROR(_xlfn.NUMBERVALUE(B1293,".",","),0)))</f>
        <v/>
      </c>
      <c r="O1293">
        <f>IF(M1293="","",IF(ISNUMBER(C1293),C1293,IFERROR(_xlfn.NUMBERVALUE(C1293,".",","),0)))</f>
        <v/>
      </c>
    </row>
    <row r="1294">
      <c r="K1294">
        <f>IF(OR(LEFT(B1294,9)="DOANH THU",LEFT(B1294,8)="SỐ LƯỢNG"),A1294,IF(A1294="","",K1293))</f>
        <v/>
      </c>
      <c r="L1294">
        <f>IF(A1294="","",IF(ISNUMBER(--LEFT(A1294,FIND(" - ",A1294&amp;" - ")-1)),LEFT(A1294,FIND(" - ",A1294&amp;" - ")-1),TRIM(A1294)))</f>
        <v/>
      </c>
      <c r="M1294">
        <f>IF(OR(K1294="",K1294=A1294,A1294=""),"",K1294&amp;"|"&amp;L1294)</f>
        <v/>
      </c>
      <c r="N1294">
        <f>IF(M1294="","",IF(ISNUMBER(B1294),B1294,IFERROR(_xlfn.NUMBERVALUE(B1294,".",","),0)))</f>
        <v/>
      </c>
      <c r="O1294">
        <f>IF(M1294="","",IF(ISNUMBER(C1294),C1294,IFERROR(_xlfn.NUMBERVALUE(C1294,".",","),0)))</f>
        <v/>
      </c>
    </row>
    <row r="1295">
      <c r="K1295">
        <f>IF(OR(LEFT(B1295,9)="DOANH THU",LEFT(B1295,8)="SỐ LƯỢNG"),A1295,IF(A1295="","",K1294))</f>
        <v/>
      </c>
      <c r="L1295">
        <f>IF(A1295="","",IF(ISNUMBER(--LEFT(A1295,FIND(" - ",A1295&amp;" - ")-1)),LEFT(A1295,FIND(" - ",A1295&amp;" - ")-1),TRIM(A1295)))</f>
        <v/>
      </c>
      <c r="M1295">
        <f>IF(OR(K1295="",K1295=A1295,A1295=""),"",K1295&amp;"|"&amp;L1295)</f>
        <v/>
      </c>
      <c r="N1295">
        <f>IF(M1295="","",IF(ISNUMBER(B1295),B1295,IFERROR(_xlfn.NUMBERVALUE(B1295,".",","),0)))</f>
        <v/>
      </c>
      <c r="O1295">
        <f>IF(M1295="","",IF(ISNUMBER(C1295),C1295,IFERROR(_xlfn.NUMBERVALUE(C1295,".",","),0)))</f>
        <v/>
      </c>
    </row>
    <row r="1296">
      <c r="K1296">
        <f>IF(OR(LEFT(B1296,9)="DOANH THU",LEFT(B1296,8)="SỐ LƯỢNG"),A1296,IF(A1296="","",K1295))</f>
        <v/>
      </c>
      <c r="L1296">
        <f>IF(A1296="","",IF(ISNUMBER(--LEFT(A1296,FIND(" - ",A1296&amp;" - ")-1)),LEFT(A1296,FIND(" - ",A1296&amp;" - ")-1),TRIM(A1296)))</f>
        <v/>
      </c>
      <c r="M1296">
        <f>IF(OR(K1296="",K1296=A1296,A1296=""),"",K1296&amp;"|"&amp;L1296)</f>
        <v/>
      </c>
      <c r="N1296">
        <f>IF(M1296="","",IF(ISNUMBER(B1296),B1296,IFERROR(_xlfn.NUMBERVALUE(B1296,".",","),0)))</f>
        <v/>
      </c>
      <c r="O1296">
        <f>IF(M1296="","",IF(ISNUMBER(C1296),C1296,IFERROR(_xlfn.NUMBERVALUE(C1296,".",","),0)))</f>
        <v/>
      </c>
    </row>
    <row r="1297">
      <c r="K1297">
        <f>IF(OR(LEFT(B1297,9)="DOANH THU",LEFT(B1297,8)="SỐ LƯỢNG"),A1297,IF(A1297="","",K1296))</f>
        <v/>
      </c>
      <c r="L1297">
        <f>IF(A1297="","",IF(ISNUMBER(--LEFT(A1297,FIND(" - ",A1297&amp;" - ")-1)),LEFT(A1297,FIND(" - ",A1297&amp;" - ")-1),TRIM(A1297)))</f>
        <v/>
      </c>
      <c r="M1297">
        <f>IF(OR(K1297="",K1297=A1297,A1297=""),"",K1297&amp;"|"&amp;L1297)</f>
        <v/>
      </c>
      <c r="N1297">
        <f>IF(M1297="","",IF(ISNUMBER(B1297),B1297,IFERROR(_xlfn.NUMBERVALUE(B1297,".",","),0)))</f>
        <v/>
      </c>
      <c r="O1297">
        <f>IF(M1297="","",IF(ISNUMBER(C1297),C1297,IFERROR(_xlfn.NUMBERVALUE(C1297,".",","),0)))</f>
        <v/>
      </c>
    </row>
    <row r="1298">
      <c r="K1298">
        <f>IF(OR(LEFT(B1298,9)="DOANH THU",LEFT(B1298,8)="SỐ LƯỢNG"),A1298,IF(A1298="","",K1297))</f>
        <v/>
      </c>
      <c r="L1298">
        <f>IF(A1298="","",IF(ISNUMBER(--LEFT(A1298,FIND(" - ",A1298&amp;" - ")-1)),LEFT(A1298,FIND(" - ",A1298&amp;" - ")-1),TRIM(A1298)))</f>
        <v/>
      </c>
      <c r="M1298">
        <f>IF(OR(K1298="",K1298=A1298,A1298=""),"",K1298&amp;"|"&amp;L1298)</f>
        <v/>
      </c>
      <c r="N1298">
        <f>IF(M1298="","",IF(ISNUMBER(B1298),B1298,IFERROR(_xlfn.NUMBERVALUE(B1298,".",","),0)))</f>
        <v/>
      </c>
      <c r="O1298">
        <f>IF(M1298="","",IF(ISNUMBER(C1298),C1298,IFERROR(_xlfn.NUMBERVALUE(C1298,".",","),0)))</f>
        <v/>
      </c>
    </row>
    <row r="1299">
      <c r="K1299">
        <f>IF(OR(LEFT(B1299,9)="DOANH THU",LEFT(B1299,8)="SỐ LƯỢNG"),A1299,IF(A1299="","",K1298))</f>
        <v/>
      </c>
      <c r="L1299">
        <f>IF(A1299="","",IF(ISNUMBER(--LEFT(A1299,FIND(" - ",A1299&amp;" - ")-1)),LEFT(A1299,FIND(" - ",A1299&amp;" - ")-1),TRIM(A1299)))</f>
        <v/>
      </c>
      <c r="M1299">
        <f>IF(OR(K1299="",K1299=A1299,A1299=""),"",K1299&amp;"|"&amp;L1299)</f>
        <v/>
      </c>
      <c r="N1299">
        <f>IF(M1299="","",IF(ISNUMBER(B1299),B1299,IFERROR(_xlfn.NUMBERVALUE(B1299,".",","),0)))</f>
        <v/>
      </c>
      <c r="O1299">
        <f>IF(M1299="","",IF(ISNUMBER(C1299),C1299,IFERROR(_xlfn.NUMBERVALUE(C1299,".",","),0)))</f>
        <v/>
      </c>
    </row>
    <row r="1300">
      <c r="K1300">
        <f>IF(OR(LEFT(B1300,9)="DOANH THU",LEFT(B1300,8)="SỐ LƯỢNG"),A1300,IF(A1300="","",K1299))</f>
        <v/>
      </c>
      <c r="L1300">
        <f>IF(A1300="","",IF(ISNUMBER(--LEFT(A1300,FIND(" - ",A1300&amp;" - ")-1)),LEFT(A1300,FIND(" - ",A1300&amp;" - ")-1),TRIM(A1300)))</f>
        <v/>
      </c>
      <c r="M1300">
        <f>IF(OR(K1300="",K1300=A1300,A1300=""),"",K1300&amp;"|"&amp;L1300)</f>
        <v/>
      </c>
      <c r="N1300">
        <f>IF(M1300="","",IF(ISNUMBER(B1300),B1300,IFERROR(_xlfn.NUMBERVALUE(B1300,".",","),0)))</f>
        <v/>
      </c>
      <c r="O1300">
        <f>IF(M1300="","",IF(ISNUMBER(C1300),C1300,IFERROR(_xlfn.NUMBERVALUE(C1300,".",","),0)))</f>
        <v/>
      </c>
    </row>
    <row r="1301">
      <c r="K1301">
        <f>IF(OR(LEFT(B1301,9)="DOANH THU",LEFT(B1301,8)="SỐ LƯỢNG"),A1301,IF(A1301="","",K1300))</f>
        <v/>
      </c>
      <c r="L1301">
        <f>IF(A1301="","",IF(ISNUMBER(--LEFT(A1301,FIND(" - ",A1301&amp;" - ")-1)),LEFT(A1301,FIND(" - ",A1301&amp;" - ")-1),TRIM(A1301)))</f>
        <v/>
      </c>
      <c r="M1301">
        <f>IF(OR(K1301="",K1301=A1301,A1301=""),"",K1301&amp;"|"&amp;L1301)</f>
        <v/>
      </c>
      <c r="N1301">
        <f>IF(M1301="","",IF(ISNUMBER(B1301),B1301,IFERROR(_xlfn.NUMBERVALUE(B1301,".",","),0)))</f>
        <v/>
      </c>
      <c r="O1301">
        <f>IF(M1301="","",IF(ISNUMBER(C1301),C1301,IFERROR(_xlfn.NUMBERVALUE(C1301,".",","),0)))</f>
        <v/>
      </c>
    </row>
    <row r="1302">
      <c r="K1302">
        <f>IF(OR(LEFT(B1302,9)="DOANH THU",LEFT(B1302,8)="SỐ LƯỢNG"),A1302,IF(A1302="","",K1301))</f>
        <v/>
      </c>
      <c r="L1302">
        <f>IF(A1302="","",IF(ISNUMBER(--LEFT(A1302,FIND(" - ",A1302&amp;" - ")-1)),LEFT(A1302,FIND(" - ",A1302&amp;" - ")-1),TRIM(A1302)))</f>
        <v/>
      </c>
      <c r="M1302">
        <f>IF(OR(K1302="",K1302=A1302,A1302=""),"",K1302&amp;"|"&amp;L1302)</f>
        <v/>
      </c>
      <c r="N1302">
        <f>IF(M1302="","",IF(ISNUMBER(B1302),B1302,IFERROR(_xlfn.NUMBERVALUE(B1302,".",","),0)))</f>
        <v/>
      </c>
      <c r="O1302">
        <f>IF(M1302="","",IF(ISNUMBER(C1302),C1302,IFERROR(_xlfn.NUMBERVALUE(C1302,".",","),0)))</f>
        <v/>
      </c>
    </row>
    <row r="1303">
      <c r="K1303">
        <f>IF(OR(LEFT(B1303,9)="DOANH THU",LEFT(B1303,8)="SỐ LƯỢNG"),A1303,IF(A1303="","",K1302))</f>
        <v/>
      </c>
      <c r="L1303">
        <f>IF(A1303="","",IF(ISNUMBER(--LEFT(A1303,FIND(" - ",A1303&amp;" - ")-1)),LEFT(A1303,FIND(" - ",A1303&amp;" - ")-1),TRIM(A1303)))</f>
        <v/>
      </c>
      <c r="M1303">
        <f>IF(OR(K1303="",K1303=A1303,A1303=""),"",K1303&amp;"|"&amp;L1303)</f>
        <v/>
      </c>
      <c r="N1303">
        <f>IF(M1303="","",IF(ISNUMBER(B1303),B1303,IFERROR(_xlfn.NUMBERVALUE(B1303,".",","),0)))</f>
        <v/>
      </c>
      <c r="O1303">
        <f>IF(M1303="","",IF(ISNUMBER(C1303),C1303,IFERROR(_xlfn.NUMBERVALUE(C1303,".",","),0)))</f>
        <v/>
      </c>
    </row>
    <row r="1304">
      <c r="K1304">
        <f>IF(OR(LEFT(B1304,9)="DOANH THU",LEFT(B1304,8)="SỐ LƯỢNG"),A1304,IF(A1304="","",K1303))</f>
        <v/>
      </c>
      <c r="L1304">
        <f>IF(A1304="","",IF(ISNUMBER(--LEFT(A1304,FIND(" - ",A1304&amp;" - ")-1)),LEFT(A1304,FIND(" - ",A1304&amp;" - ")-1),TRIM(A1304)))</f>
        <v/>
      </c>
      <c r="M1304">
        <f>IF(OR(K1304="",K1304=A1304,A1304=""),"",K1304&amp;"|"&amp;L1304)</f>
        <v/>
      </c>
      <c r="N1304">
        <f>IF(M1304="","",IF(ISNUMBER(B1304),B1304,IFERROR(_xlfn.NUMBERVALUE(B1304,".",","),0)))</f>
        <v/>
      </c>
      <c r="O1304">
        <f>IF(M1304="","",IF(ISNUMBER(C1304),C1304,IFERROR(_xlfn.NUMBERVALUE(C1304,".",","),0)))</f>
        <v/>
      </c>
    </row>
    <row r="1305">
      <c r="K1305">
        <f>IF(OR(LEFT(B1305,9)="DOANH THU",LEFT(B1305,8)="SỐ LƯỢNG"),A1305,IF(A1305="","",K1304))</f>
        <v/>
      </c>
      <c r="L1305">
        <f>IF(A1305="","",IF(ISNUMBER(--LEFT(A1305,FIND(" - ",A1305&amp;" - ")-1)),LEFT(A1305,FIND(" - ",A1305&amp;" - ")-1),TRIM(A1305)))</f>
        <v/>
      </c>
      <c r="M1305">
        <f>IF(OR(K1305="",K1305=A1305,A1305=""),"",K1305&amp;"|"&amp;L1305)</f>
        <v/>
      </c>
      <c r="N1305">
        <f>IF(M1305="","",IF(ISNUMBER(B1305),B1305,IFERROR(_xlfn.NUMBERVALUE(B1305,".",","),0)))</f>
        <v/>
      </c>
      <c r="O1305">
        <f>IF(M1305="","",IF(ISNUMBER(C1305),C1305,IFERROR(_xlfn.NUMBERVALUE(C1305,".",","),0)))</f>
        <v/>
      </c>
    </row>
    <row r="1306">
      <c r="K1306">
        <f>IF(OR(LEFT(B1306,9)="DOANH THU",LEFT(B1306,8)="SỐ LƯỢNG"),A1306,IF(A1306="","",K1305))</f>
        <v/>
      </c>
      <c r="L1306">
        <f>IF(A1306="","",IF(ISNUMBER(--LEFT(A1306,FIND(" - ",A1306&amp;" - ")-1)),LEFT(A1306,FIND(" - ",A1306&amp;" - ")-1),TRIM(A1306)))</f>
        <v/>
      </c>
      <c r="M1306">
        <f>IF(OR(K1306="",K1306=A1306,A1306=""),"",K1306&amp;"|"&amp;L1306)</f>
        <v/>
      </c>
      <c r="N1306">
        <f>IF(M1306="","",IF(ISNUMBER(B1306),B1306,IFERROR(_xlfn.NUMBERVALUE(B1306,".",","),0)))</f>
        <v/>
      </c>
      <c r="O1306">
        <f>IF(M1306="","",IF(ISNUMBER(C1306),C1306,IFERROR(_xlfn.NUMBERVALUE(C1306,".",","),0)))</f>
        <v/>
      </c>
    </row>
    <row r="1307">
      <c r="K1307">
        <f>IF(OR(LEFT(B1307,9)="DOANH THU",LEFT(B1307,8)="SỐ LƯỢNG"),A1307,IF(A1307="","",K1306))</f>
        <v/>
      </c>
      <c r="L1307">
        <f>IF(A1307="","",IF(ISNUMBER(--LEFT(A1307,FIND(" - ",A1307&amp;" - ")-1)),LEFT(A1307,FIND(" - ",A1307&amp;" - ")-1),TRIM(A1307)))</f>
        <v/>
      </c>
      <c r="M1307">
        <f>IF(OR(K1307="",K1307=A1307,A1307=""),"",K1307&amp;"|"&amp;L1307)</f>
        <v/>
      </c>
      <c r="N1307">
        <f>IF(M1307="","",IF(ISNUMBER(B1307),B1307,IFERROR(_xlfn.NUMBERVALUE(B1307,".",","),0)))</f>
        <v/>
      </c>
      <c r="O1307">
        <f>IF(M1307="","",IF(ISNUMBER(C1307),C1307,IFERROR(_xlfn.NUMBERVALUE(C1307,".",","),0)))</f>
        <v/>
      </c>
    </row>
    <row r="1308">
      <c r="K1308">
        <f>IF(OR(LEFT(B1308,9)="DOANH THU",LEFT(B1308,8)="SỐ LƯỢNG"),A1308,IF(A1308="","",K1307))</f>
        <v/>
      </c>
      <c r="L1308">
        <f>IF(A1308="","",IF(ISNUMBER(--LEFT(A1308,FIND(" - ",A1308&amp;" - ")-1)),LEFT(A1308,FIND(" - ",A1308&amp;" - ")-1),TRIM(A1308)))</f>
        <v/>
      </c>
      <c r="M1308">
        <f>IF(OR(K1308="",K1308=A1308,A1308=""),"",K1308&amp;"|"&amp;L1308)</f>
        <v/>
      </c>
      <c r="N1308">
        <f>IF(M1308="","",IF(ISNUMBER(B1308),B1308,IFERROR(_xlfn.NUMBERVALUE(B1308,".",","),0)))</f>
        <v/>
      </c>
      <c r="O1308">
        <f>IF(M1308="","",IF(ISNUMBER(C1308),C1308,IFERROR(_xlfn.NUMBERVALUE(C1308,".",","),0)))</f>
        <v/>
      </c>
    </row>
    <row r="1309">
      <c r="K1309">
        <f>IF(OR(LEFT(B1309,9)="DOANH THU",LEFT(B1309,8)="SỐ LƯỢNG"),A1309,IF(A1309="","",K1308))</f>
        <v/>
      </c>
      <c r="L1309">
        <f>IF(A1309="","",IF(ISNUMBER(--LEFT(A1309,FIND(" - ",A1309&amp;" - ")-1)),LEFT(A1309,FIND(" - ",A1309&amp;" - ")-1),TRIM(A1309)))</f>
        <v/>
      </c>
      <c r="M1309">
        <f>IF(OR(K1309="",K1309=A1309,A1309=""),"",K1309&amp;"|"&amp;L1309)</f>
        <v/>
      </c>
      <c r="N1309">
        <f>IF(M1309="","",IF(ISNUMBER(B1309),B1309,IFERROR(_xlfn.NUMBERVALUE(B1309,".",","),0)))</f>
        <v/>
      </c>
      <c r="O1309">
        <f>IF(M1309="","",IF(ISNUMBER(C1309),C1309,IFERROR(_xlfn.NUMBERVALUE(C1309,".",","),0)))</f>
        <v/>
      </c>
    </row>
    <row r="1310">
      <c r="K1310">
        <f>IF(OR(LEFT(B1310,9)="DOANH THU",LEFT(B1310,8)="SỐ LƯỢNG"),A1310,IF(A1310="","",K1309))</f>
        <v/>
      </c>
      <c r="L1310">
        <f>IF(A1310="","",IF(ISNUMBER(--LEFT(A1310,FIND(" - ",A1310&amp;" - ")-1)),LEFT(A1310,FIND(" - ",A1310&amp;" - ")-1),TRIM(A1310)))</f>
        <v/>
      </c>
      <c r="M1310">
        <f>IF(OR(K1310="",K1310=A1310,A1310=""),"",K1310&amp;"|"&amp;L1310)</f>
        <v/>
      </c>
      <c r="N1310">
        <f>IF(M1310="","",IF(ISNUMBER(B1310),B1310,IFERROR(_xlfn.NUMBERVALUE(B1310,".",","),0)))</f>
        <v/>
      </c>
      <c r="O1310">
        <f>IF(M1310="","",IF(ISNUMBER(C1310),C1310,IFERROR(_xlfn.NUMBERVALUE(C1310,".",","),0)))</f>
        <v/>
      </c>
    </row>
    <row r="1311">
      <c r="K1311">
        <f>IF(OR(LEFT(B1311,9)="DOANH THU",LEFT(B1311,8)="SỐ LƯỢNG"),A1311,IF(A1311="","",K1310))</f>
        <v/>
      </c>
      <c r="L1311">
        <f>IF(A1311="","",IF(ISNUMBER(--LEFT(A1311,FIND(" - ",A1311&amp;" - ")-1)),LEFT(A1311,FIND(" - ",A1311&amp;" - ")-1),TRIM(A1311)))</f>
        <v/>
      </c>
      <c r="M1311">
        <f>IF(OR(K1311="",K1311=A1311,A1311=""),"",K1311&amp;"|"&amp;L1311)</f>
        <v/>
      </c>
      <c r="N1311">
        <f>IF(M1311="","",IF(ISNUMBER(B1311),B1311,IFERROR(_xlfn.NUMBERVALUE(B1311,".",","),0)))</f>
        <v/>
      </c>
      <c r="O1311">
        <f>IF(M1311="","",IF(ISNUMBER(C1311),C1311,IFERROR(_xlfn.NUMBERVALUE(C1311,".",","),0)))</f>
        <v/>
      </c>
    </row>
    <row r="1312">
      <c r="K1312">
        <f>IF(OR(LEFT(B1312,9)="DOANH THU",LEFT(B1312,8)="SỐ LƯỢNG"),A1312,IF(A1312="","",K1311))</f>
        <v/>
      </c>
      <c r="L1312">
        <f>IF(A1312="","",IF(ISNUMBER(--LEFT(A1312,FIND(" - ",A1312&amp;" - ")-1)),LEFT(A1312,FIND(" - ",A1312&amp;" - ")-1),TRIM(A1312)))</f>
        <v/>
      </c>
      <c r="M1312">
        <f>IF(OR(K1312="",K1312=A1312,A1312=""),"",K1312&amp;"|"&amp;L1312)</f>
        <v/>
      </c>
      <c r="N1312">
        <f>IF(M1312="","",IF(ISNUMBER(B1312),B1312,IFERROR(_xlfn.NUMBERVALUE(B1312,".",","),0)))</f>
        <v/>
      </c>
      <c r="O1312">
        <f>IF(M1312="","",IF(ISNUMBER(C1312),C1312,IFERROR(_xlfn.NUMBERVALUE(C1312,".",","),0)))</f>
        <v/>
      </c>
    </row>
    <row r="1313">
      <c r="K1313">
        <f>IF(OR(LEFT(B1313,9)="DOANH THU",LEFT(B1313,8)="SỐ LƯỢNG"),A1313,IF(A1313="","",K1312))</f>
        <v/>
      </c>
      <c r="L1313">
        <f>IF(A1313="","",IF(ISNUMBER(--LEFT(A1313,FIND(" - ",A1313&amp;" - ")-1)),LEFT(A1313,FIND(" - ",A1313&amp;" - ")-1),TRIM(A1313)))</f>
        <v/>
      </c>
      <c r="M1313">
        <f>IF(OR(K1313="",K1313=A1313,A1313=""),"",K1313&amp;"|"&amp;L1313)</f>
        <v/>
      </c>
      <c r="N1313">
        <f>IF(M1313="","",IF(ISNUMBER(B1313),B1313,IFERROR(_xlfn.NUMBERVALUE(B1313,".",","),0)))</f>
        <v/>
      </c>
      <c r="O1313">
        <f>IF(M1313="","",IF(ISNUMBER(C1313),C1313,IFERROR(_xlfn.NUMBERVALUE(C1313,".",","),0)))</f>
        <v/>
      </c>
    </row>
    <row r="1314">
      <c r="K1314">
        <f>IF(OR(LEFT(B1314,9)="DOANH THU",LEFT(B1314,8)="SỐ LƯỢNG"),A1314,IF(A1314="","",K1313))</f>
        <v/>
      </c>
      <c r="L1314">
        <f>IF(A1314="","",IF(ISNUMBER(--LEFT(A1314,FIND(" - ",A1314&amp;" - ")-1)),LEFT(A1314,FIND(" - ",A1314&amp;" - ")-1),TRIM(A1314)))</f>
        <v/>
      </c>
      <c r="M1314">
        <f>IF(OR(K1314="",K1314=A1314,A1314=""),"",K1314&amp;"|"&amp;L1314)</f>
        <v/>
      </c>
      <c r="N1314">
        <f>IF(M1314="","",IF(ISNUMBER(B1314),B1314,IFERROR(_xlfn.NUMBERVALUE(B1314,".",","),0)))</f>
        <v/>
      </c>
      <c r="O1314">
        <f>IF(M1314="","",IF(ISNUMBER(C1314),C1314,IFERROR(_xlfn.NUMBERVALUE(C1314,".",","),0)))</f>
        <v/>
      </c>
    </row>
    <row r="1315">
      <c r="K1315">
        <f>IF(OR(LEFT(B1315,9)="DOANH THU",LEFT(B1315,8)="SỐ LƯỢNG"),A1315,IF(A1315="","",K1314))</f>
        <v/>
      </c>
      <c r="L1315">
        <f>IF(A1315="","",IF(ISNUMBER(--LEFT(A1315,FIND(" - ",A1315&amp;" - ")-1)),LEFT(A1315,FIND(" - ",A1315&amp;" - ")-1),TRIM(A1315)))</f>
        <v/>
      </c>
      <c r="M1315">
        <f>IF(OR(K1315="",K1315=A1315,A1315=""),"",K1315&amp;"|"&amp;L1315)</f>
        <v/>
      </c>
      <c r="N1315">
        <f>IF(M1315="","",IF(ISNUMBER(B1315),B1315,IFERROR(_xlfn.NUMBERVALUE(B1315,".",","),0)))</f>
        <v/>
      </c>
      <c r="O1315">
        <f>IF(M1315="","",IF(ISNUMBER(C1315),C1315,IFERROR(_xlfn.NUMBERVALUE(C1315,".",","),0)))</f>
        <v/>
      </c>
    </row>
    <row r="1316">
      <c r="K1316">
        <f>IF(OR(LEFT(B1316,9)="DOANH THU",LEFT(B1316,8)="SỐ LƯỢNG"),A1316,IF(A1316="","",K1315))</f>
        <v/>
      </c>
      <c r="L1316">
        <f>IF(A1316="","",IF(ISNUMBER(--LEFT(A1316,FIND(" - ",A1316&amp;" - ")-1)),LEFT(A1316,FIND(" - ",A1316&amp;" - ")-1),TRIM(A1316)))</f>
        <v/>
      </c>
      <c r="M1316">
        <f>IF(OR(K1316="",K1316=A1316,A1316=""),"",K1316&amp;"|"&amp;L1316)</f>
        <v/>
      </c>
      <c r="N1316">
        <f>IF(M1316="","",IF(ISNUMBER(B1316),B1316,IFERROR(_xlfn.NUMBERVALUE(B1316,".",","),0)))</f>
        <v/>
      </c>
      <c r="O1316">
        <f>IF(M1316="","",IF(ISNUMBER(C1316),C1316,IFERROR(_xlfn.NUMBERVALUE(C1316,".",","),0)))</f>
        <v/>
      </c>
    </row>
    <row r="1317">
      <c r="K1317">
        <f>IF(OR(LEFT(B1317,9)="DOANH THU",LEFT(B1317,8)="SỐ LƯỢNG"),A1317,IF(A1317="","",K1316))</f>
        <v/>
      </c>
      <c r="L1317">
        <f>IF(A1317="","",IF(ISNUMBER(--LEFT(A1317,FIND(" - ",A1317&amp;" - ")-1)),LEFT(A1317,FIND(" - ",A1317&amp;" - ")-1),TRIM(A1317)))</f>
        <v/>
      </c>
      <c r="M1317">
        <f>IF(OR(K1317="",K1317=A1317,A1317=""),"",K1317&amp;"|"&amp;L1317)</f>
        <v/>
      </c>
      <c r="N1317">
        <f>IF(M1317="","",IF(ISNUMBER(B1317),B1317,IFERROR(_xlfn.NUMBERVALUE(B1317,".",","),0)))</f>
        <v/>
      </c>
      <c r="O1317">
        <f>IF(M1317="","",IF(ISNUMBER(C1317),C1317,IFERROR(_xlfn.NUMBERVALUE(C1317,".",","),0)))</f>
        <v/>
      </c>
    </row>
    <row r="1318">
      <c r="K1318">
        <f>IF(OR(LEFT(B1318,9)="DOANH THU",LEFT(B1318,8)="SỐ LƯỢNG"),A1318,IF(A1318="","",K1317))</f>
        <v/>
      </c>
      <c r="L1318">
        <f>IF(A1318="","",IF(ISNUMBER(--LEFT(A1318,FIND(" - ",A1318&amp;" - ")-1)),LEFT(A1318,FIND(" - ",A1318&amp;" - ")-1),TRIM(A1318)))</f>
        <v/>
      </c>
      <c r="M1318">
        <f>IF(OR(K1318="",K1318=A1318,A1318=""),"",K1318&amp;"|"&amp;L1318)</f>
        <v/>
      </c>
      <c r="N1318">
        <f>IF(M1318="","",IF(ISNUMBER(B1318),B1318,IFERROR(_xlfn.NUMBERVALUE(B1318,".",","),0)))</f>
        <v/>
      </c>
      <c r="O1318">
        <f>IF(M1318="","",IF(ISNUMBER(C1318),C1318,IFERROR(_xlfn.NUMBERVALUE(C1318,".",","),0)))</f>
        <v/>
      </c>
    </row>
    <row r="1319">
      <c r="K1319">
        <f>IF(OR(LEFT(B1319,9)="DOANH THU",LEFT(B1319,8)="SỐ LƯỢNG"),A1319,IF(A1319="","",K1318))</f>
        <v/>
      </c>
      <c r="L1319">
        <f>IF(A1319="","",IF(ISNUMBER(--LEFT(A1319,FIND(" - ",A1319&amp;" - ")-1)),LEFT(A1319,FIND(" - ",A1319&amp;" - ")-1),TRIM(A1319)))</f>
        <v/>
      </c>
      <c r="M1319">
        <f>IF(OR(K1319="",K1319=A1319,A1319=""),"",K1319&amp;"|"&amp;L1319)</f>
        <v/>
      </c>
      <c r="N1319">
        <f>IF(M1319="","",IF(ISNUMBER(B1319),B1319,IFERROR(_xlfn.NUMBERVALUE(B1319,".",","),0)))</f>
        <v/>
      </c>
      <c r="O1319">
        <f>IF(M1319="","",IF(ISNUMBER(C1319),C1319,IFERROR(_xlfn.NUMBERVALUE(C1319,".",","),0)))</f>
        <v/>
      </c>
    </row>
    <row r="1320">
      <c r="K1320">
        <f>IF(OR(LEFT(B1320,9)="DOANH THU",LEFT(B1320,8)="SỐ LƯỢNG"),A1320,IF(A1320="","",K1319))</f>
        <v/>
      </c>
      <c r="L1320">
        <f>IF(A1320="","",IF(ISNUMBER(--LEFT(A1320,FIND(" - ",A1320&amp;" - ")-1)),LEFT(A1320,FIND(" - ",A1320&amp;" - ")-1),TRIM(A1320)))</f>
        <v/>
      </c>
      <c r="M1320">
        <f>IF(OR(K1320="",K1320=A1320,A1320=""),"",K1320&amp;"|"&amp;L1320)</f>
        <v/>
      </c>
      <c r="N1320">
        <f>IF(M1320="","",IF(ISNUMBER(B1320),B1320,IFERROR(_xlfn.NUMBERVALUE(B1320,".",","),0)))</f>
        <v/>
      </c>
      <c r="O1320">
        <f>IF(M1320="","",IF(ISNUMBER(C1320),C1320,IFERROR(_xlfn.NUMBERVALUE(C1320,".",","),0)))</f>
        <v/>
      </c>
    </row>
    <row r="1321">
      <c r="K1321">
        <f>IF(OR(LEFT(B1321,9)="DOANH THU",LEFT(B1321,8)="SỐ LƯỢNG"),A1321,IF(A1321="","",K1320))</f>
        <v/>
      </c>
      <c r="L1321">
        <f>IF(A1321="","",IF(ISNUMBER(--LEFT(A1321,FIND(" - ",A1321&amp;" - ")-1)),LEFT(A1321,FIND(" - ",A1321&amp;" - ")-1),TRIM(A1321)))</f>
        <v/>
      </c>
      <c r="M1321">
        <f>IF(OR(K1321="",K1321=A1321,A1321=""),"",K1321&amp;"|"&amp;L1321)</f>
        <v/>
      </c>
      <c r="N1321">
        <f>IF(M1321="","",IF(ISNUMBER(B1321),B1321,IFERROR(_xlfn.NUMBERVALUE(B1321,".",","),0)))</f>
        <v/>
      </c>
      <c r="O1321">
        <f>IF(M1321="","",IF(ISNUMBER(C1321),C1321,IFERROR(_xlfn.NUMBERVALUE(C1321,".",","),0)))</f>
        <v/>
      </c>
    </row>
    <row r="1322">
      <c r="K1322">
        <f>IF(OR(LEFT(B1322,9)="DOANH THU",LEFT(B1322,8)="SỐ LƯỢNG"),A1322,IF(A1322="","",K1321))</f>
        <v/>
      </c>
      <c r="L1322">
        <f>IF(A1322="","",IF(ISNUMBER(--LEFT(A1322,FIND(" - ",A1322&amp;" - ")-1)),LEFT(A1322,FIND(" - ",A1322&amp;" - ")-1),TRIM(A1322)))</f>
        <v/>
      </c>
      <c r="M1322">
        <f>IF(OR(K1322="",K1322=A1322,A1322=""),"",K1322&amp;"|"&amp;L1322)</f>
        <v/>
      </c>
      <c r="N1322">
        <f>IF(M1322="","",IF(ISNUMBER(B1322),B1322,IFERROR(_xlfn.NUMBERVALUE(B1322,".",","),0)))</f>
        <v/>
      </c>
      <c r="O1322">
        <f>IF(M1322="","",IF(ISNUMBER(C1322),C1322,IFERROR(_xlfn.NUMBERVALUE(C1322,".",","),0)))</f>
        <v/>
      </c>
    </row>
    <row r="1323">
      <c r="K1323">
        <f>IF(OR(LEFT(B1323,9)="DOANH THU",LEFT(B1323,8)="SỐ LƯỢNG"),A1323,IF(A1323="","",K1322))</f>
        <v/>
      </c>
      <c r="L1323">
        <f>IF(A1323="","",IF(ISNUMBER(--LEFT(A1323,FIND(" - ",A1323&amp;" - ")-1)),LEFT(A1323,FIND(" - ",A1323&amp;" - ")-1),TRIM(A1323)))</f>
        <v/>
      </c>
      <c r="M1323">
        <f>IF(OR(K1323="",K1323=A1323,A1323=""),"",K1323&amp;"|"&amp;L1323)</f>
        <v/>
      </c>
      <c r="N1323">
        <f>IF(M1323="","",IF(ISNUMBER(B1323),B1323,IFERROR(_xlfn.NUMBERVALUE(B1323,".",","),0)))</f>
        <v/>
      </c>
      <c r="O1323">
        <f>IF(M1323="","",IF(ISNUMBER(C1323),C1323,IFERROR(_xlfn.NUMBERVALUE(C1323,".",","),0)))</f>
        <v/>
      </c>
    </row>
    <row r="1324">
      <c r="K1324">
        <f>IF(OR(LEFT(B1324,9)="DOANH THU",LEFT(B1324,8)="SỐ LƯỢNG"),A1324,IF(A1324="","",K1323))</f>
        <v/>
      </c>
      <c r="L1324">
        <f>IF(A1324="","",IF(ISNUMBER(--LEFT(A1324,FIND(" - ",A1324&amp;" - ")-1)),LEFT(A1324,FIND(" - ",A1324&amp;" - ")-1),TRIM(A1324)))</f>
        <v/>
      </c>
      <c r="M1324">
        <f>IF(OR(K1324="",K1324=A1324,A1324=""),"",K1324&amp;"|"&amp;L1324)</f>
        <v/>
      </c>
      <c r="N1324">
        <f>IF(M1324="","",IF(ISNUMBER(B1324),B1324,IFERROR(_xlfn.NUMBERVALUE(B1324,".",","),0)))</f>
        <v/>
      </c>
      <c r="O1324">
        <f>IF(M1324="","",IF(ISNUMBER(C1324),C1324,IFERROR(_xlfn.NUMBERVALUE(C1324,".",","),0)))</f>
        <v/>
      </c>
    </row>
    <row r="1325">
      <c r="K1325">
        <f>IF(OR(LEFT(B1325,9)="DOANH THU",LEFT(B1325,8)="SỐ LƯỢNG"),A1325,IF(A1325="","",K1324))</f>
        <v/>
      </c>
      <c r="L1325">
        <f>IF(A1325="","",IF(ISNUMBER(--LEFT(A1325,FIND(" - ",A1325&amp;" - ")-1)),LEFT(A1325,FIND(" - ",A1325&amp;" - ")-1),TRIM(A1325)))</f>
        <v/>
      </c>
      <c r="M1325">
        <f>IF(OR(K1325="",K1325=A1325,A1325=""),"",K1325&amp;"|"&amp;L1325)</f>
        <v/>
      </c>
      <c r="N1325">
        <f>IF(M1325="","",IF(ISNUMBER(B1325),B1325,IFERROR(_xlfn.NUMBERVALUE(B1325,".",","),0)))</f>
        <v/>
      </c>
      <c r="O1325">
        <f>IF(M1325="","",IF(ISNUMBER(C1325),C1325,IFERROR(_xlfn.NUMBERVALUE(C1325,".",","),0)))</f>
        <v/>
      </c>
    </row>
    <row r="1326">
      <c r="K1326">
        <f>IF(OR(LEFT(B1326,9)="DOANH THU",LEFT(B1326,8)="SỐ LƯỢNG"),A1326,IF(A1326="","",K1325))</f>
        <v/>
      </c>
      <c r="L1326">
        <f>IF(A1326="","",IF(ISNUMBER(--LEFT(A1326,FIND(" - ",A1326&amp;" - ")-1)),LEFT(A1326,FIND(" - ",A1326&amp;" - ")-1),TRIM(A1326)))</f>
        <v/>
      </c>
      <c r="M1326">
        <f>IF(OR(K1326="",K1326=A1326,A1326=""),"",K1326&amp;"|"&amp;L1326)</f>
        <v/>
      </c>
      <c r="N1326">
        <f>IF(M1326="","",IF(ISNUMBER(B1326),B1326,IFERROR(_xlfn.NUMBERVALUE(B1326,".",","),0)))</f>
        <v/>
      </c>
      <c r="O1326">
        <f>IF(M1326="","",IF(ISNUMBER(C1326),C1326,IFERROR(_xlfn.NUMBERVALUE(C1326,".",","),0)))</f>
        <v/>
      </c>
    </row>
    <row r="1327">
      <c r="K1327">
        <f>IF(OR(LEFT(B1327,9)="DOANH THU",LEFT(B1327,8)="SỐ LƯỢNG"),A1327,IF(A1327="","",K1326))</f>
        <v/>
      </c>
      <c r="L1327">
        <f>IF(A1327="","",IF(ISNUMBER(--LEFT(A1327,FIND(" - ",A1327&amp;" - ")-1)),LEFT(A1327,FIND(" - ",A1327&amp;" - ")-1),TRIM(A1327)))</f>
        <v/>
      </c>
      <c r="M1327">
        <f>IF(OR(K1327="",K1327=A1327,A1327=""),"",K1327&amp;"|"&amp;L1327)</f>
        <v/>
      </c>
      <c r="N1327">
        <f>IF(M1327="","",IF(ISNUMBER(B1327),B1327,IFERROR(_xlfn.NUMBERVALUE(B1327,".",","),0)))</f>
        <v/>
      </c>
      <c r="O1327">
        <f>IF(M1327="","",IF(ISNUMBER(C1327),C1327,IFERROR(_xlfn.NUMBERVALUE(C1327,".",","),0)))</f>
        <v/>
      </c>
    </row>
    <row r="1328">
      <c r="K1328">
        <f>IF(OR(LEFT(B1328,9)="DOANH THU",LEFT(B1328,8)="SỐ LƯỢNG"),A1328,IF(A1328="","",K1327))</f>
        <v/>
      </c>
      <c r="L1328">
        <f>IF(A1328="","",IF(ISNUMBER(--LEFT(A1328,FIND(" - ",A1328&amp;" - ")-1)),LEFT(A1328,FIND(" - ",A1328&amp;" - ")-1),TRIM(A1328)))</f>
        <v/>
      </c>
      <c r="M1328">
        <f>IF(OR(K1328="",K1328=A1328,A1328=""),"",K1328&amp;"|"&amp;L1328)</f>
        <v/>
      </c>
      <c r="N1328">
        <f>IF(M1328="","",IF(ISNUMBER(B1328),B1328,IFERROR(_xlfn.NUMBERVALUE(B1328,".",","),0)))</f>
        <v/>
      </c>
      <c r="O1328">
        <f>IF(M1328="","",IF(ISNUMBER(C1328),C1328,IFERROR(_xlfn.NUMBERVALUE(C1328,".",","),0)))</f>
        <v/>
      </c>
    </row>
    <row r="1329">
      <c r="K1329">
        <f>IF(OR(LEFT(B1329,9)="DOANH THU",LEFT(B1329,8)="SỐ LƯỢNG"),A1329,IF(A1329="","",K1328))</f>
        <v/>
      </c>
      <c r="L1329">
        <f>IF(A1329="","",IF(ISNUMBER(--LEFT(A1329,FIND(" - ",A1329&amp;" - ")-1)),LEFT(A1329,FIND(" - ",A1329&amp;" - ")-1),TRIM(A1329)))</f>
        <v/>
      </c>
      <c r="M1329">
        <f>IF(OR(K1329="",K1329=A1329,A1329=""),"",K1329&amp;"|"&amp;L1329)</f>
        <v/>
      </c>
      <c r="N1329">
        <f>IF(M1329="","",IF(ISNUMBER(B1329),B1329,IFERROR(_xlfn.NUMBERVALUE(B1329,".",","),0)))</f>
        <v/>
      </c>
      <c r="O1329">
        <f>IF(M1329="","",IF(ISNUMBER(C1329),C1329,IFERROR(_xlfn.NUMBERVALUE(C1329,".",","),0)))</f>
        <v/>
      </c>
    </row>
    <row r="1330">
      <c r="K1330">
        <f>IF(OR(LEFT(B1330,9)="DOANH THU",LEFT(B1330,8)="SỐ LƯỢNG"),A1330,IF(A1330="","",K1329))</f>
        <v/>
      </c>
      <c r="L1330">
        <f>IF(A1330="","",IF(ISNUMBER(--LEFT(A1330,FIND(" - ",A1330&amp;" - ")-1)),LEFT(A1330,FIND(" - ",A1330&amp;" - ")-1),TRIM(A1330)))</f>
        <v/>
      </c>
      <c r="M1330">
        <f>IF(OR(K1330="",K1330=A1330,A1330=""),"",K1330&amp;"|"&amp;L1330)</f>
        <v/>
      </c>
      <c r="N1330">
        <f>IF(M1330="","",IF(ISNUMBER(B1330),B1330,IFERROR(_xlfn.NUMBERVALUE(B1330,".",","),0)))</f>
        <v/>
      </c>
      <c r="O1330">
        <f>IF(M1330="","",IF(ISNUMBER(C1330),C1330,IFERROR(_xlfn.NUMBERVALUE(C1330,".",","),0)))</f>
        <v/>
      </c>
    </row>
    <row r="1331">
      <c r="K1331">
        <f>IF(OR(LEFT(B1331,9)="DOANH THU",LEFT(B1331,8)="SỐ LƯỢNG"),A1331,IF(A1331="","",K1330))</f>
        <v/>
      </c>
      <c r="L1331">
        <f>IF(A1331="","",IF(ISNUMBER(--LEFT(A1331,FIND(" - ",A1331&amp;" - ")-1)),LEFT(A1331,FIND(" - ",A1331&amp;" - ")-1),TRIM(A1331)))</f>
        <v/>
      </c>
      <c r="M1331">
        <f>IF(OR(K1331="",K1331=A1331,A1331=""),"",K1331&amp;"|"&amp;L1331)</f>
        <v/>
      </c>
      <c r="N1331">
        <f>IF(M1331="","",IF(ISNUMBER(B1331),B1331,IFERROR(_xlfn.NUMBERVALUE(B1331,".",","),0)))</f>
        <v/>
      </c>
      <c r="O1331">
        <f>IF(M1331="","",IF(ISNUMBER(C1331),C1331,IFERROR(_xlfn.NUMBERVALUE(C1331,".",","),0)))</f>
        <v/>
      </c>
    </row>
    <row r="1332">
      <c r="K1332">
        <f>IF(OR(LEFT(B1332,9)="DOANH THU",LEFT(B1332,8)="SỐ LƯỢNG"),A1332,IF(A1332="","",K1331))</f>
        <v/>
      </c>
      <c r="L1332">
        <f>IF(A1332="","",IF(ISNUMBER(--LEFT(A1332,FIND(" - ",A1332&amp;" - ")-1)),LEFT(A1332,FIND(" - ",A1332&amp;" - ")-1),TRIM(A1332)))</f>
        <v/>
      </c>
      <c r="M1332">
        <f>IF(OR(K1332="",K1332=A1332,A1332=""),"",K1332&amp;"|"&amp;L1332)</f>
        <v/>
      </c>
      <c r="N1332">
        <f>IF(M1332="","",IF(ISNUMBER(B1332),B1332,IFERROR(_xlfn.NUMBERVALUE(B1332,".",","),0)))</f>
        <v/>
      </c>
      <c r="O1332">
        <f>IF(M1332="","",IF(ISNUMBER(C1332),C1332,IFERROR(_xlfn.NUMBERVALUE(C1332,".",","),0)))</f>
        <v/>
      </c>
    </row>
    <row r="1333">
      <c r="K1333">
        <f>IF(OR(LEFT(B1333,9)="DOANH THU",LEFT(B1333,8)="SỐ LƯỢNG"),A1333,IF(A1333="","",K1332))</f>
        <v/>
      </c>
      <c r="L1333">
        <f>IF(A1333="","",IF(ISNUMBER(--LEFT(A1333,FIND(" - ",A1333&amp;" - ")-1)),LEFT(A1333,FIND(" - ",A1333&amp;" - ")-1),TRIM(A1333)))</f>
        <v/>
      </c>
      <c r="M1333">
        <f>IF(OR(K1333="",K1333=A1333,A1333=""),"",K1333&amp;"|"&amp;L1333)</f>
        <v/>
      </c>
      <c r="N1333">
        <f>IF(M1333="","",IF(ISNUMBER(B1333),B1333,IFERROR(_xlfn.NUMBERVALUE(B1333,".",","),0)))</f>
        <v/>
      </c>
      <c r="O1333">
        <f>IF(M1333="","",IF(ISNUMBER(C1333),C1333,IFERROR(_xlfn.NUMBERVALUE(C1333,".",","),0)))</f>
        <v/>
      </c>
    </row>
    <row r="1334">
      <c r="K1334">
        <f>IF(OR(LEFT(B1334,9)="DOANH THU",LEFT(B1334,8)="SỐ LƯỢNG"),A1334,IF(A1334="","",K1333))</f>
        <v/>
      </c>
      <c r="L1334">
        <f>IF(A1334="","",IF(ISNUMBER(--LEFT(A1334,FIND(" - ",A1334&amp;" - ")-1)),LEFT(A1334,FIND(" - ",A1334&amp;" - ")-1),TRIM(A1334)))</f>
        <v/>
      </c>
      <c r="M1334">
        <f>IF(OR(K1334="",K1334=A1334,A1334=""),"",K1334&amp;"|"&amp;L1334)</f>
        <v/>
      </c>
      <c r="N1334">
        <f>IF(M1334="","",IF(ISNUMBER(B1334),B1334,IFERROR(_xlfn.NUMBERVALUE(B1334,".",","),0)))</f>
        <v/>
      </c>
      <c r="O1334">
        <f>IF(M1334="","",IF(ISNUMBER(C1334),C1334,IFERROR(_xlfn.NUMBERVALUE(C1334,".",","),0)))</f>
        <v/>
      </c>
    </row>
    <row r="1335">
      <c r="K1335">
        <f>IF(OR(LEFT(B1335,9)="DOANH THU",LEFT(B1335,8)="SỐ LƯỢNG"),A1335,IF(A1335="","",K1334))</f>
        <v/>
      </c>
      <c r="L1335">
        <f>IF(A1335="","",IF(ISNUMBER(--LEFT(A1335,FIND(" - ",A1335&amp;" - ")-1)),LEFT(A1335,FIND(" - ",A1335&amp;" - ")-1),TRIM(A1335)))</f>
        <v/>
      </c>
      <c r="M1335">
        <f>IF(OR(K1335="",K1335=A1335,A1335=""),"",K1335&amp;"|"&amp;L1335)</f>
        <v/>
      </c>
      <c r="N1335">
        <f>IF(M1335="","",IF(ISNUMBER(B1335),B1335,IFERROR(_xlfn.NUMBERVALUE(B1335,".",","),0)))</f>
        <v/>
      </c>
      <c r="O1335">
        <f>IF(M1335="","",IF(ISNUMBER(C1335),C1335,IFERROR(_xlfn.NUMBERVALUE(C1335,".",","),0)))</f>
        <v/>
      </c>
    </row>
    <row r="1336">
      <c r="K1336">
        <f>IF(OR(LEFT(B1336,9)="DOANH THU",LEFT(B1336,8)="SỐ LƯỢNG"),A1336,IF(A1336="","",K1335))</f>
        <v/>
      </c>
      <c r="L1336">
        <f>IF(A1336="","",IF(ISNUMBER(--LEFT(A1336,FIND(" - ",A1336&amp;" - ")-1)),LEFT(A1336,FIND(" - ",A1336&amp;" - ")-1),TRIM(A1336)))</f>
        <v/>
      </c>
      <c r="M1336">
        <f>IF(OR(K1336="",K1336=A1336,A1336=""),"",K1336&amp;"|"&amp;L1336)</f>
        <v/>
      </c>
      <c r="N1336">
        <f>IF(M1336="","",IF(ISNUMBER(B1336),B1336,IFERROR(_xlfn.NUMBERVALUE(B1336,".",","),0)))</f>
        <v/>
      </c>
      <c r="O1336">
        <f>IF(M1336="","",IF(ISNUMBER(C1336),C1336,IFERROR(_xlfn.NUMBERVALUE(C1336,".",","),0)))</f>
        <v/>
      </c>
    </row>
    <row r="1337">
      <c r="K1337">
        <f>IF(OR(LEFT(B1337,9)="DOANH THU",LEFT(B1337,8)="SỐ LƯỢNG"),A1337,IF(A1337="","",K1336))</f>
        <v/>
      </c>
      <c r="L1337">
        <f>IF(A1337="","",IF(ISNUMBER(--LEFT(A1337,FIND(" - ",A1337&amp;" - ")-1)),LEFT(A1337,FIND(" - ",A1337&amp;" - ")-1),TRIM(A1337)))</f>
        <v/>
      </c>
      <c r="M1337">
        <f>IF(OR(K1337="",K1337=A1337,A1337=""),"",K1337&amp;"|"&amp;L1337)</f>
        <v/>
      </c>
      <c r="N1337">
        <f>IF(M1337="","",IF(ISNUMBER(B1337),B1337,IFERROR(_xlfn.NUMBERVALUE(B1337,".",","),0)))</f>
        <v/>
      </c>
      <c r="O1337">
        <f>IF(M1337="","",IF(ISNUMBER(C1337),C1337,IFERROR(_xlfn.NUMBERVALUE(C1337,".",","),0)))</f>
        <v/>
      </c>
    </row>
    <row r="1338">
      <c r="K1338">
        <f>IF(OR(LEFT(B1338,9)="DOANH THU",LEFT(B1338,8)="SỐ LƯỢNG"),A1338,IF(A1338="","",K1337))</f>
        <v/>
      </c>
      <c r="L1338">
        <f>IF(A1338="","",IF(ISNUMBER(--LEFT(A1338,FIND(" - ",A1338&amp;" - ")-1)),LEFT(A1338,FIND(" - ",A1338&amp;" - ")-1),TRIM(A1338)))</f>
        <v/>
      </c>
      <c r="M1338">
        <f>IF(OR(K1338="",K1338=A1338,A1338=""),"",K1338&amp;"|"&amp;L1338)</f>
        <v/>
      </c>
      <c r="N1338">
        <f>IF(M1338="","",IF(ISNUMBER(B1338),B1338,IFERROR(_xlfn.NUMBERVALUE(B1338,".",","),0)))</f>
        <v/>
      </c>
      <c r="O1338">
        <f>IF(M1338="","",IF(ISNUMBER(C1338),C1338,IFERROR(_xlfn.NUMBERVALUE(C1338,".",","),0)))</f>
        <v/>
      </c>
    </row>
    <row r="1339">
      <c r="K1339">
        <f>IF(OR(LEFT(B1339,9)="DOANH THU",LEFT(B1339,8)="SỐ LƯỢNG"),A1339,IF(A1339="","",K1338))</f>
        <v/>
      </c>
      <c r="L1339">
        <f>IF(A1339="","",IF(ISNUMBER(--LEFT(A1339,FIND(" - ",A1339&amp;" - ")-1)),LEFT(A1339,FIND(" - ",A1339&amp;" - ")-1),TRIM(A1339)))</f>
        <v/>
      </c>
      <c r="M1339">
        <f>IF(OR(K1339="",K1339=A1339,A1339=""),"",K1339&amp;"|"&amp;L1339)</f>
        <v/>
      </c>
      <c r="N1339">
        <f>IF(M1339="","",IF(ISNUMBER(B1339),B1339,IFERROR(_xlfn.NUMBERVALUE(B1339,".",","),0)))</f>
        <v/>
      </c>
      <c r="O1339">
        <f>IF(M1339="","",IF(ISNUMBER(C1339),C1339,IFERROR(_xlfn.NUMBERVALUE(C1339,".",","),0)))</f>
        <v/>
      </c>
    </row>
    <row r="1340">
      <c r="K1340">
        <f>IF(OR(LEFT(B1340,9)="DOANH THU",LEFT(B1340,8)="SỐ LƯỢNG"),A1340,IF(A1340="","",K1339))</f>
        <v/>
      </c>
      <c r="L1340">
        <f>IF(A1340="","",IF(ISNUMBER(--LEFT(A1340,FIND(" - ",A1340&amp;" - ")-1)),LEFT(A1340,FIND(" - ",A1340&amp;" - ")-1),TRIM(A1340)))</f>
        <v/>
      </c>
      <c r="M1340">
        <f>IF(OR(K1340="",K1340=A1340,A1340=""),"",K1340&amp;"|"&amp;L1340)</f>
        <v/>
      </c>
      <c r="N1340">
        <f>IF(M1340="","",IF(ISNUMBER(B1340),B1340,IFERROR(_xlfn.NUMBERVALUE(B1340,".",","),0)))</f>
        <v/>
      </c>
      <c r="O1340">
        <f>IF(M1340="","",IF(ISNUMBER(C1340),C1340,IFERROR(_xlfn.NUMBERVALUE(C1340,".",","),0)))</f>
        <v/>
      </c>
    </row>
    <row r="1341">
      <c r="K1341">
        <f>IF(OR(LEFT(B1341,9)="DOANH THU",LEFT(B1341,8)="SỐ LƯỢNG"),A1341,IF(A1341="","",K1340))</f>
        <v/>
      </c>
      <c r="L1341">
        <f>IF(A1341="","",IF(ISNUMBER(--LEFT(A1341,FIND(" - ",A1341&amp;" - ")-1)),LEFT(A1341,FIND(" - ",A1341&amp;" - ")-1),TRIM(A1341)))</f>
        <v/>
      </c>
      <c r="M1341">
        <f>IF(OR(K1341="",K1341=A1341,A1341=""),"",K1341&amp;"|"&amp;L1341)</f>
        <v/>
      </c>
      <c r="N1341">
        <f>IF(M1341="","",IF(ISNUMBER(B1341),B1341,IFERROR(_xlfn.NUMBERVALUE(B1341,".",","),0)))</f>
        <v/>
      </c>
      <c r="O1341">
        <f>IF(M1341="","",IF(ISNUMBER(C1341),C1341,IFERROR(_xlfn.NUMBERVALUE(C1341,".",","),0)))</f>
        <v/>
      </c>
    </row>
    <row r="1342">
      <c r="K1342">
        <f>IF(OR(LEFT(B1342,9)="DOANH THU",LEFT(B1342,8)="SỐ LƯỢNG"),A1342,IF(A1342="","",K1341))</f>
        <v/>
      </c>
      <c r="L1342">
        <f>IF(A1342="","",IF(ISNUMBER(--LEFT(A1342,FIND(" - ",A1342&amp;" - ")-1)),LEFT(A1342,FIND(" - ",A1342&amp;" - ")-1),TRIM(A1342)))</f>
        <v/>
      </c>
      <c r="M1342">
        <f>IF(OR(K1342="",K1342=A1342,A1342=""),"",K1342&amp;"|"&amp;L1342)</f>
        <v/>
      </c>
      <c r="N1342">
        <f>IF(M1342="","",IF(ISNUMBER(B1342),B1342,IFERROR(_xlfn.NUMBERVALUE(B1342,".",","),0)))</f>
        <v/>
      </c>
      <c r="O1342">
        <f>IF(M1342="","",IF(ISNUMBER(C1342),C1342,IFERROR(_xlfn.NUMBERVALUE(C1342,".",","),0)))</f>
        <v/>
      </c>
    </row>
    <row r="1343">
      <c r="K1343">
        <f>IF(OR(LEFT(B1343,9)="DOANH THU",LEFT(B1343,8)="SỐ LƯỢNG"),A1343,IF(A1343="","",K1342))</f>
        <v/>
      </c>
      <c r="L1343">
        <f>IF(A1343="","",IF(ISNUMBER(--LEFT(A1343,FIND(" - ",A1343&amp;" - ")-1)),LEFT(A1343,FIND(" - ",A1343&amp;" - ")-1),TRIM(A1343)))</f>
        <v/>
      </c>
      <c r="M1343">
        <f>IF(OR(K1343="",K1343=A1343,A1343=""),"",K1343&amp;"|"&amp;L1343)</f>
        <v/>
      </c>
      <c r="N1343">
        <f>IF(M1343="","",IF(ISNUMBER(B1343),B1343,IFERROR(_xlfn.NUMBERVALUE(B1343,".",","),0)))</f>
        <v/>
      </c>
      <c r="O1343">
        <f>IF(M1343="","",IF(ISNUMBER(C1343),C1343,IFERROR(_xlfn.NUMBERVALUE(C1343,".",","),0)))</f>
        <v/>
      </c>
    </row>
    <row r="1344">
      <c r="K1344">
        <f>IF(OR(LEFT(B1344,9)="DOANH THU",LEFT(B1344,8)="SỐ LƯỢNG"),A1344,IF(A1344="","",K1343))</f>
        <v/>
      </c>
      <c r="L1344">
        <f>IF(A1344="","",IF(ISNUMBER(--LEFT(A1344,FIND(" - ",A1344&amp;" - ")-1)),LEFT(A1344,FIND(" - ",A1344&amp;" - ")-1),TRIM(A1344)))</f>
        <v/>
      </c>
      <c r="M1344">
        <f>IF(OR(K1344="",K1344=A1344,A1344=""),"",K1344&amp;"|"&amp;L1344)</f>
        <v/>
      </c>
      <c r="N1344">
        <f>IF(M1344="","",IF(ISNUMBER(B1344),B1344,IFERROR(_xlfn.NUMBERVALUE(B1344,".",","),0)))</f>
        <v/>
      </c>
      <c r="O1344">
        <f>IF(M1344="","",IF(ISNUMBER(C1344),C1344,IFERROR(_xlfn.NUMBERVALUE(C1344,".",","),0)))</f>
        <v/>
      </c>
    </row>
    <row r="1345">
      <c r="K1345">
        <f>IF(OR(LEFT(B1345,9)="DOANH THU",LEFT(B1345,8)="SỐ LƯỢNG"),A1345,IF(A1345="","",K1344))</f>
        <v/>
      </c>
      <c r="L1345">
        <f>IF(A1345="","",IF(ISNUMBER(--LEFT(A1345,FIND(" - ",A1345&amp;" - ")-1)),LEFT(A1345,FIND(" - ",A1345&amp;" - ")-1),TRIM(A1345)))</f>
        <v/>
      </c>
      <c r="M1345">
        <f>IF(OR(K1345="",K1345=A1345,A1345=""),"",K1345&amp;"|"&amp;L1345)</f>
        <v/>
      </c>
      <c r="N1345">
        <f>IF(M1345="","",IF(ISNUMBER(B1345),B1345,IFERROR(_xlfn.NUMBERVALUE(B1345,".",","),0)))</f>
        <v/>
      </c>
      <c r="O1345">
        <f>IF(M1345="","",IF(ISNUMBER(C1345),C1345,IFERROR(_xlfn.NUMBERVALUE(C1345,".",","),0)))</f>
        <v/>
      </c>
    </row>
    <row r="1346">
      <c r="K1346">
        <f>IF(OR(LEFT(B1346,9)="DOANH THU",LEFT(B1346,8)="SỐ LƯỢNG"),A1346,IF(A1346="","",K1345))</f>
        <v/>
      </c>
      <c r="L1346">
        <f>IF(A1346="","",IF(ISNUMBER(--LEFT(A1346,FIND(" - ",A1346&amp;" - ")-1)),LEFT(A1346,FIND(" - ",A1346&amp;" - ")-1),TRIM(A1346)))</f>
        <v/>
      </c>
      <c r="M1346">
        <f>IF(OR(K1346="",K1346=A1346,A1346=""),"",K1346&amp;"|"&amp;L1346)</f>
        <v/>
      </c>
      <c r="N1346">
        <f>IF(M1346="","",IF(ISNUMBER(B1346),B1346,IFERROR(_xlfn.NUMBERVALUE(B1346,".",","),0)))</f>
        <v/>
      </c>
      <c r="O1346">
        <f>IF(M1346="","",IF(ISNUMBER(C1346),C1346,IFERROR(_xlfn.NUMBERVALUE(C1346,".",","),0)))</f>
        <v/>
      </c>
    </row>
    <row r="1347">
      <c r="K1347">
        <f>IF(OR(LEFT(B1347,9)="DOANH THU",LEFT(B1347,8)="SỐ LƯỢNG"),A1347,IF(A1347="","",K1346))</f>
        <v/>
      </c>
      <c r="L1347">
        <f>IF(A1347="","",IF(ISNUMBER(--LEFT(A1347,FIND(" - ",A1347&amp;" - ")-1)),LEFT(A1347,FIND(" - ",A1347&amp;" - ")-1),TRIM(A1347)))</f>
        <v/>
      </c>
      <c r="M1347">
        <f>IF(OR(K1347="",K1347=A1347,A1347=""),"",K1347&amp;"|"&amp;L1347)</f>
        <v/>
      </c>
      <c r="N1347">
        <f>IF(M1347="","",IF(ISNUMBER(B1347),B1347,IFERROR(_xlfn.NUMBERVALUE(B1347,".",","),0)))</f>
        <v/>
      </c>
      <c r="O1347">
        <f>IF(M1347="","",IF(ISNUMBER(C1347),C1347,IFERROR(_xlfn.NUMBERVALUE(C1347,".",","),0)))</f>
        <v/>
      </c>
    </row>
    <row r="1348">
      <c r="K1348">
        <f>IF(OR(LEFT(B1348,9)="DOANH THU",LEFT(B1348,8)="SỐ LƯỢNG"),A1348,IF(A1348="","",K1347))</f>
        <v/>
      </c>
      <c r="L1348">
        <f>IF(A1348="","",IF(ISNUMBER(--LEFT(A1348,FIND(" - ",A1348&amp;" - ")-1)),LEFT(A1348,FIND(" - ",A1348&amp;" - ")-1),TRIM(A1348)))</f>
        <v/>
      </c>
      <c r="M1348">
        <f>IF(OR(K1348="",K1348=A1348,A1348=""),"",K1348&amp;"|"&amp;L1348)</f>
        <v/>
      </c>
      <c r="N1348">
        <f>IF(M1348="","",IF(ISNUMBER(B1348),B1348,IFERROR(_xlfn.NUMBERVALUE(B1348,".",","),0)))</f>
        <v/>
      </c>
      <c r="O1348">
        <f>IF(M1348="","",IF(ISNUMBER(C1348),C1348,IFERROR(_xlfn.NUMBERVALUE(C1348,".",","),0)))</f>
        <v/>
      </c>
    </row>
    <row r="1349">
      <c r="K1349">
        <f>IF(OR(LEFT(B1349,9)="DOANH THU",LEFT(B1349,8)="SỐ LƯỢNG"),A1349,IF(A1349="","",K1348))</f>
        <v/>
      </c>
      <c r="L1349">
        <f>IF(A1349="","",IF(ISNUMBER(--LEFT(A1349,FIND(" - ",A1349&amp;" - ")-1)),LEFT(A1349,FIND(" - ",A1349&amp;" - ")-1),TRIM(A1349)))</f>
        <v/>
      </c>
      <c r="M1349">
        <f>IF(OR(K1349="",K1349=A1349,A1349=""),"",K1349&amp;"|"&amp;L1349)</f>
        <v/>
      </c>
      <c r="N1349">
        <f>IF(M1349="","",IF(ISNUMBER(B1349),B1349,IFERROR(_xlfn.NUMBERVALUE(B1349,".",","),0)))</f>
        <v/>
      </c>
      <c r="O1349">
        <f>IF(M1349="","",IF(ISNUMBER(C1349),C1349,IFERROR(_xlfn.NUMBERVALUE(C1349,".",","),0)))</f>
        <v/>
      </c>
    </row>
    <row r="1350">
      <c r="K1350">
        <f>IF(OR(LEFT(B1350,9)="DOANH THU",LEFT(B1350,8)="SỐ LƯỢNG"),A1350,IF(A1350="","",K1349))</f>
        <v/>
      </c>
      <c r="L1350">
        <f>IF(A1350="","",IF(ISNUMBER(--LEFT(A1350,FIND(" - ",A1350&amp;" - ")-1)),LEFT(A1350,FIND(" - ",A1350&amp;" - ")-1),TRIM(A1350)))</f>
        <v/>
      </c>
      <c r="M1350">
        <f>IF(OR(K1350="",K1350=A1350,A1350=""),"",K1350&amp;"|"&amp;L1350)</f>
        <v/>
      </c>
      <c r="N1350">
        <f>IF(M1350="","",IF(ISNUMBER(B1350),B1350,IFERROR(_xlfn.NUMBERVALUE(B1350,".",","),0)))</f>
        <v/>
      </c>
      <c r="O1350">
        <f>IF(M1350="","",IF(ISNUMBER(C1350),C1350,IFERROR(_xlfn.NUMBERVALUE(C1350,".",","),0)))</f>
        <v/>
      </c>
    </row>
    <row r="1351">
      <c r="K1351">
        <f>IF(OR(LEFT(B1351,9)="DOANH THU",LEFT(B1351,8)="SỐ LƯỢNG"),A1351,IF(A1351="","",K1350))</f>
        <v/>
      </c>
      <c r="L1351">
        <f>IF(A1351="","",IF(ISNUMBER(--LEFT(A1351,FIND(" - ",A1351&amp;" - ")-1)),LEFT(A1351,FIND(" - ",A1351&amp;" - ")-1),TRIM(A1351)))</f>
        <v/>
      </c>
      <c r="M1351">
        <f>IF(OR(K1351="",K1351=A1351,A1351=""),"",K1351&amp;"|"&amp;L1351)</f>
        <v/>
      </c>
      <c r="N1351">
        <f>IF(M1351="","",IF(ISNUMBER(B1351),B1351,IFERROR(_xlfn.NUMBERVALUE(B1351,".",","),0)))</f>
        <v/>
      </c>
      <c r="O1351">
        <f>IF(M1351="","",IF(ISNUMBER(C1351),C1351,IFERROR(_xlfn.NUMBERVALUE(C1351,".",","),0)))</f>
        <v/>
      </c>
    </row>
    <row r="1352">
      <c r="K1352">
        <f>IF(OR(LEFT(B1352,9)="DOANH THU",LEFT(B1352,8)="SỐ LƯỢNG"),A1352,IF(A1352="","",K1351))</f>
        <v/>
      </c>
      <c r="L1352">
        <f>IF(A1352="","",IF(ISNUMBER(--LEFT(A1352,FIND(" - ",A1352&amp;" - ")-1)),LEFT(A1352,FIND(" - ",A1352&amp;" - ")-1),TRIM(A1352)))</f>
        <v/>
      </c>
      <c r="M1352">
        <f>IF(OR(K1352="",K1352=A1352,A1352=""),"",K1352&amp;"|"&amp;L1352)</f>
        <v/>
      </c>
      <c r="N1352">
        <f>IF(M1352="","",IF(ISNUMBER(B1352),B1352,IFERROR(_xlfn.NUMBERVALUE(B1352,".",","),0)))</f>
        <v/>
      </c>
      <c r="O1352">
        <f>IF(M1352="","",IF(ISNUMBER(C1352),C1352,IFERROR(_xlfn.NUMBERVALUE(C1352,".",","),0)))</f>
        <v/>
      </c>
    </row>
    <row r="1353">
      <c r="K1353">
        <f>IF(OR(LEFT(B1353,9)="DOANH THU",LEFT(B1353,8)="SỐ LƯỢNG"),A1353,IF(A1353="","",K1352))</f>
        <v/>
      </c>
      <c r="L1353">
        <f>IF(A1353="","",IF(ISNUMBER(--LEFT(A1353,FIND(" - ",A1353&amp;" - ")-1)),LEFT(A1353,FIND(" - ",A1353&amp;" - ")-1),TRIM(A1353)))</f>
        <v/>
      </c>
      <c r="M1353">
        <f>IF(OR(K1353="",K1353=A1353,A1353=""),"",K1353&amp;"|"&amp;L1353)</f>
        <v/>
      </c>
      <c r="N1353">
        <f>IF(M1353="","",IF(ISNUMBER(B1353),B1353,IFERROR(_xlfn.NUMBERVALUE(B1353,".",","),0)))</f>
        <v/>
      </c>
      <c r="O1353">
        <f>IF(M1353="","",IF(ISNUMBER(C1353),C1353,IFERROR(_xlfn.NUMBERVALUE(C1353,".",","),0)))</f>
        <v/>
      </c>
    </row>
    <row r="1354">
      <c r="K1354">
        <f>IF(OR(LEFT(B1354,9)="DOANH THU",LEFT(B1354,8)="SỐ LƯỢNG"),A1354,IF(A1354="","",K1353))</f>
        <v/>
      </c>
      <c r="L1354">
        <f>IF(A1354="","",IF(ISNUMBER(--LEFT(A1354,FIND(" - ",A1354&amp;" - ")-1)),LEFT(A1354,FIND(" - ",A1354&amp;" - ")-1),TRIM(A1354)))</f>
        <v/>
      </c>
      <c r="M1354">
        <f>IF(OR(K1354="",K1354=A1354,A1354=""),"",K1354&amp;"|"&amp;L1354)</f>
        <v/>
      </c>
      <c r="N1354">
        <f>IF(M1354="","",IF(ISNUMBER(B1354),B1354,IFERROR(_xlfn.NUMBERVALUE(B1354,".",","),0)))</f>
        <v/>
      </c>
      <c r="O1354">
        <f>IF(M1354="","",IF(ISNUMBER(C1354),C1354,IFERROR(_xlfn.NUMBERVALUE(C1354,".",","),0)))</f>
        <v/>
      </c>
    </row>
    <row r="1355">
      <c r="K1355">
        <f>IF(OR(LEFT(B1355,9)="DOANH THU",LEFT(B1355,8)="SỐ LƯỢNG"),A1355,IF(A1355="","",K1354))</f>
        <v/>
      </c>
      <c r="L1355">
        <f>IF(A1355="","",IF(ISNUMBER(--LEFT(A1355,FIND(" - ",A1355&amp;" - ")-1)),LEFT(A1355,FIND(" - ",A1355&amp;" - ")-1),TRIM(A1355)))</f>
        <v/>
      </c>
      <c r="M1355">
        <f>IF(OR(K1355="",K1355=A1355,A1355=""),"",K1355&amp;"|"&amp;L1355)</f>
        <v/>
      </c>
      <c r="N1355">
        <f>IF(M1355="","",IF(ISNUMBER(B1355),B1355,IFERROR(_xlfn.NUMBERVALUE(B1355,".",","),0)))</f>
        <v/>
      </c>
      <c r="O1355">
        <f>IF(M1355="","",IF(ISNUMBER(C1355),C1355,IFERROR(_xlfn.NUMBERVALUE(C1355,".",","),0)))</f>
        <v/>
      </c>
    </row>
    <row r="1356">
      <c r="K1356">
        <f>IF(OR(LEFT(B1356,9)="DOANH THU",LEFT(B1356,8)="SỐ LƯỢNG"),A1356,IF(A1356="","",K1355))</f>
        <v/>
      </c>
      <c r="L1356">
        <f>IF(A1356="","",IF(ISNUMBER(--LEFT(A1356,FIND(" - ",A1356&amp;" - ")-1)),LEFT(A1356,FIND(" - ",A1356&amp;" - ")-1),TRIM(A1356)))</f>
        <v/>
      </c>
      <c r="M1356">
        <f>IF(OR(K1356="",K1356=A1356,A1356=""),"",K1356&amp;"|"&amp;L1356)</f>
        <v/>
      </c>
      <c r="N1356">
        <f>IF(M1356="","",IF(ISNUMBER(B1356),B1356,IFERROR(_xlfn.NUMBERVALUE(B1356,".",","),0)))</f>
        <v/>
      </c>
      <c r="O1356">
        <f>IF(M1356="","",IF(ISNUMBER(C1356),C1356,IFERROR(_xlfn.NUMBERVALUE(C1356,".",","),0)))</f>
        <v/>
      </c>
    </row>
    <row r="1357">
      <c r="K1357">
        <f>IF(OR(LEFT(B1357,9)="DOANH THU",LEFT(B1357,8)="SỐ LƯỢNG"),A1357,IF(A1357="","",K1356))</f>
        <v/>
      </c>
      <c r="L1357">
        <f>IF(A1357="","",IF(ISNUMBER(--LEFT(A1357,FIND(" - ",A1357&amp;" - ")-1)),LEFT(A1357,FIND(" - ",A1357&amp;" - ")-1),TRIM(A1357)))</f>
        <v/>
      </c>
      <c r="M1357">
        <f>IF(OR(K1357="",K1357=A1357,A1357=""),"",K1357&amp;"|"&amp;L1357)</f>
        <v/>
      </c>
      <c r="N1357">
        <f>IF(M1357="","",IF(ISNUMBER(B1357),B1357,IFERROR(_xlfn.NUMBERVALUE(B1357,".",","),0)))</f>
        <v/>
      </c>
      <c r="O1357">
        <f>IF(M1357="","",IF(ISNUMBER(C1357),C1357,IFERROR(_xlfn.NUMBERVALUE(C1357,".",","),0)))</f>
        <v/>
      </c>
    </row>
    <row r="1358">
      <c r="K1358">
        <f>IF(OR(LEFT(B1358,9)="DOANH THU",LEFT(B1358,8)="SỐ LƯỢNG"),A1358,IF(A1358="","",K1357))</f>
        <v/>
      </c>
      <c r="L1358">
        <f>IF(A1358="","",IF(ISNUMBER(--LEFT(A1358,FIND(" - ",A1358&amp;" - ")-1)),LEFT(A1358,FIND(" - ",A1358&amp;" - ")-1),TRIM(A1358)))</f>
        <v/>
      </c>
      <c r="M1358">
        <f>IF(OR(K1358="",K1358=A1358,A1358=""),"",K1358&amp;"|"&amp;L1358)</f>
        <v/>
      </c>
      <c r="N1358">
        <f>IF(M1358="","",IF(ISNUMBER(B1358),B1358,IFERROR(_xlfn.NUMBERVALUE(B1358,".",","),0)))</f>
        <v/>
      </c>
      <c r="O1358">
        <f>IF(M1358="","",IF(ISNUMBER(C1358),C1358,IFERROR(_xlfn.NUMBERVALUE(C1358,".",","),0)))</f>
        <v/>
      </c>
    </row>
    <row r="1359">
      <c r="K1359">
        <f>IF(OR(LEFT(B1359,9)="DOANH THU",LEFT(B1359,8)="SỐ LƯỢNG"),A1359,IF(A1359="","",K1358))</f>
        <v/>
      </c>
      <c r="L1359">
        <f>IF(A1359="","",IF(ISNUMBER(--LEFT(A1359,FIND(" - ",A1359&amp;" - ")-1)),LEFT(A1359,FIND(" - ",A1359&amp;" - ")-1),TRIM(A1359)))</f>
        <v/>
      </c>
      <c r="M1359">
        <f>IF(OR(K1359="",K1359=A1359,A1359=""),"",K1359&amp;"|"&amp;L1359)</f>
        <v/>
      </c>
      <c r="N1359">
        <f>IF(M1359="","",IF(ISNUMBER(B1359),B1359,IFERROR(_xlfn.NUMBERVALUE(B1359,".",","),0)))</f>
        <v/>
      </c>
      <c r="O1359">
        <f>IF(M1359="","",IF(ISNUMBER(C1359),C1359,IFERROR(_xlfn.NUMBERVALUE(C1359,".",","),0)))</f>
        <v/>
      </c>
    </row>
    <row r="1360">
      <c r="K1360">
        <f>IF(OR(LEFT(B1360,9)="DOANH THU",LEFT(B1360,8)="SỐ LƯỢNG"),A1360,IF(A1360="","",K1359))</f>
        <v/>
      </c>
      <c r="L1360">
        <f>IF(A1360="","",IF(ISNUMBER(--LEFT(A1360,FIND(" - ",A1360&amp;" - ")-1)),LEFT(A1360,FIND(" - ",A1360&amp;" - ")-1),TRIM(A1360)))</f>
        <v/>
      </c>
      <c r="M1360">
        <f>IF(OR(K1360="",K1360=A1360,A1360=""),"",K1360&amp;"|"&amp;L1360)</f>
        <v/>
      </c>
      <c r="N1360">
        <f>IF(M1360="","",IF(ISNUMBER(B1360),B1360,IFERROR(_xlfn.NUMBERVALUE(B1360,".",","),0)))</f>
        <v/>
      </c>
      <c r="O1360">
        <f>IF(M1360="","",IF(ISNUMBER(C1360),C1360,IFERROR(_xlfn.NUMBERVALUE(C1360,".",","),0)))</f>
        <v/>
      </c>
    </row>
    <row r="1361">
      <c r="K1361">
        <f>IF(OR(LEFT(B1361,9)="DOANH THU",LEFT(B1361,8)="SỐ LƯỢNG"),A1361,IF(A1361="","",K1360))</f>
        <v/>
      </c>
      <c r="L1361">
        <f>IF(A1361="","",IF(ISNUMBER(--LEFT(A1361,FIND(" - ",A1361&amp;" - ")-1)),LEFT(A1361,FIND(" - ",A1361&amp;" - ")-1),TRIM(A1361)))</f>
        <v/>
      </c>
      <c r="M1361">
        <f>IF(OR(K1361="",K1361=A1361,A1361=""),"",K1361&amp;"|"&amp;L1361)</f>
        <v/>
      </c>
      <c r="N1361">
        <f>IF(M1361="","",IF(ISNUMBER(B1361),B1361,IFERROR(_xlfn.NUMBERVALUE(B1361,".",","),0)))</f>
        <v/>
      </c>
      <c r="O1361">
        <f>IF(M1361="","",IF(ISNUMBER(C1361),C1361,IFERROR(_xlfn.NUMBERVALUE(C1361,".",","),0)))</f>
        <v/>
      </c>
    </row>
    <row r="1362">
      <c r="K1362">
        <f>IF(OR(LEFT(B1362,9)="DOANH THU",LEFT(B1362,8)="SỐ LƯỢNG"),A1362,IF(A1362="","",K1361))</f>
        <v/>
      </c>
      <c r="L1362">
        <f>IF(A1362="","",IF(ISNUMBER(--LEFT(A1362,FIND(" - ",A1362&amp;" - ")-1)),LEFT(A1362,FIND(" - ",A1362&amp;" - ")-1),TRIM(A1362)))</f>
        <v/>
      </c>
      <c r="M1362">
        <f>IF(OR(K1362="",K1362=A1362,A1362=""),"",K1362&amp;"|"&amp;L1362)</f>
        <v/>
      </c>
      <c r="N1362">
        <f>IF(M1362="","",IF(ISNUMBER(B1362),B1362,IFERROR(_xlfn.NUMBERVALUE(B1362,".",","),0)))</f>
        <v/>
      </c>
      <c r="O1362">
        <f>IF(M1362="","",IF(ISNUMBER(C1362),C1362,IFERROR(_xlfn.NUMBERVALUE(C1362,".",","),0)))</f>
        <v/>
      </c>
    </row>
    <row r="1363">
      <c r="K1363">
        <f>IF(OR(LEFT(B1363,9)="DOANH THU",LEFT(B1363,8)="SỐ LƯỢNG"),A1363,IF(A1363="","",K1362))</f>
        <v/>
      </c>
      <c r="L1363">
        <f>IF(A1363="","",IF(ISNUMBER(--LEFT(A1363,FIND(" - ",A1363&amp;" - ")-1)),LEFT(A1363,FIND(" - ",A1363&amp;" - ")-1),TRIM(A1363)))</f>
        <v/>
      </c>
      <c r="M1363">
        <f>IF(OR(K1363="",K1363=A1363,A1363=""),"",K1363&amp;"|"&amp;L1363)</f>
        <v/>
      </c>
      <c r="N1363">
        <f>IF(M1363="","",IF(ISNUMBER(B1363),B1363,IFERROR(_xlfn.NUMBERVALUE(B1363,".",","),0)))</f>
        <v/>
      </c>
      <c r="O1363">
        <f>IF(M1363="","",IF(ISNUMBER(C1363),C1363,IFERROR(_xlfn.NUMBERVALUE(C1363,".",","),0)))</f>
        <v/>
      </c>
    </row>
    <row r="1364">
      <c r="K1364">
        <f>IF(OR(LEFT(B1364,9)="DOANH THU",LEFT(B1364,8)="SỐ LƯỢNG"),A1364,IF(A1364="","",K1363))</f>
        <v/>
      </c>
      <c r="L1364">
        <f>IF(A1364="","",IF(ISNUMBER(--LEFT(A1364,FIND(" - ",A1364&amp;" - ")-1)),LEFT(A1364,FIND(" - ",A1364&amp;" - ")-1),TRIM(A1364)))</f>
        <v/>
      </c>
      <c r="M1364">
        <f>IF(OR(K1364="",K1364=A1364,A1364=""),"",K1364&amp;"|"&amp;L1364)</f>
        <v/>
      </c>
      <c r="N1364">
        <f>IF(M1364="","",IF(ISNUMBER(B1364),B1364,IFERROR(_xlfn.NUMBERVALUE(B1364,".",","),0)))</f>
        <v/>
      </c>
      <c r="O1364">
        <f>IF(M1364="","",IF(ISNUMBER(C1364),C1364,IFERROR(_xlfn.NUMBERVALUE(C1364,".",","),0)))</f>
        <v/>
      </c>
    </row>
    <row r="1365">
      <c r="K1365">
        <f>IF(OR(LEFT(B1365,9)="DOANH THU",LEFT(B1365,8)="SỐ LƯỢNG"),A1365,IF(A1365="","",K1364))</f>
        <v/>
      </c>
      <c r="L1365">
        <f>IF(A1365="","",IF(ISNUMBER(--LEFT(A1365,FIND(" - ",A1365&amp;" - ")-1)),LEFT(A1365,FIND(" - ",A1365&amp;" - ")-1),TRIM(A1365)))</f>
        <v/>
      </c>
      <c r="M1365">
        <f>IF(OR(K1365="",K1365=A1365,A1365=""),"",K1365&amp;"|"&amp;L1365)</f>
        <v/>
      </c>
      <c r="N1365">
        <f>IF(M1365="","",IF(ISNUMBER(B1365),B1365,IFERROR(_xlfn.NUMBERVALUE(B1365,".",","),0)))</f>
        <v/>
      </c>
      <c r="O1365">
        <f>IF(M1365="","",IF(ISNUMBER(C1365),C1365,IFERROR(_xlfn.NUMBERVALUE(C1365,".",","),0)))</f>
        <v/>
      </c>
    </row>
    <row r="1366">
      <c r="K1366">
        <f>IF(OR(LEFT(B1366,9)="DOANH THU",LEFT(B1366,8)="SỐ LƯỢNG"),A1366,IF(A1366="","",K1365))</f>
        <v/>
      </c>
      <c r="L1366">
        <f>IF(A1366="","",IF(ISNUMBER(--LEFT(A1366,FIND(" - ",A1366&amp;" - ")-1)),LEFT(A1366,FIND(" - ",A1366&amp;" - ")-1),TRIM(A1366)))</f>
        <v/>
      </c>
      <c r="M1366">
        <f>IF(OR(K1366="",K1366=A1366,A1366=""),"",K1366&amp;"|"&amp;L1366)</f>
        <v/>
      </c>
      <c r="N1366">
        <f>IF(M1366="","",IF(ISNUMBER(B1366),B1366,IFERROR(_xlfn.NUMBERVALUE(B1366,".",","),0)))</f>
        <v/>
      </c>
      <c r="O1366">
        <f>IF(M1366="","",IF(ISNUMBER(C1366),C1366,IFERROR(_xlfn.NUMBERVALUE(C1366,".",","),0)))</f>
        <v/>
      </c>
    </row>
    <row r="1367">
      <c r="K1367">
        <f>IF(OR(LEFT(B1367,9)="DOANH THU",LEFT(B1367,8)="SỐ LƯỢNG"),A1367,IF(A1367="","",K1366))</f>
        <v/>
      </c>
      <c r="L1367">
        <f>IF(A1367="","",IF(ISNUMBER(--LEFT(A1367,FIND(" - ",A1367&amp;" - ")-1)),LEFT(A1367,FIND(" - ",A1367&amp;" - ")-1),TRIM(A1367)))</f>
        <v/>
      </c>
      <c r="M1367">
        <f>IF(OR(K1367="",K1367=A1367,A1367=""),"",K1367&amp;"|"&amp;L1367)</f>
        <v/>
      </c>
      <c r="N1367">
        <f>IF(M1367="","",IF(ISNUMBER(B1367),B1367,IFERROR(_xlfn.NUMBERVALUE(B1367,".",","),0)))</f>
        <v/>
      </c>
      <c r="O1367">
        <f>IF(M1367="","",IF(ISNUMBER(C1367),C1367,IFERROR(_xlfn.NUMBERVALUE(C1367,".",","),0)))</f>
        <v/>
      </c>
    </row>
    <row r="1368">
      <c r="K1368">
        <f>IF(OR(LEFT(B1368,9)="DOANH THU",LEFT(B1368,8)="SỐ LƯỢNG"),A1368,IF(A1368="","",K1367))</f>
        <v/>
      </c>
      <c r="L1368">
        <f>IF(A1368="","",IF(ISNUMBER(--LEFT(A1368,FIND(" - ",A1368&amp;" - ")-1)),LEFT(A1368,FIND(" - ",A1368&amp;" - ")-1),TRIM(A1368)))</f>
        <v/>
      </c>
      <c r="M1368">
        <f>IF(OR(K1368="",K1368=A1368,A1368=""),"",K1368&amp;"|"&amp;L1368)</f>
        <v/>
      </c>
      <c r="N1368">
        <f>IF(M1368="","",IF(ISNUMBER(B1368),B1368,IFERROR(_xlfn.NUMBERVALUE(B1368,".",","),0)))</f>
        <v/>
      </c>
      <c r="O1368">
        <f>IF(M1368="","",IF(ISNUMBER(C1368),C1368,IFERROR(_xlfn.NUMBERVALUE(C1368,".",","),0)))</f>
        <v/>
      </c>
    </row>
    <row r="1369">
      <c r="K1369">
        <f>IF(OR(LEFT(B1369,9)="DOANH THU",LEFT(B1369,8)="SỐ LƯỢNG"),A1369,IF(A1369="","",K1368))</f>
        <v/>
      </c>
      <c r="L1369">
        <f>IF(A1369="","",IF(ISNUMBER(--LEFT(A1369,FIND(" - ",A1369&amp;" - ")-1)),LEFT(A1369,FIND(" - ",A1369&amp;" - ")-1),TRIM(A1369)))</f>
        <v/>
      </c>
      <c r="M1369">
        <f>IF(OR(K1369="",K1369=A1369,A1369=""),"",K1369&amp;"|"&amp;L1369)</f>
        <v/>
      </c>
      <c r="N1369">
        <f>IF(M1369="","",IF(ISNUMBER(B1369),B1369,IFERROR(_xlfn.NUMBERVALUE(B1369,".",","),0)))</f>
        <v/>
      </c>
      <c r="O1369">
        <f>IF(M1369="","",IF(ISNUMBER(C1369),C1369,IFERROR(_xlfn.NUMBERVALUE(C1369,".",","),0)))</f>
        <v/>
      </c>
    </row>
    <row r="1370">
      <c r="K1370">
        <f>IF(OR(LEFT(B1370,9)="DOANH THU",LEFT(B1370,8)="SỐ LƯỢNG"),A1370,IF(A1370="","",K1369))</f>
        <v/>
      </c>
      <c r="L1370">
        <f>IF(A1370="","",IF(ISNUMBER(--LEFT(A1370,FIND(" - ",A1370&amp;" - ")-1)),LEFT(A1370,FIND(" - ",A1370&amp;" - ")-1),TRIM(A1370)))</f>
        <v/>
      </c>
      <c r="M1370">
        <f>IF(OR(K1370="",K1370=A1370,A1370=""),"",K1370&amp;"|"&amp;L1370)</f>
        <v/>
      </c>
      <c r="N1370">
        <f>IF(M1370="","",IF(ISNUMBER(B1370),B1370,IFERROR(_xlfn.NUMBERVALUE(B1370,".",","),0)))</f>
        <v/>
      </c>
      <c r="O1370">
        <f>IF(M1370="","",IF(ISNUMBER(C1370),C1370,IFERROR(_xlfn.NUMBERVALUE(C1370,".",","),0)))</f>
        <v/>
      </c>
    </row>
    <row r="1371">
      <c r="K1371">
        <f>IF(OR(LEFT(B1371,9)="DOANH THU",LEFT(B1371,8)="SỐ LƯỢNG"),A1371,IF(A1371="","",K1370))</f>
        <v/>
      </c>
      <c r="L1371">
        <f>IF(A1371="","",IF(ISNUMBER(--LEFT(A1371,FIND(" - ",A1371&amp;" - ")-1)),LEFT(A1371,FIND(" - ",A1371&amp;" - ")-1),TRIM(A1371)))</f>
        <v/>
      </c>
      <c r="M1371">
        <f>IF(OR(K1371="",K1371=A1371,A1371=""),"",K1371&amp;"|"&amp;L1371)</f>
        <v/>
      </c>
      <c r="N1371">
        <f>IF(M1371="","",IF(ISNUMBER(B1371),B1371,IFERROR(_xlfn.NUMBERVALUE(B1371,".",","),0)))</f>
        <v/>
      </c>
      <c r="O1371">
        <f>IF(M1371="","",IF(ISNUMBER(C1371),C1371,IFERROR(_xlfn.NUMBERVALUE(C1371,".",","),0)))</f>
        <v/>
      </c>
    </row>
    <row r="1372">
      <c r="K1372">
        <f>IF(OR(LEFT(B1372,9)="DOANH THU",LEFT(B1372,8)="SỐ LƯỢNG"),A1372,IF(A1372="","",K1371))</f>
        <v/>
      </c>
      <c r="L1372">
        <f>IF(A1372="","",IF(ISNUMBER(--LEFT(A1372,FIND(" - ",A1372&amp;" - ")-1)),LEFT(A1372,FIND(" - ",A1372&amp;" - ")-1),TRIM(A1372)))</f>
        <v/>
      </c>
      <c r="M1372">
        <f>IF(OR(K1372="",K1372=A1372,A1372=""),"",K1372&amp;"|"&amp;L1372)</f>
        <v/>
      </c>
      <c r="N1372">
        <f>IF(M1372="","",IF(ISNUMBER(B1372),B1372,IFERROR(_xlfn.NUMBERVALUE(B1372,".",","),0)))</f>
        <v/>
      </c>
      <c r="O1372">
        <f>IF(M1372="","",IF(ISNUMBER(C1372),C1372,IFERROR(_xlfn.NUMBERVALUE(C1372,".",","),0)))</f>
        <v/>
      </c>
    </row>
    <row r="1373">
      <c r="K1373">
        <f>IF(OR(LEFT(B1373,9)="DOANH THU",LEFT(B1373,8)="SỐ LƯỢNG"),A1373,IF(A1373="","",K1372))</f>
        <v/>
      </c>
      <c r="L1373">
        <f>IF(A1373="","",IF(ISNUMBER(--LEFT(A1373,FIND(" - ",A1373&amp;" - ")-1)),LEFT(A1373,FIND(" - ",A1373&amp;" - ")-1),TRIM(A1373)))</f>
        <v/>
      </c>
      <c r="M1373">
        <f>IF(OR(K1373="",K1373=A1373,A1373=""),"",K1373&amp;"|"&amp;L1373)</f>
        <v/>
      </c>
      <c r="N1373">
        <f>IF(M1373="","",IF(ISNUMBER(B1373),B1373,IFERROR(_xlfn.NUMBERVALUE(B1373,".",","),0)))</f>
        <v/>
      </c>
      <c r="O1373">
        <f>IF(M1373="","",IF(ISNUMBER(C1373),C1373,IFERROR(_xlfn.NUMBERVALUE(C1373,".",","),0)))</f>
        <v/>
      </c>
    </row>
    <row r="1374">
      <c r="K1374">
        <f>IF(OR(LEFT(B1374,9)="DOANH THU",LEFT(B1374,8)="SỐ LƯỢNG"),A1374,IF(A1374="","",K1373))</f>
        <v/>
      </c>
      <c r="L1374">
        <f>IF(A1374="","",IF(ISNUMBER(--LEFT(A1374,FIND(" - ",A1374&amp;" - ")-1)),LEFT(A1374,FIND(" - ",A1374&amp;" - ")-1),TRIM(A1374)))</f>
        <v/>
      </c>
      <c r="M1374">
        <f>IF(OR(K1374="",K1374=A1374,A1374=""),"",K1374&amp;"|"&amp;L1374)</f>
        <v/>
      </c>
      <c r="N1374">
        <f>IF(M1374="","",IF(ISNUMBER(B1374),B1374,IFERROR(_xlfn.NUMBERVALUE(B1374,".",","),0)))</f>
        <v/>
      </c>
      <c r="O1374">
        <f>IF(M1374="","",IF(ISNUMBER(C1374),C1374,IFERROR(_xlfn.NUMBERVALUE(C1374,".",","),0)))</f>
        <v/>
      </c>
    </row>
    <row r="1375">
      <c r="K1375">
        <f>IF(OR(LEFT(B1375,9)="DOANH THU",LEFT(B1375,8)="SỐ LƯỢNG"),A1375,IF(A1375="","",K1374))</f>
        <v/>
      </c>
      <c r="L1375">
        <f>IF(A1375="","",IF(ISNUMBER(--LEFT(A1375,FIND(" - ",A1375&amp;" - ")-1)),LEFT(A1375,FIND(" - ",A1375&amp;" - ")-1),TRIM(A1375)))</f>
        <v/>
      </c>
      <c r="M1375">
        <f>IF(OR(K1375="",K1375=A1375,A1375=""),"",K1375&amp;"|"&amp;L1375)</f>
        <v/>
      </c>
      <c r="N1375">
        <f>IF(M1375="","",IF(ISNUMBER(B1375),B1375,IFERROR(_xlfn.NUMBERVALUE(B1375,".",","),0)))</f>
        <v/>
      </c>
      <c r="O1375">
        <f>IF(M1375="","",IF(ISNUMBER(C1375),C1375,IFERROR(_xlfn.NUMBERVALUE(C1375,".",","),0)))</f>
        <v/>
      </c>
    </row>
    <row r="1376">
      <c r="K1376">
        <f>IF(OR(LEFT(B1376,9)="DOANH THU",LEFT(B1376,8)="SỐ LƯỢNG"),A1376,IF(A1376="","",K1375))</f>
        <v/>
      </c>
      <c r="L1376">
        <f>IF(A1376="","",IF(ISNUMBER(--LEFT(A1376,FIND(" - ",A1376&amp;" - ")-1)),LEFT(A1376,FIND(" - ",A1376&amp;" - ")-1),TRIM(A1376)))</f>
        <v/>
      </c>
      <c r="M1376">
        <f>IF(OR(K1376="",K1376=A1376,A1376=""),"",K1376&amp;"|"&amp;L1376)</f>
        <v/>
      </c>
      <c r="N1376">
        <f>IF(M1376="","",IF(ISNUMBER(B1376),B1376,IFERROR(_xlfn.NUMBERVALUE(B1376,".",","),0)))</f>
        <v/>
      </c>
      <c r="O1376">
        <f>IF(M1376="","",IF(ISNUMBER(C1376),C1376,IFERROR(_xlfn.NUMBERVALUE(C1376,".",","),0)))</f>
        <v/>
      </c>
    </row>
    <row r="1377">
      <c r="K1377">
        <f>IF(OR(LEFT(B1377,9)="DOANH THU",LEFT(B1377,8)="SỐ LƯỢNG"),A1377,IF(A1377="","",K1376))</f>
        <v/>
      </c>
      <c r="L1377">
        <f>IF(A1377="","",IF(ISNUMBER(--LEFT(A1377,FIND(" - ",A1377&amp;" - ")-1)),LEFT(A1377,FIND(" - ",A1377&amp;" - ")-1),TRIM(A1377)))</f>
        <v/>
      </c>
      <c r="M1377">
        <f>IF(OR(K1377="",K1377=A1377,A1377=""),"",K1377&amp;"|"&amp;L1377)</f>
        <v/>
      </c>
      <c r="N1377">
        <f>IF(M1377="","",IF(ISNUMBER(B1377),B1377,IFERROR(_xlfn.NUMBERVALUE(B1377,".",","),0)))</f>
        <v/>
      </c>
      <c r="O1377">
        <f>IF(M1377="","",IF(ISNUMBER(C1377),C1377,IFERROR(_xlfn.NUMBERVALUE(C1377,".",","),0)))</f>
        <v/>
      </c>
    </row>
    <row r="1378">
      <c r="K1378">
        <f>IF(OR(LEFT(B1378,9)="DOANH THU",LEFT(B1378,8)="SỐ LƯỢNG"),A1378,IF(A1378="","",K1377))</f>
        <v/>
      </c>
      <c r="L1378">
        <f>IF(A1378="","",IF(ISNUMBER(--LEFT(A1378,FIND(" - ",A1378&amp;" - ")-1)),LEFT(A1378,FIND(" - ",A1378&amp;" - ")-1),TRIM(A1378)))</f>
        <v/>
      </c>
      <c r="M1378">
        <f>IF(OR(K1378="",K1378=A1378,A1378=""),"",K1378&amp;"|"&amp;L1378)</f>
        <v/>
      </c>
      <c r="N1378">
        <f>IF(M1378="","",IF(ISNUMBER(B1378),B1378,IFERROR(_xlfn.NUMBERVALUE(B1378,".",","),0)))</f>
        <v/>
      </c>
      <c r="O1378">
        <f>IF(M1378="","",IF(ISNUMBER(C1378),C1378,IFERROR(_xlfn.NUMBERVALUE(C1378,".",","),0)))</f>
        <v/>
      </c>
    </row>
    <row r="1379">
      <c r="K1379">
        <f>IF(OR(LEFT(B1379,9)="DOANH THU",LEFT(B1379,8)="SỐ LƯỢNG"),A1379,IF(A1379="","",K1378))</f>
        <v/>
      </c>
      <c r="L1379">
        <f>IF(A1379="","",IF(ISNUMBER(--LEFT(A1379,FIND(" - ",A1379&amp;" - ")-1)),LEFT(A1379,FIND(" - ",A1379&amp;" - ")-1),TRIM(A1379)))</f>
        <v/>
      </c>
      <c r="M1379">
        <f>IF(OR(K1379="",K1379=A1379,A1379=""),"",K1379&amp;"|"&amp;L1379)</f>
        <v/>
      </c>
      <c r="N1379">
        <f>IF(M1379="","",IF(ISNUMBER(B1379),B1379,IFERROR(_xlfn.NUMBERVALUE(B1379,".",","),0)))</f>
        <v/>
      </c>
      <c r="O1379">
        <f>IF(M1379="","",IF(ISNUMBER(C1379),C1379,IFERROR(_xlfn.NUMBERVALUE(C1379,".",","),0)))</f>
        <v/>
      </c>
    </row>
    <row r="1380">
      <c r="K1380">
        <f>IF(OR(LEFT(B1380,9)="DOANH THU",LEFT(B1380,8)="SỐ LƯỢNG"),A1380,IF(A1380="","",K1379))</f>
        <v/>
      </c>
      <c r="L1380">
        <f>IF(A1380="","",IF(ISNUMBER(--LEFT(A1380,FIND(" - ",A1380&amp;" - ")-1)),LEFT(A1380,FIND(" - ",A1380&amp;" - ")-1),TRIM(A1380)))</f>
        <v/>
      </c>
      <c r="M1380">
        <f>IF(OR(K1380="",K1380=A1380,A1380=""),"",K1380&amp;"|"&amp;L1380)</f>
        <v/>
      </c>
      <c r="N1380">
        <f>IF(M1380="","",IF(ISNUMBER(B1380),B1380,IFERROR(_xlfn.NUMBERVALUE(B1380,".",","),0)))</f>
        <v/>
      </c>
      <c r="O1380">
        <f>IF(M1380="","",IF(ISNUMBER(C1380),C1380,IFERROR(_xlfn.NUMBERVALUE(C1380,".",","),0)))</f>
        <v/>
      </c>
    </row>
    <row r="1381">
      <c r="K1381">
        <f>IF(OR(LEFT(B1381,9)="DOANH THU",LEFT(B1381,8)="SỐ LƯỢNG"),A1381,IF(A1381="","",K1380))</f>
        <v/>
      </c>
      <c r="L1381">
        <f>IF(A1381="","",IF(ISNUMBER(--LEFT(A1381,FIND(" - ",A1381&amp;" - ")-1)),LEFT(A1381,FIND(" - ",A1381&amp;" - ")-1),TRIM(A1381)))</f>
        <v/>
      </c>
      <c r="M1381">
        <f>IF(OR(K1381="",K1381=A1381,A1381=""),"",K1381&amp;"|"&amp;L1381)</f>
        <v/>
      </c>
      <c r="N1381">
        <f>IF(M1381="","",IF(ISNUMBER(B1381),B1381,IFERROR(_xlfn.NUMBERVALUE(B1381,".",","),0)))</f>
        <v/>
      </c>
      <c r="O1381">
        <f>IF(M1381="","",IF(ISNUMBER(C1381),C1381,IFERROR(_xlfn.NUMBERVALUE(C1381,".",","),0)))</f>
        <v/>
      </c>
    </row>
    <row r="1382">
      <c r="K1382">
        <f>IF(OR(LEFT(B1382,9)="DOANH THU",LEFT(B1382,8)="SỐ LƯỢNG"),A1382,IF(A1382="","",K1381))</f>
        <v/>
      </c>
      <c r="L1382">
        <f>IF(A1382="","",IF(ISNUMBER(--LEFT(A1382,FIND(" - ",A1382&amp;" - ")-1)),LEFT(A1382,FIND(" - ",A1382&amp;" - ")-1),TRIM(A1382)))</f>
        <v/>
      </c>
      <c r="M1382">
        <f>IF(OR(K1382="",K1382=A1382,A1382=""),"",K1382&amp;"|"&amp;L1382)</f>
        <v/>
      </c>
      <c r="N1382">
        <f>IF(M1382="","",IF(ISNUMBER(B1382),B1382,IFERROR(_xlfn.NUMBERVALUE(B1382,".",","),0)))</f>
        <v/>
      </c>
      <c r="O1382">
        <f>IF(M1382="","",IF(ISNUMBER(C1382),C1382,IFERROR(_xlfn.NUMBERVALUE(C1382,".",","),0)))</f>
        <v/>
      </c>
    </row>
    <row r="1383">
      <c r="K1383">
        <f>IF(OR(LEFT(B1383,9)="DOANH THU",LEFT(B1383,8)="SỐ LƯỢNG"),A1383,IF(A1383="","",K1382))</f>
        <v/>
      </c>
      <c r="L1383">
        <f>IF(A1383="","",IF(ISNUMBER(--LEFT(A1383,FIND(" - ",A1383&amp;" - ")-1)),LEFT(A1383,FIND(" - ",A1383&amp;" - ")-1),TRIM(A1383)))</f>
        <v/>
      </c>
      <c r="M1383">
        <f>IF(OR(K1383="",K1383=A1383,A1383=""),"",K1383&amp;"|"&amp;L1383)</f>
        <v/>
      </c>
      <c r="N1383">
        <f>IF(M1383="","",IF(ISNUMBER(B1383),B1383,IFERROR(_xlfn.NUMBERVALUE(B1383,".",","),0)))</f>
        <v/>
      </c>
      <c r="O1383">
        <f>IF(M1383="","",IF(ISNUMBER(C1383),C1383,IFERROR(_xlfn.NUMBERVALUE(C1383,".",","),0)))</f>
        <v/>
      </c>
    </row>
    <row r="1384">
      <c r="K1384">
        <f>IF(OR(LEFT(B1384,9)="DOANH THU",LEFT(B1384,8)="SỐ LƯỢNG"),A1384,IF(A1384="","",K1383))</f>
        <v/>
      </c>
      <c r="L1384">
        <f>IF(A1384="","",IF(ISNUMBER(--LEFT(A1384,FIND(" - ",A1384&amp;" - ")-1)),LEFT(A1384,FIND(" - ",A1384&amp;" - ")-1),TRIM(A1384)))</f>
        <v/>
      </c>
      <c r="M1384">
        <f>IF(OR(K1384="",K1384=A1384,A1384=""),"",K1384&amp;"|"&amp;L1384)</f>
        <v/>
      </c>
      <c r="N1384">
        <f>IF(M1384="","",IF(ISNUMBER(B1384),B1384,IFERROR(_xlfn.NUMBERVALUE(B1384,".",","),0)))</f>
        <v/>
      </c>
      <c r="O1384">
        <f>IF(M1384="","",IF(ISNUMBER(C1384),C1384,IFERROR(_xlfn.NUMBERVALUE(C1384,".",","),0)))</f>
        <v/>
      </c>
    </row>
    <row r="1385">
      <c r="K1385">
        <f>IF(OR(LEFT(B1385,9)="DOANH THU",LEFT(B1385,8)="SỐ LƯỢNG"),A1385,IF(A1385="","",K1384))</f>
        <v/>
      </c>
      <c r="L1385">
        <f>IF(A1385="","",IF(ISNUMBER(--LEFT(A1385,FIND(" - ",A1385&amp;" - ")-1)),LEFT(A1385,FIND(" - ",A1385&amp;" - ")-1),TRIM(A1385)))</f>
        <v/>
      </c>
      <c r="M1385">
        <f>IF(OR(K1385="",K1385=A1385,A1385=""),"",K1385&amp;"|"&amp;L1385)</f>
        <v/>
      </c>
      <c r="N1385">
        <f>IF(M1385="","",IF(ISNUMBER(B1385),B1385,IFERROR(_xlfn.NUMBERVALUE(B1385,".",","),0)))</f>
        <v/>
      </c>
      <c r="O1385">
        <f>IF(M1385="","",IF(ISNUMBER(C1385),C1385,IFERROR(_xlfn.NUMBERVALUE(C1385,".",","),0)))</f>
        <v/>
      </c>
    </row>
    <row r="1386">
      <c r="K1386">
        <f>IF(OR(LEFT(B1386,9)="DOANH THU",LEFT(B1386,8)="SỐ LƯỢNG"),A1386,IF(A1386="","",K1385))</f>
        <v/>
      </c>
      <c r="L1386">
        <f>IF(A1386="","",IF(ISNUMBER(--LEFT(A1386,FIND(" - ",A1386&amp;" - ")-1)),LEFT(A1386,FIND(" - ",A1386&amp;" - ")-1),TRIM(A1386)))</f>
        <v/>
      </c>
      <c r="M1386">
        <f>IF(OR(K1386="",K1386=A1386,A1386=""),"",K1386&amp;"|"&amp;L1386)</f>
        <v/>
      </c>
      <c r="N1386">
        <f>IF(M1386="","",IF(ISNUMBER(B1386),B1386,IFERROR(_xlfn.NUMBERVALUE(B1386,".",","),0)))</f>
        <v/>
      </c>
      <c r="O1386">
        <f>IF(M1386="","",IF(ISNUMBER(C1386),C1386,IFERROR(_xlfn.NUMBERVALUE(C1386,".",","),0)))</f>
        <v/>
      </c>
    </row>
    <row r="1387">
      <c r="K1387">
        <f>IF(OR(LEFT(B1387,9)="DOANH THU",LEFT(B1387,8)="SỐ LƯỢNG"),A1387,IF(A1387="","",K1386))</f>
        <v/>
      </c>
      <c r="L1387">
        <f>IF(A1387="","",IF(ISNUMBER(--LEFT(A1387,FIND(" - ",A1387&amp;" - ")-1)),LEFT(A1387,FIND(" - ",A1387&amp;" - ")-1),TRIM(A1387)))</f>
        <v/>
      </c>
      <c r="M1387">
        <f>IF(OR(K1387="",K1387=A1387,A1387=""),"",K1387&amp;"|"&amp;L1387)</f>
        <v/>
      </c>
      <c r="N1387">
        <f>IF(M1387="","",IF(ISNUMBER(B1387),B1387,IFERROR(_xlfn.NUMBERVALUE(B1387,".",","),0)))</f>
        <v/>
      </c>
      <c r="O1387">
        <f>IF(M1387="","",IF(ISNUMBER(C1387),C1387,IFERROR(_xlfn.NUMBERVALUE(C1387,".",","),0)))</f>
        <v/>
      </c>
    </row>
    <row r="1388">
      <c r="K1388">
        <f>IF(OR(LEFT(B1388,9)="DOANH THU",LEFT(B1388,8)="SỐ LƯỢNG"),A1388,IF(A1388="","",K1387))</f>
        <v/>
      </c>
      <c r="L1388">
        <f>IF(A1388="","",IF(ISNUMBER(--LEFT(A1388,FIND(" - ",A1388&amp;" - ")-1)),LEFT(A1388,FIND(" - ",A1388&amp;" - ")-1),TRIM(A1388)))</f>
        <v/>
      </c>
      <c r="M1388">
        <f>IF(OR(K1388="",K1388=A1388,A1388=""),"",K1388&amp;"|"&amp;L1388)</f>
        <v/>
      </c>
      <c r="N1388">
        <f>IF(M1388="","",IF(ISNUMBER(B1388),B1388,IFERROR(_xlfn.NUMBERVALUE(B1388,".",","),0)))</f>
        <v/>
      </c>
      <c r="O1388">
        <f>IF(M1388="","",IF(ISNUMBER(C1388),C1388,IFERROR(_xlfn.NUMBERVALUE(C1388,".",","),0)))</f>
        <v/>
      </c>
    </row>
    <row r="1389">
      <c r="K1389">
        <f>IF(OR(LEFT(B1389,9)="DOANH THU",LEFT(B1389,8)="SỐ LƯỢNG"),A1389,IF(A1389="","",K1388))</f>
        <v/>
      </c>
      <c r="L1389">
        <f>IF(A1389="","",IF(ISNUMBER(--LEFT(A1389,FIND(" - ",A1389&amp;" - ")-1)),LEFT(A1389,FIND(" - ",A1389&amp;" - ")-1),TRIM(A1389)))</f>
        <v/>
      </c>
      <c r="M1389">
        <f>IF(OR(K1389="",K1389=A1389,A1389=""),"",K1389&amp;"|"&amp;L1389)</f>
        <v/>
      </c>
      <c r="N1389">
        <f>IF(M1389="","",IF(ISNUMBER(B1389),B1389,IFERROR(_xlfn.NUMBERVALUE(B1389,".",","),0)))</f>
        <v/>
      </c>
      <c r="O1389">
        <f>IF(M1389="","",IF(ISNUMBER(C1389),C1389,IFERROR(_xlfn.NUMBERVALUE(C1389,".",","),0)))</f>
        <v/>
      </c>
    </row>
    <row r="1390">
      <c r="K1390">
        <f>IF(OR(LEFT(B1390,9)="DOANH THU",LEFT(B1390,8)="SỐ LƯỢNG"),A1390,IF(A1390="","",K1389))</f>
        <v/>
      </c>
      <c r="L1390">
        <f>IF(A1390="","",IF(ISNUMBER(--LEFT(A1390,FIND(" - ",A1390&amp;" - ")-1)),LEFT(A1390,FIND(" - ",A1390&amp;" - ")-1),TRIM(A1390)))</f>
        <v/>
      </c>
      <c r="M1390">
        <f>IF(OR(K1390="",K1390=A1390,A1390=""),"",K1390&amp;"|"&amp;L1390)</f>
        <v/>
      </c>
      <c r="N1390">
        <f>IF(M1390="","",IF(ISNUMBER(B1390),B1390,IFERROR(_xlfn.NUMBERVALUE(B1390,".",","),0)))</f>
        <v/>
      </c>
      <c r="O1390">
        <f>IF(M1390="","",IF(ISNUMBER(C1390),C1390,IFERROR(_xlfn.NUMBERVALUE(C1390,".",","),0)))</f>
        <v/>
      </c>
    </row>
    <row r="1391">
      <c r="K1391">
        <f>IF(OR(LEFT(B1391,9)="DOANH THU",LEFT(B1391,8)="SỐ LƯỢNG"),A1391,IF(A1391="","",K1390))</f>
        <v/>
      </c>
      <c r="L1391">
        <f>IF(A1391="","",IF(ISNUMBER(--LEFT(A1391,FIND(" - ",A1391&amp;" - ")-1)),LEFT(A1391,FIND(" - ",A1391&amp;" - ")-1),TRIM(A1391)))</f>
        <v/>
      </c>
      <c r="M1391">
        <f>IF(OR(K1391="",K1391=A1391,A1391=""),"",K1391&amp;"|"&amp;L1391)</f>
        <v/>
      </c>
      <c r="N1391">
        <f>IF(M1391="","",IF(ISNUMBER(B1391),B1391,IFERROR(_xlfn.NUMBERVALUE(B1391,".",","),0)))</f>
        <v/>
      </c>
      <c r="O1391">
        <f>IF(M1391="","",IF(ISNUMBER(C1391),C1391,IFERROR(_xlfn.NUMBERVALUE(C1391,".",","),0)))</f>
        <v/>
      </c>
    </row>
    <row r="1392">
      <c r="K1392">
        <f>IF(OR(LEFT(B1392,9)="DOANH THU",LEFT(B1392,8)="SỐ LƯỢNG"),A1392,IF(A1392="","",K1391))</f>
        <v/>
      </c>
      <c r="L1392">
        <f>IF(A1392="","",IF(ISNUMBER(--LEFT(A1392,FIND(" - ",A1392&amp;" - ")-1)),LEFT(A1392,FIND(" - ",A1392&amp;" - ")-1),TRIM(A1392)))</f>
        <v/>
      </c>
      <c r="M1392">
        <f>IF(OR(K1392="",K1392=A1392,A1392=""),"",K1392&amp;"|"&amp;L1392)</f>
        <v/>
      </c>
      <c r="N1392">
        <f>IF(M1392="","",IF(ISNUMBER(B1392),B1392,IFERROR(_xlfn.NUMBERVALUE(B1392,".",","),0)))</f>
        <v/>
      </c>
      <c r="O1392">
        <f>IF(M1392="","",IF(ISNUMBER(C1392),C1392,IFERROR(_xlfn.NUMBERVALUE(C1392,".",","),0)))</f>
        <v/>
      </c>
    </row>
    <row r="1393">
      <c r="K1393">
        <f>IF(OR(LEFT(B1393,9)="DOANH THU",LEFT(B1393,8)="SỐ LƯỢNG"),A1393,IF(A1393="","",K1392))</f>
        <v/>
      </c>
      <c r="L1393">
        <f>IF(A1393="","",IF(ISNUMBER(--LEFT(A1393,FIND(" - ",A1393&amp;" - ")-1)),LEFT(A1393,FIND(" - ",A1393&amp;" - ")-1),TRIM(A1393)))</f>
        <v/>
      </c>
      <c r="M1393">
        <f>IF(OR(K1393="",K1393=A1393,A1393=""),"",K1393&amp;"|"&amp;L1393)</f>
        <v/>
      </c>
      <c r="N1393">
        <f>IF(M1393="","",IF(ISNUMBER(B1393),B1393,IFERROR(_xlfn.NUMBERVALUE(B1393,".",","),0)))</f>
        <v/>
      </c>
      <c r="O1393">
        <f>IF(M1393="","",IF(ISNUMBER(C1393),C1393,IFERROR(_xlfn.NUMBERVALUE(C1393,".",","),0)))</f>
        <v/>
      </c>
    </row>
    <row r="1394">
      <c r="K1394">
        <f>IF(OR(LEFT(B1394,9)="DOANH THU",LEFT(B1394,8)="SỐ LƯỢNG"),A1394,IF(A1394="","",K1393))</f>
        <v/>
      </c>
      <c r="L1394">
        <f>IF(A1394="","",IF(ISNUMBER(--LEFT(A1394,FIND(" - ",A1394&amp;" - ")-1)),LEFT(A1394,FIND(" - ",A1394&amp;" - ")-1),TRIM(A1394)))</f>
        <v/>
      </c>
      <c r="M1394">
        <f>IF(OR(K1394="",K1394=A1394,A1394=""),"",K1394&amp;"|"&amp;L1394)</f>
        <v/>
      </c>
      <c r="N1394">
        <f>IF(M1394="","",IF(ISNUMBER(B1394),B1394,IFERROR(_xlfn.NUMBERVALUE(B1394,".",","),0)))</f>
        <v/>
      </c>
      <c r="O1394">
        <f>IF(M1394="","",IF(ISNUMBER(C1394),C1394,IFERROR(_xlfn.NUMBERVALUE(C1394,".",","),0)))</f>
        <v/>
      </c>
    </row>
    <row r="1395">
      <c r="K1395">
        <f>IF(OR(LEFT(B1395,9)="DOANH THU",LEFT(B1395,8)="SỐ LƯỢNG"),A1395,IF(A1395="","",K1394))</f>
        <v/>
      </c>
      <c r="L1395">
        <f>IF(A1395="","",IF(ISNUMBER(--LEFT(A1395,FIND(" - ",A1395&amp;" - ")-1)),LEFT(A1395,FIND(" - ",A1395&amp;" - ")-1),TRIM(A1395)))</f>
        <v/>
      </c>
      <c r="M1395">
        <f>IF(OR(K1395="",K1395=A1395,A1395=""),"",K1395&amp;"|"&amp;L1395)</f>
        <v/>
      </c>
      <c r="N1395">
        <f>IF(M1395="","",IF(ISNUMBER(B1395),B1395,IFERROR(_xlfn.NUMBERVALUE(B1395,".",","),0)))</f>
        <v/>
      </c>
      <c r="O1395">
        <f>IF(M1395="","",IF(ISNUMBER(C1395),C1395,IFERROR(_xlfn.NUMBERVALUE(C1395,".",","),0)))</f>
        <v/>
      </c>
    </row>
    <row r="1396">
      <c r="K1396">
        <f>IF(OR(LEFT(B1396,9)="DOANH THU",LEFT(B1396,8)="SỐ LƯỢNG"),A1396,IF(A1396="","",K1395))</f>
        <v/>
      </c>
      <c r="L1396">
        <f>IF(A1396="","",IF(ISNUMBER(--LEFT(A1396,FIND(" - ",A1396&amp;" - ")-1)),LEFT(A1396,FIND(" - ",A1396&amp;" - ")-1),TRIM(A1396)))</f>
        <v/>
      </c>
      <c r="M1396">
        <f>IF(OR(K1396="",K1396=A1396,A1396=""),"",K1396&amp;"|"&amp;L1396)</f>
        <v/>
      </c>
      <c r="N1396">
        <f>IF(M1396="","",IF(ISNUMBER(B1396),B1396,IFERROR(_xlfn.NUMBERVALUE(B1396,".",","),0)))</f>
        <v/>
      </c>
      <c r="O1396">
        <f>IF(M1396="","",IF(ISNUMBER(C1396),C1396,IFERROR(_xlfn.NUMBERVALUE(C1396,".",","),0)))</f>
        <v/>
      </c>
    </row>
    <row r="1397">
      <c r="K1397">
        <f>IF(OR(LEFT(B1397,9)="DOANH THU",LEFT(B1397,8)="SỐ LƯỢNG"),A1397,IF(A1397="","",K1396))</f>
        <v/>
      </c>
      <c r="L1397">
        <f>IF(A1397="","",IF(ISNUMBER(--LEFT(A1397,FIND(" - ",A1397&amp;" - ")-1)),LEFT(A1397,FIND(" - ",A1397&amp;" - ")-1),TRIM(A1397)))</f>
        <v/>
      </c>
      <c r="M1397">
        <f>IF(OR(K1397="",K1397=A1397,A1397=""),"",K1397&amp;"|"&amp;L1397)</f>
        <v/>
      </c>
      <c r="N1397">
        <f>IF(M1397="","",IF(ISNUMBER(B1397),B1397,IFERROR(_xlfn.NUMBERVALUE(B1397,".",","),0)))</f>
        <v/>
      </c>
      <c r="O1397">
        <f>IF(M1397="","",IF(ISNUMBER(C1397),C1397,IFERROR(_xlfn.NUMBERVALUE(C1397,".",","),0)))</f>
        <v/>
      </c>
    </row>
    <row r="1398">
      <c r="K1398">
        <f>IF(OR(LEFT(B1398,9)="DOANH THU",LEFT(B1398,8)="SỐ LƯỢNG"),A1398,IF(A1398="","",K1397))</f>
        <v/>
      </c>
      <c r="L1398">
        <f>IF(A1398="","",IF(ISNUMBER(--LEFT(A1398,FIND(" - ",A1398&amp;" - ")-1)),LEFT(A1398,FIND(" - ",A1398&amp;" - ")-1),TRIM(A1398)))</f>
        <v/>
      </c>
      <c r="M1398">
        <f>IF(OR(K1398="",K1398=A1398,A1398=""),"",K1398&amp;"|"&amp;L1398)</f>
        <v/>
      </c>
      <c r="N1398">
        <f>IF(M1398="","",IF(ISNUMBER(B1398),B1398,IFERROR(_xlfn.NUMBERVALUE(B1398,".",","),0)))</f>
        <v/>
      </c>
      <c r="O1398">
        <f>IF(M1398="","",IF(ISNUMBER(C1398),C1398,IFERROR(_xlfn.NUMBERVALUE(C1398,".",","),0)))</f>
        <v/>
      </c>
    </row>
    <row r="1399">
      <c r="K1399">
        <f>IF(OR(LEFT(B1399,9)="DOANH THU",LEFT(B1399,8)="SỐ LƯỢNG"),A1399,IF(A1399="","",K1398))</f>
        <v/>
      </c>
      <c r="L1399">
        <f>IF(A1399="","",IF(ISNUMBER(--LEFT(A1399,FIND(" - ",A1399&amp;" - ")-1)),LEFT(A1399,FIND(" - ",A1399&amp;" - ")-1),TRIM(A1399)))</f>
        <v/>
      </c>
      <c r="M1399">
        <f>IF(OR(K1399="",K1399=A1399,A1399=""),"",K1399&amp;"|"&amp;L1399)</f>
        <v/>
      </c>
      <c r="N1399">
        <f>IF(M1399="","",IF(ISNUMBER(B1399),B1399,IFERROR(_xlfn.NUMBERVALUE(B1399,".",","),0)))</f>
        <v/>
      </c>
      <c r="O1399">
        <f>IF(M1399="","",IF(ISNUMBER(C1399),C1399,IFERROR(_xlfn.NUMBERVALUE(C1399,".",","),0)))</f>
        <v/>
      </c>
    </row>
    <row r="1400">
      <c r="K1400">
        <f>IF(OR(LEFT(B1400,9)="DOANH THU",LEFT(B1400,8)="SỐ LƯỢNG"),A1400,IF(A1400="","",K1399))</f>
        <v/>
      </c>
      <c r="L1400">
        <f>IF(A1400="","",IF(ISNUMBER(--LEFT(A1400,FIND(" - ",A1400&amp;" - ")-1)),LEFT(A1400,FIND(" - ",A1400&amp;" - ")-1),TRIM(A1400)))</f>
        <v/>
      </c>
      <c r="M1400">
        <f>IF(OR(K1400="",K1400=A1400,A1400=""),"",K1400&amp;"|"&amp;L1400)</f>
        <v/>
      </c>
      <c r="N1400">
        <f>IF(M1400="","",IF(ISNUMBER(B1400),B1400,IFERROR(_xlfn.NUMBERVALUE(B1400,".",","),0)))</f>
        <v/>
      </c>
      <c r="O1400">
        <f>IF(M1400="","",IF(ISNUMBER(C1400),C1400,IFERROR(_xlfn.NUMBERVALUE(C1400,".",","),0)))</f>
        <v/>
      </c>
    </row>
    <row r="1401">
      <c r="K1401">
        <f>IF(OR(LEFT(B1401,9)="DOANH THU",LEFT(B1401,8)="SỐ LƯỢNG"),A1401,IF(A1401="","",K1400))</f>
        <v/>
      </c>
      <c r="L1401">
        <f>IF(A1401="","",IF(ISNUMBER(--LEFT(A1401,FIND(" - ",A1401&amp;" - ")-1)),LEFT(A1401,FIND(" - ",A1401&amp;" - ")-1),TRIM(A1401)))</f>
        <v/>
      </c>
      <c r="M1401">
        <f>IF(OR(K1401="",K1401=A1401,A1401=""),"",K1401&amp;"|"&amp;L1401)</f>
        <v/>
      </c>
      <c r="N1401">
        <f>IF(M1401="","",IF(ISNUMBER(B1401),B1401,IFERROR(_xlfn.NUMBERVALUE(B1401,".",","),0)))</f>
        <v/>
      </c>
      <c r="O1401">
        <f>IF(M1401="","",IF(ISNUMBER(C1401),C1401,IFERROR(_xlfn.NUMBERVALUE(C1401,".",","),0)))</f>
        <v/>
      </c>
    </row>
    <row r="1402">
      <c r="K1402">
        <f>IF(OR(LEFT(B1402,9)="DOANH THU",LEFT(B1402,8)="SỐ LƯỢNG"),A1402,IF(A1402="","",K1401))</f>
        <v/>
      </c>
      <c r="L1402">
        <f>IF(A1402="","",IF(ISNUMBER(--LEFT(A1402,FIND(" - ",A1402&amp;" - ")-1)),LEFT(A1402,FIND(" - ",A1402&amp;" - ")-1),TRIM(A1402)))</f>
        <v/>
      </c>
      <c r="M1402">
        <f>IF(OR(K1402="",K1402=A1402,A1402=""),"",K1402&amp;"|"&amp;L1402)</f>
        <v/>
      </c>
      <c r="N1402">
        <f>IF(M1402="","",IF(ISNUMBER(B1402),B1402,IFERROR(_xlfn.NUMBERVALUE(B1402,".",","),0)))</f>
        <v/>
      </c>
      <c r="O1402">
        <f>IF(M1402="","",IF(ISNUMBER(C1402),C1402,IFERROR(_xlfn.NUMBERVALUE(C1402,".",","),0)))</f>
        <v/>
      </c>
    </row>
    <row r="1403">
      <c r="K1403">
        <f>IF(OR(LEFT(B1403,9)="DOANH THU",LEFT(B1403,8)="SỐ LƯỢNG"),A1403,IF(A1403="","",K1402))</f>
        <v/>
      </c>
      <c r="L1403">
        <f>IF(A1403="","",IF(ISNUMBER(--LEFT(A1403,FIND(" - ",A1403&amp;" - ")-1)),LEFT(A1403,FIND(" - ",A1403&amp;" - ")-1),TRIM(A1403)))</f>
        <v/>
      </c>
      <c r="M1403">
        <f>IF(OR(K1403="",K1403=A1403,A1403=""),"",K1403&amp;"|"&amp;L1403)</f>
        <v/>
      </c>
      <c r="N1403">
        <f>IF(M1403="","",IF(ISNUMBER(B1403),B1403,IFERROR(_xlfn.NUMBERVALUE(B1403,".",","),0)))</f>
        <v/>
      </c>
      <c r="O1403">
        <f>IF(M1403="","",IF(ISNUMBER(C1403),C1403,IFERROR(_xlfn.NUMBERVALUE(C1403,".",","),0)))</f>
        <v/>
      </c>
    </row>
    <row r="1404">
      <c r="K1404">
        <f>IF(OR(LEFT(B1404,9)="DOANH THU",LEFT(B1404,8)="SỐ LƯỢNG"),A1404,IF(A1404="","",K1403))</f>
        <v/>
      </c>
      <c r="L1404">
        <f>IF(A1404="","",IF(ISNUMBER(--LEFT(A1404,FIND(" - ",A1404&amp;" - ")-1)),LEFT(A1404,FIND(" - ",A1404&amp;" - ")-1),TRIM(A1404)))</f>
        <v/>
      </c>
      <c r="M1404">
        <f>IF(OR(K1404="",K1404=A1404,A1404=""),"",K1404&amp;"|"&amp;L1404)</f>
        <v/>
      </c>
      <c r="N1404">
        <f>IF(M1404="","",IF(ISNUMBER(B1404),B1404,IFERROR(_xlfn.NUMBERVALUE(B1404,".",","),0)))</f>
        <v/>
      </c>
      <c r="O1404">
        <f>IF(M1404="","",IF(ISNUMBER(C1404),C1404,IFERROR(_xlfn.NUMBERVALUE(C1404,".",","),0)))</f>
        <v/>
      </c>
    </row>
    <row r="1405">
      <c r="K1405">
        <f>IF(OR(LEFT(B1405,9)="DOANH THU",LEFT(B1405,8)="SỐ LƯỢNG"),A1405,IF(A1405="","",K1404))</f>
        <v/>
      </c>
      <c r="L1405">
        <f>IF(A1405="","",IF(ISNUMBER(--LEFT(A1405,FIND(" - ",A1405&amp;" - ")-1)),LEFT(A1405,FIND(" - ",A1405&amp;" - ")-1),TRIM(A1405)))</f>
        <v/>
      </c>
      <c r="M1405">
        <f>IF(OR(K1405="",K1405=A1405,A1405=""),"",K1405&amp;"|"&amp;L1405)</f>
        <v/>
      </c>
      <c r="N1405">
        <f>IF(M1405="","",IF(ISNUMBER(B1405),B1405,IFERROR(_xlfn.NUMBERVALUE(B1405,".",","),0)))</f>
        <v/>
      </c>
      <c r="O1405">
        <f>IF(M1405="","",IF(ISNUMBER(C1405),C1405,IFERROR(_xlfn.NUMBERVALUE(C1405,".",","),0)))</f>
        <v/>
      </c>
    </row>
    <row r="1406">
      <c r="K1406">
        <f>IF(OR(LEFT(B1406,9)="DOANH THU",LEFT(B1406,8)="SỐ LƯỢNG"),A1406,IF(A1406="","",K1405))</f>
        <v/>
      </c>
      <c r="L1406">
        <f>IF(A1406="","",IF(ISNUMBER(--LEFT(A1406,FIND(" - ",A1406&amp;" - ")-1)),LEFT(A1406,FIND(" - ",A1406&amp;" - ")-1),TRIM(A1406)))</f>
        <v/>
      </c>
      <c r="M1406">
        <f>IF(OR(K1406="",K1406=A1406,A1406=""),"",K1406&amp;"|"&amp;L1406)</f>
        <v/>
      </c>
      <c r="N1406">
        <f>IF(M1406="","",IF(ISNUMBER(B1406),B1406,IFERROR(_xlfn.NUMBERVALUE(B1406,".",","),0)))</f>
        <v/>
      </c>
      <c r="O1406">
        <f>IF(M1406="","",IF(ISNUMBER(C1406),C1406,IFERROR(_xlfn.NUMBERVALUE(C1406,".",","),0)))</f>
        <v/>
      </c>
    </row>
    <row r="1407">
      <c r="K1407">
        <f>IF(OR(LEFT(B1407,9)="DOANH THU",LEFT(B1407,8)="SỐ LƯỢNG"),A1407,IF(A1407="","",K1406))</f>
        <v/>
      </c>
      <c r="L1407">
        <f>IF(A1407="","",IF(ISNUMBER(--LEFT(A1407,FIND(" - ",A1407&amp;" - ")-1)),LEFT(A1407,FIND(" - ",A1407&amp;" - ")-1),TRIM(A1407)))</f>
        <v/>
      </c>
      <c r="M1407">
        <f>IF(OR(K1407="",K1407=A1407,A1407=""),"",K1407&amp;"|"&amp;L1407)</f>
        <v/>
      </c>
      <c r="N1407">
        <f>IF(M1407="","",IF(ISNUMBER(B1407),B1407,IFERROR(_xlfn.NUMBERVALUE(B1407,".",","),0)))</f>
        <v/>
      </c>
      <c r="O1407">
        <f>IF(M1407="","",IF(ISNUMBER(C1407),C1407,IFERROR(_xlfn.NUMBERVALUE(C1407,".",","),0)))</f>
        <v/>
      </c>
    </row>
    <row r="1408">
      <c r="K1408">
        <f>IF(OR(LEFT(B1408,9)="DOANH THU",LEFT(B1408,8)="SỐ LƯỢNG"),A1408,IF(A1408="","",K1407))</f>
        <v/>
      </c>
      <c r="L1408">
        <f>IF(A1408="","",IF(ISNUMBER(--LEFT(A1408,FIND(" - ",A1408&amp;" - ")-1)),LEFT(A1408,FIND(" - ",A1408&amp;" - ")-1),TRIM(A1408)))</f>
        <v/>
      </c>
      <c r="M1408">
        <f>IF(OR(K1408="",K1408=A1408,A1408=""),"",K1408&amp;"|"&amp;L1408)</f>
        <v/>
      </c>
      <c r="N1408">
        <f>IF(M1408="","",IF(ISNUMBER(B1408),B1408,IFERROR(_xlfn.NUMBERVALUE(B1408,".",","),0)))</f>
        <v/>
      </c>
      <c r="O1408">
        <f>IF(M1408="","",IF(ISNUMBER(C1408),C1408,IFERROR(_xlfn.NUMBERVALUE(C1408,".",","),0)))</f>
        <v/>
      </c>
    </row>
    <row r="1409">
      <c r="K1409">
        <f>IF(OR(LEFT(B1409,9)="DOANH THU",LEFT(B1409,8)="SỐ LƯỢNG"),A1409,IF(A1409="","",K1408))</f>
        <v/>
      </c>
      <c r="L1409">
        <f>IF(A1409="","",IF(ISNUMBER(--LEFT(A1409,FIND(" - ",A1409&amp;" - ")-1)),LEFT(A1409,FIND(" - ",A1409&amp;" - ")-1),TRIM(A1409)))</f>
        <v/>
      </c>
      <c r="M1409">
        <f>IF(OR(K1409="",K1409=A1409,A1409=""),"",K1409&amp;"|"&amp;L1409)</f>
        <v/>
      </c>
      <c r="N1409">
        <f>IF(M1409="","",IF(ISNUMBER(B1409),B1409,IFERROR(_xlfn.NUMBERVALUE(B1409,".",","),0)))</f>
        <v/>
      </c>
      <c r="O1409">
        <f>IF(M1409="","",IF(ISNUMBER(C1409),C1409,IFERROR(_xlfn.NUMBERVALUE(C1409,".",","),0)))</f>
        <v/>
      </c>
    </row>
    <row r="1410">
      <c r="K1410">
        <f>IF(OR(LEFT(B1410,9)="DOANH THU",LEFT(B1410,8)="SỐ LƯỢNG"),A1410,IF(A1410="","",K1409))</f>
        <v/>
      </c>
      <c r="L1410">
        <f>IF(A1410="","",IF(ISNUMBER(--LEFT(A1410,FIND(" - ",A1410&amp;" - ")-1)),LEFT(A1410,FIND(" - ",A1410&amp;" - ")-1),TRIM(A1410)))</f>
        <v/>
      </c>
      <c r="M1410">
        <f>IF(OR(K1410="",K1410=A1410,A1410=""),"",K1410&amp;"|"&amp;L1410)</f>
        <v/>
      </c>
      <c r="N1410">
        <f>IF(M1410="","",IF(ISNUMBER(B1410),B1410,IFERROR(_xlfn.NUMBERVALUE(B1410,".",","),0)))</f>
        <v/>
      </c>
      <c r="O1410">
        <f>IF(M1410="","",IF(ISNUMBER(C1410),C1410,IFERROR(_xlfn.NUMBERVALUE(C1410,".",","),0)))</f>
        <v/>
      </c>
    </row>
    <row r="1411">
      <c r="K1411">
        <f>IF(OR(LEFT(B1411,9)="DOANH THU",LEFT(B1411,8)="SỐ LƯỢNG"),A1411,IF(A1411="","",K1410))</f>
        <v/>
      </c>
      <c r="L1411">
        <f>IF(A1411="","",IF(ISNUMBER(--LEFT(A1411,FIND(" - ",A1411&amp;" - ")-1)),LEFT(A1411,FIND(" - ",A1411&amp;" - ")-1),TRIM(A1411)))</f>
        <v/>
      </c>
      <c r="M1411">
        <f>IF(OR(K1411="",K1411=A1411,A1411=""),"",K1411&amp;"|"&amp;L1411)</f>
        <v/>
      </c>
      <c r="N1411">
        <f>IF(M1411="","",IF(ISNUMBER(B1411),B1411,IFERROR(_xlfn.NUMBERVALUE(B1411,".",","),0)))</f>
        <v/>
      </c>
      <c r="O1411">
        <f>IF(M1411="","",IF(ISNUMBER(C1411),C1411,IFERROR(_xlfn.NUMBERVALUE(C1411,".",","),0)))</f>
        <v/>
      </c>
    </row>
    <row r="1412">
      <c r="K1412">
        <f>IF(OR(LEFT(B1412,9)="DOANH THU",LEFT(B1412,8)="SỐ LƯỢNG"),A1412,IF(A1412="","",K1411))</f>
        <v/>
      </c>
      <c r="L1412">
        <f>IF(A1412="","",IF(ISNUMBER(--LEFT(A1412,FIND(" - ",A1412&amp;" - ")-1)),LEFT(A1412,FIND(" - ",A1412&amp;" - ")-1),TRIM(A1412)))</f>
        <v/>
      </c>
      <c r="M1412">
        <f>IF(OR(K1412="",K1412=A1412,A1412=""),"",K1412&amp;"|"&amp;L1412)</f>
        <v/>
      </c>
      <c r="N1412">
        <f>IF(M1412="","",IF(ISNUMBER(B1412),B1412,IFERROR(_xlfn.NUMBERVALUE(B1412,".",","),0)))</f>
        <v/>
      </c>
      <c r="O1412">
        <f>IF(M1412="","",IF(ISNUMBER(C1412),C1412,IFERROR(_xlfn.NUMBERVALUE(C1412,".",","),0)))</f>
        <v/>
      </c>
    </row>
    <row r="1413">
      <c r="K1413">
        <f>IF(OR(LEFT(B1413,9)="DOANH THU",LEFT(B1413,8)="SỐ LƯỢNG"),A1413,IF(A1413="","",K1412))</f>
        <v/>
      </c>
      <c r="L1413">
        <f>IF(A1413="","",IF(ISNUMBER(--LEFT(A1413,FIND(" - ",A1413&amp;" - ")-1)),LEFT(A1413,FIND(" - ",A1413&amp;" - ")-1),TRIM(A1413)))</f>
        <v/>
      </c>
      <c r="M1413">
        <f>IF(OR(K1413="",K1413=A1413,A1413=""),"",K1413&amp;"|"&amp;L1413)</f>
        <v/>
      </c>
      <c r="N1413">
        <f>IF(M1413="","",IF(ISNUMBER(B1413),B1413,IFERROR(_xlfn.NUMBERVALUE(B1413,".",","),0)))</f>
        <v/>
      </c>
      <c r="O1413">
        <f>IF(M1413="","",IF(ISNUMBER(C1413),C1413,IFERROR(_xlfn.NUMBERVALUE(C1413,".",","),0)))</f>
        <v/>
      </c>
    </row>
    <row r="1414">
      <c r="K1414">
        <f>IF(OR(LEFT(B1414,9)="DOANH THU",LEFT(B1414,8)="SỐ LƯỢNG"),A1414,IF(A1414="","",K1413))</f>
        <v/>
      </c>
      <c r="L1414">
        <f>IF(A1414="","",IF(ISNUMBER(--LEFT(A1414,FIND(" - ",A1414&amp;" - ")-1)),LEFT(A1414,FIND(" - ",A1414&amp;" - ")-1),TRIM(A1414)))</f>
        <v/>
      </c>
      <c r="M1414">
        <f>IF(OR(K1414="",K1414=A1414,A1414=""),"",K1414&amp;"|"&amp;L1414)</f>
        <v/>
      </c>
      <c r="N1414">
        <f>IF(M1414="","",IF(ISNUMBER(B1414),B1414,IFERROR(_xlfn.NUMBERVALUE(B1414,".",","),0)))</f>
        <v/>
      </c>
      <c r="O1414">
        <f>IF(M1414="","",IF(ISNUMBER(C1414),C1414,IFERROR(_xlfn.NUMBERVALUE(C1414,".",","),0)))</f>
        <v/>
      </c>
    </row>
    <row r="1415">
      <c r="K1415">
        <f>IF(OR(LEFT(B1415,9)="DOANH THU",LEFT(B1415,8)="SỐ LƯỢNG"),A1415,IF(A1415="","",K1414))</f>
        <v/>
      </c>
      <c r="L1415">
        <f>IF(A1415="","",IF(ISNUMBER(--LEFT(A1415,FIND(" - ",A1415&amp;" - ")-1)),LEFT(A1415,FIND(" - ",A1415&amp;" - ")-1),TRIM(A1415)))</f>
        <v/>
      </c>
      <c r="M1415">
        <f>IF(OR(K1415="",K1415=A1415,A1415=""),"",K1415&amp;"|"&amp;L1415)</f>
        <v/>
      </c>
      <c r="N1415">
        <f>IF(M1415="","",IF(ISNUMBER(B1415),B1415,IFERROR(_xlfn.NUMBERVALUE(B1415,".",","),0)))</f>
        <v/>
      </c>
      <c r="O1415">
        <f>IF(M1415="","",IF(ISNUMBER(C1415),C1415,IFERROR(_xlfn.NUMBERVALUE(C1415,".",","),0)))</f>
        <v/>
      </c>
    </row>
    <row r="1416">
      <c r="K1416">
        <f>IF(OR(LEFT(B1416,9)="DOANH THU",LEFT(B1416,8)="SỐ LƯỢNG"),A1416,IF(A1416="","",K1415))</f>
        <v/>
      </c>
      <c r="L1416">
        <f>IF(A1416="","",IF(ISNUMBER(--LEFT(A1416,FIND(" - ",A1416&amp;" - ")-1)),LEFT(A1416,FIND(" - ",A1416&amp;" - ")-1),TRIM(A1416)))</f>
        <v/>
      </c>
      <c r="M1416">
        <f>IF(OR(K1416="",K1416=A1416,A1416=""),"",K1416&amp;"|"&amp;L1416)</f>
        <v/>
      </c>
      <c r="N1416">
        <f>IF(M1416="","",IF(ISNUMBER(B1416),B1416,IFERROR(_xlfn.NUMBERVALUE(B1416,".",","),0)))</f>
        <v/>
      </c>
      <c r="O1416">
        <f>IF(M1416="","",IF(ISNUMBER(C1416),C1416,IFERROR(_xlfn.NUMBERVALUE(C1416,".",","),0)))</f>
        <v/>
      </c>
    </row>
    <row r="1417">
      <c r="K1417">
        <f>IF(OR(LEFT(B1417,9)="DOANH THU",LEFT(B1417,8)="SỐ LƯỢNG"),A1417,IF(A1417="","",K1416))</f>
        <v/>
      </c>
      <c r="L1417">
        <f>IF(A1417="","",IF(ISNUMBER(--LEFT(A1417,FIND(" - ",A1417&amp;" - ")-1)),LEFT(A1417,FIND(" - ",A1417&amp;" - ")-1),TRIM(A1417)))</f>
        <v/>
      </c>
      <c r="M1417">
        <f>IF(OR(K1417="",K1417=A1417,A1417=""),"",K1417&amp;"|"&amp;L1417)</f>
        <v/>
      </c>
      <c r="N1417">
        <f>IF(M1417="","",IF(ISNUMBER(B1417),B1417,IFERROR(_xlfn.NUMBERVALUE(B1417,".",","),0)))</f>
        <v/>
      </c>
      <c r="O1417">
        <f>IF(M1417="","",IF(ISNUMBER(C1417),C1417,IFERROR(_xlfn.NUMBERVALUE(C1417,".",","),0)))</f>
        <v/>
      </c>
    </row>
    <row r="1418">
      <c r="K1418">
        <f>IF(OR(LEFT(B1418,9)="DOANH THU",LEFT(B1418,8)="SỐ LƯỢNG"),A1418,IF(A1418="","",K1417))</f>
        <v/>
      </c>
      <c r="L1418">
        <f>IF(A1418="","",IF(ISNUMBER(--LEFT(A1418,FIND(" - ",A1418&amp;" - ")-1)),LEFT(A1418,FIND(" - ",A1418&amp;" - ")-1),TRIM(A1418)))</f>
        <v/>
      </c>
      <c r="M1418">
        <f>IF(OR(K1418="",K1418=A1418,A1418=""),"",K1418&amp;"|"&amp;L1418)</f>
        <v/>
      </c>
      <c r="N1418">
        <f>IF(M1418="","",IF(ISNUMBER(B1418),B1418,IFERROR(_xlfn.NUMBERVALUE(B1418,".",","),0)))</f>
        <v/>
      </c>
      <c r="O1418">
        <f>IF(M1418="","",IF(ISNUMBER(C1418),C1418,IFERROR(_xlfn.NUMBERVALUE(C1418,".",","),0)))</f>
        <v/>
      </c>
    </row>
    <row r="1419">
      <c r="K1419">
        <f>IF(OR(LEFT(B1419,9)="DOANH THU",LEFT(B1419,8)="SỐ LƯỢNG"),A1419,IF(A1419="","",K1418))</f>
        <v/>
      </c>
      <c r="L1419">
        <f>IF(A1419="","",IF(ISNUMBER(--LEFT(A1419,FIND(" - ",A1419&amp;" - ")-1)),LEFT(A1419,FIND(" - ",A1419&amp;" - ")-1),TRIM(A1419)))</f>
        <v/>
      </c>
      <c r="M1419">
        <f>IF(OR(K1419="",K1419=A1419,A1419=""),"",K1419&amp;"|"&amp;L1419)</f>
        <v/>
      </c>
      <c r="N1419">
        <f>IF(M1419="","",IF(ISNUMBER(B1419),B1419,IFERROR(_xlfn.NUMBERVALUE(B1419,".",","),0)))</f>
        <v/>
      </c>
      <c r="O1419">
        <f>IF(M1419="","",IF(ISNUMBER(C1419),C1419,IFERROR(_xlfn.NUMBERVALUE(C1419,".",","),0)))</f>
        <v/>
      </c>
    </row>
    <row r="1420">
      <c r="K1420">
        <f>IF(OR(LEFT(B1420,9)="DOANH THU",LEFT(B1420,8)="SỐ LƯỢNG"),A1420,IF(A1420="","",K1419))</f>
        <v/>
      </c>
      <c r="L1420">
        <f>IF(A1420="","",IF(ISNUMBER(--LEFT(A1420,FIND(" - ",A1420&amp;" - ")-1)),LEFT(A1420,FIND(" - ",A1420&amp;" - ")-1),TRIM(A1420)))</f>
        <v/>
      </c>
      <c r="M1420">
        <f>IF(OR(K1420="",K1420=A1420,A1420=""),"",K1420&amp;"|"&amp;L1420)</f>
        <v/>
      </c>
      <c r="N1420">
        <f>IF(M1420="","",IF(ISNUMBER(B1420),B1420,IFERROR(_xlfn.NUMBERVALUE(B1420,".",","),0)))</f>
        <v/>
      </c>
      <c r="O1420">
        <f>IF(M1420="","",IF(ISNUMBER(C1420),C1420,IFERROR(_xlfn.NUMBERVALUE(C1420,".",","),0)))</f>
        <v/>
      </c>
    </row>
    <row r="1421">
      <c r="K1421">
        <f>IF(OR(LEFT(B1421,9)="DOANH THU",LEFT(B1421,8)="SỐ LƯỢNG"),A1421,IF(A1421="","",K1420))</f>
        <v/>
      </c>
      <c r="L1421">
        <f>IF(A1421="","",IF(ISNUMBER(--LEFT(A1421,FIND(" - ",A1421&amp;" - ")-1)),LEFT(A1421,FIND(" - ",A1421&amp;" - ")-1),TRIM(A1421)))</f>
        <v/>
      </c>
      <c r="M1421">
        <f>IF(OR(K1421="",K1421=A1421,A1421=""),"",K1421&amp;"|"&amp;L1421)</f>
        <v/>
      </c>
      <c r="N1421">
        <f>IF(M1421="","",IF(ISNUMBER(B1421),B1421,IFERROR(_xlfn.NUMBERVALUE(B1421,".",","),0)))</f>
        <v/>
      </c>
      <c r="O1421">
        <f>IF(M1421="","",IF(ISNUMBER(C1421),C1421,IFERROR(_xlfn.NUMBERVALUE(C1421,".",","),0)))</f>
        <v/>
      </c>
    </row>
    <row r="1422">
      <c r="K1422">
        <f>IF(OR(LEFT(B1422,9)="DOANH THU",LEFT(B1422,8)="SỐ LƯỢNG"),A1422,IF(A1422="","",K1421))</f>
        <v/>
      </c>
      <c r="L1422">
        <f>IF(A1422="","",IF(ISNUMBER(--LEFT(A1422,FIND(" - ",A1422&amp;" - ")-1)),LEFT(A1422,FIND(" - ",A1422&amp;" - ")-1),TRIM(A1422)))</f>
        <v/>
      </c>
      <c r="M1422">
        <f>IF(OR(K1422="",K1422=A1422,A1422=""),"",K1422&amp;"|"&amp;L1422)</f>
        <v/>
      </c>
      <c r="N1422">
        <f>IF(M1422="","",IF(ISNUMBER(B1422),B1422,IFERROR(_xlfn.NUMBERVALUE(B1422,".",","),0)))</f>
        <v/>
      </c>
      <c r="O1422">
        <f>IF(M1422="","",IF(ISNUMBER(C1422),C1422,IFERROR(_xlfn.NUMBERVALUE(C1422,".",","),0)))</f>
        <v/>
      </c>
    </row>
    <row r="1423">
      <c r="K1423">
        <f>IF(OR(LEFT(B1423,9)="DOANH THU",LEFT(B1423,8)="SỐ LƯỢNG"),A1423,IF(A1423="","",K1422))</f>
        <v/>
      </c>
      <c r="L1423">
        <f>IF(A1423="","",IF(ISNUMBER(--LEFT(A1423,FIND(" - ",A1423&amp;" - ")-1)),LEFT(A1423,FIND(" - ",A1423&amp;" - ")-1),TRIM(A1423)))</f>
        <v/>
      </c>
      <c r="M1423">
        <f>IF(OR(K1423="",K1423=A1423,A1423=""),"",K1423&amp;"|"&amp;L1423)</f>
        <v/>
      </c>
      <c r="N1423">
        <f>IF(M1423="","",IF(ISNUMBER(B1423),B1423,IFERROR(_xlfn.NUMBERVALUE(B1423,".",","),0)))</f>
        <v/>
      </c>
      <c r="O1423">
        <f>IF(M1423="","",IF(ISNUMBER(C1423),C1423,IFERROR(_xlfn.NUMBERVALUE(C1423,".",","),0)))</f>
        <v/>
      </c>
    </row>
    <row r="1424">
      <c r="K1424">
        <f>IF(OR(LEFT(B1424,9)="DOANH THU",LEFT(B1424,8)="SỐ LƯỢNG"),A1424,IF(A1424="","",K1423))</f>
        <v/>
      </c>
      <c r="L1424">
        <f>IF(A1424="","",IF(ISNUMBER(--LEFT(A1424,FIND(" - ",A1424&amp;" - ")-1)),LEFT(A1424,FIND(" - ",A1424&amp;" - ")-1),TRIM(A1424)))</f>
        <v/>
      </c>
      <c r="M1424">
        <f>IF(OR(K1424="",K1424=A1424,A1424=""),"",K1424&amp;"|"&amp;L1424)</f>
        <v/>
      </c>
      <c r="N1424">
        <f>IF(M1424="","",IF(ISNUMBER(B1424),B1424,IFERROR(_xlfn.NUMBERVALUE(B1424,".",","),0)))</f>
        <v/>
      </c>
      <c r="O1424">
        <f>IF(M1424="","",IF(ISNUMBER(C1424),C1424,IFERROR(_xlfn.NUMBERVALUE(C1424,".",","),0)))</f>
        <v/>
      </c>
    </row>
    <row r="1425">
      <c r="K1425">
        <f>IF(OR(LEFT(B1425,9)="DOANH THU",LEFT(B1425,8)="SỐ LƯỢNG"),A1425,IF(A1425="","",K1424))</f>
        <v/>
      </c>
      <c r="L1425">
        <f>IF(A1425="","",IF(ISNUMBER(--LEFT(A1425,FIND(" - ",A1425&amp;" - ")-1)),LEFT(A1425,FIND(" - ",A1425&amp;" - ")-1),TRIM(A1425)))</f>
        <v/>
      </c>
      <c r="M1425">
        <f>IF(OR(K1425="",K1425=A1425,A1425=""),"",K1425&amp;"|"&amp;L1425)</f>
        <v/>
      </c>
      <c r="N1425">
        <f>IF(M1425="","",IF(ISNUMBER(B1425),B1425,IFERROR(_xlfn.NUMBERVALUE(B1425,".",","),0)))</f>
        <v/>
      </c>
      <c r="O1425">
        <f>IF(M1425="","",IF(ISNUMBER(C1425),C1425,IFERROR(_xlfn.NUMBERVALUE(C1425,".",","),0)))</f>
        <v/>
      </c>
    </row>
    <row r="1426">
      <c r="K1426">
        <f>IF(OR(LEFT(B1426,9)="DOANH THU",LEFT(B1426,8)="SỐ LƯỢNG"),A1426,IF(A1426="","",K1425))</f>
        <v/>
      </c>
      <c r="L1426">
        <f>IF(A1426="","",IF(ISNUMBER(--LEFT(A1426,FIND(" - ",A1426&amp;" - ")-1)),LEFT(A1426,FIND(" - ",A1426&amp;" - ")-1),TRIM(A1426)))</f>
        <v/>
      </c>
      <c r="M1426">
        <f>IF(OR(K1426="",K1426=A1426,A1426=""),"",K1426&amp;"|"&amp;L1426)</f>
        <v/>
      </c>
      <c r="N1426">
        <f>IF(M1426="","",IF(ISNUMBER(B1426),B1426,IFERROR(_xlfn.NUMBERVALUE(B1426,".",","),0)))</f>
        <v/>
      </c>
      <c r="O1426">
        <f>IF(M1426="","",IF(ISNUMBER(C1426),C1426,IFERROR(_xlfn.NUMBERVALUE(C1426,".",","),0)))</f>
        <v/>
      </c>
    </row>
    <row r="1427">
      <c r="K1427">
        <f>IF(OR(LEFT(B1427,9)="DOANH THU",LEFT(B1427,8)="SỐ LƯỢNG"),A1427,IF(A1427="","",K1426))</f>
        <v/>
      </c>
      <c r="L1427">
        <f>IF(A1427="","",IF(ISNUMBER(--LEFT(A1427,FIND(" - ",A1427&amp;" - ")-1)),LEFT(A1427,FIND(" - ",A1427&amp;" - ")-1),TRIM(A1427)))</f>
        <v/>
      </c>
      <c r="M1427">
        <f>IF(OR(K1427="",K1427=A1427,A1427=""),"",K1427&amp;"|"&amp;L1427)</f>
        <v/>
      </c>
      <c r="N1427">
        <f>IF(M1427="","",IF(ISNUMBER(B1427),B1427,IFERROR(_xlfn.NUMBERVALUE(B1427,".",","),0)))</f>
        <v/>
      </c>
      <c r="O1427">
        <f>IF(M1427="","",IF(ISNUMBER(C1427),C1427,IFERROR(_xlfn.NUMBERVALUE(C1427,".",","),0)))</f>
        <v/>
      </c>
    </row>
    <row r="1428">
      <c r="K1428">
        <f>IF(OR(LEFT(B1428,9)="DOANH THU",LEFT(B1428,8)="SỐ LƯỢNG"),A1428,IF(A1428="","",K1427))</f>
        <v/>
      </c>
      <c r="L1428">
        <f>IF(A1428="","",IF(ISNUMBER(--LEFT(A1428,FIND(" - ",A1428&amp;" - ")-1)),LEFT(A1428,FIND(" - ",A1428&amp;" - ")-1),TRIM(A1428)))</f>
        <v/>
      </c>
      <c r="M1428">
        <f>IF(OR(K1428="",K1428=A1428,A1428=""),"",K1428&amp;"|"&amp;L1428)</f>
        <v/>
      </c>
      <c r="N1428">
        <f>IF(M1428="","",IF(ISNUMBER(B1428),B1428,IFERROR(_xlfn.NUMBERVALUE(B1428,".",","),0)))</f>
        <v/>
      </c>
      <c r="O1428">
        <f>IF(M1428="","",IF(ISNUMBER(C1428),C1428,IFERROR(_xlfn.NUMBERVALUE(C1428,".",","),0)))</f>
        <v/>
      </c>
    </row>
    <row r="1429">
      <c r="K1429">
        <f>IF(OR(LEFT(B1429,9)="DOANH THU",LEFT(B1429,8)="SỐ LƯỢNG"),A1429,IF(A1429="","",K1428))</f>
        <v/>
      </c>
      <c r="L1429">
        <f>IF(A1429="","",IF(ISNUMBER(--LEFT(A1429,FIND(" - ",A1429&amp;" - ")-1)),LEFT(A1429,FIND(" - ",A1429&amp;" - ")-1),TRIM(A1429)))</f>
        <v/>
      </c>
      <c r="M1429">
        <f>IF(OR(K1429="",K1429=A1429,A1429=""),"",K1429&amp;"|"&amp;L1429)</f>
        <v/>
      </c>
      <c r="N1429">
        <f>IF(M1429="","",IF(ISNUMBER(B1429),B1429,IFERROR(_xlfn.NUMBERVALUE(B1429,".",","),0)))</f>
        <v/>
      </c>
      <c r="O1429">
        <f>IF(M1429="","",IF(ISNUMBER(C1429),C1429,IFERROR(_xlfn.NUMBERVALUE(C1429,".",","),0)))</f>
        <v/>
      </c>
    </row>
    <row r="1430">
      <c r="K1430">
        <f>IF(OR(LEFT(B1430,9)="DOANH THU",LEFT(B1430,8)="SỐ LƯỢNG"),A1430,IF(A1430="","",K1429))</f>
        <v/>
      </c>
      <c r="L1430">
        <f>IF(A1430="","",IF(ISNUMBER(--LEFT(A1430,FIND(" - ",A1430&amp;" - ")-1)),LEFT(A1430,FIND(" - ",A1430&amp;" - ")-1),TRIM(A1430)))</f>
        <v/>
      </c>
      <c r="M1430">
        <f>IF(OR(K1430="",K1430=A1430,A1430=""),"",K1430&amp;"|"&amp;L1430)</f>
        <v/>
      </c>
      <c r="N1430">
        <f>IF(M1430="","",IF(ISNUMBER(B1430),B1430,IFERROR(_xlfn.NUMBERVALUE(B1430,".",","),0)))</f>
        <v/>
      </c>
      <c r="O1430">
        <f>IF(M1430="","",IF(ISNUMBER(C1430),C1430,IFERROR(_xlfn.NUMBERVALUE(C1430,".",","),0)))</f>
        <v/>
      </c>
    </row>
    <row r="1431">
      <c r="K1431">
        <f>IF(OR(LEFT(B1431,9)="DOANH THU",LEFT(B1431,8)="SỐ LƯỢNG"),A1431,IF(A1431="","",K1430))</f>
        <v/>
      </c>
      <c r="L1431">
        <f>IF(A1431="","",IF(ISNUMBER(--LEFT(A1431,FIND(" - ",A1431&amp;" - ")-1)),LEFT(A1431,FIND(" - ",A1431&amp;" - ")-1),TRIM(A1431)))</f>
        <v/>
      </c>
      <c r="M1431">
        <f>IF(OR(K1431="",K1431=A1431,A1431=""),"",K1431&amp;"|"&amp;L1431)</f>
        <v/>
      </c>
      <c r="N1431">
        <f>IF(M1431="","",IF(ISNUMBER(B1431),B1431,IFERROR(_xlfn.NUMBERVALUE(B1431,".",","),0)))</f>
        <v/>
      </c>
      <c r="O1431">
        <f>IF(M1431="","",IF(ISNUMBER(C1431),C1431,IFERROR(_xlfn.NUMBERVALUE(C1431,".",","),0)))</f>
        <v/>
      </c>
    </row>
    <row r="1432">
      <c r="K1432">
        <f>IF(OR(LEFT(B1432,9)="DOANH THU",LEFT(B1432,8)="SỐ LƯỢNG"),A1432,IF(A1432="","",K1431))</f>
        <v/>
      </c>
      <c r="L1432">
        <f>IF(A1432="","",IF(ISNUMBER(--LEFT(A1432,FIND(" - ",A1432&amp;" - ")-1)),LEFT(A1432,FIND(" - ",A1432&amp;" - ")-1),TRIM(A1432)))</f>
        <v/>
      </c>
      <c r="M1432">
        <f>IF(OR(K1432="",K1432=A1432,A1432=""),"",K1432&amp;"|"&amp;L1432)</f>
        <v/>
      </c>
      <c r="N1432">
        <f>IF(M1432="","",IF(ISNUMBER(B1432),B1432,IFERROR(_xlfn.NUMBERVALUE(B1432,".",","),0)))</f>
        <v/>
      </c>
      <c r="O1432">
        <f>IF(M1432="","",IF(ISNUMBER(C1432),C1432,IFERROR(_xlfn.NUMBERVALUE(C1432,".",","),0)))</f>
        <v/>
      </c>
    </row>
    <row r="1433">
      <c r="K1433">
        <f>IF(OR(LEFT(B1433,9)="DOANH THU",LEFT(B1433,8)="SỐ LƯỢNG"),A1433,IF(A1433="","",K1432))</f>
        <v/>
      </c>
      <c r="L1433">
        <f>IF(A1433="","",IF(ISNUMBER(--LEFT(A1433,FIND(" - ",A1433&amp;" - ")-1)),LEFT(A1433,FIND(" - ",A1433&amp;" - ")-1),TRIM(A1433)))</f>
        <v/>
      </c>
      <c r="M1433">
        <f>IF(OR(K1433="",K1433=A1433,A1433=""),"",K1433&amp;"|"&amp;L1433)</f>
        <v/>
      </c>
      <c r="N1433">
        <f>IF(M1433="","",IF(ISNUMBER(B1433),B1433,IFERROR(_xlfn.NUMBERVALUE(B1433,".",","),0)))</f>
        <v/>
      </c>
      <c r="O1433">
        <f>IF(M1433="","",IF(ISNUMBER(C1433),C1433,IFERROR(_xlfn.NUMBERVALUE(C1433,".",","),0)))</f>
        <v/>
      </c>
    </row>
    <row r="1434">
      <c r="K1434">
        <f>IF(OR(LEFT(B1434,9)="DOANH THU",LEFT(B1434,8)="SỐ LƯỢNG"),A1434,IF(A1434="","",K1433))</f>
        <v/>
      </c>
      <c r="L1434">
        <f>IF(A1434="","",IF(ISNUMBER(--LEFT(A1434,FIND(" - ",A1434&amp;" - ")-1)),LEFT(A1434,FIND(" - ",A1434&amp;" - ")-1),TRIM(A1434)))</f>
        <v/>
      </c>
      <c r="M1434">
        <f>IF(OR(K1434="",K1434=A1434,A1434=""),"",K1434&amp;"|"&amp;L1434)</f>
        <v/>
      </c>
      <c r="N1434">
        <f>IF(M1434="","",IF(ISNUMBER(B1434),B1434,IFERROR(_xlfn.NUMBERVALUE(B1434,".",","),0)))</f>
        <v/>
      </c>
      <c r="O1434">
        <f>IF(M1434="","",IF(ISNUMBER(C1434),C1434,IFERROR(_xlfn.NUMBERVALUE(C1434,".",","),0)))</f>
        <v/>
      </c>
    </row>
    <row r="1435">
      <c r="K1435">
        <f>IF(OR(LEFT(B1435,9)="DOANH THU",LEFT(B1435,8)="SỐ LƯỢNG"),A1435,IF(A1435="","",K1434))</f>
        <v/>
      </c>
      <c r="L1435">
        <f>IF(A1435="","",IF(ISNUMBER(--LEFT(A1435,FIND(" - ",A1435&amp;" - ")-1)),LEFT(A1435,FIND(" - ",A1435&amp;" - ")-1),TRIM(A1435)))</f>
        <v/>
      </c>
      <c r="M1435">
        <f>IF(OR(K1435="",K1435=A1435,A1435=""),"",K1435&amp;"|"&amp;L1435)</f>
        <v/>
      </c>
      <c r="N1435">
        <f>IF(M1435="","",IF(ISNUMBER(B1435),B1435,IFERROR(_xlfn.NUMBERVALUE(B1435,".",","),0)))</f>
        <v/>
      </c>
      <c r="O1435">
        <f>IF(M1435="","",IF(ISNUMBER(C1435),C1435,IFERROR(_xlfn.NUMBERVALUE(C1435,".",","),0)))</f>
        <v/>
      </c>
    </row>
    <row r="1436">
      <c r="K1436">
        <f>IF(OR(LEFT(B1436,9)="DOANH THU",LEFT(B1436,8)="SỐ LƯỢNG"),A1436,IF(A1436="","",K1435))</f>
        <v/>
      </c>
      <c r="L1436">
        <f>IF(A1436="","",IF(ISNUMBER(--LEFT(A1436,FIND(" - ",A1436&amp;" - ")-1)),LEFT(A1436,FIND(" - ",A1436&amp;" - ")-1),TRIM(A1436)))</f>
        <v/>
      </c>
      <c r="M1436">
        <f>IF(OR(K1436="",K1436=A1436,A1436=""),"",K1436&amp;"|"&amp;L1436)</f>
        <v/>
      </c>
      <c r="N1436">
        <f>IF(M1436="","",IF(ISNUMBER(B1436),B1436,IFERROR(_xlfn.NUMBERVALUE(B1436,".",","),0)))</f>
        <v/>
      </c>
      <c r="O1436">
        <f>IF(M1436="","",IF(ISNUMBER(C1436),C1436,IFERROR(_xlfn.NUMBERVALUE(C1436,".",","),0)))</f>
        <v/>
      </c>
    </row>
    <row r="1437">
      <c r="K1437">
        <f>IF(OR(LEFT(B1437,9)="DOANH THU",LEFT(B1437,8)="SỐ LƯỢNG"),A1437,IF(A1437="","",K1436))</f>
        <v/>
      </c>
      <c r="L1437">
        <f>IF(A1437="","",IF(ISNUMBER(--LEFT(A1437,FIND(" - ",A1437&amp;" - ")-1)),LEFT(A1437,FIND(" - ",A1437&amp;" - ")-1),TRIM(A1437)))</f>
        <v/>
      </c>
      <c r="M1437">
        <f>IF(OR(K1437="",K1437=A1437,A1437=""),"",K1437&amp;"|"&amp;L1437)</f>
        <v/>
      </c>
      <c r="N1437">
        <f>IF(M1437="","",IF(ISNUMBER(B1437),B1437,IFERROR(_xlfn.NUMBERVALUE(B1437,".",","),0)))</f>
        <v/>
      </c>
      <c r="O1437">
        <f>IF(M1437="","",IF(ISNUMBER(C1437),C1437,IFERROR(_xlfn.NUMBERVALUE(C1437,".",","),0)))</f>
        <v/>
      </c>
    </row>
    <row r="1438">
      <c r="K1438">
        <f>IF(OR(LEFT(B1438,9)="DOANH THU",LEFT(B1438,8)="SỐ LƯỢNG"),A1438,IF(A1438="","",K1437))</f>
        <v/>
      </c>
      <c r="L1438">
        <f>IF(A1438="","",IF(ISNUMBER(--LEFT(A1438,FIND(" - ",A1438&amp;" - ")-1)),LEFT(A1438,FIND(" - ",A1438&amp;" - ")-1),TRIM(A1438)))</f>
        <v/>
      </c>
      <c r="M1438">
        <f>IF(OR(K1438="",K1438=A1438,A1438=""),"",K1438&amp;"|"&amp;L1438)</f>
        <v/>
      </c>
      <c r="N1438">
        <f>IF(M1438="","",IF(ISNUMBER(B1438),B1438,IFERROR(_xlfn.NUMBERVALUE(B1438,".",","),0)))</f>
        <v/>
      </c>
      <c r="O1438">
        <f>IF(M1438="","",IF(ISNUMBER(C1438),C1438,IFERROR(_xlfn.NUMBERVALUE(C1438,".",","),0)))</f>
        <v/>
      </c>
    </row>
    <row r="1439">
      <c r="K1439">
        <f>IF(OR(LEFT(B1439,9)="DOANH THU",LEFT(B1439,8)="SỐ LƯỢNG"),A1439,IF(A1439="","",K1438))</f>
        <v/>
      </c>
      <c r="L1439">
        <f>IF(A1439="","",IF(ISNUMBER(--LEFT(A1439,FIND(" - ",A1439&amp;" - ")-1)),LEFT(A1439,FIND(" - ",A1439&amp;" - ")-1),TRIM(A1439)))</f>
        <v/>
      </c>
      <c r="M1439">
        <f>IF(OR(K1439="",K1439=A1439,A1439=""),"",K1439&amp;"|"&amp;L1439)</f>
        <v/>
      </c>
      <c r="N1439">
        <f>IF(M1439="","",IF(ISNUMBER(B1439),B1439,IFERROR(_xlfn.NUMBERVALUE(B1439,".",","),0)))</f>
        <v/>
      </c>
      <c r="O1439">
        <f>IF(M1439="","",IF(ISNUMBER(C1439),C1439,IFERROR(_xlfn.NUMBERVALUE(C1439,".",","),0)))</f>
        <v/>
      </c>
    </row>
    <row r="1440">
      <c r="K1440">
        <f>IF(OR(LEFT(B1440,9)="DOANH THU",LEFT(B1440,8)="SỐ LƯỢNG"),A1440,IF(A1440="","",K1439))</f>
        <v/>
      </c>
      <c r="L1440">
        <f>IF(A1440="","",IF(ISNUMBER(--LEFT(A1440,FIND(" - ",A1440&amp;" - ")-1)),LEFT(A1440,FIND(" - ",A1440&amp;" - ")-1),TRIM(A1440)))</f>
        <v/>
      </c>
      <c r="M1440">
        <f>IF(OR(K1440="",K1440=A1440,A1440=""),"",K1440&amp;"|"&amp;L1440)</f>
        <v/>
      </c>
      <c r="N1440">
        <f>IF(M1440="","",IF(ISNUMBER(B1440),B1440,IFERROR(_xlfn.NUMBERVALUE(B1440,".",","),0)))</f>
        <v/>
      </c>
      <c r="O1440">
        <f>IF(M1440="","",IF(ISNUMBER(C1440),C1440,IFERROR(_xlfn.NUMBERVALUE(C1440,".",","),0)))</f>
        <v/>
      </c>
    </row>
    <row r="1441">
      <c r="K1441">
        <f>IF(OR(LEFT(B1441,9)="DOANH THU",LEFT(B1441,8)="SỐ LƯỢNG"),A1441,IF(A1441="","",K1440))</f>
        <v/>
      </c>
      <c r="L1441">
        <f>IF(A1441="","",IF(ISNUMBER(--LEFT(A1441,FIND(" - ",A1441&amp;" - ")-1)),LEFT(A1441,FIND(" - ",A1441&amp;" - ")-1),TRIM(A1441)))</f>
        <v/>
      </c>
      <c r="M1441">
        <f>IF(OR(K1441="",K1441=A1441,A1441=""),"",K1441&amp;"|"&amp;L1441)</f>
        <v/>
      </c>
      <c r="N1441">
        <f>IF(M1441="","",IF(ISNUMBER(B1441),B1441,IFERROR(_xlfn.NUMBERVALUE(B1441,".",","),0)))</f>
        <v/>
      </c>
      <c r="O1441">
        <f>IF(M1441="","",IF(ISNUMBER(C1441),C1441,IFERROR(_xlfn.NUMBERVALUE(C1441,".",","),0)))</f>
        <v/>
      </c>
    </row>
    <row r="1442">
      <c r="K1442">
        <f>IF(OR(LEFT(B1442,9)="DOANH THU",LEFT(B1442,8)="SỐ LƯỢNG"),A1442,IF(A1442="","",K1441))</f>
        <v/>
      </c>
      <c r="L1442">
        <f>IF(A1442="","",IF(ISNUMBER(--LEFT(A1442,FIND(" - ",A1442&amp;" - ")-1)),LEFT(A1442,FIND(" - ",A1442&amp;" - ")-1),TRIM(A1442)))</f>
        <v/>
      </c>
      <c r="M1442">
        <f>IF(OR(K1442="",K1442=A1442,A1442=""),"",K1442&amp;"|"&amp;L1442)</f>
        <v/>
      </c>
      <c r="N1442">
        <f>IF(M1442="","",IF(ISNUMBER(B1442),B1442,IFERROR(_xlfn.NUMBERVALUE(B1442,".",","),0)))</f>
        <v/>
      </c>
      <c r="O1442">
        <f>IF(M1442="","",IF(ISNUMBER(C1442),C1442,IFERROR(_xlfn.NUMBERVALUE(C1442,".",","),0)))</f>
        <v/>
      </c>
    </row>
    <row r="1443">
      <c r="K1443">
        <f>IF(OR(LEFT(B1443,9)="DOANH THU",LEFT(B1443,8)="SỐ LƯỢNG"),A1443,IF(A1443="","",K1442))</f>
        <v/>
      </c>
      <c r="L1443">
        <f>IF(A1443="","",IF(ISNUMBER(--LEFT(A1443,FIND(" - ",A1443&amp;" - ")-1)),LEFT(A1443,FIND(" - ",A1443&amp;" - ")-1),TRIM(A1443)))</f>
        <v/>
      </c>
      <c r="M1443">
        <f>IF(OR(K1443="",K1443=A1443,A1443=""),"",K1443&amp;"|"&amp;L1443)</f>
        <v/>
      </c>
      <c r="N1443">
        <f>IF(M1443="","",IF(ISNUMBER(B1443),B1443,IFERROR(_xlfn.NUMBERVALUE(B1443,".",","),0)))</f>
        <v/>
      </c>
      <c r="O1443">
        <f>IF(M1443="","",IF(ISNUMBER(C1443),C1443,IFERROR(_xlfn.NUMBERVALUE(C1443,".",","),0)))</f>
        <v/>
      </c>
    </row>
    <row r="1444">
      <c r="K1444">
        <f>IF(OR(LEFT(B1444,9)="DOANH THU",LEFT(B1444,8)="SỐ LƯỢNG"),A1444,IF(A1444="","",K1443))</f>
        <v/>
      </c>
      <c r="L1444">
        <f>IF(A1444="","",IF(ISNUMBER(--LEFT(A1444,FIND(" - ",A1444&amp;" - ")-1)),LEFT(A1444,FIND(" - ",A1444&amp;" - ")-1),TRIM(A1444)))</f>
        <v/>
      </c>
      <c r="M1444">
        <f>IF(OR(K1444="",K1444=A1444,A1444=""),"",K1444&amp;"|"&amp;L1444)</f>
        <v/>
      </c>
      <c r="N1444">
        <f>IF(M1444="","",IF(ISNUMBER(B1444),B1444,IFERROR(_xlfn.NUMBERVALUE(B1444,".",","),0)))</f>
        <v/>
      </c>
      <c r="O1444">
        <f>IF(M1444="","",IF(ISNUMBER(C1444),C1444,IFERROR(_xlfn.NUMBERVALUE(C1444,".",","),0)))</f>
        <v/>
      </c>
    </row>
    <row r="1445">
      <c r="K1445">
        <f>IF(OR(LEFT(B1445,9)="DOANH THU",LEFT(B1445,8)="SỐ LƯỢNG"),A1445,IF(A1445="","",K1444))</f>
        <v/>
      </c>
      <c r="L1445">
        <f>IF(A1445="","",IF(ISNUMBER(--LEFT(A1445,FIND(" - ",A1445&amp;" - ")-1)),LEFT(A1445,FIND(" - ",A1445&amp;" - ")-1),TRIM(A1445)))</f>
        <v/>
      </c>
      <c r="M1445">
        <f>IF(OR(K1445="",K1445=A1445,A1445=""),"",K1445&amp;"|"&amp;L1445)</f>
        <v/>
      </c>
      <c r="N1445">
        <f>IF(M1445="","",IF(ISNUMBER(B1445),B1445,IFERROR(_xlfn.NUMBERVALUE(B1445,".",","),0)))</f>
        <v/>
      </c>
      <c r="O1445">
        <f>IF(M1445="","",IF(ISNUMBER(C1445),C1445,IFERROR(_xlfn.NUMBERVALUE(C1445,".",","),0)))</f>
        <v/>
      </c>
    </row>
    <row r="1446">
      <c r="K1446">
        <f>IF(OR(LEFT(B1446,9)="DOANH THU",LEFT(B1446,8)="SỐ LƯỢNG"),A1446,IF(A1446="","",K1445))</f>
        <v/>
      </c>
      <c r="L1446">
        <f>IF(A1446="","",IF(ISNUMBER(--LEFT(A1446,FIND(" - ",A1446&amp;" - ")-1)),LEFT(A1446,FIND(" - ",A1446&amp;" - ")-1),TRIM(A1446)))</f>
        <v/>
      </c>
      <c r="M1446">
        <f>IF(OR(K1446="",K1446=A1446,A1446=""),"",K1446&amp;"|"&amp;L1446)</f>
        <v/>
      </c>
      <c r="N1446">
        <f>IF(M1446="","",IF(ISNUMBER(B1446),B1446,IFERROR(_xlfn.NUMBERVALUE(B1446,".",","),0)))</f>
        <v/>
      </c>
      <c r="O1446">
        <f>IF(M1446="","",IF(ISNUMBER(C1446),C1446,IFERROR(_xlfn.NUMBERVALUE(C1446,".",","),0)))</f>
        <v/>
      </c>
    </row>
    <row r="1447">
      <c r="K1447">
        <f>IF(OR(LEFT(B1447,9)="DOANH THU",LEFT(B1447,8)="SỐ LƯỢNG"),A1447,IF(A1447="","",K1446))</f>
        <v/>
      </c>
      <c r="L1447">
        <f>IF(A1447="","",IF(ISNUMBER(--LEFT(A1447,FIND(" - ",A1447&amp;" - ")-1)),LEFT(A1447,FIND(" - ",A1447&amp;" - ")-1),TRIM(A1447)))</f>
        <v/>
      </c>
      <c r="M1447">
        <f>IF(OR(K1447="",K1447=A1447,A1447=""),"",K1447&amp;"|"&amp;L1447)</f>
        <v/>
      </c>
      <c r="N1447">
        <f>IF(M1447="","",IF(ISNUMBER(B1447),B1447,IFERROR(_xlfn.NUMBERVALUE(B1447,".",","),0)))</f>
        <v/>
      </c>
      <c r="O1447">
        <f>IF(M1447="","",IF(ISNUMBER(C1447),C1447,IFERROR(_xlfn.NUMBERVALUE(C1447,".",","),0)))</f>
        <v/>
      </c>
    </row>
    <row r="1448">
      <c r="K1448">
        <f>IF(OR(LEFT(B1448,9)="DOANH THU",LEFT(B1448,8)="SỐ LƯỢNG"),A1448,IF(A1448="","",K1447))</f>
        <v/>
      </c>
      <c r="L1448">
        <f>IF(A1448="","",IF(ISNUMBER(--LEFT(A1448,FIND(" - ",A1448&amp;" - ")-1)),LEFT(A1448,FIND(" - ",A1448&amp;" - ")-1),TRIM(A1448)))</f>
        <v/>
      </c>
      <c r="M1448">
        <f>IF(OR(K1448="",K1448=A1448,A1448=""),"",K1448&amp;"|"&amp;L1448)</f>
        <v/>
      </c>
      <c r="N1448">
        <f>IF(M1448="","",IF(ISNUMBER(B1448),B1448,IFERROR(_xlfn.NUMBERVALUE(B1448,".",","),0)))</f>
        <v/>
      </c>
      <c r="O1448">
        <f>IF(M1448="","",IF(ISNUMBER(C1448),C1448,IFERROR(_xlfn.NUMBERVALUE(C1448,".",","),0)))</f>
        <v/>
      </c>
    </row>
    <row r="1449">
      <c r="K1449">
        <f>IF(OR(LEFT(B1449,9)="DOANH THU",LEFT(B1449,8)="SỐ LƯỢNG"),A1449,IF(A1449="","",K1448))</f>
        <v/>
      </c>
      <c r="L1449">
        <f>IF(A1449="","",IF(ISNUMBER(--LEFT(A1449,FIND(" - ",A1449&amp;" - ")-1)),LEFT(A1449,FIND(" - ",A1449&amp;" - ")-1),TRIM(A1449)))</f>
        <v/>
      </c>
      <c r="M1449">
        <f>IF(OR(K1449="",K1449=A1449,A1449=""),"",K1449&amp;"|"&amp;L1449)</f>
        <v/>
      </c>
      <c r="N1449">
        <f>IF(M1449="","",IF(ISNUMBER(B1449),B1449,IFERROR(_xlfn.NUMBERVALUE(B1449,".",","),0)))</f>
        <v/>
      </c>
      <c r="O1449">
        <f>IF(M1449="","",IF(ISNUMBER(C1449),C1449,IFERROR(_xlfn.NUMBERVALUE(C1449,".",","),0)))</f>
        <v/>
      </c>
    </row>
    <row r="1450">
      <c r="K1450">
        <f>IF(OR(LEFT(B1450,9)="DOANH THU",LEFT(B1450,8)="SỐ LƯỢNG"),A1450,IF(A1450="","",K1449))</f>
        <v/>
      </c>
      <c r="L1450">
        <f>IF(A1450="","",IF(ISNUMBER(--LEFT(A1450,FIND(" - ",A1450&amp;" - ")-1)),LEFT(A1450,FIND(" - ",A1450&amp;" - ")-1),TRIM(A1450)))</f>
        <v/>
      </c>
      <c r="M1450">
        <f>IF(OR(K1450="",K1450=A1450,A1450=""),"",K1450&amp;"|"&amp;L1450)</f>
        <v/>
      </c>
      <c r="N1450">
        <f>IF(M1450="","",IF(ISNUMBER(B1450),B1450,IFERROR(_xlfn.NUMBERVALUE(B1450,".",","),0)))</f>
        <v/>
      </c>
      <c r="O1450">
        <f>IF(M1450="","",IF(ISNUMBER(C1450),C1450,IFERROR(_xlfn.NUMBERVALUE(C1450,".",","),0)))</f>
        <v/>
      </c>
    </row>
    <row r="1451">
      <c r="K1451">
        <f>IF(OR(LEFT(B1451,9)="DOANH THU",LEFT(B1451,8)="SỐ LƯỢNG"),A1451,IF(A1451="","",K1450))</f>
        <v/>
      </c>
      <c r="L1451">
        <f>IF(A1451="","",IF(ISNUMBER(--LEFT(A1451,FIND(" - ",A1451&amp;" - ")-1)),LEFT(A1451,FIND(" - ",A1451&amp;" - ")-1),TRIM(A1451)))</f>
        <v/>
      </c>
      <c r="M1451">
        <f>IF(OR(K1451="",K1451=A1451,A1451=""),"",K1451&amp;"|"&amp;L1451)</f>
        <v/>
      </c>
      <c r="N1451">
        <f>IF(M1451="","",IF(ISNUMBER(B1451),B1451,IFERROR(_xlfn.NUMBERVALUE(B1451,".",","),0)))</f>
        <v/>
      </c>
      <c r="O1451">
        <f>IF(M1451="","",IF(ISNUMBER(C1451),C1451,IFERROR(_xlfn.NUMBERVALUE(C1451,".",","),0)))</f>
        <v/>
      </c>
    </row>
    <row r="1452">
      <c r="K1452">
        <f>IF(OR(LEFT(B1452,9)="DOANH THU",LEFT(B1452,8)="SỐ LƯỢNG"),A1452,IF(A1452="","",K1451))</f>
        <v/>
      </c>
      <c r="L1452">
        <f>IF(A1452="","",IF(ISNUMBER(--LEFT(A1452,FIND(" - ",A1452&amp;" - ")-1)),LEFT(A1452,FIND(" - ",A1452&amp;" - ")-1),TRIM(A1452)))</f>
        <v/>
      </c>
      <c r="M1452">
        <f>IF(OR(K1452="",K1452=A1452,A1452=""),"",K1452&amp;"|"&amp;L1452)</f>
        <v/>
      </c>
      <c r="N1452">
        <f>IF(M1452="","",IF(ISNUMBER(B1452),B1452,IFERROR(_xlfn.NUMBERVALUE(B1452,".",","),0)))</f>
        <v/>
      </c>
      <c r="O1452">
        <f>IF(M1452="","",IF(ISNUMBER(C1452),C1452,IFERROR(_xlfn.NUMBERVALUE(C1452,".",","),0)))</f>
        <v/>
      </c>
    </row>
    <row r="1453">
      <c r="K1453">
        <f>IF(OR(LEFT(B1453,9)="DOANH THU",LEFT(B1453,8)="SỐ LƯỢNG"),A1453,IF(A1453="","",K1452))</f>
        <v/>
      </c>
      <c r="L1453">
        <f>IF(A1453="","",IF(ISNUMBER(--LEFT(A1453,FIND(" - ",A1453&amp;" - ")-1)),LEFT(A1453,FIND(" - ",A1453&amp;" - ")-1),TRIM(A1453)))</f>
        <v/>
      </c>
      <c r="M1453">
        <f>IF(OR(K1453="",K1453=A1453,A1453=""),"",K1453&amp;"|"&amp;L1453)</f>
        <v/>
      </c>
      <c r="N1453">
        <f>IF(M1453="","",IF(ISNUMBER(B1453),B1453,IFERROR(_xlfn.NUMBERVALUE(B1453,".",","),0)))</f>
        <v/>
      </c>
      <c r="O1453">
        <f>IF(M1453="","",IF(ISNUMBER(C1453),C1453,IFERROR(_xlfn.NUMBERVALUE(C1453,".",","),0)))</f>
        <v/>
      </c>
    </row>
    <row r="1454">
      <c r="K1454">
        <f>IF(OR(LEFT(B1454,9)="DOANH THU",LEFT(B1454,8)="SỐ LƯỢNG"),A1454,IF(A1454="","",K1453))</f>
        <v/>
      </c>
      <c r="L1454">
        <f>IF(A1454="","",IF(ISNUMBER(--LEFT(A1454,FIND(" - ",A1454&amp;" - ")-1)),LEFT(A1454,FIND(" - ",A1454&amp;" - ")-1),TRIM(A1454)))</f>
        <v/>
      </c>
      <c r="M1454">
        <f>IF(OR(K1454="",K1454=A1454,A1454=""),"",K1454&amp;"|"&amp;L1454)</f>
        <v/>
      </c>
      <c r="N1454">
        <f>IF(M1454="","",IF(ISNUMBER(B1454),B1454,IFERROR(_xlfn.NUMBERVALUE(B1454,".",","),0)))</f>
        <v/>
      </c>
      <c r="O1454">
        <f>IF(M1454="","",IF(ISNUMBER(C1454),C1454,IFERROR(_xlfn.NUMBERVALUE(C1454,".",","),0)))</f>
        <v/>
      </c>
    </row>
    <row r="1455">
      <c r="K1455">
        <f>IF(OR(LEFT(B1455,9)="DOANH THU",LEFT(B1455,8)="SỐ LƯỢNG"),A1455,IF(A1455="","",K1454))</f>
        <v/>
      </c>
      <c r="L1455">
        <f>IF(A1455="","",IF(ISNUMBER(--LEFT(A1455,FIND(" - ",A1455&amp;" - ")-1)),LEFT(A1455,FIND(" - ",A1455&amp;" - ")-1),TRIM(A1455)))</f>
        <v/>
      </c>
      <c r="M1455">
        <f>IF(OR(K1455="",K1455=A1455,A1455=""),"",K1455&amp;"|"&amp;L1455)</f>
        <v/>
      </c>
      <c r="N1455">
        <f>IF(M1455="","",IF(ISNUMBER(B1455),B1455,IFERROR(_xlfn.NUMBERVALUE(B1455,".",","),0)))</f>
        <v/>
      </c>
      <c r="O1455">
        <f>IF(M1455="","",IF(ISNUMBER(C1455),C1455,IFERROR(_xlfn.NUMBERVALUE(C1455,".",","),0)))</f>
        <v/>
      </c>
    </row>
    <row r="1456">
      <c r="K1456">
        <f>IF(OR(LEFT(B1456,9)="DOANH THU",LEFT(B1456,8)="SỐ LƯỢNG"),A1456,IF(A1456="","",K1455))</f>
        <v/>
      </c>
      <c r="L1456">
        <f>IF(A1456="","",IF(ISNUMBER(--LEFT(A1456,FIND(" - ",A1456&amp;" - ")-1)),LEFT(A1456,FIND(" - ",A1456&amp;" - ")-1),TRIM(A1456)))</f>
        <v/>
      </c>
      <c r="M1456">
        <f>IF(OR(K1456="",K1456=A1456,A1456=""),"",K1456&amp;"|"&amp;L1456)</f>
        <v/>
      </c>
      <c r="N1456">
        <f>IF(M1456="","",IF(ISNUMBER(B1456),B1456,IFERROR(_xlfn.NUMBERVALUE(B1456,".",","),0)))</f>
        <v/>
      </c>
      <c r="O1456">
        <f>IF(M1456="","",IF(ISNUMBER(C1456),C1456,IFERROR(_xlfn.NUMBERVALUE(C1456,".",","),0)))</f>
        <v/>
      </c>
    </row>
    <row r="1457">
      <c r="K1457">
        <f>IF(OR(LEFT(B1457,9)="DOANH THU",LEFT(B1457,8)="SỐ LƯỢNG"),A1457,IF(A1457="","",K1456))</f>
        <v/>
      </c>
      <c r="L1457">
        <f>IF(A1457="","",IF(ISNUMBER(--LEFT(A1457,FIND(" - ",A1457&amp;" - ")-1)),LEFT(A1457,FIND(" - ",A1457&amp;" - ")-1),TRIM(A1457)))</f>
        <v/>
      </c>
      <c r="M1457">
        <f>IF(OR(K1457="",K1457=A1457,A1457=""),"",K1457&amp;"|"&amp;L1457)</f>
        <v/>
      </c>
      <c r="N1457">
        <f>IF(M1457="","",IF(ISNUMBER(B1457),B1457,IFERROR(_xlfn.NUMBERVALUE(B1457,".",","),0)))</f>
        <v/>
      </c>
      <c r="O1457">
        <f>IF(M1457="","",IF(ISNUMBER(C1457),C1457,IFERROR(_xlfn.NUMBERVALUE(C1457,".",","),0)))</f>
        <v/>
      </c>
    </row>
    <row r="1458">
      <c r="K1458">
        <f>IF(OR(LEFT(B1458,9)="DOANH THU",LEFT(B1458,8)="SỐ LƯỢNG"),A1458,IF(A1458="","",K1457))</f>
        <v/>
      </c>
      <c r="L1458">
        <f>IF(A1458="","",IF(ISNUMBER(--LEFT(A1458,FIND(" - ",A1458&amp;" - ")-1)),LEFT(A1458,FIND(" - ",A1458&amp;" - ")-1),TRIM(A1458)))</f>
        <v/>
      </c>
      <c r="M1458">
        <f>IF(OR(K1458="",K1458=A1458,A1458=""),"",K1458&amp;"|"&amp;L1458)</f>
        <v/>
      </c>
      <c r="N1458">
        <f>IF(M1458="","",IF(ISNUMBER(B1458),B1458,IFERROR(_xlfn.NUMBERVALUE(B1458,".",","),0)))</f>
        <v/>
      </c>
      <c r="O1458">
        <f>IF(M1458="","",IF(ISNUMBER(C1458),C1458,IFERROR(_xlfn.NUMBERVALUE(C1458,".",","),0)))</f>
        <v/>
      </c>
    </row>
    <row r="1459">
      <c r="K1459">
        <f>IF(OR(LEFT(B1459,9)="DOANH THU",LEFT(B1459,8)="SỐ LƯỢNG"),A1459,IF(A1459="","",K1458))</f>
        <v/>
      </c>
      <c r="L1459">
        <f>IF(A1459="","",IF(ISNUMBER(--LEFT(A1459,FIND(" - ",A1459&amp;" - ")-1)),LEFT(A1459,FIND(" - ",A1459&amp;" - ")-1),TRIM(A1459)))</f>
        <v/>
      </c>
      <c r="M1459">
        <f>IF(OR(K1459="",K1459=A1459,A1459=""),"",K1459&amp;"|"&amp;L1459)</f>
        <v/>
      </c>
      <c r="N1459">
        <f>IF(M1459="","",IF(ISNUMBER(B1459),B1459,IFERROR(_xlfn.NUMBERVALUE(B1459,".",","),0)))</f>
        <v/>
      </c>
      <c r="O1459">
        <f>IF(M1459="","",IF(ISNUMBER(C1459),C1459,IFERROR(_xlfn.NUMBERVALUE(C1459,".",","),0)))</f>
        <v/>
      </c>
    </row>
    <row r="1460">
      <c r="K1460">
        <f>IF(OR(LEFT(B1460,9)="DOANH THU",LEFT(B1460,8)="SỐ LƯỢNG"),A1460,IF(A1460="","",K1459))</f>
        <v/>
      </c>
      <c r="L1460">
        <f>IF(A1460="","",IF(ISNUMBER(--LEFT(A1460,FIND(" - ",A1460&amp;" - ")-1)),LEFT(A1460,FIND(" - ",A1460&amp;" - ")-1),TRIM(A1460)))</f>
        <v/>
      </c>
      <c r="M1460">
        <f>IF(OR(K1460="",K1460=A1460,A1460=""),"",K1460&amp;"|"&amp;L1460)</f>
        <v/>
      </c>
      <c r="N1460">
        <f>IF(M1460="","",IF(ISNUMBER(B1460),B1460,IFERROR(_xlfn.NUMBERVALUE(B1460,".",","),0)))</f>
        <v/>
      </c>
      <c r="O1460">
        <f>IF(M1460="","",IF(ISNUMBER(C1460),C1460,IFERROR(_xlfn.NUMBERVALUE(C1460,".",","),0)))</f>
        <v/>
      </c>
    </row>
    <row r="1461">
      <c r="K1461">
        <f>IF(OR(LEFT(B1461,9)="DOANH THU",LEFT(B1461,8)="SỐ LƯỢNG"),A1461,IF(A1461="","",K1460))</f>
        <v/>
      </c>
      <c r="L1461">
        <f>IF(A1461="","",IF(ISNUMBER(--LEFT(A1461,FIND(" - ",A1461&amp;" - ")-1)),LEFT(A1461,FIND(" - ",A1461&amp;" - ")-1),TRIM(A1461)))</f>
        <v/>
      </c>
      <c r="M1461">
        <f>IF(OR(K1461="",K1461=A1461,A1461=""),"",K1461&amp;"|"&amp;L1461)</f>
        <v/>
      </c>
      <c r="N1461">
        <f>IF(M1461="","",IF(ISNUMBER(B1461),B1461,IFERROR(_xlfn.NUMBERVALUE(B1461,".",","),0)))</f>
        <v/>
      </c>
      <c r="O1461">
        <f>IF(M1461="","",IF(ISNUMBER(C1461),C1461,IFERROR(_xlfn.NUMBERVALUE(C1461,".",","),0)))</f>
        <v/>
      </c>
    </row>
    <row r="1462">
      <c r="K1462">
        <f>IF(OR(LEFT(B1462,9)="DOANH THU",LEFT(B1462,8)="SỐ LƯỢNG"),A1462,IF(A1462="","",K1461))</f>
        <v/>
      </c>
      <c r="L1462">
        <f>IF(A1462="","",IF(ISNUMBER(--LEFT(A1462,FIND(" - ",A1462&amp;" - ")-1)),LEFT(A1462,FIND(" - ",A1462&amp;" - ")-1),TRIM(A1462)))</f>
        <v/>
      </c>
      <c r="M1462">
        <f>IF(OR(K1462="",K1462=A1462,A1462=""),"",K1462&amp;"|"&amp;L1462)</f>
        <v/>
      </c>
      <c r="N1462">
        <f>IF(M1462="","",IF(ISNUMBER(B1462),B1462,IFERROR(_xlfn.NUMBERVALUE(B1462,".",","),0)))</f>
        <v/>
      </c>
      <c r="O1462">
        <f>IF(M1462="","",IF(ISNUMBER(C1462),C1462,IFERROR(_xlfn.NUMBERVALUE(C1462,".",","),0)))</f>
        <v/>
      </c>
    </row>
    <row r="1463">
      <c r="K1463">
        <f>IF(OR(LEFT(B1463,9)="DOANH THU",LEFT(B1463,8)="SỐ LƯỢNG"),A1463,IF(A1463="","",K1462))</f>
        <v/>
      </c>
      <c r="L1463">
        <f>IF(A1463="","",IF(ISNUMBER(--LEFT(A1463,FIND(" - ",A1463&amp;" - ")-1)),LEFT(A1463,FIND(" - ",A1463&amp;" - ")-1),TRIM(A1463)))</f>
        <v/>
      </c>
      <c r="M1463">
        <f>IF(OR(K1463="",K1463=A1463,A1463=""),"",K1463&amp;"|"&amp;L1463)</f>
        <v/>
      </c>
      <c r="N1463">
        <f>IF(M1463="","",IF(ISNUMBER(B1463),B1463,IFERROR(_xlfn.NUMBERVALUE(B1463,".",","),0)))</f>
        <v/>
      </c>
      <c r="O1463">
        <f>IF(M1463="","",IF(ISNUMBER(C1463),C1463,IFERROR(_xlfn.NUMBERVALUE(C1463,".",","),0)))</f>
        <v/>
      </c>
    </row>
    <row r="1464">
      <c r="K1464">
        <f>IF(OR(LEFT(B1464,9)="DOANH THU",LEFT(B1464,8)="SỐ LƯỢNG"),A1464,IF(A1464="","",K1463))</f>
        <v/>
      </c>
      <c r="L1464">
        <f>IF(A1464="","",IF(ISNUMBER(--LEFT(A1464,FIND(" - ",A1464&amp;" - ")-1)),LEFT(A1464,FIND(" - ",A1464&amp;" - ")-1),TRIM(A1464)))</f>
        <v/>
      </c>
      <c r="M1464">
        <f>IF(OR(K1464="",K1464=A1464,A1464=""),"",K1464&amp;"|"&amp;L1464)</f>
        <v/>
      </c>
      <c r="N1464">
        <f>IF(M1464="","",IF(ISNUMBER(B1464),B1464,IFERROR(_xlfn.NUMBERVALUE(B1464,".",","),0)))</f>
        <v/>
      </c>
      <c r="O1464">
        <f>IF(M1464="","",IF(ISNUMBER(C1464),C1464,IFERROR(_xlfn.NUMBERVALUE(C1464,".",","),0)))</f>
        <v/>
      </c>
    </row>
    <row r="1465">
      <c r="K1465">
        <f>IF(OR(LEFT(B1465,9)="DOANH THU",LEFT(B1465,8)="SỐ LƯỢNG"),A1465,IF(A1465="","",K1464))</f>
        <v/>
      </c>
      <c r="L1465">
        <f>IF(A1465="","",IF(ISNUMBER(--LEFT(A1465,FIND(" - ",A1465&amp;" - ")-1)),LEFT(A1465,FIND(" - ",A1465&amp;" - ")-1),TRIM(A1465)))</f>
        <v/>
      </c>
      <c r="M1465">
        <f>IF(OR(K1465="",K1465=A1465,A1465=""),"",K1465&amp;"|"&amp;L1465)</f>
        <v/>
      </c>
      <c r="N1465">
        <f>IF(M1465="","",IF(ISNUMBER(B1465),B1465,IFERROR(_xlfn.NUMBERVALUE(B1465,".",","),0)))</f>
        <v/>
      </c>
      <c r="O1465">
        <f>IF(M1465="","",IF(ISNUMBER(C1465),C1465,IFERROR(_xlfn.NUMBERVALUE(C1465,".",","),0)))</f>
        <v/>
      </c>
    </row>
    <row r="1466">
      <c r="K1466">
        <f>IF(OR(LEFT(B1466,9)="DOANH THU",LEFT(B1466,8)="SỐ LƯỢNG"),A1466,IF(A1466="","",K1465))</f>
        <v/>
      </c>
      <c r="L1466">
        <f>IF(A1466="","",IF(ISNUMBER(--LEFT(A1466,FIND(" - ",A1466&amp;" - ")-1)),LEFT(A1466,FIND(" - ",A1466&amp;" - ")-1),TRIM(A1466)))</f>
        <v/>
      </c>
      <c r="M1466">
        <f>IF(OR(K1466="",K1466=A1466,A1466=""),"",K1466&amp;"|"&amp;L1466)</f>
        <v/>
      </c>
      <c r="N1466">
        <f>IF(M1466="","",IF(ISNUMBER(B1466),B1466,IFERROR(_xlfn.NUMBERVALUE(B1466,".",","),0)))</f>
        <v/>
      </c>
      <c r="O1466">
        <f>IF(M1466="","",IF(ISNUMBER(C1466),C1466,IFERROR(_xlfn.NUMBERVALUE(C1466,".",","),0)))</f>
        <v/>
      </c>
    </row>
    <row r="1467">
      <c r="K1467">
        <f>IF(OR(LEFT(B1467,9)="DOANH THU",LEFT(B1467,8)="SỐ LƯỢNG"),A1467,IF(A1467="","",K1466))</f>
        <v/>
      </c>
      <c r="L1467">
        <f>IF(A1467="","",IF(ISNUMBER(--LEFT(A1467,FIND(" - ",A1467&amp;" - ")-1)),LEFT(A1467,FIND(" - ",A1467&amp;" - ")-1),TRIM(A1467)))</f>
        <v/>
      </c>
      <c r="M1467">
        <f>IF(OR(K1467="",K1467=A1467,A1467=""),"",K1467&amp;"|"&amp;L1467)</f>
        <v/>
      </c>
      <c r="N1467">
        <f>IF(M1467="","",IF(ISNUMBER(B1467),B1467,IFERROR(_xlfn.NUMBERVALUE(B1467,".",","),0)))</f>
        <v/>
      </c>
      <c r="O1467">
        <f>IF(M1467="","",IF(ISNUMBER(C1467),C1467,IFERROR(_xlfn.NUMBERVALUE(C1467,".",","),0)))</f>
        <v/>
      </c>
    </row>
    <row r="1468">
      <c r="K1468">
        <f>IF(OR(LEFT(B1468,9)="DOANH THU",LEFT(B1468,8)="SỐ LƯỢNG"),A1468,IF(A1468="","",K1467))</f>
        <v/>
      </c>
      <c r="L1468">
        <f>IF(A1468="","",IF(ISNUMBER(--LEFT(A1468,FIND(" - ",A1468&amp;" - ")-1)),LEFT(A1468,FIND(" - ",A1468&amp;" - ")-1),TRIM(A1468)))</f>
        <v/>
      </c>
      <c r="M1468">
        <f>IF(OR(K1468="",K1468=A1468,A1468=""),"",K1468&amp;"|"&amp;L1468)</f>
        <v/>
      </c>
      <c r="N1468">
        <f>IF(M1468="","",IF(ISNUMBER(B1468),B1468,IFERROR(_xlfn.NUMBERVALUE(B1468,".",","),0)))</f>
        <v/>
      </c>
      <c r="O1468">
        <f>IF(M1468="","",IF(ISNUMBER(C1468),C1468,IFERROR(_xlfn.NUMBERVALUE(C1468,".",","),0)))</f>
        <v/>
      </c>
    </row>
    <row r="1469">
      <c r="K1469">
        <f>IF(OR(LEFT(B1469,9)="DOANH THU",LEFT(B1469,8)="SỐ LƯỢNG"),A1469,IF(A1469="","",K1468))</f>
        <v/>
      </c>
      <c r="L1469">
        <f>IF(A1469="","",IF(ISNUMBER(--LEFT(A1469,FIND(" - ",A1469&amp;" - ")-1)),LEFT(A1469,FIND(" - ",A1469&amp;" - ")-1),TRIM(A1469)))</f>
        <v/>
      </c>
      <c r="M1469">
        <f>IF(OR(K1469="",K1469=A1469,A1469=""),"",K1469&amp;"|"&amp;L1469)</f>
        <v/>
      </c>
      <c r="N1469">
        <f>IF(M1469="","",IF(ISNUMBER(B1469),B1469,IFERROR(_xlfn.NUMBERVALUE(B1469,".",","),0)))</f>
        <v/>
      </c>
      <c r="O1469">
        <f>IF(M1469="","",IF(ISNUMBER(C1469),C1469,IFERROR(_xlfn.NUMBERVALUE(C1469,".",","),0)))</f>
        <v/>
      </c>
    </row>
    <row r="1470">
      <c r="K1470">
        <f>IF(OR(LEFT(B1470,9)="DOANH THU",LEFT(B1470,8)="SỐ LƯỢNG"),A1470,IF(A1470="","",K1469))</f>
        <v/>
      </c>
      <c r="L1470">
        <f>IF(A1470="","",IF(ISNUMBER(--LEFT(A1470,FIND(" - ",A1470&amp;" - ")-1)),LEFT(A1470,FIND(" - ",A1470&amp;" - ")-1),TRIM(A1470)))</f>
        <v/>
      </c>
      <c r="M1470">
        <f>IF(OR(K1470="",K1470=A1470,A1470=""),"",K1470&amp;"|"&amp;L1470)</f>
        <v/>
      </c>
      <c r="N1470">
        <f>IF(M1470="","",IF(ISNUMBER(B1470),B1470,IFERROR(_xlfn.NUMBERVALUE(B1470,".",","),0)))</f>
        <v/>
      </c>
      <c r="O1470">
        <f>IF(M1470="","",IF(ISNUMBER(C1470),C1470,IFERROR(_xlfn.NUMBERVALUE(C1470,".",","),0)))</f>
        <v/>
      </c>
    </row>
    <row r="1471">
      <c r="K1471">
        <f>IF(OR(LEFT(B1471,9)="DOANH THU",LEFT(B1471,8)="SỐ LƯỢNG"),A1471,IF(A1471="","",K1470))</f>
        <v/>
      </c>
      <c r="L1471">
        <f>IF(A1471="","",IF(ISNUMBER(--LEFT(A1471,FIND(" - ",A1471&amp;" - ")-1)),LEFT(A1471,FIND(" - ",A1471&amp;" - ")-1),TRIM(A1471)))</f>
        <v/>
      </c>
      <c r="M1471">
        <f>IF(OR(K1471="",K1471=A1471,A1471=""),"",K1471&amp;"|"&amp;L1471)</f>
        <v/>
      </c>
      <c r="N1471">
        <f>IF(M1471="","",IF(ISNUMBER(B1471),B1471,IFERROR(_xlfn.NUMBERVALUE(B1471,".",","),0)))</f>
        <v/>
      </c>
      <c r="O1471">
        <f>IF(M1471="","",IF(ISNUMBER(C1471),C1471,IFERROR(_xlfn.NUMBERVALUE(C1471,".",","),0)))</f>
        <v/>
      </c>
    </row>
    <row r="1472">
      <c r="K1472">
        <f>IF(OR(LEFT(B1472,9)="DOANH THU",LEFT(B1472,8)="SỐ LƯỢNG"),A1472,IF(A1472="","",K1471))</f>
        <v/>
      </c>
      <c r="L1472">
        <f>IF(A1472="","",IF(ISNUMBER(--LEFT(A1472,FIND(" - ",A1472&amp;" - ")-1)),LEFT(A1472,FIND(" - ",A1472&amp;" - ")-1),TRIM(A1472)))</f>
        <v/>
      </c>
      <c r="M1472">
        <f>IF(OR(K1472="",K1472=A1472,A1472=""),"",K1472&amp;"|"&amp;L1472)</f>
        <v/>
      </c>
      <c r="N1472">
        <f>IF(M1472="","",IF(ISNUMBER(B1472),B1472,IFERROR(_xlfn.NUMBERVALUE(B1472,".",","),0)))</f>
        <v/>
      </c>
      <c r="O1472">
        <f>IF(M1472="","",IF(ISNUMBER(C1472),C1472,IFERROR(_xlfn.NUMBERVALUE(C1472,".",","),0)))</f>
        <v/>
      </c>
    </row>
    <row r="1473">
      <c r="K1473">
        <f>IF(OR(LEFT(B1473,9)="DOANH THU",LEFT(B1473,8)="SỐ LƯỢNG"),A1473,IF(A1473="","",K1472))</f>
        <v/>
      </c>
      <c r="L1473">
        <f>IF(A1473="","",IF(ISNUMBER(--LEFT(A1473,FIND(" - ",A1473&amp;" - ")-1)),LEFT(A1473,FIND(" - ",A1473&amp;" - ")-1),TRIM(A1473)))</f>
        <v/>
      </c>
      <c r="M1473">
        <f>IF(OR(K1473="",K1473=A1473,A1473=""),"",K1473&amp;"|"&amp;L1473)</f>
        <v/>
      </c>
      <c r="N1473">
        <f>IF(M1473="","",IF(ISNUMBER(B1473),B1473,IFERROR(_xlfn.NUMBERVALUE(B1473,".",","),0)))</f>
        <v/>
      </c>
      <c r="O1473">
        <f>IF(M1473="","",IF(ISNUMBER(C1473),C1473,IFERROR(_xlfn.NUMBERVALUE(C1473,".",","),0)))</f>
        <v/>
      </c>
    </row>
    <row r="1474">
      <c r="K1474">
        <f>IF(OR(LEFT(B1474,9)="DOANH THU",LEFT(B1474,8)="SỐ LƯỢNG"),A1474,IF(A1474="","",K1473))</f>
        <v/>
      </c>
      <c r="L1474">
        <f>IF(A1474="","",IF(ISNUMBER(--LEFT(A1474,FIND(" - ",A1474&amp;" - ")-1)),LEFT(A1474,FIND(" - ",A1474&amp;" - ")-1),TRIM(A1474)))</f>
        <v/>
      </c>
      <c r="M1474">
        <f>IF(OR(K1474="",K1474=A1474,A1474=""),"",K1474&amp;"|"&amp;L1474)</f>
        <v/>
      </c>
      <c r="N1474">
        <f>IF(M1474="","",IF(ISNUMBER(B1474),B1474,IFERROR(_xlfn.NUMBERVALUE(B1474,".",","),0)))</f>
        <v/>
      </c>
      <c r="O1474">
        <f>IF(M1474="","",IF(ISNUMBER(C1474),C1474,IFERROR(_xlfn.NUMBERVALUE(C1474,".",","),0)))</f>
        <v/>
      </c>
    </row>
    <row r="1475">
      <c r="K1475">
        <f>IF(OR(LEFT(B1475,9)="DOANH THU",LEFT(B1475,8)="SỐ LƯỢNG"),A1475,IF(A1475="","",K1474))</f>
        <v/>
      </c>
      <c r="L1475">
        <f>IF(A1475="","",IF(ISNUMBER(--LEFT(A1475,FIND(" - ",A1475&amp;" - ")-1)),LEFT(A1475,FIND(" - ",A1475&amp;" - ")-1),TRIM(A1475)))</f>
        <v/>
      </c>
      <c r="M1475">
        <f>IF(OR(K1475="",K1475=A1475,A1475=""),"",K1475&amp;"|"&amp;L1475)</f>
        <v/>
      </c>
      <c r="N1475">
        <f>IF(M1475="","",IF(ISNUMBER(B1475),B1475,IFERROR(_xlfn.NUMBERVALUE(B1475,".",","),0)))</f>
        <v/>
      </c>
      <c r="O1475">
        <f>IF(M1475="","",IF(ISNUMBER(C1475),C1475,IFERROR(_xlfn.NUMBERVALUE(C1475,".",","),0)))</f>
        <v/>
      </c>
    </row>
    <row r="1476">
      <c r="K1476">
        <f>IF(OR(LEFT(B1476,9)="DOANH THU",LEFT(B1476,8)="SỐ LƯỢNG"),A1476,IF(A1476="","",K1475))</f>
        <v/>
      </c>
      <c r="L1476">
        <f>IF(A1476="","",IF(ISNUMBER(--LEFT(A1476,FIND(" - ",A1476&amp;" - ")-1)),LEFT(A1476,FIND(" - ",A1476&amp;" - ")-1),TRIM(A1476)))</f>
        <v/>
      </c>
      <c r="M1476">
        <f>IF(OR(K1476="",K1476=A1476,A1476=""),"",K1476&amp;"|"&amp;L1476)</f>
        <v/>
      </c>
      <c r="N1476">
        <f>IF(M1476="","",IF(ISNUMBER(B1476),B1476,IFERROR(_xlfn.NUMBERVALUE(B1476,".",","),0)))</f>
        <v/>
      </c>
      <c r="O1476">
        <f>IF(M1476="","",IF(ISNUMBER(C1476),C1476,IFERROR(_xlfn.NUMBERVALUE(C1476,".",","),0)))</f>
        <v/>
      </c>
    </row>
    <row r="1477">
      <c r="K1477">
        <f>IF(OR(LEFT(B1477,9)="DOANH THU",LEFT(B1477,8)="SỐ LƯỢNG"),A1477,IF(A1477="","",K1476))</f>
        <v/>
      </c>
      <c r="L1477">
        <f>IF(A1477="","",IF(ISNUMBER(--LEFT(A1477,FIND(" - ",A1477&amp;" - ")-1)),LEFT(A1477,FIND(" - ",A1477&amp;" - ")-1),TRIM(A1477)))</f>
        <v/>
      </c>
      <c r="M1477">
        <f>IF(OR(K1477="",K1477=A1477,A1477=""),"",K1477&amp;"|"&amp;L1477)</f>
        <v/>
      </c>
      <c r="N1477">
        <f>IF(M1477="","",IF(ISNUMBER(B1477),B1477,IFERROR(_xlfn.NUMBERVALUE(B1477,".",","),0)))</f>
        <v/>
      </c>
      <c r="O1477">
        <f>IF(M1477="","",IF(ISNUMBER(C1477),C1477,IFERROR(_xlfn.NUMBERVALUE(C1477,".",","),0)))</f>
        <v/>
      </c>
    </row>
    <row r="1478">
      <c r="K1478">
        <f>IF(OR(LEFT(B1478,9)="DOANH THU",LEFT(B1478,8)="SỐ LƯỢNG"),A1478,IF(A1478="","",K1477))</f>
        <v/>
      </c>
      <c r="L1478">
        <f>IF(A1478="","",IF(ISNUMBER(--LEFT(A1478,FIND(" - ",A1478&amp;" - ")-1)),LEFT(A1478,FIND(" - ",A1478&amp;" - ")-1),TRIM(A1478)))</f>
        <v/>
      </c>
      <c r="M1478">
        <f>IF(OR(K1478="",K1478=A1478,A1478=""),"",K1478&amp;"|"&amp;L1478)</f>
        <v/>
      </c>
      <c r="N1478">
        <f>IF(M1478="","",IF(ISNUMBER(B1478),B1478,IFERROR(_xlfn.NUMBERVALUE(B1478,".",","),0)))</f>
        <v/>
      </c>
      <c r="O1478">
        <f>IF(M1478="","",IF(ISNUMBER(C1478),C1478,IFERROR(_xlfn.NUMBERVALUE(C1478,".",","),0)))</f>
        <v/>
      </c>
    </row>
    <row r="1479">
      <c r="K1479">
        <f>IF(OR(LEFT(B1479,9)="DOANH THU",LEFT(B1479,8)="SỐ LƯỢNG"),A1479,IF(A1479="","",K1478))</f>
        <v/>
      </c>
      <c r="L1479">
        <f>IF(A1479="","",IF(ISNUMBER(--LEFT(A1479,FIND(" - ",A1479&amp;" - ")-1)),LEFT(A1479,FIND(" - ",A1479&amp;" - ")-1),TRIM(A1479)))</f>
        <v/>
      </c>
      <c r="M1479">
        <f>IF(OR(K1479="",K1479=A1479,A1479=""),"",K1479&amp;"|"&amp;L1479)</f>
        <v/>
      </c>
      <c r="N1479">
        <f>IF(M1479="","",IF(ISNUMBER(B1479),B1479,IFERROR(_xlfn.NUMBERVALUE(B1479,".",","),0)))</f>
        <v/>
      </c>
      <c r="O1479">
        <f>IF(M1479="","",IF(ISNUMBER(C1479),C1479,IFERROR(_xlfn.NUMBERVALUE(C1479,".",","),0)))</f>
        <v/>
      </c>
    </row>
    <row r="1480">
      <c r="K1480">
        <f>IF(OR(LEFT(B1480,9)="DOANH THU",LEFT(B1480,8)="SỐ LƯỢNG"),A1480,IF(A1480="","",K1479))</f>
        <v/>
      </c>
      <c r="L1480">
        <f>IF(A1480="","",IF(ISNUMBER(--LEFT(A1480,FIND(" - ",A1480&amp;" - ")-1)),LEFT(A1480,FIND(" - ",A1480&amp;" - ")-1),TRIM(A1480)))</f>
        <v/>
      </c>
      <c r="M1480">
        <f>IF(OR(K1480="",K1480=A1480,A1480=""),"",K1480&amp;"|"&amp;L1480)</f>
        <v/>
      </c>
      <c r="N1480">
        <f>IF(M1480="","",IF(ISNUMBER(B1480),B1480,IFERROR(_xlfn.NUMBERVALUE(B1480,".",","),0)))</f>
        <v/>
      </c>
      <c r="O1480">
        <f>IF(M1480="","",IF(ISNUMBER(C1480),C1480,IFERROR(_xlfn.NUMBERVALUE(C1480,".",","),0)))</f>
        <v/>
      </c>
    </row>
    <row r="1481">
      <c r="K1481">
        <f>IF(OR(LEFT(B1481,9)="DOANH THU",LEFT(B1481,8)="SỐ LƯỢNG"),A1481,IF(A1481="","",K1480))</f>
        <v/>
      </c>
      <c r="L1481">
        <f>IF(A1481="","",IF(ISNUMBER(--LEFT(A1481,FIND(" - ",A1481&amp;" - ")-1)),LEFT(A1481,FIND(" - ",A1481&amp;" - ")-1),TRIM(A1481)))</f>
        <v/>
      </c>
      <c r="M1481">
        <f>IF(OR(K1481="",K1481=A1481,A1481=""),"",K1481&amp;"|"&amp;L1481)</f>
        <v/>
      </c>
      <c r="N1481">
        <f>IF(M1481="","",IF(ISNUMBER(B1481),B1481,IFERROR(_xlfn.NUMBERVALUE(B1481,".",","),0)))</f>
        <v/>
      </c>
      <c r="O1481">
        <f>IF(M1481="","",IF(ISNUMBER(C1481),C1481,IFERROR(_xlfn.NUMBERVALUE(C1481,".",","),0)))</f>
        <v/>
      </c>
    </row>
    <row r="1482">
      <c r="K1482">
        <f>IF(OR(LEFT(B1482,9)="DOANH THU",LEFT(B1482,8)="SỐ LƯỢNG"),A1482,IF(A1482="","",K1481))</f>
        <v/>
      </c>
      <c r="L1482">
        <f>IF(A1482="","",IF(ISNUMBER(--LEFT(A1482,FIND(" - ",A1482&amp;" - ")-1)),LEFT(A1482,FIND(" - ",A1482&amp;" - ")-1),TRIM(A1482)))</f>
        <v/>
      </c>
      <c r="M1482">
        <f>IF(OR(K1482="",K1482=A1482,A1482=""),"",K1482&amp;"|"&amp;L1482)</f>
        <v/>
      </c>
      <c r="N1482">
        <f>IF(M1482="","",IF(ISNUMBER(B1482),B1482,IFERROR(_xlfn.NUMBERVALUE(B1482,".",","),0)))</f>
        <v/>
      </c>
      <c r="O1482">
        <f>IF(M1482="","",IF(ISNUMBER(C1482),C1482,IFERROR(_xlfn.NUMBERVALUE(C1482,".",","),0)))</f>
        <v/>
      </c>
    </row>
    <row r="1483">
      <c r="K1483">
        <f>IF(OR(LEFT(B1483,9)="DOANH THU",LEFT(B1483,8)="SỐ LƯỢNG"),A1483,IF(A1483="","",K1482))</f>
        <v/>
      </c>
      <c r="L1483">
        <f>IF(A1483="","",IF(ISNUMBER(--LEFT(A1483,FIND(" - ",A1483&amp;" - ")-1)),LEFT(A1483,FIND(" - ",A1483&amp;" - ")-1),TRIM(A1483)))</f>
        <v/>
      </c>
      <c r="M1483">
        <f>IF(OR(K1483="",K1483=A1483,A1483=""),"",K1483&amp;"|"&amp;L1483)</f>
        <v/>
      </c>
      <c r="N1483">
        <f>IF(M1483="","",IF(ISNUMBER(B1483),B1483,IFERROR(_xlfn.NUMBERVALUE(B1483,".",","),0)))</f>
        <v/>
      </c>
      <c r="O1483">
        <f>IF(M1483="","",IF(ISNUMBER(C1483),C1483,IFERROR(_xlfn.NUMBERVALUE(C1483,".",","),0)))</f>
        <v/>
      </c>
    </row>
    <row r="1484">
      <c r="K1484">
        <f>IF(OR(LEFT(B1484,9)="DOANH THU",LEFT(B1484,8)="SỐ LƯỢNG"),A1484,IF(A1484="","",K1483))</f>
        <v/>
      </c>
      <c r="L1484">
        <f>IF(A1484="","",IF(ISNUMBER(--LEFT(A1484,FIND(" - ",A1484&amp;" - ")-1)),LEFT(A1484,FIND(" - ",A1484&amp;" - ")-1),TRIM(A1484)))</f>
        <v/>
      </c>
      <c r="M1484">
        <f>IF(OR(K1484="",K1484=A1484,A1484=""),"",K1484&amp;"|"&amp;L1484)</f>
        <v/>
      </c>
      <c r="N1484">
        <f>IF(M1484="","",IF(ISNUMBER(B1484),B1484,IFERROR(_xlfn.NUMBERVALUE(B1484,".",","),0)))</f>
        <v/>
      </c>
      <c r="O1484">
        <f>IF(M1484="","",IF(ISNUMBER(C1484),C1484,IFERROR(_xlfn.NUMBERVALUE(C1484,".",","),0)))</f>
        <v/>
      </c>
    </row>
    <row r="1485">
      <c r="K1485">
        <f>IF(OR(LEFT(B1485,9)="DOANH THU",LEFT(B1485,8)="SỐ LƯỢNG"),A1485,IF(A1485="","",K1484))</f>
        <v/>
      </c>
      <c r="L1485">
        <f>IF(A1485="","",IF(ISNUMBER(--LEFT(A1485,FIND(" - ",A1485&amp;" - ")-1)),LEFT(A1485,FIND(" - ",A1485&amp;" - ")-1),TRIM(A1485)))</f>
        <v/>
      </c>
      <c r="M1485">
        <f>IF(OR(K1485="",K1485=A1485,A1485=""),"",K1485&amp;"|"&amp;L1485)</f>
        <v/>
      </c>
      <c r="N1485">
        <f>IF(M1485="","",IF(ISNUMBER(B1485),B1485,IFERROR(_xlfn.NUMBERVALUE(B1485,".",","),0)))</f>
        <v/>
      </c>
      <c r="O1485">
        <f>IF(M1485="","",IF(ISNUMBER(C1485),C1485,IFERROR(_xlfn.NUMBERVALUE(C1485,".",","),0)))</f>
        <v/>
      </c>
    </row>
    <row r="1486">
      <c r="K1486">
        <f>IF(OR(LEFT(B1486,9)="DOANH THU",LEFT(B1486,8)="SỐ LƯỢNG"),A1486,IF(A1486="","",K1485))</f>
        <v/>
      </c>
      <c r="L1486">
        <f>IF(A1486="","",IF(ISNUMBER(--LEFT(A1486,FIND(" - ",A1486&amp;" - ")-1)),LEFT(A1486,FIND(" - ",A1486&amp;" - ")-1),TRIM(A1486)))</f>
        <v/>
      </c>
      <c r="M1486">
        <f>IF(OR(K1486="",K1486=A1486,A1486=""),"",K1486&amp;"|"&amp;L1486)</f>
        <v/>
      </c>
      <c r="N1486">
        <f>IF(M1486="","",IF(ISNUMBER(B1486),B1486,IFERROR(_xlfn.NUMBERVALUE(B1486,".",","),0)))</f>
        <v/>
      </c>
      <c r="O1486">
        <f>IF(M1486="","",IF(ISNUMBER(C1486),C1486,IFERROR(_xlfn.NUMBERVALUE(C1486,".",","),0)))</f>
        <v/>
      </c>
    </row>
    <row r="1487">
      <c r="K1487">
        <f>IF(OR(LEFT(B1487,9)="DOANH THU",LEFT(B1487,8)="SỐ LƯỢNG"),A1487,IF(A1487="","",K1486))</f>
        <v/>
      </c>
      <c r="L1487">
        <f>IF(A1487="","",IF(ISNUMBER(--LEFT(A1487,FIND(" - ",A1487&amp;" - ")-1)),LEFT(A1487,FIND(" - ",A1487&amp;" - ")-1),TRIM(A1487)))</f>
        <v/>
      </c>
      <c r="M1487">
        <f>IF(OR(K1487="",K1487=A1487,A1487=""),"",K1487&amp;"|"&amp;L1487)</f>
        <v/>
      </c>
      <c r="N1487">
        <f>IF(M1487="","",IF(ISNUMBER(B1487),B1487,IFERROR(_xlfn.NUMBERVALUE(B1487,".",","),0)))</f>
        <v/>
      </c>
      <c r="O1487">
        <f>IF(M1487="","",IF(ISNUMBER(C1487),C1487,IFERROR(_xlfn.NUMBERVALUE(C1487,".",","),0)))</f>
        <v/>
      </c>
    </row>
    <row r="1488">
      <c r="K1488">
        <f>IF(OR(LEFT(B1488,9)="DOANH THU",LEFT(B1488,8)="SỐ LƯỢNG"),A1488,IF(A1488="","",K1487))</f>
        <v/>
      </c>
      <c r="L1488">
        <f>IF(A1488="","",IF(ISNUMBER(--LEFT(A1488,FIND(" - ",A1488&amp;" - ")-1)),LEFT(A1488,FIND(" - ",A1488&amp;" - ")-1),TRIM(A1488)))</f>
        <v/>
      </c>
      <c r="M1488">
        <f>IF(OR(K1488="",K1488=A1488,A1488=""),"",K1488&amp;"|"&amp;L1488)</f>
        <v/>
      </c>
      <c r="N1488">
        <f>IF(M1488="","",IF(ISNUMBER(B1488),B1488,IFERROR(_xlfn.NUMBERVALUE(B1488,".",","),0)))</f>
        <v/>
      </c>
      <c r="O1488">
        <f>IF(M1488="","",IF(ISNUMBER(C1488),C1488,IFERROR(_xlfn.NUMBERVALUE(C1488,".",","),0)))</f>
        <v/>
      </c>
    </row>
    <row r="1489">
      <c r="K1489">
        <f>IF(OR(LEFT(B1489,9)="DOANH THU",LEFT(B1489,8)="SỐ LƯỢNG"),A1489,IF(A1489="","",K1488))</f>
        <v/>
      </c>
      <c r="L1489">
        <f>IF(A1489="","",IF(ISNUMBER(--LEFT(A1489,FIND(" - ",A1489&amp;" - ")-1)),LEFT(A1489,FIND(" - ",A1489&amp;" - ")-1),TRIM(A1489)))</f>
        <v/>
      </c>
      <c r="M1489">
        <f>IF(OR(K1489="",K1489=A1489,A1489=""),"",K1489&amp;"|"&amp;L1489)</f>
        <v/>
      </c>
      <c r="N1489">
        <f>IF(M1489="","",IF(ISNUMBER(B1489),B1489,IFERROR(_xlfn.NUMBERVALUE(B1489,".",","),0)))</f>
        <v/>
      </c>
      <c r="O1489">
        <f>IF(M1489="","",IF(ISNUMBER(C1489),C1489,IFERROR(_xlfn.NUMBERVALUE(C1489,".",","),0)))</f>
        <v/>
      </c>
    </row>
    <row r="1490">
      <c r="K1490">
        <f>IF(OR(LEFT(B1490,9)="DOANH THU",LEFT(B1490,8)="SỐ LƯỢNG"),A1490,IF(A1490="","",K1489))</f>
        <v/>
      </c>
      <c r="L1490">
        <f>IF(A1490="","",IF(ISNUMBER(--LEFT(A1490,FIND(" - ",A1490&amp;" - ")-1)),LEFT(A1490,FIND(" - ",A1490&amp;" - ")-1),TRIM(A1490)))</f>
        <v/>
      </c>
      <c r="M1490">
        <f>IF(OR(K1490="",K1490=A1490,A1490=""),"",K1490&amp;"|"&amp;L1490)</f>
        <v/>
      </c>
      <c r="N1490">
        <f>IF(M1490="","",IF(ISNUMBER(B1490),B1490,IFERROR(_xlfn.NUMBERVALUE(B1490,".",","),0)))</f>
        <v/>
      </c>
      <c r="O1490">
        <f>IF(M1490="","",IF(ISNUMBER(C1490),C1490,IFERROR(_xlfn.NUMBERVALUE(C1490,".",","),0)))</f>
        <v/>
      </c>
    </row>
    <row r="1491">
      <c r="K1491">
        <f>IF(OR(LEFT(B1491,9)="DOANH THU",LEFT(B1491,8)="SỐ LƯỢNG"),A1491,IF(A1491="","",K1490))</f>
        <v/>
      </c>
      <c r="L1491">
        <f>IF(A1491="","",IF(ISNUMBER(--LEFT(A1491,FIND(" - ",A1491&amp;" - ")-1)),LEFT(A1491,FIND(" - ",A1491&amp;" - ")-1),TRIM(A1491)))</f>
        <v/>
      </c>
      <c r="M1491">
        <f>IF(OR(K1491="",K1491=A1491,A1491=""),"",K1491&amp;"|"&amp;L1491)</f>
        <v/>
      </c>
      <c r="N1491">
        <f>IF(M1491="","",IF(ISNUMBER(B1491),B1491,IFERROR(_xlfn.NUMBERVALUE(B1491,".",","),0)))</f>
        <v/>
      </c>
      <c r="O1491">
        <f>IF(M1491="","",IF(ISNUMBER(C1491),C1491,IFERROR(_xlfn.NUMBERVALUE(C1491,".",","),0)))</f>
        <v/>
      </c>
    </row>
    <row r="1492">
      <c r="K1492">
        <f>IF(OR(LEFT(B1492,9)="DOANH THU",LEFT(B1492,8)="SỐ LƯỢNG"),A1492,IF(A1492="","",K1491))</f>
        <v/>
      </c>
      <c r="L1492">
        <f>IF(A1492="","",IF(ISNUMBER(--LEFT(A1492,FIND(" - ",A1492&amp;" - ")-1)),LEFT(A1492,FIND(" - ",A1492&amp;" - ")-1),TRIM(A1492)))</f>
        <v/>
      </c>
      <c r="M1492">
        <f>IF(OR(K1492="",K1492=A1492,A1492=""),"",K1492&amp;"|"&amp;L1492)</f>
        <v/>
      </c>
      <c r="N1492">
        <f>IF(M1492="","",IF(ISNUMBER(B1492),B1492,IFERROR(_xlfn.NUMBERVALUE(B1492,".",","),0)))</f>
        <v/>
      </c>
      <c r="O1492">
        <f>IF(M1492="","",IF(ISNUMBER(C1492),C1492,IFERROR(_xlfn.NUMBERVALUE(C1492,".",","),0)))</f>
        <v/>
      </c>
    </row>
    <row r="1493">
      <c r="K1493">
        <f>IF(OR(LEFT(B1493,9)="DOANH THU",LEFT(B1493,8)="SỐ LƯỢNG"),A1493,IF(A1493="","",K1492))</f>
        <v/>
      </c>
      <c r="L1493">
        <f>IF(A1493="","",IF(ISNUMBER(--LEFT(A1493,FIND(" - ",A1493&amp;" - ")-1)),LEFT(A1493,FIND(" - ",A1493&amp;" - ")-1),TRIM(A1493)))</f>
        <v/>
      </c>
      <c r="M1493">
        <f>IF(OR(K1493="",K1493=A1493,A1493=""),"",K1493&amp;"|"&amp;L1493)</f>
        <v/>
      </c>
      <c r="N1493">
        <f>IF(M1493="","",IF(ISNUMBER(B1493),B1493,IFERROR(_xlfn.NUMBERVALUE(B1493,".",","),0)))</f>
        <v/>
      </c>
      <c r="O1493">
        <f>IF(M1493="","",IF(ISNUMBER(C1493),C1493,IFERROR(_xlfn.NUMBERVALUE(C1493,".",","),0)))</f>
        <v/>
      </c>
    </row>
    <row r="1494">
      <c r="K1494">
        <f>IF(OR(LEFT(B1494,9)="DOANH THU",LEFT(B1494,8)="SỐ LƯỢNG"),A1494,IF(A1494="","",K1493))</f>
        <v/>
      </c>
      <c r="L1494">
        <f>IF(A1494="","",IF(ISNUMBER(--LEFT(A1494,FIND(" - ",A1494&amp;" - ")-1)),LEFT(A1494,FIND(" - ",A1494&amp;" - ")-1),TRIM(A1494)))</f>
        <v/>
      </c>
      <c r="M1494">
        <f>IF(OR(K1494="",K1494=A1494,A1494=""),"",K1494&amp;"|"&amp;L1494)</f>
        <v/>
      </c>
      <c r="N1494">
        <f>IF(M1494="","",IF(ISNUMBER(B1494),B1494,IFERROR(_xlfn.NUMBERVALUE(B1494,".",","),0)))</f>
        <v/>
      </c>
      <c r="O1494">
        <f>IF(M1494="","",IF(ISNUMBER(C1494),C1494,IFERROR(_xlfn.NUMBERVALUE(C1494,".",","),0)))</f>
        <v/>
      </c>
    </row>
    <row r="1495">
      <c r="K1495">
        <f>IF(OR(LEFT(B1495,9)="DOANH THU",LEFT(B1495,8)="SỐ LƯỢNG"),A1495,IF(A1495="","",K1494))</f>
        <v/>
      </c>
      <c r="L1495">
        <f>IF(A1495="","",IF(ISNUMBER(--LEFT(A1495,FIND(" - ",A1495&amp;" - ")-1)),LEFT(A1495,FIND(" - ",A1495&amp;" - ")-1),TRIM(A1495)))</f>
        <v/>
      </c>
      <c r="M1495">
        <f>IF(OR(K1495="",K1495=A1495,A1495=""),"",K1495&amp;"|"&amp;L1495)</f>
        <v/>
      </c>
      <c r="N1495">
        <f>IF(M1495="","",IF(ISNUMBER(B1495),B1495,IFERROR(_xlfn.NUMBERVALUE(B1495,".",","),0)))</f>
        <v/>
      </c>
      <c r="O1495">
        <f>IF(M1495="","",IF(ISNUMBER(C1495),C1495,IFERROR(_xlfn.NUMBERVALUE(C1495,".",","),0)))</f>
        <v/>
      </c>
    </row>
    <row r="1496">
      <c r="K1496">
        <f>IF(OR(LEFT(B1496,9)="DOANH THU",LEFT(B1496,8)="SỐ LƯỢNG"),A1496,IF(A1496="","",K1495))</f>
        <v/>
      </c>
      <c r="L1496">
        <f>IF(A1496="","",IF(ISNUMBER(--LEFT(A1496,FIND(" - ",A1496&amp;" - ")-1)),LEFT(A1496,FIND(" - ",A1496&amp;" - ")-1),TRIM(A1496)))</f>
        <v/>
      </c>
      <c r="M1496">
        <f>IF(OR(K1496="",K1496=A1496,A1496=""),"",K1496&amp;"|"&amp;L1496)</f>
        <v/>
      </c>
      <c r="N1496">
        <f>IF(M1496="","",IF(ISNUMBER(B1496),B1496,IFERROR(_xlfn.NUMBERVALUE(B1496,".",","),0)))</f>
        <v/>
      </c>
      <c r="O1496">
        <f>IF(M1496="","",IF(ISNUMBER(C1496),C1496,IFERROR(_xlfn.NUMBERVALUE(C1496,".",","),0)))</f>
        <v/>
      </c>
    </row>
    <row r="1497">
      <c r="K1497">
        <f>IF(OR(LEFT(B1497,9)="DOANH THU",LEFT(B1497,8)="SỐ LƯỢNG"),A1497,IF(A1497="","",K1496))</f>
        <v/>
      </c>
      <c r="L1497">
        <f>IF(A1497="","",IF(ISNUMBER(--LEFT(A1497,FIND(" - ",A1497&amp;" - ")-1)),LEFT(A1497,FIND(" - ",A1497&amp;" - ")-1),TRIM(A1497)))</f>
        <v/>
      </c>
      <c r="M1497">
        <f>IF(OR(K1497="",K1497=A1497,A1497=""),"",K1497&amp;"|"&amp;L1497)</f>
        <v/>
      </c>
      <c r="N1497">
        <f>IF(M1497="","",IF(ISNUMBER(B1497),B1497,IFERROR(_xlfn.NUMBERVALUE(B1497,".",","),0)))</f>
        <v/>
      </c>
      <c r="O1497">
        <f>IF(M1497="","",IF(ISNUMBER(C1497),C1497,IFERROR(_xlfn.NUMBERVALUE(C1497,".",","),0)))</f>
        <v/>
      </c>
    </row>
    <row r="1498">
      <c r="K1498">
        <f>IF(OR(LEFT(B1498,9)="DOANH THU",LEFT(B1498,8)="SỐ LƯỢNG"),A1498,IF(A1498="","",K1497))</f>
        <v/>
      </c>
      <c r="L1498">
        <f>IF(A1498="","",IF(ISNUMBER(--LEFT(A1498,FIND(" - ",A1498&amp;" - ")-1)),LEFT(A1498,FIND(" - ",A1498&amp;" - ")-1),TRIM(A1498)))</f>
        <v/>
      </c>
      <c r="M1498">
        <f>IF(OR(K1498="",K1498=A1498,A1498=""),"",K1498&amp;"|"&amp;L1498)</f>
        <v/>
      </c>
      <c r="N1498">
        <f>IF(M1498="","",IF(ISNUMBER(B1498),B1498,IFERROR(_xlfn.NUMBERVALUE(B1498,".",","),0)))</f>
        <v/>
      </c>
      <c r="O1498">
        <f>IF(M1498="","",IF(ISNUMBER(C1498),C1498,IFERROR(_xlfn.NUMBERVALUE(C1498,".",","),0)))</f>
        <v/>
      </c>
    </row>
    <row r="1499">
      <c r="K1499">
        <f>IF(OR(LEFT(B1499,9)="DOANH THU",LEFT(B1499,8)="SỐ LƯỢNG"),A1499,IF(A1499="","",K1498))</f>
        <v/>
      </c>
      <c r="L1499">
        <f>IF(A1499="","",IF(ISNUMBER(--LEFT(A1499,FIND(" - ",A1499&amp;" - ")-1)),LEFT(A1499,FIND(" - ",A1499&amp;" - ")-1),TRIM(A1499)))</f>
        <v/>
      </c>
      <c r="M1499">
        <f>IF(OR(K1499="",K1499=A1499,A1499=""),"",K1499&amp;"|"&amp;L1499)</f>
        <v/>
      </c>
      <c r="N1499">
        <f>IF(M1499="","",IF(ISNUMBER(B1499),B1499,IFERROR(_xlfn.NUMBERVALUE(B1499,".",","),0)))</f>
        <v/>
      </c>
      <c r="O1499">
        <f>IF(M1499="","",IF(ISNUMBER(C1499),C1499,IFERROR(_xlfn.NUMBERVALUE(C1499,".",","),0)))</f>
        <v/>
      </c>
    </row>
    <row r="1500">
      <c r="K1500">
        <f>IF(OR(LEFT(B1500,9)="DOANH THU",LEFT(B1500,8)="SỐ LƯỢNG"),A1500,IF(A1500="","",K1499))</f>
        <v/>
      </c>
      <c r="L1500">
        <f>IF(A1500="","",IF(ISNUMBER(--LEFT(A1500,FIND(" - ",A1500&amp;" - ")-1)),LEFT(A1500,FIND(" - ",A1500&amp;" - ")-1),TRIM(A1500)))</f>
        <v/>
      </c>
      <c r="M1500">
        <f>IF(OR(K1500="",K1500=A1500,A1500=""),"",K1500&amp;"|"&amp;L1500)</f>
        <v/>
      </c>
      <c r="N1500">
        <f>IF(M1500="","",IF(ISNUMBER(B1500),B1500,IFERROR(_xlfn.NUMBERVALUE(B1500,".",","),0)))</f>
        <v/>
      </c>
      <c r="O1500">
        <f>IF(M1500="","",IF(ISNUMBER(C1500),C1500,IFERROR(_xlfn.NUMBERVALUE(C1500,".",","),0)))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J1:Q1500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J1" s="71" t="inlineStr">
        <is>
          <t>◀ DÁN VÀO Ô A1 (cột A–H). Cột K–O là công thức, đừng xóa.</t>
        </is>
      </c>
      <c r="L1">
        <f>IF(A1="","",IF(ISNUMBER(--LEFT(A1,FIND(" - ",A1&amp;" - ")-1)),LEFT(A1,FIND(" - ",A1&amp;" - ")-1),TRIM(A1)))</f>
        <v/>
      </c>
      <c r="N1">
        <f>IF(L1="","",IF(ISNUMBER(INDEX(A1:H1,$P$1)),INDEX(A1:H1,$P$1),IFERROR(_xlfn.NUMBERVALUE(INDEX(A1:H1,$P$1),".",","),0)))</f>
        <v/>
      </c>
      <c r="P1">
        <f>IFERROR(MATCH("DOANH THU*",A1:H1,0),IFERROR(MATCH("DOANH THU*",A2:H2,0),IFERROR(MATCH("DOANH THU*",A3:H3,0),3)))</f>
        <v/>
      </c>
      <c r="Q1" t="inlineStr">
        <is>
          <t>← cột DOANH THU</t>
        </is>
      </c>
    </row>
    <row r="2">
      <c r="J2" s="58" t="inlineStr">
        <is>
          <t>Trang Doanh thu hợp nhất · DT quy đổi · Lũy kế · tab Nhân viên · bôi đen cả bảng (từ dòng tiêu đề) · dán</t>
        </is>
      </c>
      <c r="L2">
        <f>IF(A2="","",IF(ISNUMBER(--LEFT(A2,FIND(" - ",A2&amp;" - ")-1)),LEFT(A2,FIND(" - ",A2&amp;" - ")-1),TRIM(A2)))</f>
        <v/>
      </c>
      <c r="N2">
        <f>IF(L2="","",IF(ISNUMBER(INDEX(A2:H2,$P$1)),INDEX(A2:H2,$P$1),IFERROR(_xlfn.NUMBERVALUE(INDEX(A2:H2,$P$1),".",","),0)))</f>
        <v/>
      </c>
    </row>
    <row r="3">
      <c r="J3" s="72" t="inlineStr">
        <is>
          <t>Tìm NV theo mã ở đầu tên; cột DOANH THU tự dò</t>
        </is>
      </c>
      <c r="L3">
        <f>IF(A3="","",IF(ISNUMBER(--LEFT(A3,FIND(" - ",A3&amp;" - ")-1)),LEFT(A3,FIND(" - ",A3&amp;" - ")-1),TRIM(A3)))</f>
        <v/>
      </c>
      <c r="N3">
        <f>IF(L3="","",IF(ISNUMBER(INDEX(A3:H3,$P$1)),INDEX(A3:H3,$P$1),IFERROR(_xlfn.NUMBERVALUE(INDEX(A3:H3,$P$1),".",","),0)))</f>
        <v/>
      </c>
    </row>
    <row r="4">
      <c r="L4">
        <f>IF(A4="","",IF(ISNUMBER(--LEFT(A4,FIND(" - ",A4&amp;" - ")-1)),LEFT(A4,FIND(" - ",A4&amp;" - ")-1),TRIM(A4)))</f>
        <v/>
      </c>
      <c r="N4">
        <f>IF(L4="","",IF(ISNUMBER(INDEX(A4:H4,$P$1)),INDEX(A4:H4,$P$1),IFERROR(_xlfn.NUMBERVALUE(INDEX(A4:H4,$P$1),".",","),0)))</f>
        <v/>
      </c>
    </row>
    <row r="5">
      <c r="L5">
        <f>IF(A5="","",IF(ISNUMBER(--LEFT(A5,FIND(" - ",A5&amp;" - ")-1)),LEFT(A5,FIND(" - ",A5&amp;" - ")-1),TRIM(A5)))</f>
        <v/>
      </c>
      <c r="N5">
        <f>IF(L5="","",IF(ISNUMBER(INDEX(A5:H5,$P$1)),INDEX(A5:H5,$P$1),IFERROR(_xlfn.NUMBERVALUE(INDEX(A5:H5,$P$1),".",","),0)))</f>
        <v/>
      </c>
    </row>
    <row r="6">
      <c r="L6">
        <f>IF(A6="","",IF(ISNUMBER(--LEFT(A6,FIND(" - ",A6&amp;" - ")-1)),LEFT(A6,FIND(" - ",A6&amp;" - ")-1),TRIM(A6)))</f>
        <v/>
      </c>
      <c r="N6">
        <f>IF(L6="","",IF(ISNUMBER(INDEX(A6:H6,$P$1)),INDEX(A6:H6,$P$1),IFERROR(_xlfn.NUMBERVALUE(INDEX(A6:H6,$P$1),".",","),0)))</f>
        <v/>
      </c>
    </row>
    <row r="7">
      <c r="L7">
        <f>IF(A7="","",IF(ISNUMBER(--LEFT(A7,FIND(" - ",A7&amp;" - ")-1)),LEFT(A7,FIND(" - ",A7&amp;" - ")-1),TRIM(A7)))</f>
        <v/>
      </c>
      <c r="N7">
        <f>IF(L7="","",IF(ISNUMBER(INDEX(A7:H7,$P$1)),INDEX(A7:H7,$P$1),IFERROR(_xlfn.NUMBERVALUE(INDEX(A7:H7,$P$1),".",","),0)))</f>
        <v/>
      </c>
    </row>
    <row r="8">
      <c r="L8">
        <f>IF(A8="","",IF(ISNUMBER(--LEFT(A8,FIND(" - ",A8&amp;" - ")-1)),LEFT(A8,FIND(" - ",A8&amp;" - ")-1),TRIM(A8)))</f>
        <v/>
      </c>
      <c r="N8">
        <f>IF(L8="","",IF(ISNUMBER(INDEX(A8:H8,$P$1)),INDEX(A8:H8,$P$1),IFERROR(_xlfn.NUMBERVALUE(INDEX(A8:H8,$P$1),".",","),0)))</f>
        <v/>
      </c>
    </row>
    <row r="9">
      <c r="L9">
        <f>IF(A9="","",IF(ISNUMBER(--LEFT(A9,FIND(" - ",A9&amp;" - ")-1)),LEFT(A9,FIND(" - ",A9&amp;" - ")-1),TRIM(A9)))</f>
        <v/>
      </c>
      <c r="N9">
        <f>IF(L9="","",IF(ISNUMBER(INDEX(A9:H9,$P$1)),INDEX(A9:H9,$P$1),IFERROR(_xlfn.NUMBERVALUE(INDEX(A9:H9,$P$1),".",","),0)))</f>
        <v/>
      </c>
    </row>
    <row r="10">
      <c r="L10">
        <f>IF(A10="","",IF(ISNUMBER(--LEFT(A10,FIND(" - ",A10&amp;" - ")-1)),LEFT(A10,FIND(" - ",A10&amp;" - ")-1),TRIM(A10)))</f>
        <v/>
      </c>
      <c r="N10">
        <f>IF(L10="","",IF(ISNUMBER(INDEX(A10:H10,$P$1)),INDEX(A10:H10,$P$1),IFERROR(_xlfn.NUMBERVALUE(INDEX(A10:H10,$P$1),".",","),0)))</f>
        <v/>
      </c>
    </row>
    <row r="11">
      <c r="L11">
        <f>IF(A11="","",IF(ISNUMBER(--LEFT(A11,FIND(" - ",A11&amp;" - ")-1)),LEFT(A11,FIND(" - ",A11&amp;" - ")-1),TRIM(A11)))</f>
        <v/>
      </c>
      <c r="N11">
        <f>IF(L11="","",IF(ISNUMBER(INDEX(A11:H11,$P$1)),INDEX(A11:H11,$P$1),IFERROR(_xlfn.NUMBERVALUE(INDEX(A11:H11,$P$1),".",","),0)))</f>
        <v/>
      </c>
    </row>
    <row r="12">
      <c r="L12">
        <f>IF(A12="","",IF(ISNUMBER(--LEFT(A12,FIND(" - ",A12&amp;" - ")-1)),LEFT(A12,FIND(" - ",A12&amp;" - ")-1),TRIM(A12)))</f>
        <v/>
      </c>
      <c r="N12">
        <f>IF(L12="","",IF(ISNUMBER(INDEX(A12:H12,$P$1)),INDEX(A12:H12,$P$1),IFERROR(_xlfn.NUMBERVALUE(INDEX(A12:H12,$P$1),".",","),0)))</f>
        <v/>
      </c>
    </row>
    <row r="13">
      <c r="L13">
        <f>IF(A13="","",IF(ISNUMBER(--LEFT(A13,FIND(" - ",A13&amp;" - ")-1)),LEFT(A13,FIND(" - ",A13&amp;" - ")-1),TRIM(A13)))</f>
        <v/>
      </c>
      <c r="N13">
        <f>IF(L13="","",IF(ISNUMBER(INDEX(A13:H13,$P$1)),INDEX(A13:H13,$P$1),IFERROR(_xlfn.NUMBERVALUE(INDEX(A13:H13,$P$1),".",","),0)))</f>
        <v/>
      </c>
    </row>
    <row r="14">
      <c r="L14">
        <f>IF(A14="","",IF(ISNUMBER(--LEFT(A14,FIND(" - ",A14&amp;" - ")-1)),LEFT(A14,FIND(" - ",A14&amp;" - ")-1),TRIM(A14)))</f>
        <v/>
      </c>
      <c r="N14">
        <f>IF(L14="","",IF(ISNUMBER(INDEX(A14:H14,$P$1)),INDEX(A14:H14,$P$1),IFERROR(_xlfn.NUMBERVALUE(INDEX(A14:H14,$P$1),".",","),0)))</f>
        <v/>
      </c>
    </row>
    <row r="15">
      <c r="L15">
        <f>IF(A15="","",IF(ISNUMBER(--LEFT(A15,FIND(" - ",A15&amp;" - ")-1)),LEFT(A15,FIND(" - ",A15&amp;" - ")-1),TRIM(A15)))</f>
        <v/>
      </c>
      <c r="N15">
        <f>IF(L15="","",IF(ISNUMBER(INDEX(A15:H15,$P$1)),INDEX(A15:H15,$P$1),IFERROR(_xlfn.NUMBERVALUE(INDEX(A15:H15,$P$1),".",","),0)))</f>
        <v/>
      </c>
    </row>
    <row r="16">
      <c r="L16">
        <f>IF(A16="","",IF(ISNUMBER(--LEFT(A16,FIND(" - ",A16&amp;" - ")-1)),LEFT(A16,FIND(" - ",A16&amp;" - ")-1),TRIM(A16)))</f>
        <v/>
      </c>
      <c r="N16">
        <f>IF(L16="","",IF(ISNUMBER(INDEX(A16:H16,$P$1)),INDEX(A16:H16,$P$1),IFERROR(_xlfn.NUMBERVALUE(INDEX(A16:H16,$P$1),".",","),0)))</f>
        <v/>
      </c>
    </row>
    <row r="17">
      <c r="L17">
        <f>IF(A17="","",IF(ISNUMBER(--LEFT(A17,FIND(" - ",A17&amp;" - ")-1)),LEFT(A17,FIND(" - ",A17&amp;" - ")-1),TRIM(A17)))</f>
        <v/>
      </c>
      <c r="N17">
        <f>IF(L17="","",IF(ISNUMBER(INDEX(A17:H17,$P$1)),INDEX(A17:H17,$P$1),IFERROR(_xlfn.NUMBERVALUE(INDEX(A17:H17,$P$1),".",","),0)))</f>
        <v/>
      </c>
    </row>
    <row r="18">
      <c r="L18">
        <f>IF(A18="","",IF(ISNUMBER(--LEFT(A18,FIND(" - ",A18&amp;" - ")-1)),LEFT(A18,FIND(" - ",A18&amp;" - ")-1),TRIM(A18)))</f>
        <v/>
      </c>
      <c r="N18">
        <f>IF(L18="","",IF(ISNUMBER(INDEX(A18:H18,$P$1)),INDEX(A18:H18,$P$1),IFERROR(_xlfn.NUMBERVALUE(INDEX(A18:H18,$P$1),".",","),0)))</f>
        <v/>
      </c>
    </row>
    <row r="19">
      <c r="L19">
        <f>IF(A19="","",IF(ISNUMBER(--LEFT(A19,FIND(" - ",A19&amp;" - ")-1)),LEFT(A19,FIND(" - ",A19&amp;" - ")-1),TRIM(A19)))</f>
        <v/>
      </c>
      <c r="N19">
        <f>IF(L19="","",IF(ISNUMBER(INDEX(A19:H19,$P$1)),INDEX(A19:H19,$P$1),IFERROR(_xlfn.NUMBERVALUE(INDEX(A19:H19,$P$1),".",","),0)))</f>
        <v/>
      </c>
    </row>
    <row r="20">
      <c r="L20">
        <f>IF(A20="","",IF(ISNUMBER(--LEFT(A20,FIND(" - ",A20&amp;" - ")-1)),LEFT(A20,FIND(" - ",A20&amp;" - ")-1),TRIM(A20)))</f>
        <v/>
      </c>
      <c r="N20">
        <f>IF(L20="","",IF(ISNUMBER(INDEX(A20:H20,$P$1)),INDEX(A20:H20,$P$1),IFERROR(_xlfn.NUMBERVALUE(INDEX(A20:H20,$P$1),".",","),0)))</f>
        <v/>
      </c>
    </row>
    <row r="21">
      <c r="L21">
        <f>IF(A21="","",IF(ISNUMBER(--LEFT(A21,FIND(" - ",A21&amp;" - ")-1)),LEFT(A21,FIND(" - ",A21&amp;" - ")-1),TRIM(A21)))</f>
        <v/>
      </c>
      <c r="N21">
        <f>IF(L21="","",IF(ISNUMBER(INDEX(A21:H21,$P$1)),INDEX(A21:H21,$P$1),IFERROR(_xlfn.NUMBERVALUE(INDEX(A21:H21,$P$1),".",","),0)))</f>
        <v/>
      </c>
    </row>
    <row r="22">
      <c r="L22">
        <f>IF(A22="","",IF(ISNUMBER(--LEFT(A22,FIND(" - ",A22&amp;" - ")-1)),LEFT(A22,FIND(" - ",A22&amp;" - ")-1),TRIM(A22)))</f>
        <v/>
      </c>
      <c r="N22">
        <f>IF(L22="","",IF(ISNUMBER(INDEX(A22:H22,$P$1)),INDEX(A22:H22,$P$1),IFERROR(_xlfn.NUMBERVALUE(INDEX(A22:H22,$P$1),".",","),0)))</f>
        <v/>
      </c>
    </row>
    <row r="23">
      <c r="L23">
        <f>IF(A23="","",IF(ISNUMBER(--LEFT(A23,FIND(" - ",A23&amp;" - ")-1)),LEFT(A23,FIND(" - ",A23&amp;" - ")-1),TRIM(A23)))</f>
        <v/>
      </c>
      <c r="N23">
        <f>IF(L23="","",IF(ISNUMBER(INDEX(A23:H23,$P$1)),INDEX(A23:H23,$P$1),IFERROR(_xlfn.NUMBERVALUE(INDEX(A23:H23,$P$1),".",","),0)))</f>
        <v/>
      </c>
    </row>
    <row r="24">
      <c r="L24">
        <f>IF(A24="","",IF(ISNUMBER(--LEFT(A24,FIND(" - ",A24&amp;" - ")-1)),LEFT(A24,FIND(" - ",A24&amp;" - ")-1),TRIM(A24)))</f>
        <v/>
      </c>
      <c r="N24">
        <f>IF(L24="","",IF(ISNUMBER(INDEX(A24:H24,$P$1)),INDEX(A24:H24,$P$1),IFERROR(_xlfn.NUMBERVALUE(INDEX(A24:H24,$P$1),".",","),0)))</f>
        <v/>
      </c>
    </row>
    <row r="25">
      <c r="L25">
        <f>IF(A25="","",IF(ISNUMBER(--LEFT(A25,FIND(" - ",A25&amp;" - ")-1)),LEFT(A25,FIND(" - ",A25&amp;" - ")-1),TRIM(A25)))</f>
        <v/>
      </c>
      <c r="N25">
        <f>IF(L25="","",IF(ISNUMBER(INDEX(A25:H25,$P$1)),INDEX(A25:H25,$P$1),IFERROR(_xlfn.NUMBERVALUE(INDEX(A25:H25,$P$1),".",","),0)))</f>
        <v/>
      </c>
    </row>
    <row r="26">
      <c r="L26">
        <f>IF(A26="","",IF(ISNUMBER(--LEFT(A26,FIND(" - ",A26&amp;" - ")-1)),LEFT(A26,FIND(" - ",A26&amp;" - ")-1),TRIM(A26)))</f>
        <v/>
      </c>
      <c r="N26">
        <f>IF(L26="","",IF(ISNUMBER(INDEX(A26:H26,$P$1)),INDEX(A26:H26,$P$1),IFERROR(_xlfn.NUMBERVALUE(INDEX(A26:H26,$P$1),".",","),0)))</f>
        <v/>
      </c>
    </row>
    <row r="27">
      <c r="L27">
        <f>IF(A27="","",IF(ISNUMBER(--LEFT(A27,FIND(" - ",A27&amp;" - ")-1)),LEFT(A27,FIND(" - ",A27&amp;" - ")-1),TRIM(A27)))</f>
        <v/>
      </c>
      <c r="N27">
        <f>IF(L27="","",IF(ISNUMBER(INDEX(A27:H27,$P$1)),INDEX(A27:H27,$P$1),IFERROR(_xlfn.NUMBERVALUE(INDEX(A27:H27,$P$1),".",","),0)))</f>
        <v/>
      </c>
    </row>
    <row r="28">
      <c r="L28">
        <f>IF(A28="","",IF(ISNUMBER(--LEFT(A28,FIND(" - ",A28&amp;" - ")-1)),LEFT(A28,FIND(" - ",A28&amp;" - ")-1),TRIM(A28)))</f>
        <v/>
      </c>
      <c r="N28">
        <f>IF(L28="","",IF(ISNUMBER(INDEX(A28:H28,$P$1)),INDEX(A28:H28,$P$1),IFERROR(_xlfn.NUMBERVALUE(INDEX(A28:H28,$P$1),".",","),0)))</f>
        <v/>
      </c>
    </row>
    <row r="29">
      <c r="L29">
        <f>IF(A29="","",IF(ISNUMBER(--LEFT(A29,FIND(" - ",A29&amp;" - ")-1)),LEFT(A29,FIND(" - ",A29&amp;" - ")-1),TRIM(A29)))</f>
        <v/>
      </c>
      <c r="N29">
        <f>IF(L29="","",IF(ISNUMBER(INDEX(A29:H29,$P$1)),INDEX(A29:H29,$P$1),IFERROR(_xlfn.NUMBERVALUE(INDEX(A29:H29,$P$1),".",","),0)))</f>
        <v/>
      </c>
    </row>
    <row r="30">
      <c r="L30">
        <f>IF(A30="","",IF(ISNUMBER(--LEFT(A30,FIND(" - ",A30&amp;" - ")-1)),LEFT(A30,FIND(" - ",A30&amp;" - ")-1),TRIM(A30)))</f>
        <v/>
      </c>
      <c r="N30">
        <f>IF(L30="","",IF(ISNUMBER(INDEX(A30:H30,$P$1)),INDEX(A30:H30,$P$1),IFERROR(_xlfn.NUMBERVALUE(INDEX(A30:H30,$P$1),".",","),0)))</f>
        <v/>
      </c>
    </row>
    <row r="31">
      <c r="L31">
        <f>IF(A31="","",IF(ISNUMBER(--LEFT(A31,FIND(" - ",A31&amp;" - ")-1)),LEFT(A31,FIND(" - ",A31&amp;" - ")-1),TRIM(A31)))</f>
        <v/>
      </c>
      <c r="N31">
        <f>IF(L31="","",IF(ISNUMBER(INDEX(A31:H31,$P$1)),INDEX(A31:H31,$P$1),IFERROR(_xlfn.NUMBERVALUE(INDEX(A31:H31,$P$1),".",","),0)))</f>
        <v/>
      </c>
    </row>
    <row r="32">
      <c r="L32">
        <f>IF(A32="","",IF(ISNUMBER(--LEFT(A32,FIND(" - ",A32&amp;" - ")-1)),LEFT(A32,FIND(" - ",A32&amp;" - ")-1),TRIM(A32)))</f>
        <v/>
      </c>
      <c r="N32">
        <f>IF(L32="","",IF(ISNUMBER(INDEX(A32:H32,$P$1)),INDEX(A32:H32,$P$1),IFERROR(_xlfn.NUMBERVALUE(INDEX(A32:H32,$P$1),".",","),0)))</f>
        <v/>
      </c>
    </row>
    <row r="33">
      <c r="L33">
        <f>IF(A33="","",IF(ISNUMBER(--LEFT(A33,FIND(" - ",A33&amp;" - ")-1)),LEFT(A33,FIND(" - ",A33&amp;" - ")-1),TRIM(A33)))</f>
        <v/>
      </c>
      <c r="N33">
        <f>IF(L33="","",IF(ISNUMBER(INDEX(A33:H33,$P$1)),INDEX(A33:H33,$P$1),IFERROR(_xlfn.NUMBERVALUE(INDEX(A33:H33,$P$1),".",","),0)))</f>
        <v/>
      </c>
    </row>
    <row r="34">
      <c r="L34">
        <f>IF(A34="","",IF(ISNUMBER(--LEFT(A34,FIND(" - ",A34&amp;" - ")-1)),LEFT(A34,FIND(" - ",A34&amp;" - ")-1),TRIM(A34)))</f>
        <v/>
      </c>
      <c r="N34">
        <f>IF(L34="","",IF(ISNUMBER(INDEX(A34:H34,$P$1)),INDEX(A34:H34,$P$1),IFERROR(_xlfn.NUMBERVALUE(INDEX(A34:H34,$P$1),".",","),0)))</f>
        <v/>
      </c>
    </row>
    <row r="35">
      <c r="L35">
        <f>IF(A35="","",IF(ISNUMBER(--LEFT(A35,FIND(" - ",A35&amp;" - ")-1)),LEFT(A35,FIND(" - ",A35&amp;" - ")-1),TRIM(A35)))</f>
        <v/>
      </c>
      <c r="N35">
        <f>IF(L35="","",IF(ISNUMBER(INDEX(A35:H35,$P$1)),INDEX(A35:H35,$P$1),IFERROR(_xlfn.NUMBERVALUE(INDEX(A35:H35,$P$1),".",","),0)))</f>
        <v/>
      </c>
    </row>
    <row r="36">
      <c r="L36">
        <f>IF(A36="","",IF(ISNUMBER(--LEFT(A36,FIND(" - ",A36&amp;" - ")-1)),LEFT(A36,FIND(" - ",A36&amp;" - ")-1),TRIM(A36)))</f>
        <v/>
      </c>
      <c r="N36">
        <f>IF(L36="","",IF(ISNUMBER(INDEX(A36:H36,$P$1)),INDEX(A36:H36,$P$1),IFERROR(_xlfn.NUMBERVALUE(INDEX(A36:H36,$P$1),".",","),0)))</f>
        <v/>
      </c>
    </row>
    <row r="37">
      <c r="L37">
        <f>IF(A37="","",IF(ISNUMBER(--LEFT(A37,FIND(" - ",A37&amp;" - ")-1)),LEFT(A37,FIND(" - ",A37&amp;" - ")-1),TRIM(A37)))</f>
        <v/>
      </c>
      <c r="N37">
        <f>IF(L37="","",IF(ISNUMBER(INDEX(A37:H37,$P$1)),INDEX(A37:H37,$P$1),IFERROR(_xlfn.NUMBERVALUE(INDEX(A37:H37,$P$1),".",","),0)))</f>
        <v/>
      </c>
    </row>
    <row r="38">
      <c r="L38">
        <f>IF(A38="","",IF(ISNUMBER(--LEFT(A38,FIND(" - ",A38&amp;" - ")-1)),LEFT(A38,FIND(" - ",A38&amp;" - ")-1),TRIM(A38)))</f>
        <v/>
      </c>
      <c r="N38">
        <f>IF(L38="","",IF(ISNUMBER(INDEX(A38:H38,$P$1)),INDEX(A38:H38,$P$1),IFERROR(_xlfn.NUMBERVALUE(INDEX(A38:H38,$P$1),".",","),0)))</f>
        <v/>
      </c>
    </row>
    <row r="39">
      <c r="L39">
        <f>IF(A39="","",IF(ISNUMBER(--LEFT(A39,FIND(" - ",A39&amp;" - ")-1)),LEFT(A39,FIND(" - ",A39&amp;" - ")-1),TRIM(A39)))</f>
        <v/>
      </c>
      <c r="N39">
        <f>IF(L39="","",IF(ISNUMBER(INDEX(A39:H39,$P$1)),INDEX(A39:H39,$P$1),IFERROR(_xlfn.NUMBERVALUE(INDEX(A39:H39,$P$1),".",","),0)))</f>
        <v/>
      </c>
    </row>
    <row r="40">
      <c r="L40">
        <f>IF(A40="","",IF(ISNUMBER(--LEFT(A40,FIND(" - ",A40&amp;" - ")-1)),LEFT(A40,FIND(" - ",A40&amp;" - ")-1),TRIM(A40)))</f>
        <v/>
      </c>
      <c r="N40">
        <f>IF(L40="","",IF(ISNUMBER(INDEX(A40:H40,$P$1)),INDEX(A40:H40,$P$1),IFERROR(_xlfn.NUMBERVALUE(INDEX(A40:H40,$P$1),".",","),0)))</f>
        <v/>
      </c>
    </row>
    <row r="41">
      <c r="L41">
        <f>IF(A41="","",IF(ISNUMBER(--LEFT(A41,FIND(" - ",A41&amp;" - ")-1)),LEFT(A41,FIND(" - ",A41&amp;" - ")-1),TRIM(A41)))</f>
        <v/>
      </c>
      <c r="N41">
        <f>IF(L41="","",IF(ISNUMBER(INDEX(A41:H41,$P$1)),INDEX(A41:H41,$P$1),IFERROR(_xlfn.NUMBERVALUE(INDEX(A41:H41,$P$1),".",","),0)))</f>
        <v/>
      </c>
    </row>
    <row r="42">
      <c r="L42">
        <f>IF(A42="","",IF(ISNUMBER(--LEFT(A42,FIND(" - ",A42&amp;" - ")-1)),LEFT(A42,FIND(" - ",A42&amp;" - ")-1),TRIM(A42)))</f>
        <v/>
      </c>
      <c r="N42">
        <f>IF(L42="","",IF(ISNUMBER(INDEX(A42:H42,$P$1)),INDEX(A42:H42,$P$1),IFERROR(_xlfn.NUMBERVALUE(INDEX(A42:H42,$P$1),".",","),0)))</f>
        <v/>
      </c>
    </row>
    <row r="43">
      <c r="L43">
        <f>IF(A43="","",IF(ISNUMBER(--LEFT(A43,FIND(" - ",A43&amp;" - ")-1)),LEFT(A43,FIND(" - ",A43&amp;" - ")-1),TRIM(A43)))</f>
        <v/>
      </c>
      <c r="N43">
        <f>IF(L43="","",IF(ISNUMBER(INDEX(A43:H43,$P$1)),INDEX(A43:H43,$P$1),IFERROR(_xlfn.NUMBERVALUE(INDEX(A43:H43,$P$1),".",","),0)))</f>
        <v/>
      </c>
    </row>
    <row r="44">
      <c r="L44">
        <f>IF(A44="","",IF(ISNUMBER(--LEFT(A44,FIND(" - ",A44&amp;" - ")-1)),LEFT(A44,FIND(" - ",A44&amp;" - ")-1),TRIM(A44)))</f>
        <v/>
      </c>
      <c r="N44">
        <f>IF(L44="","",IF(ISNUMBER(INDEX(A44:H44,$P$1)),INDEX(A44:H44,$P$1),IFERROR(_xlfn.NUMBERVALUE(INDEX(A44:H44,$P$1),".",","),0)))</f>
        <v/>
      </c>
    </row>
    <row r="45">
      <c r="L45">
        <f>IF(A45="","",IF(ISNUMBER(--LEFT(A45,FIND(" - ",A45&amp;" - ")-1)),LEFT(A45,FIND(" - ",A45&amp;" - ")-1),TRIM(A45)))</f>
        <v/>
      </c>
      <c r="N45">
        <f>IF(L45="","",IF(ISNUMBER(INDEX(A45:H45,$P$1)),INDEX(A45:H45,$P$1),IFERROR(_xlfn.NUMBERVALUE(INDEX(A45:H45,$P$1),".",","),0)))</f>
        <v/>
      </c>
    </row>
    <row r="46">
      <c r="L46">
        <f>IF(A46="","",IF(ISNUMBER(--LEFT(A46,FIND(" - ",A46&amp;" - ")-1)),LEFT(A46,FIND(" - ",A46&amp;" - ")-1),TRIM(A46)))</f>
        <v/>
      </c>
      <c r="N46">
        <f>IF(L46="","",IF(ISNUMBER(INDEX(A46:H46,$P$1)),INDEX(A46:H46,$P$1),IFERROR(_xlfn.NUMBERVALUE(INDEX(A46:H46,$P$1),".",","),0)))</f>
        <v/>
      </c>
    </row>
    <row r="47">
      <c r="L47">
        <f>IF(A47="","",IF(ISNUMBER(--LEFT(A47,FIND(" - ",A47&amp;" - ")-1)),LEFT(A47,FIND(" - ",A47&amp;" - ")-1),TRIM(A47)))</f>
        <v/>
      </c>
      <c r="N47">
        <f>IF(L47="","",IF(ISNUMBER(INDEX(A47:H47,$P$1)),INDEX(A47:H47,$P$1),IFERROR(_xlfn.NUMBERVALUE(INDEX(A47:H47,$P$1),".",","),0)))</f>
        <v/>
      </c>
    </row>
    <row r="48">
      <c r="L48">
        <f>IF(A48="","",IF(ISNUMBER(--LEFT(A48,FIND(" - ",A48&amp;" - ")-1)),LEFT(A48,FIND(" - ",A48&amp;" - ")-1),TRIM(A48)))</f>
        <v/>
      </c>
      <c r="N48">
        <f>IF(L48="","",IF(ISNUMBER(INDEX(A48:H48,$P$1)),INDEX(A48:H48,$P$1),IFERROR(_xlfn.NUMBERVALUE(INDEX(A48:H48,$P$1),".",","),0)))</f>
        <v/>
      </c>
    </row>
    <row r="49">
      <c r="L49">
        <f>IF(A49="","",IF(ISNUMBER(--LEFT(A49,FIND(" - ",A49&amp;" - ")-1)),LEFT(A49,FIND(" - ",A49&amp;" - ")-1),TRIM(A49)))</f>
        <v/>
      </c>
      <c r="N49">
        <f>IF(L49="","",IF(ISNUMBER(INDEX(A49:H49,$P$1)),INDEX(A49:H49,$P$1),IFERROR(_xlfn.NUMBERVALUE(INDEX(A49:H49,$P$1),".",","),0)))</f>
        <v/>
      </c>
    </row>
    <row r="50">
      <c r="L50">
        <f>IF(A50="","",IF(ISNUMBER(--LEFT(A50,FIND(" - ",A50&amp;" - ")-1)),LEFT(A50,FIND(" - ",A50&amp;" - ")-1),TRIM(A50)))</f>
        <v/>
      </c>
      <c r="N50">
        <f>IF(L50="","",IF(ISNUMBER(INDEX(A50:H50,$P$1)),INDEX(A50:H50,$P$1),IFERROR(_xlfn.NUMBERVALUE(INDEX(A50:H50,$P$1),".",","),0)))</f>
        <v/>
      </c>
    </row>
    <row r="51">
      <c r="L51">
        <f>IF(A51="","",IF(ISNUMBER(--LEFT(A51,FIND(" - ",A51&amp;" - ")-1)),LEFT(A51,FIND(" - ",A51&amp;" - ")-1),TRIM(A51)))</f>
        <v/>
      </c>
      <c r="N51">
        <f>IF(L51="","",IF(ISNUMBER(INDEX(A51:H51,$P$1)),INDEX(A51:H51,$P$1),IFERROR(_xlfn.NUMBERVALUE(INDEX(A51:H51,$P$1),".",","),0)))</f>
        <v/>
      </c>
    </row>
    <row r="52">
      <c r="L52">
        <f>IF(A52="","",IF(ISNUMBER(--LEFT(A52,FIND(" - ",A52&amp;" - ")-1)),LEFT(A52,FIND(" - ",A52&amp;" - ")-1),TRIM(A52)))</f>
        <v/>
      </c>
      <c r="N52">
        <f>IF(L52="","",IF(ISNUMBER(INDEX(A52:H52,$P$1)),INDEX(A52:H52,$P$1),IFERROR(_xlfn.NUMBERVALUE(INDEX(A52:H52,$P$1),".",","),0)))</f>
        <v/>
      </c>
    </row>
    <row r="53">
      <c r="L53">
        <f>IF(A53="","",IF(ISNUMBER(--LEFT(A53,FIND(" - ",A53&amp;" - ")-1)),LEFT(A53,FIND(" - ",A53&amp;" - ")-1),TRIM(A53)))</f>
        <v/>
      </c>
      <c r="N53">
        <f>IF(L53="","",IF(ISNUMBER(INDEX(A53:H53,$P$1)),INDEX(A53:H53,$P$1),IFERROR(_xlfn.NUMBERVALUE(INDEX(A53:H53,$P$1),".",","),0)))</f>
        <v/>
      </c>
    </row>
    <row r="54">
      <c r="L54">
        <f>IF(A54="","",IF(ISNUMBER(--LEFT(A54,FIND(" - ",A54&amp;" - ")-1)),LEFT(A54,FIND(" - ",A54&amp;" - ")-1),TRIM(A54)))</f>
        <v/>
      </c>
      <c r="N54">
        <f>IF(L54="","",IF(ISNUMBER(INDEX(A54:H54,$P$1)),INDEX(A54:H54,$P$1),IFERROR(_xlfn.NUMBERVALUE(INDEX(A54:H54,$P$1),".",","),0)))</f>
        <v/>
      </c>
    </row>
    <row r="55">
      <c r="L55">
        <f>IF(A55="","",IF(ISNUMBER(--LEFT(A55,FIND(" - ",A55&amp;" - ")-1)),LEFT(A55,FIND(" - ",A55&amp;" - ")-1),TRIM(A55)))</f>
        <v/>
      </c>
      <c r="N55">
        <f>IF(L55="","",IF(ISNUMBER(INDEX(A55:H55,$P$1)),INDEX(A55:H55,$P$1),IFERROR(_xlfn.NUMBERVALUE(INDEX(A55:H55,$P$1),".",","),0)))</f>
        <v/>
      </c>
    </row>
    <row r="56">
      <c r="L56">
        <f>IF(A56="","",IF(ISNUMBER(--LEFT(A56,FIND(" - ",A56&amp;" - ")-1)),LEFT(A56,FIND(" - ",A56&amp;" - ")-1),TRIM(A56)))</f>
        <v/>
      </c>
      <c r="N56">
        <f>IF(L56="","",IF(ISNUMBER(INDEX(A56:H56,$P$1)),INDEX(A56:H56,$P$1),IFERROR(_xlfn.NUMBERVALUE(INDEX(A56:H56,$P$1),".",","),0)))</f>
        <v/>
      </c>
    </row>
    <row r="57">
      <c r="L57">
        <f>IF(A57="","",IF(ISNUMBER(--LEFT(A57,FIND(" - ",A57&amp;" - ")-1)),LEFT(A57,FIND(" - ",A57&amp;" - ")-1),TRIM(A57)))</f>
        <v/>
      </c>
      <c r="N57">
        <f>IF(L57="","",IF(ISNUMBER(INDEX(A57:H57,$P$1)),INDEX(A57:H57,$P$1),IFERROR(_xlfn.NUMBERVALUE(INDEX(A57:H57,$P$1),".",","),0)))</f>
        <v/>
      </c>
    </row>
    <row r="58">
      <c r="L58">
        <f>IF(A58="","",IF(ISNUMBER(--LEFT(A58,FIND(" - ",A58&amp;" - ")-1)),LEFT(A58,FIND(" - ",A58&amp;" - ")-1),TRIM(A58)))</f>
        <v/>
      </c>
      <c r="N58">
        <f>IF(L58="","",IF(ISNUMBER(INDEX(A58:H58,$P$1)),INDEX(A58:H58,$P$1),IFERROR(_xlfn.NUMBERVALUE(INDEX(A58:H58,$P$1),".",","),0)))</f>
        <v/>
      </c>
    </row>
    <row r="59">
      <c r="L59">
        <f>IF(A59="","",IF(ISNUMBER(--LEFT(A59,FIND(" - ",A59&amp;" - ")-1)),LEFT(A59,FIND(" - ",A59&amp;" - ")-1),TRIM(A59)))</f>
        <v/>
      </c>
      <c r="N59">
        <f>IF(L59="","",IF(ISNUMBER(INDEX(A59:H59,$P$1)),INDEX(A59:H59,$P$1),IFERROR(_xlfn.NUMBERVALUE(INDEX(A59:H59,$P$1),".",","),0)))</f>
        <v/>
      </c>
    </row>
    <row r="60">
      <c r="L60">
        <f>IF(A60="","",IF(ISNUMBER(--LEFT(A60,FIND(" - ",A60&amp;" - ")-1)),LEFT(A60,FIND(" - ",A60&amp;" - ")-1),TRIM(A60)))</f>
        <v/>
      </c>
      <c r="N60">
        <f>IF(L60="","",IF(ISNUMBER(INDEX(A60:H60,$P$1)),INDEX(A60:H60,$P$1),IFERROR(_xlfn.NUMBERVALUE(INDEX(A60:H60,$P$1),".",","),0)))</f>
        <v/>
      </c>
    </row>
    <row r="61">
      <c r="L61">
        <f>IF(A61="","",IF(ISNUMBER(--LEFT(A61,FIND(" - ",A61&amp;" - ")-1)),LEFT(A61,FIND(" - ",A61&amp;" - ")-1),TRIM(A61)))</f>
        <v/>
      </c>
      <c r="N61">
        <f>IF(L61="","",IF(ISNUMBER(INDEX(A61:H61,$P$1)),INDEX(A61:H61,$P$1),IFERROR(_xlfn.NUMBERVALUE(INDEX(A61:H61,$P$1),".",","),0)))</f>
        <v/>
      </c>
    </row>
    <row r="62">
      <c r="L62">
        <f>IF(A62="","",IF(ISNUMBER(--LEFT(A62,FIND(" - ",A62&amp;" - ")-1)),LEFT(A62,FIND(" - ",A62&amp;" - ")-1),TRIM(A62)))</f>
        <v/>
      </c>
      <c r="N62">
        <f>IF(L62="","",IF(ISNUMBER(INDEX(A62:H62,$P$1)),INDEX(A62:H62,$P$1),IFERROR(_xlfn.NUMBERVALUE(INDEX(A62:H62,$P$1),".",","),0)))</f>
        <v/>
      </c>
    </row>
    <row r="63">
      <c r="L63">
        <f>IF(A63="","",IF(ISNUMBER(--LEFT(A63,FIND(" - ",A63&amp;" - ")-1)),LEFT(A63,FIND(" - ",A63&amp;" - ")-1),TRIM(A63)))</f>
        <v/>
      </c>
      <c r="N63">
        <f>IF(L63="","",IF(ISNUMBER(INDEX(A63:H63,$P$1)),INDEX(A63:H63,$P$1),IFERROR(_xlfn.NUMBERVALUE(INDEX(A63:H63,$P$1),".",","),0)))</f>
        <v/>
      </c>
    </row>
    <row r="64">
      <c r="L64">
        <f>IF(A64="","",IF(ISNUMBER(--LEFT(A64,FIND(" - ",A64&amp;" - ")-1)),LEFT(A64,FIND(" - ",A64&amp;" - ")-1),TRIM(A64)))</f>
        <v/>
      </c>
      <c r="N64">
        <f>IF(L64="","",IF(ISNUMBER(INDEX(A64:H64,$P$1)),INDEX(A64:H64,$P$1),IFERROR(_xlfn.NUMBERVALUE(INDEX(A64:H64,$P$1),".",","),0)))</f>
        <v/>
      </c>
    </row>
    <row r="65">
      <c r="L65">
        <f>IF(A65="","",IF(ISNUMBER(--LEFT(A65,FIND(" - ",A65&amp;" - ")-1)),LEFT(A65,FIND(" - ",A65&amp;" - ")-1),TRIM(A65)))</f>
        <v/>
      </c>
      <c r="N65">
        <f>IF(L65="","",IF(ISNUMBER(INDEX(A65:H65,$P$1)),INDEX(A65:H65,$P$1),IFERROR(_xlfn.NUMBERVALUE(INDEX(A65:H65,$P$1),".",","),0)))</f>
        <v/>
      </c>
    </row>
    <row r="66">
      <c r="L66">
        <f>IF(A66="","",IF(ISNUMBER(--LEFT(A66,FIND(" - ",A66&amp;" - ")-1)),LEFT(A66,FIND(" - ",A66&amp;" - ")-1),TRIM(A66)))</f>
        <v/>
      </c>
      <c r="N66">
        <f>IF(L66="","",IF(ISNUMBER(INDEX(A66:H66,$P$1)),INDEX(A66:H66,$P$1),IFERROR(_xlfn.NUMBERVALUE(INDEX(A66:H66,$P$1),".",","),0)))</f>
        <v/>
      </c>
    </row>
    <row r="67">
      <c r="L67">
        <f>IF(A67="","",IF(ISNUMBER(--LEFT(A67,FIND(" - ",A67&amp;" - ")-1)),LEFT(A67,FIND(" - ",A67&amp;" - ")-1),TRIM(A67)))</f>
        <v/>
      </c>
      <c r="N67">
        <f>IF(L67="","",IF(ISNUMBER(INDEX(A67:H67,$P$1)),INDEX(A67:H67,$P$1),IFERROR(_xlfn.NUMBERVALUE(INDEX(A67:H67,$P$1),".",","),0)))</f>
        <v/>
      </c>
    </row>
    <row r="68">
      <c r="L68">
        <f>IF(A68="","",IF(ISNUMBER(--LEFT(A68,FIND(" - ",A68&amp;" - ")-1)),LEFT(A68,FIND(" - ",A68&amp;" - ")-1),TRIM(A68)))</f>
        <v/>
      </c>
      <c r="N68">
        <f>IF(L68="","",IF(ISNUMBER(INDEX(A68:H68,$P$1)),INDEX(A68:H68,$P$1),IFERROR(_xlfn.NUMBERVALUE(INDEX(A68:H68,$P$1),".",","),0)))</f>
        <v/>
      </c>
    </row>
    <row r="69">
      <c r="L69">
        <f>IF(A69="","",IF(ISNUMBER(--LEFT(A69,FIND(" - ",A69&amp;" - ")-1)),LEFT(A69,FIND(" - ",A69&amp;" - ")-1),TRIM(A69)))</f>
        <v/>
      </c>
      <c r="N69">
        <f>IF(L69="","",IF(ISNUMBER(INDEX(A69:H69,$P$1)),INDEX(A69:H69,$P$1),IFERROR(_xlfn.NUMBERVALUE(INDEX(A69:H69,$P$1),".",","),0)))</f>
        <v/>
      </c>
    </row>
    <row r="70">
      <c r="L70">
        <f>IF(A70="","",IF(ISNUMBER(--LEFT(A70,FIND(" - ",A70&amp;" - ")-1)),LEFT(A70,FIND(" - ",A70&amp;" - ")-1),TRIM(A70)))</f>
        <v/>
      </c>
      <c r="N70">
        <f>IF(L70="","",IF(ISNUMBER(INDEX(A70:H70,$P$1)),INDEX(A70:H70,$P$1),IFERROR(_xlfn.NUMBERVALUE(INDEX(A70:H70,$P$1),".",","),0)))</f>
        <v/>
      </c>
    </row>
    <row r="71">
      <c r="L71">
        <f>IF(A71="","",IF(ISNUMBER(--LEFT(A71,FIND(" - ",A71&amp;" - ")-1)),LEFT(A71,FIND(" - ",A71&amp;" - ")-1),TRIM(A71)))</f>
        <v/>
      </c>
      <c r="N71">
        <f>IF(L71="","",IF(ISNUMBER(INDEX(A71:H71,$P$1)),INDEX(A71:H71,$P$1),IFERROR(_xlfn.NUMBERVALUE(INDEX(A71:H71,$P$1),".",","),0)))</f>
        <v/>
      </c>
    </row>
    <row r="72">
      <c r="L72">
        <f>IF(A72="","",IF(ISNUMBER(--LEFT(A72,FIND(" - ",A72&amp;" - ")-1)),LEFT(A72,FIND(" - ",A72&amp;" - ")-1),TRIM(A72)))</f>
        <v/>
      </c>
      <c r="N72">
        <f>IF(L72="","",IF(ISNUMBER(INDEX(A72:H72,$P$1)),INDEX(A72:H72,$P$1),IFERROR(_xlfn.NUMBERVALUE(INDEX(A72:H72,$P$1),".",","),0)))</f>
        <v/>
      </c>
    </row>
    <row r="73">
      <c r="L73">
        <f>IF(A73="","",IF(ISNUMBER(--LEFT(A73,FIND(" - ",A73&amp;" - ")-1)),LEFT(A73,FIND(" - ",A73&amp;" - ")-1),TRIM(A73)))</f>
        <v/>
      </c>
      <c r="N73">
        <f>IF(L73="","",IF(ISNUMBER(INDEX(A73:H73,$P$1)),INDEX(A73:H73,$P$1),IFERROR(_xlfn.NUMBERVALUE(INDEX(A73:H73,$P$1),".",","),0)))</f>
        <v/>
      </c>
    </row>
    <row r="74">
      <c r="L74">
        <f>IF(A74="","",IF(ISNUMBER(--LEFT(A74,FIND(" - ",A74&amp;" - ")-1)),LEFT(A74,FIND(" - ",A74&amp;" - ")-1),TRIM(A74)))</f>
        <v/>
      </c>
      <c r="N74">
        <f>IF(L74="","",IF(ISNUMBER(INDEX(A74:H74,$P$1)),INDEX(A74:H74,$P$1),IFERROR(_xlfn.NUMBERVALUE(INDEX(A74:H74,$P$1),".",","),0)))</f>
        <v/>
      </c>
    </row>
    <row r="75">
      <c r="L75">
        <f>IF(A75="","",IF(ISNUMBER(--LEFT(A75,FIND(" - ",A75&amp;" - ")-1)),LEFT(A75,FIND(" - ",A75&amp;" - ")-1),TRIM(A75)))</f>
        <v/>
      </c>
      <c r="N75">
        <f>IF(L75="","",IF(ISNUMBER(INDEX(A75:H75,$P$1)),INDEX(A75:H75,$P$1),IFERROR(_xlfn.NUMBERVALUE(INDEX(A75:H75,$P$1),".",","),0)))</f>
        <v/>
      </c>
    </row>
    <row r="76">
      <c r="L76">
        <f>IF(A76="","",IF(ISNUMBER(--LEFT(A76,FIND(" - ",A76&amp;" - ")-1)),LEFT(A76,FIND(" - ",A76&amp;" - ")-1),TRIM(A76)))</f>
        <v/>
      </c>
      <c r="N76">
        <f>IF(L76="","",IF(ISNUMBER(INDEX(A76:H76,$P$1)),INDEX(A76:H76,$P$1),IFERROR(_xlfn.NUMBERVALUE(INDEX(A76:H76,$P$1),".",","),0)))</f>
        <v/>
      </c>
    </row>
    <row r="77">
      <c r="L77">
        <f>IF(A77="","",IF(ISNUMBER(--LEFT(A77,FIND(" - ",A77&amp;" - ")-1)),LEFT(A77,FIND(" - ",A77&amp;" - ")-1),TRIM(A77)))</f>
        <v/>
      </c>
      <c r="N77">
        <f>IF(L77="","",IF(ISNUMBER(INDEX(A77:H77,$P$1)),INDEX(A77:H77,$P$1),IFERROR(_xlfn.NUMBERVALUE(INDEX(A77:H77,$P$1),".",","),0)))</f>
        <v/>
      </c>
    </row>
    <row r="78">
      <c r="L78">
        <f>IF(A78="","",IF(ISNUMBER(--LEFT(A78,FIND(" - ",A78&amp;" - ")-1)),LEFT(A78,FIND(" - ",A78&amp;" - ")-1),TRIM(A78)))</f>
        <v/>
      </c>
      <c r="N78">
        <f>IF(L78="","",IF(ISNUMBER(INDEX(A78:H78,$P$1)),INDEX(A78:H78,$P$1),IFERROR(_xlfn.NUMBERVALUE(INDEX(A78:H78,$P$1),".",","),0)))</f>
        <v/>
      </c>
    </row>
    <row r="79">
      <c r="L79">
        <f>IF(A79="","",IF(ISNUMBER(--LEFT(A79,FIND(" - ",A79&amp;" - ")-1)),LEFT(A79,FIND(" - ",A79&amp;" - ")-1),TRIM(A79)))</f>
        <v/>
      </c>
      <c r="N79">
        <f>IF(L79="","",IF(ISNUMBER(INDEX(A79:H79,$P$1)),INDEX(A79:H79,$P$1),IFERROR(_xlfn.NUMBERVALUE(INDEX(A79:H79,$P$1),".",","),0)))</f>
        <v/>
      </c>
    </row>
    <row r="80">
      <c r="L80">
        <f>IF(A80="","",IF(ISNUMBER(--LEFT(A80,FIND(" - ",A80&amp;" - ")-1)),LEFT(A80,FIND(" - ",A80&amp;" - ")-1),TRIM(A80)))</f>
        <v/>
      </c>
      <c r="N80">
        <f>IF(L80="","",IF(ISNUMBER(INDEX(A80:H80,$P$1)),INDEX(A80:H80,$P$1),IFERROR(_xlfn.NUMBERVALUE(INDEX(A80:H80,$P$1),".",","),0)))</f>
        <v/>
      </c>
    </row>
    <row r="81">
      <c r="L81">
        <f>IF(A81="","",IF(ISNUMBER(--LEFT(A81,FIND(" - ",A81&amp;" - ")-1)),LEFT(A81,FIND(" - ",A81&amp;" - ")-1),TRIM(A81)))</f>
        <v/>
      </c>
      <c r="N81">
        <f>IF(L81="","",IF(ISNUMBER(INDEX(A81:H81,$P$1)),INDEX(A81:H81,$P$1),IFERROR(_xlfn.NUMBERVALUE(INDEX(A81:H81,$P$1),".",","),0)))</f>
        <v/>
      </c>
    </row>
    <row r="82">
      <c r="L82">
        <f>IF(A82="","",IF(ISNUMBER(--LEFT(A82,FIND(" - ",A82&amp;" - ")-1)),LEFT(A82,FIND(" - ",A82&amp;" - ")-1),TRIM(A82)))</f>
        <v/>
      </c>
      <c r="N82">
        <f>IF(L82="","",IF(ISNUMBER(INDEX(A82:H82,$P$1)),INDEX(A82:H82,$P$1),IFERROR(_xlfn.NUMBERVALUE(INDEX(A82:H82,$P$1),".",","),0)))</f>
        <v/>
      </c>
    </row>
    <row r="83">
      <c r="L83">
        <f>IF(A83="","",IF(ISNUMBER(--LEFT(A83,FIND(" - ",A83&amp;" - ")-1)),LEFT(A83,FIND(" - ",A83&amp;" - ")-1),TRIM(A83)))</f>
        <v/>
      </c>
      <c r="N83">
        <f>IF(L83="","",IF(ISNUMBER(INDEX(A83:H83,$P$1)),INDEX(A83:H83,$P$1),IFERROR(_xlfn.NUMBERVALUE(INDEX(A83:H83,$P$1),".",","),0)))</f>
        <v/>
      </c>
    </row>
    <row r="84">
      <c r="L84">
        <f>IF(A84="","",IF(ISNUMBER(--LEFT(A84,FIND(" - ",A84&amp;" - ")-1)),LEFT(A84,FIND(" - ",A84&amp;" - ")-1),TRIM(A84)))</f>
        <v/>
      </c>
      <c r="N84">
        <f>IF(L84="","",IF(ISNUMBER(INDEX(A84:H84,$P$1)),INDEX(A84:H84,$P$1),IFERROR(_xlfn.NUMBERVALUE(INDEX(A84:H84,$P$1),".",","),0)))</f>
        <v/>
      </c>
    </row>
    <row r="85">
      <c r="L85">
        <f>IF(A85="","",IF(ISNUMBER(--LEFT(A85,FIND(" - ",A85&amp;" - ")-1)),LEFT(A85,FIND(" - ",A85&amp;" - ")-1),TRIM(A85)))</f>
        <v/>
      </c>
      <c r="N85">
        <f>IF(L85="","",IF(ISNUMBER(INDEX(A85:H85,$P$1)),INDEX(A85:H85,$P$1),IFERROR(_xlfn.NUMBERVALUE(INDEX(A85:H85,$P$1),".",","),0)))</f>
        <v/>
      </c>
    </row>
    <row r="86">
      <c r="L86">
        <f>IF(A86="","",IF(ISNUMBER(--LEFT(A86,FIND(" - ",A86&amp;" - ")-1)),LEFT(A86,FIND(" - ",A86&amp;" - ")-1),TRIM(A86)))</f>
        <v/>
      </c>
      <c r="N86">
        <f>IF(L86="","",IF(ISNUMBER(INDEX(A86:H86,$P$1)),INDEX(A86:H86,$P$1),IFERROR(_xlfn.NUMBERVALUE(INDEX(A86:H86,$P$1),".",","),0)))</f>
        <v/>
      </c>
    </row>
    <row r="87">
      <c r="L87">
        <f>IF(A87="","",IF(ISNUMBER(--LEFT(A87,FIND(" - ",A87&amp;" - ")-1)),LEFT(A87,FIND(" - ",A87&amp;" - ")-1),TRIM(A87)))</f>
        <v/>
      </c>
      <c r="N87">
        <f>IF(L87="","",IF(ISNUMBER(INDEX(A87:H87,$P$1)),INDEX(A87:H87,$P$1),IFERROR(_xlfn.NUMBERVALUE(INDEX(A87:H87,$P$1),".",","),0)))</f>
        <v/>
      </c>
    </row>
    <row r="88">
      <c r="L88">
        <f>IF(A88="","",IF(ISNUMBER(--LEFT(A88,FIND(" - ",A88&amp;" - ")-1)),LEFT(A88,FIND(" - ",A88&amp;" - ")-1),TRIM(A88)))</f>
        <v/>
      </c>
      <c r="N88">
        <f>IF(L88="","",IF(ISNUMBER(INDEX(A88:H88,$P$1)),INDEX(A88:H88,$P$1),IFERROR(_xlfn.NUMBERVALUE(INDEX(A88:H88,$P$1),".",","),0)))</f>
        <v/>
      </c>
    </row>
    <row r="89">
      <c r="L89">
        <f>IF(A89="","",IF(ISNUMBER(--LEFT(A89,FIND(" - ",A89&amp;" - ")-1)),LEFT(A89,FIND(" - ",A89&amp;" - ")-1),TRIM(A89)))</f>
        <v/>
      </c>
      <c r="N89">
        <f>IF(L89="","",IF(ISNUMBER(INDEX(A89:H89,$P$1)),INDEX(A89:H89,$P$1),IFERROR(_xlfn.NUMBERVALUE(INDEX(A89:H89,$P$1),".",","),0)))</f>
        <v/>
      </c>
    </row>
    <row r="90">
      <c r="L90">
        <f>IF(A90="","",IF(ISNUMBER(--LEFT(A90,FIND(" - ",A90&amp;" - ")-1)),LEFT(A90,FIND(" - ",A90&amp;" - ")-1),TRIM(A90)))</f>
        <v/>
      </c>
      <c r="N90">
        <f>IF(L90="","",IF(ISNUMBER(INDEX(A90:H90,$P$1)),INDEX(A90:H90,$P$1),IFERROR(_xlfn.NUMBERVALUE(INDEX(A90:H90,$P$1),".",","),0)))</f>
        <v/>
      </c>
    </row>
    <row r="91">
      <c r="L91">
        <f>IF(A91="","",IF(ISNUMBER(--LEFT(A91,FIND(" - ",A91&amp;" - ")-1)),LEFT(A91,FIND(" - ",A91&amp;" - ")-1),TRIM(A91)))</f>
        <v/>
      </c>
      <c r="N91">
        <f>IF(L91="","",IF(ISNUMBER(INDEX(A91:H91,$P$1)),INDEX(A91:H91,$P$1),IFERROR(_xlfn.NUMBERVALUE(INDEX(A91:H91,$P$1),".",","),0)))</f>
        <v/>
      </c>
    </row>
    <row r="92">
      <c r="L92">
        <f>IF(A92="","",IF(ISNUMBER(--LEFT(A92,FIND(" - ",A92&amp;" - ")-1)),LEFT(A92,FIND(" - ",A92&amp;" - ")-1),TRIM(A92)))</f>
        <v/>
      </c>
      <c r="N92">
        <f>IF(L92="","",IF(ISNUMBER(INDEX(A92:H92,$P$1)),INDEX(A92:H92,$P$1),IFERROR(_xlfn.NUMBERVALUE(INDEX(A92:H92,$P$1),".",","),0)))</f>
        <v/>
      </c>
    </row>
    <row r="93">
      <c r="L93">
        <f>IF(A93="","",IF(ISNUMBER(--LEFT(A93,FIND(" - ",A93&amp;" - ")-1)),LEFT(A93,FIND(" - ",A93&amp;" - ")-1),TRIM(A93)))</f>
        <v/>
      </c>
      <c r="N93">
        <f>IF(L93="","",IF(ISNUMBER(INDEX(A93:H93,$P$1)),INDEX(A93:H93,$P$1),IFERROR(_xlfn.NUMBERVALUE(INDEX(A93:H93,$P$1),".",","),0)))</f>
        <v/>
      </c>
    </row>
    <row r="94">
      <c r="L94">
        <f>IF(A94="","",IF(ISNUMBER(--LEFT(A94,FIND(" - ",A94&amp;" - ")-1)),LEFT(A94,FIND(" - ",A94&amp;" - ")-1),TRIM(A94)))</f>
        <v/>
      </c>
      <c r="N94">
        <f>IF(L94="","",IF(ISNUMBER(INDEX(A94:H94,$P$1)),INDEX(A94:H94,$P$1),IFERROR(_xlfn.NUMBERVALUE(INDEX(A94:H94,$P$1),".",","),0)))</f>
        <v/>
      </c>
    </row>
    <row r="95">
      <c r="L95">
        <f>IF(A95="","",IF(ISNUMBER(--LEFT(A95,FIND(" - ",A95&amp;" - ")-1)),LEFT(A95,FIND(" - ",A95&amp;" - ")-1),TRIM(A95)))</f>
        <v/>
      </c>
      <c r="N95">
        <f>IF(L95="","",IF(ISNUMBER(INDEX(A95:H95,$P$1)),INDEX(A95:H95,$P$1),IFERROR(_xlfn.NUMBERVALUE(INDEX(A95:H95,$P$1),".",","),0)))</f>
        <v/>
      </c>
    </row>
    <row r="96">
      <c r="L96">
        <f>IF(A96="","",IF(ISNUMBER(--LEFT(A96,FIND(" - ",A96&amp;" - ")-1)),LEFT(A96,FIND(" - ",A96&amp;" - ")-1),TRIM(A96)))</f>
        <v/>
      </c>
      <c r="N96">
        <f>IF(L96="","",IF(ISNUMBER(INDEX(A96:H96,$P$1)),INDEX(A96:H96,$P$1),IFERROR(_xlfn.NUMBERVALUE(INDEX(A96:H96,$P$1),".",","),0)))</f>
        <v/>
      </c>
    </row>
    <row r="97">
      <c r="L97">
        <f>IF(A97="","",IF(ISNUMBER(--LEFT(A97,FIND(" - ",A97&amp;" - ")-1)),LEFT(A97,FIND(" - ",A97&amp;" - ")-1),TRIM(A97)))</f>
        <v/>
      </c>
      <c r="N97">
        <f>IF(L97="","",IF(ISNUMBER(INDEX(A97:H97,$P$1)),INDEX(A97:H97,$P$1),IFERROR(_xlfn.NUMBERVALUE(INDEX(A97:H97,$P$1),".",","),0)))</f>
        <v/>
      </c>
    </row>
    <row r="98">
      <c r="L98">
        <f>IF(A98="","",IF(ISNUMBER(--LEFT(A98,FIND(" - ",A98&amp;" - ")-1)),LEFT(A98,FIND(" - ",A98&amp;" - ")-1),TRIM(A98)))</f>
        <v/>
      </c>
      <c r="N98">
        <f>IF(L98="","",IF(ISNUMBER(INDEX(A98:H98,$P$1)),INDEX(A98:H98,$P$1),IFERROR(_xlfn.NUMBERVALUE(INDEX(A98:H98,$P$1),".",","),0)))</f>
        <v/>
      </c>
    </row>
    <row r="99">
      <c r="L99">
        <f>IF(A99="","",IF(ISNUMBER(--LEFT(A99,FIND(" - ",A99&amp;" - ")-1)),LEFT(A99,FIND(" - ",A99&amp;" - ")-1),TRIM(A99)))</f>
        <v/>
      </c>
      <c r="N99">
        <f>IF(L99="","",IF(ISNUMBER(INDEX(A99:H99,$P$1)),INDEX(A99:H99,$P$1),IFERROR(_xlfn.NUMBERVALUE(INDEX(A99:H99,$P$1),".",","),0)))</f>
        <v/>
      </c>
    </row>
    <row r="100">
      <c r="L100">
        <f>IF(A100="","",IF(ISNUMBER(--LEFT(A100,FIND(" - ",A100&amp;" - ")-1)),LEFT(A100,FIND(" - ",A100&amp;" - ")-1),TRIM(A100)))</f>
        <v/>
      </c>
      <c r="N100">
        <f>IF(L100="","",IF(ISNUMBER(INDEX(A100:H100,$P$1)),INDEX(A100:H100,$P$1),IFERROR(_xlfn.NUMBERVALUE(INDEX(A100:H100,$P$1),".",","),0)))</f>
        <v/>
      </c>
    </row>
    <row r="101">
      <c r="L101">
        <f>IF(A101="","",IF(ISNUMBER(--LEFT(A101,FIND(" - ",A101&amp;" - ")-1)),LEFT(A101,FIND(" - ",A101&amp;" - ")-1),TRIM(A101)))</f>
        <v/>
      </c>
      <c r="N101">
        <f>IF(L101="","",IF(ISNUMBER(INDEX(A101:H101,$P$1)),INDEX(A101:H101,$P$1),IFERROR(_xlfn.NUMBERVALUE(INDEX(A101:H101,$P$1),".",","),0)))</f>
        <v/>
      </c>
    </row>
    <row r="102">
      <c r="L102">
        <f>IF(A102="","",IF(ISNUMBER(--LEFT(A102,FIND(" - ",A102&amp;" - ")-1)),LEFT(A102,FIND(" - ",A102&amp;" - ")-1),TRIM(A102)))</f>
        <v/>
      </c>
      <c r="N102">
        <f>IF(L102="","",IF(ISNUMBER(INDEX(A102:H102,$P$1)),INDEX(A102:H102,$P$1),IFERROR(_xlfn.NUMBERVALUE(INDEX(A102:H102,$P$1),".",","),0)))</f>
        <v/>
      </c>
    </row>
    <row r="103">
      <c r="L103">
        <f>IF(A103="","",IF(ISNUMBER(--LEFT(A103,FIND(" - ",A103&amp;" - ")-1)),LEFT(A103,FIND(" - ",A103&amp;" - ")-1),TRIM(A103)))</f>
        <v/>
      </c>
      <c r="N103">
        <f>IF(L103="","",IF(ISNUMBER(INDEX(A103:H103,$P$1)),INDEX(A103:H103,$P$1),IFERROR(_xlfn.NUMBERVALUE(INDEX(A103:H103,$P$1),".",","),0)))</f>
        <v/>
      </c>
    </row>
    <row r="104">
      <c r="L104">
        <f>IF(A104="","",IF(ISNUMBER(--LEFT(A104,FIND(" - ",A104&amp;" - ")-1)),LEFT(A104,FIND(" - ",A104&amp;" - ")-1),TRIM(A104)))</f>
        <v/>
      </c>
      <c r="N104">
        <f>IF(L104="","",IF(ISNUMBER(INDEX(A104:H104,$P$1)),INDEX(A104:H104,$P$1),IFERROR(_xlfn.NUMBERVALUE(INDEX(A104:H104,$P$1),".",","),0)))</f>
        <v/>
      </c>
    </row>
    <row r="105">
      <c r="L105">
        <f>IF(A105="","",IF(ISNUMBER(--LEFT(A105,FIND(" - ",A105&amp;" - ")-1)),LEFT(A105,FIND(" - ",A105&amp;" - ")-1),TRIM(A105)))</f>
        <v/>
      </c>
      <c r="N105">
        <f>IF(L105="","",IF(ISNUMBER(INDEX(A105:H105,$P$1)),INDEX(A105:H105,$P$1),IFERROR(_xlfn.NUMBERVALUE(INDEX(A105:H105,$P$1),".",","),0)))</f>
        <v/>
      </c>
    </row>
    <row r="106">
      <c r="L106">
        <f>IF(A106="","",IF(ISNUMBER(--LEFT(A106,FIND(" - ",A106&amp;" - ")-1)),LEFT(A106,FIND(" - ",A106&amp;" - ")-1),TRIM(A106)))</f>
        <v/>
      </c>
      <c r="N106">
        <f>IF(L106="","",IF(ISNUMBER(INDEX(A106:H106,$P$1)),INDEX(A106:H106,$P$1),IFERROR(_xlfn.NUMBERVALUE(INDEX(A106:H106,$P$1),".",","),0)))</f>
        <v/>
      </c>
    </row>
    <row r="107">
      <c r="L107">
        <f>IF(A107="","",IF(ISNUMBER(--LEFT(A107,FIND(" - ",A107&amp;" - ")-1)),LEFT(A107,FIND(" - ",A107&amp;" - ")-1),TRIM(A107)))</f>
        <v/>
      </c>
      <c r="N107">
        <f>IF(L107="","",IF(ISNUMBER(INDEX(A107:H107,$P$1)),INDEX(A107:H107,$P$1),IFERROR(_xlfn.NUMBERVALUE(INDEX(A107:H107,$P$1),".",","),0)))</f>
        <v/>
      </c>
    </row>
    <row r="108">
      <c r="L108">
        <f>IF(A108="","",IF(ISNUMBER(--LEFT(A108,FIND(" - ",A108&amp;" - ")-1)),LEFT(A108,FIND(" - ",A108&amp;" - ")-1),TRIM(A108)))</f>
        <v/>
      </c>
      <c r="N108">
        <f>IF(L108="","",IF(ISNUMBER(INDEX(A108:H108,$P$1)),INDEX(A108:H108,$P$1),IFERROR(_xlfn.NUMBERVALUE(INDEX(A108:H108,$P$1),".",","),0)))</f>
        <v/>
      </c>
    </row>
    <row r="109">
      <c r="L109">
        <f>IF(A109="","",IF(ISNUMBER(--LEFT(A109,FIND(" - ",A109&amp;" - ")-1)),LEFT(A109,FIND(" - ",A109&amp;" - ")-1),TRIM(A109)))</f>
        <v/>
      </c>
      <c r="N109">
        <f>IF(L109="","",IF(ISNUMBER(INDEX(A109:H109,$P$1)),INDEX(A109:H109,$P$1),IFERROR(_xlfn.NUMBERVALUE(INDEX(A109:H109,$P$1),".",","),0)))</f>
        <v/>
      </c>
    </row>
    <row r="110">
      <c r="L110">
        <f>IF(A110="","",IF(ISNUMBER(--LEFT(A110,FIND(" - ",A110&amp;" - ")-1)),LEFT(A110,FIND(" - ",A110&amp;" - ")-1),TRIM(A110)))</f>
        <v/>
      </c>
      <c r="N110">
        <f>IF(L110="","",IF(ISNUMBER(INDEX(A110:H110,$P$1)),INDEX(A110:H110,$P$1),IFERROR(_xlfn.NUMBERVALUE(INDEX(A110:H110,$P$1),".",","),0)))</f>
        <v/>
      </c>
    </row>
    <row r="111">
      <c r="L111">
        <f>IF(A111="","",IF(ISNUMBER(--LEFT(A111,FIND(" - ",A111&amp;" - ")-1)),LEFT(A111,FIND(" - ",A111&amp;" - ")-1),TRIM(A111)))</f>
        <v/>
      </c>
      <c r="N111">
        <f>IF(L111="","",IF(ISNUMBER(INDEX(A111:H111,$P$1)),INDEX(A111:H111,$P$1),IFERROR(_xlfn.NUMBERVALUE(INDEX(A111:H111,$P$1),".",","),0)))</f>
        <v/>
      </c>
    </row>
    <row r="112">
      <c r="L112">
        <f>IF(A112="","",IF(ISNUMBER(--LEFT(A112,FIND(" - ",A112&amp;" - ")-1)),LEFT(A112,FIND(" - ",A112&amp;" - ")-1),TRIM(A112)))</f>
        <v/>
      </c>
      <c r="N112">
        <f>IF(L112="","",IF(ISNUMBER(INDEX(A112:H112,$P$1)),INDEX(A112:H112,$P$1),IFERROR(_xlfn.NUMBERVALUE(INDEX(A112:H112,$P$1),".",","),0)))</f>
        <v/>
      </c>
    </row>
    <row r="113">
      <c r="L113">
        <f>IF(A113="","",IF(ISNUMBER(--LEFT(A113,FIND(" - ",A113&amp;" - ")-1)),LEFT(A113,FIND(" - ",A113&amp;" - ")-1),TRIM(A113)))</f>
        <v/>
      </c>
      <c r="N113">
        <f>IF(L113="","",IF(ISNUMBER(INDEX(A113:H113,$P$1)),INDEX(A113:H113,$P$1),IFERROR(_xlfn.NUMBERVALUE(INDEX(A113:H113,$P$1),".",","),0)))</f>
        <v/>
      </c>
    </row>
    <row r="114">
      <c r="L114">
        <f>IF(A114="","",IF(ISNUMBER(--LEFT(A114,FIND(" - ",A114&amp;" - ")-1)),LEFT(A114,FIND(" - ",A114&amp;" - ")-1),TRIM(A114)))</f>
        <v/>
      </c>
      <c r="N114">
        <f>IF(L114="","",IF(ISNUMBER(INDEX(A114:H114,$P$1)),INDEX(A114:H114,$P$1),IFERROR(_xlfn.NUMBERVALUE(INDEX(A114:H114,$P$1),".",","),0)))</f>
        <v/>
      </c>
    </row>
    <row r="115">
      <c r="L115">
        <f>IF(A115="","",IF(ISNUMBER(--LEFT(A115,FIND(" - ",A115&amp;" - ")-1)),LEFT(A115,FIND(" - ",A115&amp;" - ")-1),TRIM(A115)))</f>
        <v/>
      </c>
      <c r="N115">
        <f>IF(L115="","",IF(ISNUMBER(INDEX(A115:H115,$P$1)),INDEX(A115:H115,$P$1),IFERROR(_xlfn.NUMBERVALUE(INDEX(A115:H115,$P$1),".",","),0)))</f>
        <v/>
      </c>
    </row>
    <row r="116">
      <c r="L116">
        <f>IF(A116="","",IF(ISNUMBER(--LEFT(A116,FIND(" - ",A116&amp;" - ")-1)),LEFT(A116,FIND(" - ",A116&amp;" - ")-1),TRIM(A116)))</f>
        <v/>
      </c>
      <c r="N116">
        <f>IF(L116="","",IF(ISNUMBER(INDEX(A116:H116,$P$1)),INDEX(A116:H116,$P$1),IFERROR(_xlfn.NUMBERVALUE(INDEX(A116:H116,$P$1),".",","),0)))</f>
        <v/>
      </c>
    </row>
    <row r="117">
      <c r="L117">
        <f>IF(A117="","",IF(ISNUMBER(--LEFT(A117,FIND(" - ",A117&amp;" - ")-1)),LEFT(A117,FIND(" - ",A117&amp;" - ")-1),TRIM(A117)))</f>
        <v/>
      </c>
      <c r="N117">
        <f>IF(L117="","",IF(ISNUMBER(INDEX(A117:H117,$P$1)),INDEX(A117:H117,$P$1),IFERROR(_xlfn.NUMBERVALUE(INDEX(A117:H117,$P$1),".",","),0)))</f>
        <v/>
      </c>
    </row>
    <row r="118">
      <c r="L118">
        <f>IF(A118="","",IF(ISNUMBER(--LEFT(A118,FIND(" - ",A118&amp;" - ")-1)),LEFT(A118,FIND(" - ",A118&amp;" - ")-1),TRIM(A118)))</f>
        <v/>
      </c>
      <c r="N118">
        <f>IF(L118="","",IF(ISNUMBER(INDEX(A118:H118,$P$1)),INDEX(A118:H118,$P$1),IFERROR(_xlfn.NUMBERVALUE(INDEX(A118:H118,$P$1),".",","),0)))</f>
        <v/>
      </c>
    </row>
    <row r="119">
      <c r="L119">
        <f>IF(A119="","",IF(ISNUMBER(--LEFT(A119,FIND(" - ",A119&amp;" - ")-1)),LEFT(A119,FIND(" - ",A119&amp;" - ")-1),TRIM(A119)))</f>
        <v/>
      </c>
      <c r="N119">
        <f>IF(L119="","",IF(ISNUMBER(INDEX(A119:H119,$P$1)),INDEX(A119:H119,$P$1),IFERROR(_xlfn.NUMBERVALUE(INDEX(A119:H119,$P$1),".",","),0)))</f>
        <v/>
      </c>
    </row>
    <row r="120">
      <c r="L120">
        <f>IF(A120="","",IF(ISNUMBER(--LEFT(A120,FIND(" - ",A120&amp;" - ")-1)),LEFT(A120,FIND(" - ",A120&amp;" - ")-1),TRIM(A120)))</f>
        <v/>
      </c>
      <c r="N120">
        <f>IF(L120="","",IF(ISNUMBER(INDEX(A120:H120,$P$1)),INDEX(A120:H120,$P$1),IFERROR(_xlfn.NUMBERVALUE(INDEX(A120:H120,$P$1),".",","),0)))</f>
        <v/>
      </c>
    </row>
    <row r="121">
      <c r="L121">
        <f>IF(A121="","",IF(ISNUMBER(--LEFT(A121,FIND(" - ",A121&amp;" - ")-1)),LEFT(A121,FIND(" - ",A121&amp;" - ")-1),TRIM(A121)))</f>
        <v/>
      </c>
      <c r="N121">
        <f>IF(L121="","",IF(ISNUMBER(INDEX(A121:H121,$P$1)),INDEX(A121:H121,$P$1),IFERROR(_xlfn.NUMBERVALUE(INDEX(A121:H121,$P$1),".",","),0)))</f>
        <v/>
      </c>
    </row>
    <row r="122">
      <c r="L122">
        <f>IF(A122="","",IF(ISNUMBER(--LEFT(A122,FIND(" - ",A122&amp;" - ")-1)),LEFT(A122,FIND(" - ",A122&amp;" - ")-1),TRIM(A122)))</f>
        <v/>
      </c>
      <c r="N122">
        <f>IF(L122="","",IF(ISNUMBER(INDEX(A122:H122,$P$1)),INDEX(A122:H122,$P$1),IFERROR(_xlfn.NUMBERVALUE(INDEX(A122:H122,$P$1),".",","),0)))</f>
        <v/>
      </c>
    </row>
    <row r="123">
      <c r="L123">
        <f>IF(A123="","",IF(ISNUMBER(--LEFT(A123,FIND(" - ",A123&amp;" - ")-1)),LEFT(A123,FIND(" - ",A123&amp;" - ")-1),TRIM(A123)))</f>
        <v/>
      </c>
      <c r="N123">
        <f>IF(L123="","",IF(ISNUMBER(INDEX(A123:H123,$P$1)),INDEX(A123:H123,$P$1),IFERROR(_xlfn.NUMBERVALUE(INDEX(A123:H123,$P$1),".",","),0)))</f>
        <v/>
      </c>
    </row>
    <row r="124">
      <c r="L124">
        <f>IF(A124="","",IF(ISNUMBER(--LEFT(A124,FIND(" - ",A124&amp;" - ")-1)),LEFT(A124,FIND(" - ",A124&amp;" - ")-1),TRIM(A124)))</f>
        <v/>
      </c>
      <c r="N124">
        <f>IF(L124="","",IF(ISNUMBER(INDEX(A124:H124,$P$1)),INDEX(A124:H124,$P$1),IFERROR(_xlfn.NUMBERVALUE(INDEX(A124:H124,$P$1),".",","),0)))</f>
        <v/>
      </c>
    </row>
    <row r="125">
      <c r="L125">
        <f>IF(A125="","",IF(ISNUMBER(--LEFT(A125,FIND(" - ",A125&amp;" - ")-1)),LEFT(A125,FIND(" - ",A125&amp;" - ")-1),TRIM(A125)))</f>
        <v/>
      </c>
      <c r="N125">
        <f>IF(L125="","",IF(ISNUMBER(INDEX(A125:H125,$P$1)),INDEX(A125:H125,$P$1),IFERROR(_xlfn.NUMBERVALUE(INDEX(A125:H125,$P$1),".",","),0)))</f>
        <v/>
      </c>
    </row>
    <row r="126">
      <c r="L126">
        <f>IF(A126="","",IF(ISNUMBER(--LEFT(A126,FIND(" - ",A126&amp;" - ")-1)),LEFT(A126,FIND(" - ",A126&amp;" - ")-1),TRIM(A126)))</f>
        <v/>
      </c>
      <c r="N126">
        <f>IF(L126="","",IF(ISNUMBER(INDEX(A126:H126,$P$1)),INDEX(A126:H126,$P$1),IFERROR(_xlfn.NUMBERVALUE(INDEX(A126:H126,$P$1),".",","),0)))</f>
        <v/>
      </c>
    </row>
    <row r="127">
      <c r="L127">
        <f>IF(A127="","",IF(ISNUMBER(--LEFT(A127,FIND(" - ",A127&amp;" - ")-1)),LEFT(A127,FIND(" - ",A127&amp;" - ")-1),TRIM(A127)))</f>
        <v/>
      </c>
      <c r="N127">
        <f>IF(L127="","",IF(ISNUMBER(INDEX(A127:H127,$P$1)),INDEX(A127:H127,$P$1),IFERROR(_xlfn.NUMBERVALUE(INDEX(A127:H127,$P$1),".",","),0)))</f>
        <v/>
      </c>
    </row>
    <row r="128">
      <c r="L128">
        <f>IF(A128="","",IF(ISNUMBER(--LEFT(A128,FIND(" - ",A128&amp;" - ")-1)),LEFT(A128,FIND(" - ",A128&amp;" - ")-1),TRIM(A128)))</f>
        <v/>
      </c>
      <c r="N128">
        <f>IF(L128="","",IF(ISNUMBER(INDEX(A128:H128,$P$1)),INDEX(A128:H128,$P$1),IFERROR(_xlfn.NUMBERVALUE(INDEX(A128:H128,$P$1),".",","),0)))</f>
        <v/>
      </c>
    </row>
    <row r="129">
      <c r="L129">
        <f>IF(A129="","",IF(ISNUMBER(--LEFT(A129,FIND(" - ",A129&amp;" - ")-1)),LEFT(A129,FIND(" - ",A129&amp;" - ")-1),TRIM(A129)))</f>
        <v/>
      </c>
      <c r="N129">
        <f>IF(L129="","",IF(ISNUMBER(INDEX(A129:H129,$P$1)),INDEX(A129:H129,$P$1),IFERROR(_xlfn.NUMBERVALUE(INDEX(A129:H129,$P$1),".",","),0)))</f>
        <v/>
      </c>
    </row>
    <row r="130">
      <c r="L130">
        <f>IF(A130="","",IF(ISNUMBER(--LEFT(A130,FIND(" - ",A130&amp;" - ")-1)),LEFT(A130,FIND(" - ",A130&amp;" - ")-1),TRIM(A130)))</f>
        <v/>
      </c>
      <c r="N130">
        <f>IF(L130="","",IF(ISNUMBER(INDEX(A130:H130,$P$1)),INDEX(A130:H130,$P$1),IFERROR(_xlfn.NUMBERVALUE(INDEX(A130:H130,$P$1),".",","),0)))</f>
        <v/>
      </c>
    </row>
    <row r="131">
      <c r="L131">
        <f>IF(A131="","",IF(ISNUMBER(--LEFT(A131,FIND(" - ",A131&amp;" - ")-1)),LEFT(A131,FIND(" - ",A131&amp;" - ")-1),TRIM(A131)))</f>
        <v/>
      </c>
      <c r="N131">
        <f>IF(L131="","",IF(ISNUMBER(INDEX(A131:H131,$P$1)),INDEX(A131:H131,$P$1),IFERROR(_xlfn.NUMBERVALUE(INDEX(A131:H131,$P$1),".",","),0)))</f>
        <v/>
      </c>
    </row>
    <row r="132">
      <c r="L132">
        <f>IF(A132="","",IF(ISNUMBER(--LEFT(A132,FIND(" - ",A132&amp;" - ")-1)),LEFT(A132,FIND(" - ",A132&amp;" - ")-1),TRIM(A132)))</f>
        <v/>
      </c>
      <c r="N132">
        <f>IF(L132="","",IF(ISNUMBER(INDEX(A132:H132,$P$1)),INDEX(A132:H132,$P$1),IFERROR(_xlfn.NUMBERVALUE(INDEX(A132:H132,$P$1),".",","),0)))</f>
        <v/>
      </c>
    </row>
    <row r="133">
      <c r="L133">
        <f>IF(A133="","",IF(ISNUMBER(--LEFT(A133,FIND(" - ",A133&amp;" - ")-1)),LEFT(A133,FIND(" - ",A133&amp;" - ")-1),TRIM(A133)))</f>
        <v/>
      </c>
      <c r="N133">
        <f>IF(L133="","",IF(ISNUMBER(INDEX(A133:H133,$P$1)),INDEX(A133:H133,$P$1),IFERROR(_xlfn.NUMBERVALUE(INDEX(A133:H133,$P$1),".",","),0)))</f>
        <v/>
      </c>
    </row>
    <row r="134">
      <c r="L134">
        <f>IF(A134="","",IF(ISNUMBER(--LEFT(A134,FIND(" - ",A134&amp;" - ")-1)),LEFT(A134,FIND(" - ",A134&amp;" - ")-1),TRIM(A134)))</f>
        <v/>
      </c>
      <c r="N134">
        <f>IF(L134="","",IF(ISNUMBER(INDEX(A134:H134,$P$1)),INDEX(A134:H134,$P$1),IFERROR(_xlfn.NUMBERVALUE(INDEX(A134:H134,$P$1),".",","),0)))</f>
        <v/>
      </c>
    </row>
    <row r="135">
      <c r="L135">
        <f>IF(A135="","",IF(ISNUMBER(--LEFT(A135,FIND(" - ",A135&amp;" - ")-1)),LEFT(A135,FIND(" - ",A135&amp;" - ")-1),TRIM(A135)))</f>
        <v/>
      </c>
      <c r="N135">
        <f>IF(L135="","",IF(ISNUMBER(INDEX(A135:H135,$P$1)),INDEX(A135:H135,$P$1),IFERROR(_xlfn.NUMBERVALUE(INDEX(A135:H135,$P$1),".",","),0)))</f>
        <v/>
      </c>
    </row>
    <row r="136">
      <c r="L136">
        <f>IF(A136="","",IF(ISNUMBER(--LEFT(A136,FIND(" - ",A136&amp;" - ")-1)),LEFT(A136,FIND(" - ",A136&amp;" - ")-1),TRIM(A136)))</f>
        <v/>
      </c>
      <c r="N136">
        <f>IF(L136="","",IF(ISNUMBER(INDEX(A136:H136,$P$1)),INDEX(A136:H136,$P$1),IFERROR(_xlfn.NUMBERVALUE(INDEX(A136:H136,$P$1),".",","),0)))</f>
        <v/>
      </c>
    </row>
    <row r="137">
      <c r="L137">
        <f>IF(A137="","",IF(ISNUMBER(--LEFT(A137,FIND(" - ",A137&amp;" - ")-1)),LEFT(A137,FIND(" - ",A137&amp;" - ")-1),TRIM(A137)))</f>
        <v/>
      </c>
      <c r="N137">
        <f>IF(L137="","",IF(ISNUMBER(INDEX(A137:H137,$P$1)),INDEX(A137:H137,$P$1),IFERROR(_xlfn.NUMBERVALUE(INDEX(A137:H137,$P$1),".",","),0)))</f>
        <v/>
      </c>
    </row>
    <row r="138">
      <c r="L138">
        <f>IF(A138="","",IF(ISNUMBER(--LEFT(A138,FIND(" - ",A138&amp;" - ")-1)),LEFT(A138,FIND(" - ",A138&amp;" - ")-1),TRIM(A138)))</f>
        <v/>
      </c>
      <c r="N138">
        <f>IF(L138="","",IF(ISNUMBER(INDEX(A138:H138,$P$1)),INDEX(A138:H138,$P$1),IFERROR(_xlfn.NUMBERVALUE(INDEX(A138:H138,$P$1),".",","),0)))</f>
        <v/>
      </c>
    </row>
    <row r="139">
      <c r="L139">
        <f>IF(A139="","",IF(ISNUMBER(--LEFT(A139,FIND(" - ",A139&amp;" - ")-1)),LEFT(A139,FIND(" - ",A139&amp;" - ")-1),TRIM(A139)))</f>
        <v/>
      </c>
      <c r="N139">
        <f>IF(L139="","",IF(ISNUMBER(INDEX(A139:H139,$P$1)),INDEX(A139:H139,$P$1),IFERROR(_xlfn.NUMBERVALUE(INDEX(A139:H139,$P$1),".",","),0)))</f>
        <v/>
      </c>
    </row>
    <row r="140">
      <c r="L140">
        <f>IF(A140="","",IF(ISNUMBER(--LEFT(A140,FIND(" - ",A140&amp;" - ")-1)),LEFT(A140,FIND(" - ",A140&amp;" - ")-1),TRIM(A140)))</f>
        <v/>
      </c>
      <c r="N140">
        <f>IF(L140="","",IF(ISNUMBER(INDEX(A140:H140,$P$1)),INDEX(A140:H140,$P$1),IFERROR(_xlfn.NUMBERVALUE(INDEX(A140:H140,$P$1),".",","),0)))</f>
        <v/>
      </c>
    </row>
    <row r="141">
      <c r="L141">
        <f>IF(A141="","",IF(ISNUMBER(--LEFT(A141,FIND(" - ",A141&amp;" - ")-1)),LEFT(A141,FIND(" - ",A141&amp;" - ")-1),TRIM(A141)))</f>
        <v/>
      </c>
      <c r="N141">
        <f>IF(L141="","",IF(ISNUMBER(INDEX(A141:H141,$P$1)),INDEX(A141:H141,$P$1),IFERROR(_xlfn.NUMBERVALUE(INDEX(A141:H141,$P$1),".",","),0)))</f>
        <v/>
      </c>
    </row>
    <row r="142">
      <c r="L142">
        <f>IF(A142="","",IF(ISNUMBER(--LEFT(A142,FIND(" - ",A142&amp;" - ")-1)),LEFT(A142,FIND(" - ",A142&amp;" - ")-1),TRIM(A142)))</f>
        <v/>
      </c>
      <c r="N142">
        <f>IF(L142="","",IF(ISNUMBER(INDEX(A142:H142,$P$1)),INDEX(A142:H142,$P$1),IFERROR(_xlfn.NUMBERVALUE(INDEX(A142:H142,$P$1),".",","),0)))</f>
        <v/>
      </c>
    </row>
    <row r="143">
      <c r="L143">
        <f>IF(A143="","",IF(ISNUMBER(--LEFT(A143,FIND(" - ",A143&amp;" - ")-1)),LEFT(A143,FIND(" - ",A143&amp;" - ")-1),TRIM(A143)))</f>
        <v/>
      </c>
      <c r="N143">
        <f>IF(L143="","",IF(ISNUMBER(INDEX(A143:H143,$P$1)),INDEX(A143:H143,$P$1),IFERROR(_xlfn.NUMBERVALUE(INDEX(A143:H143,$P$1),".",","),0)))</f>
        <v/>
      </c>
    </row>
    <row r="144">
      <c r="L144">
        <f>IF(A144="","",IF(ISNUMBER(--LEFT(A144,FIND(" - ",A144&amp;" - ")-1)),LEFT(A144,FIND(" - ",A144&amp;" - ")-1),TRIM(A144)))</f>
        <v/>
      </c>
      <c r="N144">
        <f>IF(L144="","",IF(ISNUMBER(INDEX(A144:H144,$P$1)),INDEX(A144:H144,$P$1),IFERROR(_xlfn.NUMBERVALUE(INDEX(A144:H144,$P$1),".",","),0)))</f>
        <v/>
      </c>
    </row>
    <row r="145">
      <c r="L145">
        <f>IF(A145="","",IF(ISNUMBER(--LEFT(A145,FIND(" - ",A145&amp;" - ")-1)),LEFT(A145,FIND(" - ",A145&amp;" - ")-1),TRIM(A145)))</f>
        <v/>
      </c>
      <c r="N145">
        <f>IF(L145="","",IF(ISNUMBER(INDEX(A145:H145,$P$1)),INDEX(A145:H145,$P$1),IFERROR(_xlfn.NUMBERVALUE(INDEX(A145:H145,$P$1),".",","),0)))</f>
        <v/>
      </c>
    </row>
    <row r="146">
      <c r="L146">
        <f>IF(A146="","",IF(ISNUMBER(--LEFT(A146,FIND(" - ",A146&amp;" - ")-1)),LEFT(A146,FIND(" - ",A146&amp;" - ")-1),TRIM(A146)))</f>
        <v/>
      </c>
      <c r="N146">
        <f>IF(L146="","",IF(ISNUMBER(INDEX(A146:H146,$P$1)),INDEX(A146:H146,$P$1),IFERROR(_xlfn.NUMBERVALUE(INDEX(A146:H146,$P$1),".",","),0)))</f>
        <v/>
      </c>
    </row>
    <row r="147">
      <c r="L147">
        <f>IF(A147="","",IF(ISNUMBER(--LEFT(A147,FIND(" - ",A147&amp;" - ")-1)),LEFT(A147,FIND(" - ",A147&amp;" - ")-1),TRIM(A147)))</f>
        <v/>
      </c>
      <c r="N147">
        <f>IF(L147="","",IF(ISNUMBER(INDEX(A147:H147,$P$1)),INDEX(A147:H147,$P$1),IFERROR(_xlfn.NUMBERVALUE(INDEX(A147:H147,$P$1),".",","),0)))</f>
        <v/>
      </c>
    </row>
    <row r="148">
      <c r="L148">
        <f>IF(A148="","",IF(ISNUMBER(--LEFT(A148,FIND(" - ",A148&amp;" - ")-1)),LEFT(A148,FIND(" - ",A148&amp;" - ")-1),TRIM(A148)))</f>
        <v/>
      </c>
      <c r="N148">
        <f>IF(L148="","",IF(ISNUMBER(INDEX(A148:H148,$P$1)),INDEX(A148:H148,$P$1),IFERROR(_xlfn.NUMBERVALUE(INDEX(A148:H148,$P$1),".",","),0)))</f>
        <v/>
      </c>
    </row>
    <row r="149">
      <c r="L149">
        <f>IF(A149="","",IF(ISNUMBER(--LEFT(A149,FIND(" - ",A149&amp;" - ")-1)),LEFT(A149,FIND(" - ",A149&amp;" - ")-1),TRIM(A149)))</f>
        <v/>
      </c>
      <c r="N149">
        <f>IF(L149="","",IF(ISNUMBER(INDEX(A149:H149,$P$1)),INDEX(A149:H149,$P$1),IFERROR(_xlfn.NUMBERVALUE(INDEX(A149:H149,$P$1),".",","),0)))</f>
        <v/>
      </c>
    </row>
    <row r="150">
      <c r="L150">
        <f>IF(A150="","",IF(ISNUMBER(--LEFT(A150,FIND(" - ",A150&amp;" - ")-1)),LEFT(A150,FIND(" - ",A150&amp;" - ")-1),TRIM(A150)))</f>
        <v/>
      </c>
      <c r="N150">
        <f>IF(L150="","",IF(ISNUMBER(INDEX(A150:H150,$P$1)),INDEX(A150:H150,$P$1),IFERROR(_xlfn.NUMBERVALUE(INDEX(A150:H150,$P$1),".",","),0)))</f>
        <v/>
      </c>
    </row>
    <row r="151">
      <c r="L151">
        <f>IF(A151="","",IF(ISNUMBER(--LEFT(A151,FIND(" - ",A151&amp;" - ")-1)),LEFT(A151,FIND(" - ",A151&amp;" - ")-1),TRIM(A151)))</f>
        <v/>
      </c>
      <c r="N151">
        <f>IF(L151="","",IF(ISNUMBER(INDEX(A151:H151,$P$1)),INDEX(A151:H151,$P$1),IFERROR(_xlfn.NUMBERVALUE(INDEX(A151:H151,$P$1),".",","),0)))</f>
        <v/>
      </c>
    </row>
    <row r="152">
      <c r="L152">
        <f>IF(A152="","",IF(ISNUMBER(--LEFT(A152,FIND(" - ",A152&amp;" - ")-1)),LEFT(A152,FIND(" - ",A152&amp;" - ")-1),TRIM(A152)))</f>
        <v/>
      </c>
      <c r="N152">
        <f>IF(L152="","",IF(ISNUMBER(INDEX(A152:H152,$P$1)),INDEX(A152:H152,$P$1),IFERROR(_xlfn.NUMBERVALUE(INDEX(A152:H152,$P$1),".",","),0)))</f>
        <v/>
      </c>
    </row>
    <row r="153">
      <c r="L153">
        <f>IF(A153="","",IF(ISNUMBER(--LEFT(A153,FIND(" - ",A153&amp;" - ")-1)),LEFT(A153,FIND(" - ",A153&amp;" - ")-1),TRIM(A153)))</f>
        <v/>
      </c>
      <c r="N153">
        <f>IF(L153="","",IF(ISNUMBER(INDEX(A153:H153,$P$1)),INDEX(A153:H153,$P$1),IFERROR(_xlfn.NUMBERVALUE(INDEX(A153:H153,$P$1),".",","),0)))</f>
        <v/>
      </c>
    </row>
    <row r="154">
      <c r="L154">
        <f>IF(A154="","",IF(ISNUMBER(--LEFT(A154,FIND(" - ",A154&amp;" - ")-1)),LEFT(A154,FIND(" - ",A154&amp;" - ")-1),TRIM(A154)))</f>
        <v/>
      </c>
      <c r="N154">
        <f>IF(L154="","",IF(ISNUMBER(INDEX(A154:H154,$P$1)),INDEX(A154:H154,$P$1),IFERROR(_xlfn.NUMBERVALUE(INDEX(A154:H154,$P$1),".",","),0)))</f>
        <v/>
      </c>
    </row>
    <row r="155">
      <c r="L155">
        <f>IF(A155="","",IF(ISNUMBER(--LEFT(A155,FIND(" - ",A155&amp;" - ")-1)),LEFT(A155,FIND(" - ",A155&amp;" - ")-1),TRIM(A155)))</f>
        <v/>
      </c>
      <c r="N155">
        <f>IF(L155="","",IF(ISNUMBER(INDEX(A155:H155,$P$1)),INDEX(A155:H155,$P$1),IFERROR(_xlfn.NUMBERVALUE(INDEX(A155:H155,$P$1),".",","),0)))</f>
        <v/>
      </c>
    </row>
    <row r="156">
      <c r="L156">
        <f>IF(A156="","",IF(ISNUMBER(--LEFT(A156,FIND(" - ",A156&amp;" - ")-1)),LEFT(A156,FIND(" - ",A156&amp;" - ")-1),TRIM(A156)))</f>
        <v/>
      </c>
      <c r="N156">
        <f>IF(L156="","",IF(ISNUMBER(INDEX(A156:H156,$P$1)),INDEX(A156:H156,$P$1),IFERROR(_xlfn.NUMBERVALUE(INDEX(A156:H156,$P$1),".",","),0)))</f>
        <v/>
      </c>
    </row>
    <row r="157">
      <c r="L157">
        <f>IF(A157="","",IF(ISNUMBER(--LEFT(A157,FIND(" - ",A157&amp;" - ")-1)),LEFT(A157,FIND(" - ",A157&amp;" - ")-1),TRIM(A157)))</f>
        <v/>
      </c>
      <c r="N157">
        <f>IF(L157="","",IF(ISNUMBER(INDEX(A157:H157,$P$1)),INDEX(A157:H157,$P$1),IFERROR(_xlfn.NUMBERVALUE(INDEX(A157:H157,$P$1),".",","),0)))</f>
        <v/>
      </c>
    </row>
    <row r="158">
      <c r="L158">
        <f>IF(A158="","",IF(ISNUMBER(--LEFT(A158,FIND(" - ",A158&amp;" - ")-1)),LEFT(A158,FIND(" - ",A158&amp;" - ")-1),TRIM(A158)))</f>
        <v/>
      </c>
      <c r="N158">
        <f>IF(L158="","",IF(ISNUMBER(INDEX(A158:H158,$P$1)),INDEX(A158:H158,$P$1),IFERROR(_xlfn.NUMBERVALUE(INDEX(A158:H158,$P$1),".",","),0)))</f>
        <v/>
      </c>
    </row>
    <row r="159">
      <c r="L159">
        <f>IF(A159="","",IF(ISNUMBER(--LEFT(A159,FIND(" - ",A159&amp;" - ")-1)),LEFT(A159,FIND(" - ",A159&amp;" - ")-1),TRIM(A159)))</f>
        <v/>
      </c>
      <c r="N159">
        <f>IF(L159="","",IF(ISNUMBER(INDEX(A159:H159,$P$1)),INDEX(A159:H159,$P$1),IFERROR(_xlfn.NUMBERVALUE(INDEX(A159:H159,$P$1),".",","),0)))</f>
        <v/>
      </c>
    </row>
    <row r="160">
      <c r="L160">
        <f>IF(A160="","",IF(ISNUMBER(--LEFT(A160,FIND(" - ",A160&amp;" - ")-1)),LEFT(A160,FIND(" - ",A160&amp;" - ")-1),TRIM(A160)))</f>
        <v/>
      </c>
      <c r="N160">
        <f>IF(L160="","",IF(ISNUMBER(INDEX(A160:H160,$P$1)),INDEX(A160:H160,$P$1),IFERROR(_xlfn.NUMBERVALUE(INDEX(A160:H160,$P$1),".",","),0)))</f>
        <v/>
      </c>
    </row>
    <row r="161">
      <c r="L161">
        <f>IF(A161="","",IF(ISNUMBER(--LEFT(A161,FIND(" - ",A161&amp;" - ")-1)),LEFT(A161,FIND(" - ",A161&amp;" - ")-1),TRIM(A161)))</f>
        <v/>
      </c>
      <c r="N161">
        <f>IF(L161="","",IF(ISNUMBER(INDEX(A161:H161,$P$1)),INDEX(A161:H161,$P$1),IFERROR(_xlfn.NUMBERVALUE(INDEX(A161:H161,$P$1),".",","),0)))</f>
        <v/>
      </c>
    </row>
    <row r="162">
      <c r="L162">
        <f>IF(A162="","",IF(ISNUMBER(--LEFT(A162,FIND(" - ",A162&amp;" - ")-1)),LEFT(A162,FIND(" - ",A162&amp;" - ")-1),TRIM(A162)))</f>
        <v/>
      </c>
      <c r="N162">
        <f>IF(L162="","",IF(ISNUMBER(INDEX(A162:H162,$P$1)),INDEX(A162:H162,$P$1),IFERROR(_xlfn.NUMBERVALUE(INDEX(A162:H162,$P$1),".",","),0)))</f>
        <v/>
      </c>
    </row>
    <row r="163">
      <c r="L163">
        <f>IF(A163="","",IF(ISNUMBER(--LEFT(A163,FIND(" - ",A163&amp;" - ")-1)),LEFT(A163,FIND(" - ",A163&amp;" - ")-1),TRIM(A163)))</f>
        <v/>
      </c>
      <c r="N163">
        <f>IF(L163="","",IF(ISNUMBER(INDEX(A163:H163,$P$1)),INDEX(A163:H163,$P$1),IFERROR(_xlfn.NUMBERVALUE(INDEX(A163:H163,$P$1),".",","),0)))</f>
        <v/>
      </c>
    </row>
    <row r="164">
      <c r="L164">
        <f>IF(A164="","",IF(ISNUMBER(--LEFT(A164,FIND(" - ",A164&amp;" - ")-1)),LEFT(A164,FIND(" - ",A164&amp;" - ")-1),TRIM(A164)))</f>
        <v/>
      </c>
      <c r="N164">
        <f>IF(L164="","",IF(ISNUMBER(INDEX(A164:H164,$P$1)),INDEX(A164:H164,$P$1),IFERROR(_xlfn.NUMBERVALUE(INDEX(A164:H164,$P$1),".",","),0)))</f>
        <v/>
      </c>
    </row>
    <row r="165">
      <c r="L165">
        <f>IF(A165="","",IF(ISNUMBER(--LEFT(A165,FIND(" - ",A165&amp;" - ")-1)),LEFT(A165,FIND(" - ",A165&amp;" - ")-1),TRIM(A165)))</f>
        <v/>
      </c>
      <c r="N165">
        <f>IF(L165="","",IF(ISNUMBER(INDEX(A165:H165,$P$1)),INDEX(A165:H165,$P$1),IFERROR(_xlfn.NUMBERVALUE(INDEX(A165:H165,$P$1),".",","),0)))</f>
        <v/>
      </c>
    </row>
    <row r="166">
      <c r="L166">
        <f>IF(A166="","",IF(ISNUMBER(--LEFT(A166,FIND(" - ",A166&amp;" - ")-1)),LEFT(A166,FIND(" - ",A166&amp;" - ")-1),TRIM(A166)))</f>
        <v/>
      </c>
      <c r="N166">
        <f>IF(L166="","",IF(ISNUMBER(INDEX(A166:H166,$P$1)),INDEX(A166:H166,$P$1),IFERROR(_xlfn.NUMBERVALUE(INDEX(A166:H166,$P$1),".",","),0)))</f>
        <v/>
      </c>
    </row>
    <row r="167">
      <c r="L167">
        <f>IF(A167="","",IF(ISNUMBER(--LEFT(A167,FIND(" - ",A167&amp;" - ")-1)),LEFT(A167,FIND(" - ",A167&amp;" - ")-1),TRIM(A167)))</f>
        <v/>
      </c>
      <c r="N167">
        <f>IF(L167="","",IF(ISNUMBER(INDEX(A167:H167,$P$1)),INDEX(A167:H167,$P$1),IFERROR(_xlfn.NUMBERVALUE(INDEX(A167:H167,$P$1),".",","),0)))</f>
        <v/>
      </c>
    </row>
    <row r="168">
      <c r="L168">
        <f>IF(A168="","",IF(ISNUMBER(--LEFT(A168,FIND(" - ",A168&amp;" - ")-1)),LEFT(A168,FIND(" - ",A168&amp;" - ")-1),TRIM(A168)))</f>
        <v/>
      </c>
      <c r="N168">
        <f>IF(L168="","",IF(ISNUMBER(INDEX(A168:H168,$P$1)),INDEX(A168:H168,$P$1),IFERROR(_xlfn.NUMBERVALUE(INDEX(A168:H168,$P$1),".",","),0)))</f>
        <v/>
      </c>
    </row>
    <row r="169">
      <c r="L169">
        <f>IF(A169="","",IF(ISNUMBER(--LEFT(A169,FIND(" - ",A169&amp;" - ")-1)),LEFT(A169,FIND(" - ",A169&amp;" - ")-1),TRIM(A169)))</f>
        <v/>
      </c>
      <c r="N169">
        <f>IF(L169="","",IF(ISNUMBER(INDEX(A169:H169,$P$1)),INDEX(A169:H169,$P$1),IFERROR(_xlfn.NUMBERVALUE(INDEX(A169:H169,$P$1),".",","),0)))</f>
        <v/>
      </c>
    </row>
    <row r="170">
      <c r="L170">
        <f>IF(A170="","",IF(ISNUMBER(--LEFT(A170,FIND(" - ",A170&amp;" - ")-1)),LEFT(A170,FIND(" - ",A170&amp;" - ")-1),TRIM(A170)))</f>
        <v/>
      </c>
      <c r="N170">
        <f>IF(L170="","",IF(ISNUMBER(INDEX(A170:H170,$P$1)),INDEX(A170:H170,$P$1),IFERROR(_xlfn.NUMBERVALUE(INDEX(A170:H170,$P$1),".",","),0)))</f>
        <v/>
      </c>
    </row>
    <row r="171">
      <c r="L171">
        <f>IF(A171="","",IF(ISNUMBER(--LEFT(A171,FIND(" - ",A171&amp;" - ")-1)),LEFT(A171,FIND(" - ",A171&amp;" - ")-1),TRIM(A171)))</f>
        <v/>
      </c>
      <c r="N171">
        <f>IF(L171="","",IF(ISNUMBER(INDEX(A171:H171,$P$1)),INDEX(A171:H171,$P$1),IFERROR(_xlfn.NUMBERVALUE(INDEX(A171:H171,$P$1),".",","),0)))</f>
        <v/>
      </c>
    </row>
    <row r="172">
      <c r="L172">
        <f>IF(A172="","",IF(ISNUMBER(--LEFT(A172,FIND(" - ",A172&amp;" - ")-1)),LEFT(A172,FIND(" - ",A172&amp;" - ")-1),TRIM(A172)))</f>
        <v/>
      </c>
      <c r="N172">
        <f>IF(L172="","",IF(ISNUMBER(INDEX(A172:H172,$P$1)),INDEX(A172:H172,$P$1),IFERROR(_xlfn.NUMBERVALUE(INDEX(A172:H172,$P$1),".",","),0)))</f>
        <v/>
      </c>
    </row>
    <row r="173">
      <c r="L173">
        <f>IF(A173="","",IF(ISNUMBER(--LEFT(A173,FIND(" - ",A173&amp;" - ")-1)),LEFT(A173,FIND(" - ",A173&amp;" - ")-1),TRIM(A173)))</f>
        <v/>
      </c>
      <c r="N173">
        <f>IF(L173="","",IF(ISNUMBER(INDEX(A173:H173,$P$1)),INDEX(A173:H173,$P$1),IFERROR(_xlfn.NUMBERVALUE(INDEX(A173:H173,$P$1),".",","),0)))</f>
        <v/>
      </c>
    </row>
    <row r="174">
      <c r="L174">
        <f>IF(A174="","",IF(ISNUMBER(--LEFT(A174,FIND(" - ",A174&amp;" - ")-1)),LEFT(A174,FIND(" - ",A174&amp;" - ")-1),TRIM(A174)))</f>
        <v/>
      </c>
      <c r="N174">
        <f>IF(L174="","",IF(ISNUMBER(INDEX(A174:H174,$P$1)),INDEX(A174:H174,$P$1),IFERROR(_xlfn.NUMBERVALUE(INDEX(A174:H174,$P$1),".",","),0)))</f>
        <v/>
      </c>
    </row>
    <row r="175">
      <c r="L175">
        <f>IF(A175="","",IF(ISNUMBER(--LEFT(A175,FIND(" - ",A175&amp;" - ")-1)),LEFT(A175,FIND(" - ",A175&amp;" - ")-1),TRIM(A175)))</f>
        <v/>
      </c>
      <c r="N175">
        <f>IF(L175="","",IF(ISNUMBER(INDEX(A175:H175,$P$1)),INDEX(A175:H175,$P$1),IFERROR(_xlfn.NUMBERVALUE(INDEX(A175:H175,$P$1),".",","),0)))</f>
        <v/>
      </c>
    </row>
    <row r="176">
      <c r="L176">
        <f>IF(A176="","",IF(ISNUMBER(--LEFT(A176,FIND(" - ",A176&amp;" - ")-1)),LEFT(A176,FIND(" - ",A176&amp;" - ")-1),TRIM(A176)))</f>
        <v/>
      </c>
      <c r="N176">
        <f>IF(L176="","",IF(ISNUMBER(INDEX(A176:H176,$P$1)),INDEX(A176:H176,$P$1),IFERROR(_xlfn.NUMBERVALUE(INDEX(A176:H176,$P$1),".",","),0)))</f>
        <v/>
      </c>
    </row>
    <row r="177">
      <c r="L177">
        <f>IF(A177="","",IF(ISNUMBER(--LEFT(A177,FIND(" - ",A177&amp;" - ")-1)),LEFT(A177,FIND(" - ",A177&amp;" - ")-1),TRIM(A177)))</f>
        <v/>
      </c>
      <c r="N177">
        <f>IF(L177="","",IF(ISNUMBER(INDEX(A177:H177,$P$1)),INDEX(A177:H177,$P$1),IFERROR(_xlfn.NUMBERVALUE(INDEX(A177:H177,$P$1),".",","),0)))</f>
        <v/>
      </c>
    </row>
    <row r="178">
      <c r="L178">
        <f>IF(A178="","",IF(ISNUMBER(--LEFT(A178,FIND(" - ",A178&amp;" - ")-1)),LEFT(A178,FIND(" - ",A178&amp;" - ")-1),TRIM(A178)))</f>
        <v/>
      </c>
      <c r="N178">
        <f>IF(L178="","",IF(ISNUMBER(INDEX(A178:H178,$P$1)),INDEX(A178:H178,$P$1),IFERROR(_xlfn.NUMBERVALUE(INDEX(A178:H178,$P$1),".",","),0)))</f>
        <v/>
      </c>
    </row>
    <row r="179">
      <c r="L179">
        <f>IF(A179="","",IF(ISNUMBER(--LEFT(A179,FIND(" - ",A179&amp;" - ")-1)),LEFT(A179,FIND(" - ",A179&amp;" - ")-1),TRIM(A179)))</f>
        <v/>
      </c>
      <c r="N179">
        <f>IF(L179="","",IF(ISNUMBER(INDEX(A179:H179,$P$1)),INDEX(A179:H179,$P$1),IFERROR(_xlfn.NUMBERVALUE(INDEX(A179:H179,$P$1),".",","),0)))</f>
        <v/>
      </c>
    </row>
    <row r="180">
      <c r="L180">
        <f>IF(A180="","",IF(ISNUMBER(--LEFT(A180,FIND(" - ",A180&amp;" - ")-1)),LEFT(A180,FIND(" - ",A180&amp;" - ")-1),TRIM(A180)))</f>
        <v/>
      </c>
      <c r="N180">
        <f>IF(L180="","",IF(ISNUMBER(INDEX(A180:H180,$P$1)),INDEX(A180:H180,$P$1),IFERROR(_xlfn.NUMBERVALUE(INDEX(A180:H180,$P$1),".",","),0)))</f>
        <v/>
      </c>
    </row>
    <row r="181">
      <c r="L181">
        <f>IF(A181="","",IF(ISNUMBER(--LEFT(A181,FIND(" - ",A181&amp;" - ")-1)),LEFT(A181,FIND(" - ",A181&amp;" - ")-1),TRIM(A181)))</f>
        <v/>
      </c>
      <c r="N181">
        <f>IF(L181="","",IF(ISNUMBER(INDEX(A181:H181,$P$1)),INDEX(A181:H181,$P$1),IFERROR(_xlfn.NUMBERVALUE(INDEX(A181:H181,$P$1),".",","),0)))</f>
        <v/>
      </c>
    </row>
    <row r="182">
      <c r="L182">
        <f>IF(A182="","",IF(ISNUMBER(--LEFT(A182,FIND(" - ",A182&amp;" - ")-1)),LEFT(A182,FIND(" - ",A182&amp;" - ")-1),TRIM(A182)))</f>
        <v/>
      </c>
      <c r="N182">
        <f>IF(L182="","",IF(ISNUMBER(INDEX(A182:H182,$P$1)),INDEX(A182:H182,$P$1),IFERROR(_xlfn.NUMBERVALUE(INDEX(A182:H182,$P$1),".",","),0)))</f>
        <v/>
      </c>
    </row>
    <row r="183">
      <c r="L183">
        <f>IF(A183="","",IF(ISNUMBER(--LEFT(A183,FIND(" - ",A183&amp;" - ")-1)),LEFT(A183,FIND(" - ",A183&amp;" - ")-1),TRIM(A183)))</f>
        <v/>
      </c>
      <c r="N183">
        <f>IF(L183="","",IF(ISNUMBER(INDEX(A183:H183,$P$1)),INDEX(A183:H183,$P$1),IFERROR(_xlfn.NUMBERVALUE(INDEX(A183:H183,$P$1),".",","),0)))</f>
        <v/>
      </c>
    </row>
    <row r="184">
      <c r="L184">
        <f>IF(A184="","",IF(ISNUMBER(--LEFT(A184,FIND(" - ",A184&amp;" - ")-1)),LEFT(A184,FIND(" - ",A184&amp;" - ")-1),TRIM(A184)))</f>
        <v/>
      </c>
      <c r="N184">
        <f>IF(L184="","",IF(ISNUMBER(INDEX(A184:H184,$P$1)),INDEX(A184:H184,$P$1),IFERROR(_xlfn.NUMBERVALUE(INDEX(A184:H184,$P$1),".",","),0)))</f>
        <v/>
      </c>
    </row>
    <row r="185">
      <c r="L185">
        <f>IF(A185="","",IF(ISNUMBER(--LEFT(A185,FIND(" - ",A185&amp;" - ")-1)),LEFT(A185,FIND(" - ",A185&amp;" - ")-1),TRIM(A185)))</f>
        <v/>
      </c>
      <c r="N185">
        <f>IF(L185="","",IF(ISNUMBER(INDEX(A185:H185,$P$1)),INDEX(A185:H185,$P$1),IFERROR(_xlfn.NUMBERVALUE(INDEX(A185:H185,$P$1),".",","),0)))</f>
        <v/>
      </c>
    </row>
    <row r="186">
      <c r="L186">
        <f>IF(A186="","",IF(ISNUMBER(--LEFT(A186,FIND(" - ",A186&amp;" - ")-1)),LEFT(A186,FIND(" - ",A186&amp;" - ")-1),TRIM(A186)))</f>
        <v/>
      </c>
      <c r="N186">
        <f>IF(L186="","",IF(ISNUMBER(INDEX(A186:H186,$P$1)),INDEX(A186:H186,$P$1),IFERROR(_xlfn.NUMBERVALUE(INDEX(A186:H186,$P$1),".",","),0)))</f>
        <v/>
      </c>
    </row>
    <row r="187">
      <c r="L187">
        <f>IF(A187="","",IF(ISNUMBER(--LEFT(A187,FIND(" - ",A187&amp;" - ")-1)),LEFT(A187,FIND(" - ",A187&amp;" - ")-1),TRIM(A187)))</f>
        <v/>
      </c>
      <c r="N187">
        <f>IF(L187="","",IF(ISNUMBER(INDEX(A187:H187,$P$1)),INDEX(A187:H187,$P$1),IFERROR(_xlfn.NUMBERVALUE(INDEX(A187:H187,$P$1),".",","),0)))</f>
        <v/>
      </c>
    </row>
    <row r="188">
      <c r="L188">
        <f>IF(A188="","",IF(ISNUMBER(--LEFT(A188,FIND(" - ",A188&amp;" - ")-1)),LEFT(A188,FIND(" - ",A188&amp;" - ")-1),TRIM(A188)))</f>
        <v/>
      </c>
      <c r="N188">
        <f>IF(L188="","",IF(ISNUMBER(INDEX(A188:H188,$P$1)),INDEX(A188:H188,$P$1),IFERROR(_xlfn.NUMBERVALUE(INDEX(A188:H188,$P$1),".",","),0)))</f>
        <v/>
      </c>
    </row>
    <row r="189">
      <c r="L189">
        <f>IF(A189="","",IF(ISNUMBER(--LEFT(A189,FIND(" - ",A189&amp;" - ")-1)),LEFT(A189,FIND(" - ",A189&amp;" - ")-1),TRIM(A189)))</f>
        <v/>
      </c>
      <c r="N189">
        <f>IF(L189="","",IF(ISNUMBER(INDEX(A189:H189,$P$1)),INDEX(A189:H189,$P$1),IFERROR(_xlfn.NUMBERVALUE(INDEX(A189:H189,$P$1),".",","),0)))</f>
        <v/>
      </c>
    </row>
    <row r="190">
      <c r="L190">
        <f>IF(A190="","",IF(ISNUMBER(--LEFT(A190,FIND(" - ",A190&amp;" - ")-1)),LEFT(A190,FIND(" - ",A190&amp;" - ")-1),TRIM(A190)))</f>
        <v/>
      </c>
      <c r="N190">
        <f>IF(L190="","",IF(ISNUMBER(INDEX(A190:H190,$P$1)),INDEX(A190:H190,$P$1),IFERROR(_xlfn.NUMBERVALUE(INDEX(A190:H190,$P$1),".",","),0)))</f>
        <v/>
      </c>
    </row>
    <row r="191">
      <c r="L191">
        <f>IF(A191="","",IF(ISNUMBER(--LEFT(A191,FIND(" - ",A191&amp;" - ")-1)),LEFT(A191,FIND(" - ",A191&amp;" - ")-1),TRIM(A191)))</f>
        <v/>
      </c>
      <c r="N191">
        <f>IF(L191="","",IF(ISNUMBER(INDEX(A191:H191,$P$1)),INDEX(A191:H191,$P$1),IFERROR(_xlfn.NUMBERVALUE(INDEX(A191:H191,$P$1),".",","),0)))</f>
        <v/>
      </c>
    </row>
    <row r="192">
      <c r="L192">
        <f>IF(A192="","",IF(ISNUMBER(--LEFT(A192,FIND(" - ",A192&amp;" - ")-1)),LEFT(A192,FIND(" - ",A192&amp;" - ")-1),TRIM(A192)))</f>
        <v/>
      </c>
      <c r="N192">
        <f>IF(L192="","",IF(ISNUMBER(INDEX(A192:H192,$P$1)),INDEX(A192:H192,$P$1),IFERROR(_xlfn.NUMBERVALUE(INDEX(A192:H192,$P$1),".",","),0)))</f>
        <v/>
      </c>
    </row>
    <row r="193">
      <c r="L193">
        <f>IF(A193="","",IF(ISNUMBER(--LEFT(A193,FIND(" - ",A193&amp;" - ")-1)),LEFT(A193,FIND(" - ",A193&amp;" - ")-1),TRIM(A193)))</f>
        <v/>
      </c>
      <c r="N193">
        <f>IF(L193="","",IF(ISNUMBER(INDEX(A193:H193,$P$1)),INDEX(A193:H193,$P$1),IFERROR(_xlfn.NUMBERVALUE(INDEX(A193:H193,$P$1),".",","),0)))</f>
        <v/>
      </c>
    </row>
    <row r="194">
      <c r="L194">
        <f>IF(A194="","",IF(ISNUMBER(--LEFT(A194,FIND(" - ",A194&amp;" - ")-1)),LEFT(A194,FIND(" - ",A194&amp;" - ")-1),TRIM(A194)))</f>
        <v/>
      </c>
      <c r="N194">
        <f>IF(L194="","",IF(ISNUMBER(INDEX(A194:H194,$P$1)),INDEX(A194:H194,$P$1),IFERROR(_xlfn.NUMBERVALUE(INDEX(A194:H194,$P$1),".",","),0)))</f>
        <v/>
      </c>
    </row>
    <row r="195">
      <c r="L195">
        <f>IF(A195="","",IF(ISNUMBER(--LEFT(A195,FIND(" - ",A195&amp;" - ")-1)),LEFT(A195,FIND(" - ",A195&amp;" - ")-1),TRIM(A195)))</f>
        <v/>
      </c>
      <c r="N195">
        <f>IF(L195="","",IF(ISNUMBER(INDEX(A195:H195,$P$1)),INDEX(A195:H195,$P$1),IFERROR(_xlfn.NUMBERVALUE(INDEX(A195:H195,$P$1),".",","),0)))</f>
        <v/>
      </c>
    </row>
    <row r="196">
      <c r="L196">
        <f>IF(A196="","",IF(ISNUMBER(--LEFT(A196,FIND(" - ",A196&amp;" - ")-1)),LEFT(A196,FIND(" - ",A196&amp;" - ")-1),TRIM(A196)))</f>
        <v/>
      </c>
      <c r="N196">
        <f>IF(L196="","",IF(ISNUMBER(INDEX(A196:H196,$P$1)),INDEX(A196:H196,$P$1),IFERROR(_xlfn.NUMBERVALUE(INDEX(A196:H196,$P$1),".",","),0)))</f>
        <v/>
      </c>
    </row>
    <row r="197">
      <c r="L197">
        <f>IF(A197="","",IF(ISNUMBER(--LEFT(A197,FIND(" - ",A197&amp;" - ")-1)),LEFT(A197,FIND(" - ",A197&amp;" - ")-1),TRIM(A197)))</f>
        <v/>
      </c>
      <c r="N197">
        <f>IF(L197="","",IF(ISNUMBER(INDEX(A197:H197,$P$1)),INDEX(A197:H197,$P$1),IFERROR(_xlfn.NUMBERVALUE(INDEX(A197:H197,$P$1),".",","),0)))</f>
        <v/>
      </c>
    </row>
    <row r="198">
      <c r="L198">
        <f>IF(A198="","",IF(ISNUMBER(--LEFT(A198,FIND(" - ",A198&amp;" - ")-1)),LEFT(A198,FIND(" - ",A198&amp;" - ")-1),TRIM(A198)))</f>
        <v/>
      </c>
      <c r="N198">
        <f>IF(L198="","",IF(ISNUMBER(INDEX(A198:H198,$P$1)),INDEX(A198:H198,$P$1),IFERROR(_xlfn.NUMBERVALUE(INDEX(A198:H198,$P$1),".",","),0)))</f>
        <v/>
      </c>
    </row>
    <row r="199">
      <c r="L199">
        <f>IF(A199="","",IF(ISNUMBER(--LEFT(A199,FIND(" - ",A199&amp;" - ")-1)),LEFT(A199,FIND(" - ",A199&amp;" - ")-1),TRIM(A199)))</f>
        <v/>
      </c>
      <c r="N199">
        <f>IF(L199="","",IF(ISNUMBER(INDEX(A199:H199,$P$1)),INDEX(A199:H199,$P$1),IFERROR(_xlfn.NUMBERVALUE(INDEX(A199:H199,$P$1),".",","),0)))</f>
        <v/>
      </c>
    </row>
    <row r="200">
      <c r="L200">
        <f>IF(A200="","",IF(ISNUMBER(--LEFT(A200,FIND(" - ",A200&amp;" - ")-1)),LEFT(A200,FIND(" - ",A200&amp;" - ")-1),TRIM(A200)))</f>
        <v/>
      </c>
      <c r="N200">
        <f>IF(L200="","",IF(ISNUMBER(INDEX(A200:H200,$P$1)),INDEX(A200:H200,$P$1),IFERROR(_xlfn.NUMBERVALUE(INDEX(A200:H200,$P$1),".",","),0)))</f>
        <v/>
      </c>
    </row>
    <row r="201">
      <c r="L201">
        <f>IF(A201="","",IF(ISNUMBER(--LEFT(A201,FIND(" - ",A201&amp;" - ")-1)),LEFT(A201,FIND(" - ",A201&amp;" - ")-1),TRIM(A201)))</f>
        <v/>
      </c>
      <c r="N201">
        <f>IF(L201="","",IF(ISNUMBER(INDEX(A201:H201,$P$1)),INDEX(A201:H201,$P$1),IFERROR(_xlfn.NUMBERVALUE(INDEX(A201:H201,$P$1),".",","),0)))</f>
        <v/>
      </c>
    </row>
    <row r="202">
      <c r="L202">
        <f>IF(A202="","",IF(ISNUMBER(--LEFT(A202,FIND(" - ",A202&amp;" - ")-1)),LEFT(A202,FIND(" - ",A202&amp;" - ")-1),TRIM(A202)))</f>
        <v/>
      </c>
      <c r="N202">
        <f>IF(L202="","",IF(ISNUMBER(INDEX(A202:H202,$P$1)),INDEX(A202:H202,$P$1),IFERROR(_xlfn.NUMBERVALUE(INDEX(A202:H202,$P$1),".",","),0)))</f>
        <v/>
      </c>
    </row>
    <row r="203">
      <c r="L203">
        <f>IF(A203="","",IF(ISNUMBER(--LEFT(A203,FIND(" - ",A203&amp;" - ")-1)),LEFT(A203,FIND(" - ",A203&amp;" - ")-1),TRIM(A203)))</f>
        <v/>
      </c>
      <c r="N203">
        <f>IF(L203="","",IF(ISNUMBER(INDEX(A203:H203,$P$1)),INDEX(A203:H203,$P$1),IFERROR(_xlfn.NUMBERVALUE(INDEX(A203:H203,$P$1),".",","),0)))</f>
        <v/>
      </c>
    </row>
    <row r="204">
      <c r="L204">
        <f>IF(A204="","",IF(ISNUMBER(--LEFT(A204,FIND(" - ",A204&amp;" - ")-1)),LEFT(A204,FIND(" - ",A204&amp;" - ")-1),TRIM(A204)))</f>
        <v/>
      </c>
      <c r="N204">
        <f>IF(L204="","",IF(ISNUMBER(INDEX(A204:H204,$P$1)),INDEX(A204:H204,$P$1),IFERROR(_xlfn.NUMBERVALUE(INDEX(A204:H204,$P$1),".",","),0)))</f>
        <v/>
      </c>
    </row>
    <row r="205">
      <c r="L205">
        <f>IF(A205="","",IF(ISNUMBER(--LEFT(A205,FIND(" - ",A205&amp;" - ")-1)),LEFT(A205,FIND(" - ",A205&amp;" - ")-1),TRIM(A205)))</f>
        <v/>
      </c>
      <c r="N205">
        <f>IF(L205="","",IF(ISNUMBER(INDEX(A205:H205,$P$1)),INDEX(A205:H205,$P$1),IFERROR(_xlfn.NUMBERVALUE(INDEX(A205:H205,$P$1),".",","),0)))</f>
        <v/>
      </c>
    </row>
    <row r="206">
      <c r="L206">
        <f>IF(A206="","",IF(ISNUMBER(--LEFT(A206,FIND(" - ",A206&amp;" - ")-1)),LEFT(A206,FIND(" - ",A206&amp;" - ")-1),TRIM(A206)))</f>
        <v/>
      </c>
      <c r="N206">
        <f>IF(L206="","",IF(ISNUMBER(INDEX(A206:H206,$P$1)),INDEX(A206:H206,$P$1),IFERROR(_xlfn.NUMBERVALUE(INDEX(A206:H206,$P$1),".",","),0)))</f>
        <v/>
      </c>
    </row>
    <row r="207">
      <c r="L207">
        <f>IF(A207="","",IF(ISNUMBER(--LEFT(A207,FIND(" - ",A207&amp;" - ")-1)),LEFT(A207,FIND(" - ",A207&amp;" - ")-1),TRIM(A207)))</f>
        <v/>
      </c>
      <c r="N207">
        <f>IF(L207="","",IF(ISNUMBER(INDEX(A207:H207,$P$1)),INDEX(A207:H207,$P$1),IFERROR(_xlfn.NUMBERVALUE(INDEX(A207:H207,$P$1),".",","),0)))</f>
        <v/>
      </c>
    </row>
    <row r="208">
      <c r="L208">
        <f>IF(A208="","",IF(ISNUMBER(--LEFT(A208,FIND(" - ",A208&amp;" - ")-1)),LEFT(A208,FIND(" - ",A208&amp;" - ")-1),TRIM(A208)))</f>
        <v/>
      </c>
      <c r="N208">
        <f>IF(L208="","",IF(ISNUMBER(INDEX(A208:H208,$P$1)),INDEX(A208:H208,$P$1),IFERROR(_xlfn.NUMBERVALUE(INDEX(A208:H208,$P$1),".",","),0)))</f>
        <v/>
      </c>
    </row>
    <row r="209">
      <c r="L209">
        <f>IF(A209="","",IF(ISNUMBER(--LEFT(A209,FIND(" - ",A209&amp;" - ")-1)),LEFT(A209,FIND(" - ",A209&amp;" - ")-1),TRIM(A209)))</f>
        <v/>
      </c>
      <c r="N209">
        <f>IF(L209="","",IF(ISNUMBER(INDEX(A209:H209,$P$1)),INDEX(A209:H209,$P$1),IFERROR(_xlfn.NUMBERVALUE(INDEX(A209:H209,$P$1),".",","),0)))</f>
        <v/>
      </c>
    </row>
    <row r="210">
      <c r="L210">
        <f>IF(A210="","",IF(ISNUMBER(--LEFT(A210,FIND(" - ",A210&amp;" - ")-1)),LEFT(A210,FIND(" - ",A210&amp;" - ")-1),TRIM(A210)))</f>
        <v/>
      </c>
      <c r="N210">
        <f>IF(L210="","",IF(ISNUMBER(INDEX(A210:H210,$P$1)),INDEX(A210:H210,$P$1),IFERROR(_xlfn.NUMBERVALUE(INDEX(A210:H210,$P$1),".",","),0)))</f>
        <v/>
      </c>
    </row>
    <row r="211">
      <c r="L211">
        <f>IF(A211="","",IF(ISNUMBER(--LEFT(A211,FIND(" - ",A211&amp;" - ")-1)),LEFT(A211,FIND(" - ",A211&amp;" - ")-1),TRIM(A211)))</f>
        <v/>
      </c>
      <c r="N211">
        <f>IF(L211="","",IF(ISNUMBER(INDEX(A211:H211,$P$1)),INDEX(A211:H211,$P$1),IFERROR(_xlfn.NUMBERVALUE(INDEX(A211:H211,$P$1),".",","),0)))</f>
        <v/>
      </c>
    </row>
    <row r="212">
      <c r="L212">
        <f>IF(A212="","",IF(ISNUMBER(--LEFT(A212,FIND(" - ",A212&amp;" - ")-1)),LEFT(A212,FIND(" - ",A212&amp;" - ")-1),TRIM(A212)))</f>
        <v/>
      </c>
      <c r="N212">
        <f>IF(L212="","",IF(ISNUMBER(INDEX(A212:H212,$P$1)),INDEX(A212:H212,$P$1),IFERROR(_xlfn.NUMBERVALUE(INDEX(A212:H212,$P$1),".",","),0)))</f>
        <v/>
      </c>
    </row>
    <row r="213">
      <c r="L213">
        <f>IF(A213="","",IF(ISNUMBER(--LEFT(A213,FIND(" - ",A213&amp;" - ")-1)),LEFT(A213,FIND(" - ",A213&amp;" - ")-1),TRIM(A213)))</f>
        <v/>
      </c>
      <c r="N213">
        <f>IF(L213="","",IF(ISNUMBER(INDEX(A213:H213,$P$1)),INDEX(A213:H213,$P$1),IFERROR(_xlfn.NUMBERVALUE(INDEX(A213:H213,$P$1),".",","),0)))</f>
        <v/>
      </c>
    </row>
    <row r="214">
      <c r="L214">
        <f>IF(A214="","",IF(ISNUMBER(--LEFT(A214,FIND(" - ",A214&amp;" - ")-1)),LEFT(A214,FIND(" - ",A214&amp;" - ")-1),TRIM(A214)))</f>
        <v/>
      </c>
      <c r="N214">
        <f>IF(L214="","",IF(ISNUMBER(INDEX(A214:H214,$P$1)),INDEX(A214:H214,$P$1),IFERROR(_xlfn.NUMBERVALUE(INDEX(A214:H214,$P$1),".",","),0)))</f>
        <v/>
      </c>
    </row>
    <row r="215">
      <c r="L215">
        <f>IF(A215="","",IF(ISNUMBER(--LEFT(A215,FIND(" - ",A215&amp;" - ")-1)),LEFT(A215,FIND(" - ",A215&amp;" - ")-1),TRIM(A215)))</f>
        <v/>
      </c>
      <c r="N215">
        <f>IF(L215="","",IF(ISNUMBER(INDEX(A215:H215,$P$1)),INDEX(A215:H215,$P$1),IFERROR(_xlfn.NUMBERVALUE(INDEX(A215:H215,$P$1),".",","),0)))</f>
        <v/>
      </c>
    </row>
    <row r="216">
      <c r="L216">
        <f>IF(A216="","",IF(ISNUMBER(--LEFT(A216,FIND(" - ",A216&amp;" - ")-1)),LEFT(A216,FIND(" - ",A216&amp;" - ")-1),TRIM(A216)))</f>
        <v/>
      </c>
      <c r="N216">
        <f>IF(L216="","",IF(ISNUMBER(INDEX(A216:H216,$P$1)),INDEX(A216:H216,$P$1),IFERROR(_xlfn.NUMBERVALUE(INDEX(A216:H216,$P$1),".",","),0)))</f>
        <v/>
      </c>
    </row>
    <row r="217">
      <c r="L217">
        <f>IF(A217="","",IF(ISNUMBER(--LEFT(A217,FIND(" - ",A217&amp;" - ")-1)),LEFT(A217,FIND(" - ",A217&amp;" - ")-1),TRIM(A217)))</f>
        <v/>
      </c>
      <c r="N217">
        <f>IF(L217="","",IF(ISNUMBER(INDEX(A217:H217,$P$1)),INDEX(A217:H217,$P$1),IFERROR(_xlfn.NUMBERVALUE(INDEX(A217:H217,$P$1),".",","),0)))</f>
        <v/>
      </c>
    </row>
    <row r="218">
      <c r="L218">
        <f>IF(A218="","",IF(ISNUMBER(--LEFT(A218,FIND(" - ",A218&amp;" - ")-1)),LEFT(A218,FIND(" - ",A218&amp;" - ")-1),TRIM(A218)))</f>
        <v/>
      </c>
      <c r="N218">
        <f>IF(L218="","",IF(ISNUMBER(INDEX(A218:H218,$P$1)),INDEX(A218:H218,$P$1),IFERROR(_xlfn.NUMBERVALUE(INDEX(A218:H218,$P$1),".",","),0)))</f>
        <v/>
      </c>
    </row>
    <row r="219">
      <c r="L219">
        <f>IF(A219="","",IF(ISNUMBER(--LEFT(A219,FIND(" - ",A219&amp;" - ")-1)),LEFT(A219,FIND(" - ",A219&amp;" - ")-1),TRIM(A219)))</f>
        <v/>
      </c>
      <c r="N219">
        <f>IF(L219="","",IF(ISNUMBER(INDEX(A219:H219,$P$1)),INDEX(A219:H219,$P$1),IFERROR(_xlfn.NUMBERVALUE(INDEX(A219:H219,$P$1),".",","),0)))</f>
        <v/>
      </c>
    </row>
    <row r="220">
      <c r="L220">
        <f>IF(A220="","",IF(ISNUMBER(--LEFT(A220,FIND(" - ",A220&amp;" - ")-1)),LEFT(A220,FIND(" - ",A220&amp;" - ")-1),TRIM(A220)))</f>
        <v/>
      </c>
      <c r="N220">
        <f>IF(L220="","",IF(ISNUMBER(INDEX(A220:H220,$P$1)),INDEX(A220:H220,$P$1),IFERROR(_xlfn.NUMBERVALUE(INDEX(A220:H220,$P$1),".",","),0)))</f>
        <v/>
      </c>
    </row>
    <row r="221">
      <c r="L221">
        <f>IF(A221="","",IF(ISNUMBER(--LEFT(A221,FIND(" - ",A221&amp;" - ")-1)),LEFT(A221,FIND(" - ",A221&amp;" - ")-1),TRIM(A221)))</f>
        <v/>
      </c>
      <c r="N221">
        <f>IF(L221="","",IF(ISNUMBER(INDEX(A221:H221,$P$1)),INDEX(A221:H221,$P$1),IFERROR(_xlfn.NUMBERVALUE(INDEX(A221:H221,$P$1),".",","),0)))</f>
        <v/>
      </c>
    </row>
    <row r="222">
      <c r="L222">
        <f>IF(A222="","",IF(ISNUMBER(--LEFT(A222,FIND(" - ",A222&amp;" - ")-1)),LEFT(A222,FIND(" - ",A222&amp;" - ")-1),TRIM(A222)))</f>
        <v/>
      </c>
      <c r="N222">
        <f>IF(L222="","",IF(ISNUMBER(INDEX(A222:H222,$P$1)),INDEX(A222:H222,$P$1),IFERROR(_xlfn.NUMBERVALUE(INDEX(A222:H222,$P$1),".",","),0)))</f>
        <v/>
      </c>
    </row>
    <row r="223">
      <c r="L223">
        <f>IF(A223="","",IF(ISNUMBER(--LEFT(A223,FIND(" - ",A223&amp;" - ")-1)),LEFT(A223,FIND(" - ",A223&amp;" - ")-1),TRIM(A223)))</f>
        <v/>
      </c>
      <c r="N223">
        <f>IF(L223="","",IF(ISNUMBER(INDEX(A223:H223,$P$1)),INDEX(A223:H223,$P$1),IFERROR(_xlfn.NUMBERVALUE(INDEX(A223:H223,$P$1),".",","),0)))</f>
        <v/>
      </c>
    </row>
    <row r="224">
      <c r="L224">
        <f>IF(A224="","",IF(ISNUMBER(--LEFT(A224,FIND(" - ",A224&amp;" - ")-1)),LEFT(A224,FIND(" - ",A224&amp;" - ")-1),TRIM(A224)))</f>
        <v/>
      </c>
      <c r="N224">
        <f>IF(L224="","",IF(ISNUMBER(INDEX(A224:H224,$P$1)),INDEX(A224:H224,$P$1),IFERROR(_xlfn.NUMBERVALUE(INDEX(A224:H224,$P$1),".",","),0)))</f>
        <v/>
      </c>
    </row>
    <row r="225">
      <c r="L225">
        <f>IF(A225="","",IF(ISNUMBER(--LEFT(A225,FIND(" - ",A225&amp;" - ")-1)),LEFT(A225,FIND(" - ",A225&amp;" - ")-1),TRIM(A225)))</f>
        <v/>
      </c>
      <c r="N225">
        <f>IF(L225="","",IF(ISNUMBER(INDEX(A225:H225,$P$1)),INDEX(A225:H225,$P$1),IFERROR(_xlfn.NUMBERVALUE(INDEX(A225:H225,$P$1),".",","),0)))</f>
        <v/>
      </c>
    </row>
    <row r="226">
      <c r="L226">
        <f>IF(A226="","",IF(ISNUMBER(--LEFT(A226,FIND(" - ",A226&amp;" - ")-1)),LEFT(A226,FIND(" - ",A226&amp;" - ")-1),TRIM(A226)))</f>
        <v/>
      </c>
      <c r="N226">
        <f>IF(L226="","",IF(ISNUMBER(INDEX(A226:H226,$P$1)),INDEX(A226:H226,$P$1),IFERROR(_xlfn.NUMBERVALUE(INDEX(A226:H226,$P$1),".",","),0)))</f>
        <v/>
      </c>
    </row>
    <row r="227">
      <c r="L227">
        <f>IF(A227="","",IF(ISNUMBER(--LEFT(A227,FIND(" - ",A227&amp;" - ")-1)),LEFT(A227,FIND(" - ",A227&amp;" - ")-1),TRIM(A227)))</f>
        <v/>
      </c>
      <c r="N227">
        <f>IF(L227="","",IF(ISNUMBER(INDEX(A227:H227,$P$1)),INDEX(A227:H227,$P$1),IFERROR(_xlfn.NUMBERVALUE(INDEX(A227:H227,$P$1),".",","),0)))</f>
        <v/>
      </c>
    </row>
    <row r="228">
      <c r="L228">
        <f>IF(A228="","",IF(ISNUMBER(--LEFT(A228,FIND(" - ",A228&amp;" - ")-1)),LEFT(A228,FIND(" - ",A228&amp;" - ")-1),TRIM(A228)))</f>
        <v/>
      </c>
      <c r="N228">
        <f>IF(L228="","",IF(ISNUMBER(INDEX(A228:H228,$P$1)),INDEX(A228:H228,$P$1),IFERROR(_xlfn.NUMBERVALUE(INDEX(A228:H228,$P$1),".",","),0)))</f>
        <v/>
      </c>
    </row>
    <row r="229">
      <c r="L229">
        <f>IF(A229="","",IF(ISNUMBER(--LEFT(A229,FIND(" - ",A229&amp;" - ")-1)),LEFT(A229,FIND(" - ",A229&amp;" - ")-1),TRIM(A229)))</f>
        <v/>
      </c>
      <c r="N229">
        <f>IF(L229="","",IF(ISNUMBER(INDEX(A229:H229,$P$1)),INDEX(A229:H229,$P$1),IFERROR(_xlfn.NUMBERVALUE(INDEX(A229:H229,$P$1),".",","),0)))</f>
        <v/>
      </c>
    </row>
    <row r="230">
      <c r="L230">
        <f>IF(A230="","",IF(ISNUMBER(--LEFT(A230,FIND(" - ",A230&amp;" - ")-1)),LEFT(A230,FIND(" - ",A230&amp;" - ")-1),TRIM(A230)))</f>
        <v/>
      </c>
      <c r="N230">
        <f>IF(L230="","",IF(ISNUMBER(INDEX(A230:H230,$P$1)),INDEX(A230:H230,$P$1),IFERROR(_xlfn.NUMBERVALUE(INDEX(A230:H230,$P$1),".",","),0)))</f>
        <v/>
      </c>
    </row>
    <row r="231">
      <c r="L231">
        <f>IF(A231="","",IF(ISNUMBER(--LEFT(A231,FIND(" - ",A231&amp;" - ")-1)),LEFT(A231,FIND(" - ",A231&amp;" - ")-1),TRIM(A231)))</f>
        <v/>
      </c>
      <c r="N231">
        <f>IF(L231="","",IF(ISNUMBER(INDEX(A231:H231,$P$1)),INDEX(A231:H231,$P$1),IFERROR(_xlfn.NUMBERVALUE(INDEX(A231:H231,$P$1),".",","),0)))</f>
        <v/>
      </c>
    </row>
    <row r="232">
      <c r="L232">
        <f>IF(A232="","",IF(ISNUMBER(--LEFT(A232,FIND(" - ",A232&amp;" - ")-1)),LEFT(A232,FIND(" - ",A232&amp;" - ")-1),TRIM(A232)))</f>
        <v/>
      </c>
      <c r="N232">
        <f>IF(L232="","",IF(ISNUMBER(INDEX(A232:H232,$P$1)),INDEX(A232:H232,$P$1),IFERROR(_xlfn.NUMBERVALUE(INDEX(A232:H232,$P$1),".",","),0)))</f>
        <v/>
      </c>
    </row>
    <row r="233">
      <c r="L233">
        <f>IF(A233="","",IF(ISNUMBER(--LEFT(A233,FIND(" - ",A233&amp;" - ")-1)),LEFT(A233,FIND(" - ",A233&amp;" - ")-1),TRIM(A233)))</f>
        <v/>
      </c>
      <c r="N233">
        <f>IF(L233="","",IF(ISNUMBER(INDEX(A233:H233,$P$1)),INDEX(A233:H233,$P$1),IFERROR(_xlfn.NUMBERVALUE(INDEX(A233:H233,$P$1),".",","),0)))</f>
        <v/>
      </c>
    </row>
    <row r="234">
      <c r="L234">
        <f>IF(A234="","",IF(ISNUMBER(--LEFT(A234,FIND(" - ",A234&amp;" - ")-1)),LEFT(A234,FIND(" - ",A234&amp;" - ")-1),TRIM(A234)))</f>
        <v/>
      </c>
      <c r="N234">
        <f>IF(L234="","",IF(ISNUMBER(INDEX(A234:H234,$P$1)),INDEX(A234:H234,$P$1),IFERROR(_xlfn.NUMBERVALUE(INDEX(A234:H234,$P$1),".",","),0)))</f>
        <v/>
      </c>
    </row>
    <row r="235">
      <c r="L235">
        <f>IF(A235="","",IF(ISNUMBER(--LEFT(A235,FIND(" - ",A235&amp;" - ")-1)),LEFT(A235,FIND(" - ",A235&amp;" - ")-1),TRIM(A235)))</f>
        <v/>
      </c>
      <c r="N235">
        <f>IF(L235="","",IF(ISNUMBER(INDEX(A235:H235,$P$1)),INDEX(A235:H235,$P$1),IFERROR(_xlfn.NUMBERVALUE(INDEX(A235:H235,$P$1),".",","),0)))</f>
        <v/>
      </c>
    </row>
    <row r="236">
      <c r="L236">
        <f>IF(A236="","",IF(ISNUMBER(--LEFT(A236,FIND(" - ",A236&amp;" - ")-1)),LEFT(A236,FIND(" - ",A236&amp;" - ")-1),TRIM(A236)))</f>
        <v/>
      </c>
      <c r="N236">
        <f>IF(L236="","",IF(ISNUMBER(INDEX(A236:H236,$P$1)),INDEX(A236:H236,$P$1),IFERROR(_xlfn.NUMBERVALUE(INDEX(A236:H236,$P$1),".",","),0)))</f>
        <v/>
      </c>
    </row>
    <row r="237">
      <c r="L237">
        <f>IF(A237="","",IF(ISNUMBER(--LEFT(A237,FIND(" - ",A237&amp;" - ")-1)),LEFT(A237,FIND(" - ",A237&amp;" - ")-1),TRIM(A237)))</f>
        <v/>
      </c>
      <c r="N237">
        <f>IF(L237="","",IF(ISNUMBER(INDEX(A237:H237,$P$1)),INDEX(A237:H237,$P$1),IFERROR(_xlfn.NUMBERVALUE(INDEX(A237:H237,$P$1),".",","),0)))</f>
        <v/>
      </c>
    </row>
    <row r="238">
      <c r="L238">
        <f>IF(A238="","",IF(ISNUMBER(--LEFT(A238,FIND(" - ",A238&amp;" - ")-1)),LEFT(A238,FIND(" - ",A238&amp;" - ")-1),TRIM(A238)))</f>
        <v/>
      </c>
      <c r="N238">
        <f>IF(L238="","",IF(ISNUMBER(INDEX(A238:H238,$P$1)),INDEX(A238:H238,$P$1),IFERROR(_xlfn.NUMBERVALUE(INDEX(A238:H238,$P$1),".",","),0)))</f>
        <v/>
      </c>
    </row>
    <row r="239">
      <c r="L239">
        <f>IF(A239="","",IF(ISNUMBER(--LEFT(A239,FIND(" - ",A239&amp;" - ")-1)),LEFT(A239,FIND(" - ",A239&amp;" - ")-1),TRIM(A239)))</f>
        <v/>
      </c>
      <c r="N239">
        <f>IF(L239="","",IF(ISNUMBER(INDEX(A239:H239,$P$1)),INDEX(A239:H239,$P$1),IFERROR(_xlfn.NUMBERVALUE(INDEX(A239:H239,$P$1),".",","),0)))</f>
        <v/>
      </c>
    </row>
    <row r="240">
      <c r="L240">
        <f>IF(A240="","",IF(ISNUMBER(--LEFT(A240,FIND(" - ",A240&amp;" - ")-1)),LEFT(A240,FIND(" - ",A240&amp;" - ")-1),TRIM(A240)))</f>
        <v/>
      </c>
      <c r="N240">
        <f>IF(L240="","",IF(ISNUMBER(INDEX(A240:H240,$P$1)),INDEX(A240:H240,$P$1),IFERROR(_xlfn.NUMBERVALUE(INDEX(A240:H240,$P$1),".",","),0)))</f>
        <v/>
      </c>
    </row>
    <row r="241">
      <c r="L241">
        <f>IF(A241="","",IF(ISNUMBER(--LEFT(A241,FIND(" - ",A241&amp;" - ")-1)),LEFT(A241,FIND(" - ",A241&amp;" - ")-1),TRIM(A241)))</f>
        <v/>
      </c>
      <c r="N241">
        <f>IF(L241="","",IF(ISNUMBER(INDEX(A241:H241,$P$1)),INDEX(A241:H241,$P$1),IFERROR(_xlfn.NUMBERVALUE(INDEX(A241:H241,$P$1),".",","),0)))</f>
        <v/>
      </c>
    </row>
    <row r="242">
      <c r="L242">
        <f>IF(A242="","",IF(ISNUMBER(--LEFT(A242,FIND(" - ",A242&amp;" - ")-1)),LEFT(A242,FIND(" - ",A242&amp;" - ")-1),TRIM(A242)))</f>
        <v/>
      </c>
      <c r="N242">
        <f>IF(L242="","",IF(ISNUMBER(INDEX(A242:H242,$P$1)),INDEX(A242:H242,$P$1),IFERROR(_xlfn.NUMBERVALUE(INDEX(A242:H242,$P$1),".",","),0)))</f>
        <v/>
      </c>
    </row>
    <row r="243">
      <c r="L243">
        <f>IF(A243="","",IF(ISNUMBER(--LEFT(A243,FIND(" - ",A243&amp;" - ")-1)),LEFT(A243,FIND(" - ",A243&amp;" - ")-1),TRIM(A243)))</f>
        <v/>
      </c>
      <c r="N243">
        <f>IF(L243="","",IF(ISNUMBER(INDEX(A243:H243,$P$1)),INDEX(A243:H243,$P$1),IFERROR(_xlfn.NUMBERVALUE(INDEX(A243:H243,$P$1),".",","),0)))</f>
        <v/>
      </c>
    </row>
    <row r="244">
      <c r="L244">
        <f>IF(A244="","",IF(ISNUMBER(--LEFT(A244,FIND(" - ",A244&amp;" - ")-1)),LEFT(A244,FIND(" - ",A244&amp;" - ")-1),TRIM(A244)))</f>
        <v/>
      </c>
      <c r="N244">
        <f>IF(L244="","",IF(ISNUMBER(INDEX(A244:H244,$P$1)),INDEX(A244:H244,$P$1),IFERROR(_xlfn.NUMBERVALUE(INDEX(A244:H244,$P$1),".",","),0)))</f>
        <v/>
      </c>
    </row>
    <row r="245">
      <c r="L245">
        <f>IF(A245="","",IF(ISNUMBER(--LEFT(A245,FIND(" - ",A245&amp;" - ")-1)),LEFT(A245,FIND(" - ",A245&amp;" - ")-1),TRIM(A245)))</f>
        <v/>
      </c>
      <c r="N245">
        <f>IF(L245="","",IF(ISNUMBER(INDEX(A245:H245,$P$1)),INDEX(A245:H245,$P$1),IFERROR(_xlfn.NUMBERVALUE(INDEX(A245:H245,$P$1),".",","),0)))</f>
        <v/>
      </c>
    </row>
    <row r="246">
      <c r="L246">
        <f>IF(A246="","",IF(ISNUMBER(--LEFT(A246,FIND(" - ",A246&amp;" - ")-1)),LEFT(A246,FIND(" - ",A246&amp;" - ")-1),TRIM(A246)))</f>
        <v/>
      </c>
      <c r="N246">
        <f>IF(L246="","",IF(ISNUMBER(INDEX(A246:H246,$P$1)),INDEX(A246:H246,$P$1),IFERROR(_xlfn.NUMBERVALUE(INDEX(A246:H246,$P$1),".",","),0)))</f>
        <v/>
      </c>
    </row>
    <row r="247">
      <c r="L247">
        <f>IF(A247="","",IF(ISNUMBER(--LEFT(A247,FIND(" - ",A247&amp;" - ")-1)),LEFT(A247,FIND(" - ",A247&amp;" - ")-1),TRIM(A247)))</f>
        <v/>
      </c>
      <c r="N247">
        <f>IF(L247="","",IF(ISNUMBER(INDEX(A247:H247,$P$1)),INDEX(A247:H247,$P$1),IFERROR(_xlfn.NUMBERVALUE(INDEX(A247:H247,$P$1),".",","),0)))</f>
        <v/>
      </c>
    </row>
    <row r="248">
      <c r="L248">
        <f>IF(A248="","",IF(ISNUMBER(--LEFT(A248,FIND(" - ",A248&amp;" - ")-1)),LEFT(A248,FIND(" - ",A248&amp;" - ")-1),TRIM(A248)))</f>
        <v/>
      </c>
      <c r="N248">
        <f>IF(L248="","",IF(ISNUMBER(INDEX(A248:H248,$P$1)),INDEX(A248:H248,$P$1),IFERROR(_xlfn.NUMBERVALUE(INDEX(A248:H248,$P$1),".",","),0)))</f>
        <v/>
      </c>
    </row>
    <row r="249">
      <c r="L249">
        <f>IF(A249="","",IF(ISNUMBER(--LEFT(A249,FIND(" - ",A249&amp;" - ")-1)),LEFT(A249,FIND(" - ",A249&amp;" - ")-1),TRIM(A249)))</f>
        <v/>
      </c>
      <c r="N249">
        <f>IF(L249="","",IF(ISNUMBER(INDEX(A249:H249,$P$1)),INDEX(A249:H249,$P$1),IFERROR(_xlfn.NUMBERVALUE(INDEX(A249:H249,$P$1),".",","),0)))</f>
        <v/>
      </c>
    </row>
    <row r="250">
      <c r="L250">
        <f>IF(A250="","",IF(ISNUMBER(--LEFT(A250,FIND(" - ",A250&amp;" - ")-1)),LEFT(A250,FIND(" - ",A250&amp;" - ")-1),TRIM(A250)))</f>
        <v/>
      </c>
      <c r="N250">
        <f>IF(L250="","",IF(ISNUMBER(INDEX(A250:H250,$P$1)),INDEX(A250:H250,$P$1),IFERROR(_xlfn.NUMBERVALUE(INDEX(A250:H250,$P$1),".",","),0)))</f>
        <v/>
      </c>
    </row>
    <row r="251">
      <c r="L251">
        <f>IF(A251="","",IF(ISNUMBER(--LEFT(A251,FIND(" - ",A251&amp;" - ")-1)),LEFT(A251,FIND(" - ",A251&amp;" - ")-1),TRIM(A251)))</f>
        <v/>
      </c>
      <c r="N251">
        <f>IF(L251="","",IF(ISNUMBER(INDEX(A251:H251,$P$1)),INDEX(A251:H251,$P$1),IFERROR(_xlfn.NUMBERVALUE(INDEX(A251:H251,$P$1),".",","),0)))</f>
        <v/>
      </c>
    </row>
    <row r="252">
      <c r="L252">
        <f>IF(A252="","",IF(ISNUMBER(--LEFT(A252,FIND(" - ",A252&amp;" - ")-1)),LEFT(A252,FIND(" - ",A252&amp;" - ")-1),TRIM(A252)))</f>
        <v/>
      </c>
      <c r="N252">
        <f>IF(L252="","",IF(ISNUMBER(INDEX(A252:H252,$P$1)),INDEX(A252:H252,$P$1),IFERROR(_xlfn.NUMBERVALUE(INDEX(A252:H252,$P$1),".",","),0)))</f>
        <v/>
      </c>
    </row>
    <row r="253">
      <c r="L253">
        <f>IF(A253="","",IF(ISNUMBER(--LEFT(A253,FIND(" - ",A253&amp;" - ")-1)),LEFT(A253,FIND(" - ",A253&amp;" - ")-1),TRIM(A253)))</f>
        <v/>
      </c>
      <c r="N253">
        <f>IF(L253="","",IF(ISNUMBER(INDEX(A253:H253,$P$1)),INDEX(A253:H253,$P$1),IFERROR(_xlfn.NUMBERVALUE(INDEX(A253:H253,$P$1),".",","),0)))</f>
        <v/>
      </c>
    </row>
    <row r="254">
      <c r="L254">
        <f>IF(A254="","",IF(ISNUMBER(--LEFT(A254,FIND(" - ",A254&amp;" - ")-1)),LEFT(A254,FIND(" - ",A254&amp;" - ")-1),TRIM(A254)))</f>
        <v/>
      </c>
      <c r="N254">
        <f>IF(L254="","",IF(ISNUMBER(INDEX(A254:H254,$P$1)),INDEX(A254:H254,$P$1),IFERROR(_xlfn.NUMBERVALUE(INDEX(A254:H254,$P$1),".",","),0)))</f>
        <v/>
      </c>
    </row>
    <row r="255">
      <c r="L255">
        <f>IF(A255="","",IF(ISNUMBER(--LEFT(A255,FIND(" - ",A255&amp;" - ")-1)),LEFT(A255,FIND(" - ",A255&amp;" - ")-1),TRIM(A255)))</f>
        <v/>
      </c>
      <c r="N255">
        <f>IF(L255="","",IF(ISNUMBER(INDEX(A255:H255,$P$1)),INDEX(A255:H255,$P$1),IFERROR(_xlfn.NUMBERVALUE(INDEX(A255:H255,$P$1),".",","),0)))</f>
        <v/>
      </c>
    </row>
    <row r="256">
      <c r="L256">
        <f>IF(A256="","",IF(ISNUMBER(--LEFT(A256,FIND(" - ",A256&amp;" - ")-1)),LEFT(A256,FIND(" - ",A256&amp;" - ")-1),TRIM(A256)))</f>
        <v/>
      </c>
      <c r="N256">
        <f>IF(L256="","",IF(ISNUMBER(INDEX(A256:H256,$P$1)),INDEX(A256:H256,$P$1),IFERROR(_xlfn.NUMBERVALUE(INDEX(A256:H256,$P$1),".",","),0)))</f>
        <v/>
      </c>
    </row>
    <row r="257">
      <c r="L257">
        <f>IF(A257="","",IF(ISNUMBER(--LEFT(A257,FIND(" - ",A257&amp;" - ")-1)),LEFT(A257,FIND(" - ",A257&amp;" - ")-1),TRIM(A257)))</f>
        <v/>
      </c>
      <c r="N257">
        <f>IF(L257="","",IF(ISNUMBER(INDEX(A257:H257,$P$1)),INDEX(A257:H257,$P$1),IFERROR(_xlfn.NUMBERVALUE(INDEX(A257:H257,$P$1),".",","),0)))</f>
        <v/>
      </c>
    </row>
    <row r="258">
      <c r="L258">
        <f>IF(A258="","",IF(ISNUMBER(--LEFT(A258,FIND(" - ",A258&amp;" - ")-1)),LEFT(A258,FIND(" - ",A258&amp;" - ")-1),TRIM(A258)))</f>
        <v/>
      </c>
      <c r="N258">
        <f>IF(L258="","",IF(ISNUMBER(INDEX(A258:H258,$P$1)),INDEX(A258:H258,$P$1),IFERROR(_xlfn.NUMBERVALUE(INDEX(A258:H258,$P$1),".",","),0)))</f>
        <v/>
      </c>
    </row>
    <row r="259">
      <c r="L259">
        <f>IF(A259="","",IF(ISNUMBER(--LEFT(A259,FIND(" - ",A259&amp;" - ")-1)),LEFT(A259,FIND(" - ",A259&amp;" - ")-1),TRIM(A259)))</f>
        <v/>
      </c>
      <c r="N259">
        <f>IF(L259="","",IF(ISNUMBER(INDEX(A259:H259,$P$1)),INDEX(A259:H259,$P$1),IFERROR(_xlfn.NUMBERVALUE(INDEX(A259:H259,$P$1),".",","),0)))</f>
        <v/>
      </c>
    </row>
    <row r="260">
      <c r="L260">
        <f>IF(A260="","",IF(ISNUMBER(--LEFT(A260,FIND(" - ",A260&amp;" - ")-1)),LEFT(A260,FIND(" - ",A260&amp;" - ")-1),TRIM(A260)))</f>
        <v/>
      </c>
      <c r="N260">
        <f>IF(L260="","",IF(ISNUMBER(INDEX(A260:H260,$P$1)),INDEX(A260:H260,$P$1),IFERROR(_xlfn.NUMBERVALUE(INDEX(A260:H260,$P$1),".",","),0)))</f>
        <v/>
      </c>
    </row>
    <row r="261">
      <c r="L261">
        <f>IF(A261="","",IF(ISNUMBER(--LEFT(A261,FIND(" - ",A261&amp;" - ")-1)),LEFT(A261,FIND(" - ",A261&amp;" - ")-1),TRIM(A261)))</f>
        <v/>
      </c>
      <c r="N261">
        <f>IF(L261="","",IF(ISNUMBER(INDEX(A261:H261,$P$1)),INDEX(A261:H261,$P$1),IFERROR(_xlfn.NUMBERVALUE(INDEX(A261:H261,$P$1),".",","),0)))</f>
        <v/>
      </c>
    </row>
    <row r="262">
      <c r="L262">
        <f>IF(A262="","",IF(ISNUMBER(--LEFT(A262,FIND(" - ",A262&amp;" - ")-1)),LEFT(A262,FIND(" - ",A262&amp;" - ")-1),TRIM(A262)))</f>
        <v/>
      </c>
      <c r="N262">
        <f>IF(L262="","",IF(ISNUMBER(INDEX(A262:H262,$P$1)),INDEX(A262:H262,$P$1),IFERROR(_xlfn.NUMBERVALUE(INDEX(A262:H262,$P$1),".",","),0)))</f>
        <v/>
      </c>
    </row>
    <row r="263">
      <c r="L263">
        <f>IF(A263="","",IF(ISNUMBER(--LEFT(A263,FIND(" - ",A263&amp;" - ")-1)),LEFT(A263,FIND(" - ",A263&amp;" - ")-1),TRIM(A263)))</f>
        <v/>
      </c>
      <c r="N263">
        <f>IF(L263="","",IF(ISNUMBER(INDEX(A263:H263,$P$1)),INDEX(A263:H263,$P$1),IFERROR(_xlfn.NUMBERVALUE(INDEX(A263:H263,$P$1),".",","),0)))</f>
        <v/>
      </c>
    </row>
    <row r="264">
      <c r="L264">
        <f>IF(A264="","",IF(ISNUMBER(--LEFT(A264,FIND(" - ",A264&amp;" - ")-1)),LEFT(A264,FIND(" - ",A264&amp;" - ")-1),TRIM(A264)))</f>
        <v/>
      </c>
      <c r="N264">
        <f>IF(L264="","",IF(ISNUMBER(INDEX(A264:H264,$P$1)),INDEX(A264:H264,$P$1),IFERROR(_xlfn.NUMBERVALUE(INDEX(A264:H264,$P$1),".",","),0)))</f>
        <v/>
      </c>
    </row>
    <row r="265">
      <c r="L265">
        <f>IF(A265="","",IF(ISNUMBER(--LEFT(A265,FIND(" - ",A265&amp;" - ")-1)),LEFT(A265,FIND(" - ",A265&amp;" - ")-1),TRIM(A265)))</f>
        <v/>
      </c>
      <c r="N265">
        <f>IF(L265="","",IF(ISNUMBER(INDEX(A265:H265,$P$1)),INDEX(A265:H265,$P$1),IFERROR(_xlfn.NUMBERVALUE(INDEX(A265:H265,$P$1),".",","),0)))</f>
        <v/>
      </c>
    </row>
    <row r="266">
      <c r="L266">
        <f>IF(A266="","",IF(ISNUMBER(--LEFT(A266,FIND(" - ",A266&amp;" - ")-1)),LEFT(A266,FIND(" - ",A266&amp;" - ")-1),TRIM(A266)))</f>
        <v/>
      </c>
      <c r="N266">
        <f>IF(L266="","",IF(ISNUMBER(INDEX(A266:H266,$P$1)),INDEX(A266:H266,$P$1),IFERROR(_xlfn.NUMBERVALUE(INDEX(A266:H266,$P$1),".",","),0)))</f>
        <v/>
      </c>
    </row>
    <row r="267">
      <c r="L267">
        <f>IF(A267="","",IF(ISNUMBER(--LEFT(A267,FIND(" - ",A267&amp;" - ")-1)),LEFT(A267,FIND(" - ",A267&amp;" - ")-1),TRIM(A267)))</f>
        <v/>
      </c>
      <c r="N267">
        <f>IF(L267="","",IF(ISNUMBER(INDEX(A267:H267,$P$1)),INDEX(A267:H267,$P$1),IFERROR(_xlfn.NUMBERVALUE(INDEX(A267:H267,$P$1),".",","),0)))</f>
        <v/>
      </c>
    </row>
    <row r="268">
      <c r="L268">
        <f>IF(A268="","",IF(ISNUMBER(--LEFT(A268,FIND(" - ",A268&amp;" - ")-1)),LEFT(A268,FIND(" - ",A268&amp;" - ")-1),TRIM(A268)))</f>
        <v/>
      </c>
      <c r="N268">
        <f>IF(L268="","",IF(ISNUMBER(INDEX(A268:H268,$P$1)),INDEX(A268:H268,$P$1),IFERROR(_xlfn.NUMBERVALUE(INDEX(A268:H268,$P$1),".",","),0)))</f>
        <v/>
      </c>
    </row>
    <row r="269">
      <c r="L269">
        <f>IF(A269="","",IF(ISNUMBER(--LEFT(A269,FIND(" - ",A269&amp;" - ")-1)),LEFT(A269,FIND(" - ",A269&amp;" - ")-1),TRIM(A269)))</f>
        <v/>
      </c>
      <c r="N269">
        <f>IF(L269="","",IF(ISNUMBER(INDEX(A269:H269,$P$1)),INDEX(A269:H269,$P$1),IFERROR(_xlfn.NUMBERVALUE(INDEX(A269:H269,$P$1),".",","),0)))</f>
        <v/>
      </c>
    </row>
    <row r="270">
      <c r="L270">
        <f>IF(A270="","",IF(ISNUMBER(--LEFT(A270,FIND(" - ",A270&amp;" - ")-1)),LEFT(A270,FIND(" - ",A270&amp;" - ")-1),TRIM(A270)))</f>
        <v/>
      </c>
      <c r="N270">
        <f>IF(L270="","",IF(ISNUMBER(INDEX(A270:H270,$P$1)),INDEX(A270:H270,$P$1),IFERROR(_xlfn.NUMBERVALUE(INDEX(A270:H270,$P$1),".",","),0)))</f>
        <v/>
      </c>
    </row>
    <row r="271">
      <c r="L271">
        <f>IF(A271="","",IF(ISNUMBER(--LEFT(A271,FIND(" - ",A271&amp;" - ")-1)),LEFT(A271,FIND(" - ",A271&amp;" - ")-1),TRIM(A271)))</f>
        <v/>
      </c>
      <c r="N271">
        <f>IF(L271="","",IF(ISNUMBER(INDEX(A271:H271,$P$1)),INDEX(A271:H271,$P$1),IFERROR(_xlfn.NUMBERVALUE(INDEX(A271:H271,$P$1),".",","),0)))</f>
        <v/>
      </c>
    </row>
    <row r="272">
      <c r="L272">
        <f>IF(A272="","",IF(ISNUMBER(--LEFT(A272,FIND(" - ",A272&amp;" - ")-1)),LEFT(A272,FIND(" - ",A272&amp;" - ")-1),TRIM(A272)))</f>
        <v/>
      </c>
      <c r="N272">
        <f>IF(L272="","",IF(ISNUMBER(INDEX(A272:H272,$P$1)),INDEX(A272:H272,$P$1),IFERROR(_xlfn.NUMBERVALUE(INDEX(A272:H272,$P$1),".",","),0)))</f>
        <v/>
      </c>
    </row>
    <row r="273">
      <c r="L273">
        <f>IF(A273="","",IF(ISNUMBER(--LEFT(A273,FIND(" - ",A273&amp;" - ")-1)),LEFT(A273,FIND(" - ",A273&amp;" - ")-1),TRIM(A273)))</f>
        <v/>
      </c>
      <c r="N273">
        <f>IF(L273="","",IF(ISNUMBER(INDEX(A273:H273,$P$1)),INDEX(A273:H273,$P$1),IFERROR(_xlfn.NUMBERVALUE(INDEX(A273:H273,$P$1),".",","),0)))</f>
        <v/>
      </c>
    </row>
    <row r="274">
      <c r="L274">
        <f>IF(A274="","",IF(ISNUMBER(--LEFT(A274,FIND(" - ",A274&amp;" - ")-1)),LEFT(A274,FIND(" - ",A274&amp;" - ")-1),TRIM(A274)))</f>
        <v/>
      </c>
      <c r="N274">
        <f>IF(L274="","",IF(ISNUMBER(INDEX(A274:H274,$P$1)),INDEX(A274:H274,$P$1),IFERROR(_xlfn.NUMBERVALUE(INDEX(A274:H274,$P$1),".",","),0)))</f>
        <v/>
      </c>
    </row>
    <row r="275">
      <c r="L275">
        <f>IF(A275="","",IF(ISNUMBER(--LEFT(A275,FIND(" - ",A275&amp;" - ")-1)),LEFT(A275,FIND(" - ",A275&amp;" - ")-1),TRIM(A275)))</f>
        <v/>
      </c>
      <c r="N275">
        <f>IF(L275="","",IF(ISNUMBER(INDEX(A275:H275,$P$1)),INDEX(A275:H275,$P$1),IFERROR(_xlfn.NUMBERVALUE(INDEX(A275:H275,$P$1),".",","),0)))</f>
        <v/>
      </c>
    </row>
    <row r="276">
      <c r="L276">
        <f>IF(A276="","",IF(ISNUMBER(--LEFT(A276,FIND(" - ",A276&amp;" - ")-1)),LEFT(A276,FIND(" - ",A276&amp;" - ")-1),TRIM(A276)))</f>
        <v/>
      </c>
      <c r="N276">
        <f>IF(L276="","",IF(ISNUMBER(INDEX(A276:H276,$P$1)),INDEX(A276:H276,$P$1),IFERROR(_xlfn.NUMBERVALUE(INDEX(A276:H276,$P$1),".",","),0)))</f>
        <v/>
      </c>
    </row>
    <row r="277">
      <c r="L277">
        <f>IF(A277="","",IF(ISNUMBER(--LEFT(A277,FIND(" - ",A277&amp;" - ")-1)),LEFT(A277,FIND(" - ",A277&amp;" - ")-1),TRIM(A277)))</f>
        <v/>
      </c>
      <c r="N277">
        <f>IF(L277="","",IF(ISNUMBER(INDEX(A277:H277,$P$1)),INDEX(A277:H277,$P$1),IFERROR(_xlfn.NUMBERVALUE(INDEX(A277:H277,$P$1),".",","),0)))</f>
        <v/>
      </c>
    </row>
    <row r="278">
      <c r="L278">
        <f>IF(A278="","",IF(ISNUMBER(--LEFT(A278,FIND(" - ",A278&amp;" - ")-1)),LEFT(A278,FIND(" - ",A278&amp;" - ")-1),TRIM(A278)))</f>
        <v/>
      </c>
      <c r="N278">
        <f>IF(L278="","",IF(ISNUMBER(INDEX(A278:H278,$P$1)),INDEX(A278:H278,$P$1),IFERROR(_xlfn.NUMBERVALUE(INDEX(A278:H278,$P$1),".",","),0)))</f>
        <v/>
      </c>
    </row>
    <row r="279">
      <c r="L279">
        <f>IF(A279="","",IF(ISNUMBER(--LEFT(A279,FIND(" - ",A279&amp;" - ")-1)),LEFT(A279,FIND(" - ",A279&amp;" - ")-1),TRIM(A279)))</f>
        <v/>
      </c>
      <c r="N279">
        <f>IF(L279="","",IF(ISNUMBER(INDEX(A279:H279,$P$1)),INDEX(A279:H279,$P$1),IFERROR(_xlfn.NUMBERVALUE(INDEX(A279:H279,$P$1),".",","),0)))</f>
        <v/>
      </c>
    </row>
    <row r="280">
      <c r="L280">
        <f>IF(A280="","",IF(ISNUMBER(--LEFT(A280,FIND(" - ",A280&amp;" - ")-1)),LEFT(A280,FIND(" - ",A280&amp;" - ")-1),TRIM(A280)))</f>
        <v/>
      </c>
      <c r="N280">
        <f>IF(L280="","",IF(ISNUMBER(INDEX(A280:H280,$P$1)),INDEX(A280:H280,$P$1),IFERROR(_xlfn.NUMBERVALUE(INDEX(A280:H280,$P$1),".",","),0)))</f>
        <v/>
      </c>
    </row>
    <row r="281">
      <c r="L281">
        <f>IF(A281="","",IF(ISNUMBER(--LEFT(A281,FIND(" - ",A281&amp;" - ")-1)),LEFT(A281,FIND(" - ",A281&amp;" - ")-1),TRIM(A281)))</f>
        <v/>
      </c>
      <c r="N281">
        <f>IF(L281="","",IF(ISNUMBER(INDEX(A281:H281,$P$1)),INDEX(A281:H281,$P$1),IFERROR(_xlfn.NUMBERVALUE(INDEX(A281:H281,$P$1),".",","),0)))</f>
        <v/>
      </c>
    </row>
    <row r="282">
      <c r="L282">
        <f>IF(A282="","",IF(ISNUMBER(--LEFT(A282,FIND(" - ",A282&amp;" - ")-1)),LEFT(A282,FIND(" - ",A282&amp;" - ")-1),TRIM(A282)))</f>
        <v/>
      </c>
      <c r="N282">
        <f>IF(L282="","",IF(ISNUMBER(INDEX(A282:H282,$P$1)),INDEX(A282:H282,$P$1),IFERROR(_xlfn.NUMBERVALUE(INDEX(A282:H282,$P$1),".",","),0)))</f>
        <v/>
      </c>
    </row>
    <row r="283">
      <c r="L283">
        <f>IF(A283="","",IF(ISNUMBER(--LEFT(A283,FIND(" - ",A283&amp;" - ")-1)),LEFT(A283,FIND(" - ",A283&amp;" - ")-1),TRIM(A283)))</f>
        <v/>
      </c>
      <c r="N283">
        <f>IF(L283="","",IF(ISNUMBER(INDEX(A283:H283,$P$1)),INDEX(A283:H283,$P$1),IFERROR(_xlfn.NUMBERVALUE(INDEX(A283:H283,$P$1),".",","),0)))</f>
        <v/>
      </c>
    </row>
    <row r="284">
      <c r="L284">
        <f>IF(A284="","",IF(ISNUMBER(--LEFT(A284,FIND(" - ",A284&amp;" - ")-1)),LEFT(A284,FIND(" - ",A284&amp;" - ")-1),TRIM(A284)))</f>
        <v/>
      </c>
      <c r="N284">
        <f>IF(L284="","",IF(ISNUMBER(INDEX(A284:H284,$P$1)),INDEX(A284:H284,$P$1),IFERROR(_xlfn.NUMBERVALUE(INDEX(A284:H284,$P$1),".",","),0)))</f>
        <v/>
      </c>
    </row>
    <row r="285">
      <c r="L285">
        <f>IF(A285="","",IF(ISNUMBER(--LEFT(A285,FIND(" - ",A285&amp;" - ")-1)),LEFT(A285,FIND(" - ",A285&amp;" - ")-1),TRIM(A285)))</f>
        <v/>
      </c>
      <c r="N285">
        <f>IF(L285="","",IF(ISNUMBER(INDEX(A285:H285,$P$1)),INDEX(A285:H285,$P$1),IFERROR(_xlfn.NUMBERVALUE(INDEX(A285:H285,$P$1),".",","),0)))</f>
        <v/>
      </c>
    </row>
    <row r="286">
      <c r="L286">
        <f>IF(A286="","",IF(ISNUMBER(--LEFT(A286,FIND(" - ",A286&amp;" - ")-1)),LEFT(A286,FIND(" - ",A286&amp;" - ")-1),TRIM(A286)))</f>
        <v/>
      </c>
      <c r="N286">
        <f>IF(L286="","",IF(ISNUMBER(INDEX(A286:H286,$P$1)),INDEX(A286:H286,$P$1),IFERROR(_xlfn.NUMBERVALUE(INDEX(A286:H286,$P$1),".",","),0)))</f>
        <v/>
      </c>
    </row>
    <row r="287">
      <c r="L287">
        <f>IF(A287="","",IF(ISNUMBER(--LEFT(A287,FIND(" - ",A287&amp;" - ")-1)),LEFT(A287,FIND(" - ",A287&amp;" - ")-1),TRIM(A287)))</f>
        <v/>
      </c>
      <c r="N287">
        <f>IF(L287="","",IF(ISNUMBER(INDEX(A287:H287,$P$1)),INDEX(A287:H287,$P$1),IFERROR(_xlfn.NUMBERVALUE(INDEX(A287:H287,$P$1),".",","),0)))</f>
        <v/>
      </c>
    </row>
    <row r="288">
      <c r="L288">
        <f>IF(A288="","",IF(ISNUMBER(--LEFT(A288,FIND(" - ",A288&amp;" - ")-1)),LEFT(A288,FIND(" - ",A288&amp;" - ")-1),TRIM(A288)))</f>
        <v/>
      </c>
      <c r="N288">
        <f>IF(L288="","",IF(ISNUMBER(INDEX(A288:H288,$P$1)),INDEX(A288:H288,$P$1),IFERROR(_xlfn.NUMBERVALUE(INDEX(A288:H288,$P$1),".",","),0)))</f>
        <v/>
      </c>
    </row>
    <row r="289">
      <c r="L289">
        <f>IF(A289="","",IF(ISNUMBER(--LEFT(A289,FIND(" - ",A289&amp;" - ")-1)),LEFT(A289,FIND(" - ",A289&amp;" - ")-1),TRIM(A289)))</f>
        <v/>
      </c>
      <c r="N289">
        <f>IF(L289="","",IF(ISNUMBER(INDEX(A289:H289,$P$1)),INDEX(A289:H289,$P$1),IFERROR(_xlfn.NUMBERVALUE(INDEX(A289:H289,$P$1),".",","),0)))</f>
        <v/>
      </c>
    </row>
    <row r="290">
      <c r="L290">
        <f>IF(A290="","",IF(ISNUMBER(--LEFT(A290,FIND(" - ",A290&amp;" - ")-1)),LEFT(A290,FIND(" - ",A290&amp;" - ")-1),TRIM(A290)))</f>
        <v/>
      </c>
      <c r="N290">
        <f>IF(L290="","",IF(ISNUMBER(INDEX(A290:H290,$P$1)),INDEX(A290:H290,$P$1),IFERROR(_xlfn.NUMBERVALUE(INDEX(A290:H290,$P$1),".",","),0)))</f>
        <v/>
      </c>
    </row>
    <row r="291">
      <c r="L291">
        <f>IF(A291="","",IF(ISNUMBER(--LEFT(A291,FIND(" - ",A291&amp;" - ")-1)),LEFT(A291,FIND(" - ",A291&amp;" - ")-1),TRIM(A291)))</f>
        <v/>
      </c>
      <c r="N291">
        <f>IF(L291="","",IF(ISNUMBER(INDEX(A291:H291,$P$1)),INDEX(A291:H291,$P$1),IFERROR(_xlfn.NUMBERVALUE(INDEX(A291:H291,$P$1),".",","),0)))</f>
        <v/>
      </c>
    </row>
    <row r="292">
      <c r="L292">
        <f>IF(A292="","",IF(ISNUMBER(--LEFT(A292,FIND(" - ",A292&amp;" - ")-1)),LEFT(A292,FIND(" - ",A292&amp;" - ")-1),TRIM(A292)))</f>
        <v/>
      </c>
      <c r="N292">
        <f>IF(L292="","",IF(ISNUMBER(INDEX(A292:H292,$P$1)),INDEX(A292:H292,$P$1),IFERROR(_xlfn.NUMBERVALUE(INDEX(A292:H292,$P$1),".",","),0)))</f>
        <v/>
      </c>
    </row>
    <row r="293">
      <c r="L293">
        <f>IF(A293="","",IF(ISNUMBER(--LEFT(A293,FIND(" - ",A293&amp;" - ")-1)),LEFT(A293,FIND(" - ",A293&amp;" - ")-1),TRIM(A293)))</f>
        <v/>
      </c>
      <c r="N293">
        <f>IF(L293="","",IF(ISNUMBER(INDEX(A293:H293,$P$1)),INDEX(A293:H293,$P$1),IFERROR(_xlfn.NUMBERVALUE(INDEX(A293:H293,$P$1),".",","),0)))</f>
        <v/>
      </c>
    </row>
    <row r="294">
      <c r="L294">
        <f>IF(A294="","",IF(ISNUMBER(--LEFT(A294,FIND(" - ",A294&amp;" - ")-1)),LEFT(A294,FIND(" - ",A294&amp;" - ")-1),TRIM(A294)))</f>
        <v/>
      </c>
      <c r="N294">
        <f>IF(L294="","",IF(ISNUMBER(INDEX(A294:H294,$P$1)),INDEX(A294:H294,$P$1),IFERROR(_xlfn.NUMBERVALUE(INDEX(A294:H294,$P$1),".",","),0)))</f>
        <v/>
      </c>
    </row>
    <row r="295">
      <c r="L295">
        <f>IF(A295="","",IF(ISNUMBER(--LEFT(A295,FIND(" - ",A295&amp;" - ")-1)),LEFT(A295,FIND(" - ",A295&amp;" - ")-1),TRIM(A295)))</f>
        <v/>
      </c>
      <c r="N295">
        <f>IF(L295="","",IF(ISNUMBER(INDEX(A295:H295,$P$1)),INDEX(A295:H295,$P$1),IFERROR(_xlfn.NUMBERVALUE(INDEX(A295:H295,$P$1),".",","),0)))</f>
        <v/>
      </c>
    </row>
    <row r="296">
      <c r="L296">
        <f>IF(A296="","",IF(ISNUMBER(--LEFT(A296,FIND(" - ",A296&amp;" - ")-1)),LEFT(A296,FIND(" - ",A296&amp;" - ")-1),TRIM(A296)))</f>
        <v/>
      </c>
      <c r="N296">
        <f>IF(L296="","",IF(ISNUMBER(INDEX(A296:H296,$P$1)),INDEX(A296:H296,$P$1),IFERROR(_xlfn.NUMBERVALUE(INDEX(A296:H296,$P$1),".",","),0)))</f>
        <v/>
      </c>
    </row>
    <row r="297">
      <c r="L297">
        <f>IF(A297="","",IF(ISNUMBER(--LEFT(A297,FIND(" - ",A297&amp;" - ")-1)),LEFT(A297,FIND(" - ",A297&amp;" - ")-1),TRIM(A297)))</f>
        <v/>
      </c>
      <c r="N297">
        <f>IF(L297="","",IF(ISNUMBER(INDEX(A297:H297,$P$1)),INDEX(A297:H297,$P$1),IFERROR(_xlfn.NUMBERVALUE(INDEX(A297:H297,$P$1),".",","),0)))</f>
        <v/>
      </c>
    </row>
    <row r="298">
      <c r="L298">
        <f>IF(A298="","",IF(ISNUMBER(--LEFT(A298,FIND(" - ",A298&amp;" - ")-1)),LEFT(A298,FIND(" - ",A298&amp;" - ")-1),TRIM(A298)))</f>
        <v/>
      </c>
      <c r="N298">
        <f>IF(L298="","",IF(ISNUMBER(INDEX(A298:H298,$P$1)),INDEX(A298:H298,$P$1),IFERROR(_xlfn.NUMBERVALUE(INDEX(A298:H298,$P$1),".",","),0)))</f>
        <v/>
      </c>
    </row>
    <row r="299">
      <c r="L299">
        <f>IF(A299="","",IF(ISNUMBER(--LEFT(A299,FIND(" - ",A299&amp;" - ")-1)),LEFT(A299,FIND(" - ",A299&amp;" - ")-1),TRIM(A299)))</f>
        <v/>
      </c>
      <c r="N299">
        <f>IF(L299="","",IF(ISNUMBER(INDEX(A299:H299,$P$1)),INDEX(A299:H299,$P$1),IFERROR(_xlfn.NUMBERVALUE(INDEX(A299:H299,$P$1),".",","),0)))</f>
        <v/>
      </c>
    </row>
    <row r="300">
      <c r="L300">
        <f>IF(A300="","",IF(ISNUMBER(--LEFT(A300,FIND(" - ",A300&amp;" - ")-1)),LEFT(A300,FIND(" - ",A300&amp;" - ")-1),TRIM(A300)))</f>
        <v/>
      </c>
      <c r="N300">
        <f>IF(L300="","",IF(ISNUMBER(INDEX(A300:H300,$P$1)),INDEX(A300:H300,$P$1),IFERROR(_xlfn.NUMBERVALUE(INDEX(A300:H300,$P$1),".",","),0)))</f>
        <v/>
      </c>
    </row>
    <row r="301">
      <c r="L301">
        <f>IF(A301="","",IF(ISNUMBER(--LEFT(A301,FIND(" - ",A301&amp;" - ")-1)),LEFT(A301,FIND(" - ",A301&amp;" - ")-1),TRIM(A301)))</f>
        <v/>
      </c>
      <c r="N301">
        <f>IF(L301="","",IF(ISNUMBER(INDEX(A301:H301,$P$1)),INDEX(A301:H301,$P$1),IFERROR(_xlfn.NUMBERVALUE(INDEX(A301:H301,$P$1),".",","),0)))</f>
        <v/>
      </c>
    </row>
    <row r="302">
      <c r="L302">
        <f>IF(A302="","",IF(ISNUMBER(--LEFT(A302,FIND(" - ",A302&amp;" - ")-1)),LEFT(A302,FIND(" - ",A302&amp;" - ")-1),TRIM(A302)))</f>
        <v/>
      </c>
      <c r="N302">
        <f>IF(L302="","",IF(ISNUMBER(INDEX(A302:H302,$P$1)),INDEX(A302:H302,$P$1),IFERROR(_xlfn.NUMBERVALUE(INDEX(A302:H302,$P$1),".",","),0)))</f>
        <v/>
      </c>
    </row>
    <row r="303">
      <c r="L303">
        <f>IF(A303="","",IF(ISNUMBER(--LEFT(A303,FIND(" - ",A303&amp;" - ")-1)),LEFT(A303,FIND(" - ",A303&amp;" - ")-1),TRIM(A303)))</f>
        <v/>
      </c>
      <c r="N303">
        <f>IF(L303="","",IF(ISNUMBER(INDEX(A303:H303,$P$1)),INDEX(A303:H303,$P$1),IFERROR(_xlfn.NUMBERVALUE(INDEX(A303:H303,$P$1),".",","),0)))</f>
        <v/>
      </c>
    </row>
    <row r="304">
      <c r="L304">
        <f>IF(A304="","",IF(ISNUMBER(--LEFT(A304,FIND(" - ",A304&amp;" - ")-1)),LEFT(A304,FIND(" - ",A304&amp;" - ")-1),TRIM(A304)))</f>
        <v/>
      </c>
      <c r="N304">
        <f>IF(L304="","",IF(ISNUMBER(INDEX(A304:H304,$P$1)),INDEX(A304:H304,$P$1),IFERROR(_xlfn.NUMBERVALUE(INDEX(A304:H304,$P$1),".",","),0)))</f>
        <v/>
      </c>
    </row>
    <row r="305">
      <c r="L305">
        <f>IF(A305="","",IF(ISNUMBER(--LEFT(A305,FIND(" - ",A305&amp;" - ")-1)),LEFT(A305,FIND(" - ",A305&amp;" - ")-1),TRIM(A305)))</f>
        <v/>
      </c>
      <c r="N305">
        <f>IF(L305="","",IF(ISNUMBER(INDEX(A305:H305,$P$1)),INDEX(A305:H305,$P$1),IFERROR(_xlfn.NUMBERVALUE(INDEX(A305:H305,$P$1),".",","),0)))</f>
        <v/>
      </c>
    </row>
    <row r="306">
      <c r="L306">
        <f>IF(A306="","",IF(ISNUMBER(--LEFT(A306,FIND(" - ",A306&amp;" - ")-1)),LEFT(A306,FIND(" - ",A306&amp;" - ")-1),TRIM(A306)))</f>
        <v/>
      </c>
      <c r="N306">
        <f>IF(L306="","",IF(ISNUMBER(INDEX(A306:H306,$P$1)),INDEX(A306:H306,$P$1),IFERROR(_xlfn.NUMBERVALUE(INDEX(A306:H306,$P$1),".",","),0)))</f>
        <v/>
      </c>
    </row>
    <row r="307">
      <c r="L307">
        <f>IF(A307="","",IF(ISNUMBER(--LEFT(A307,FIND(" - ",A307&amp;" - ")-1)),LEFT(A307,FIND(" - ",A307&amp;" - ")-1),TRIM(A307)))</f>
        <v/>
      </c>
      <c r="N307">
        <f>IF(L307="","",IF(ISNUMBER(INDEX(A307:H307,$P$1)),INDEX(A307:H307,$P$1),IFERROR(_xlfn.NUMBERVALUE(INDEX(A307:H307,$P$1),".",","),0)))</f>
        <v/>
      </c>
    </row>
    <row r="308">
      <c r="L308">
        <f>IF(A308="","",IF(ISNUMBER(--LEFT(A308,FIND(" - ",A308&amp;" - ")-1)),LEFT(A308,FIND(" - ",A308&amp;" - ")-1),TRIM(A308)))</f>
        <v/>
      </c>
      <c r="N308">
        <f>IF(L308="","",IF(ISNUMBER(INDEX(A308:H308,$P$1)),INDEX(A308:H308,$P$1),IFERROR(_xlfn.NUMBERVALUE(INDEX(A308:H308,$P$1),".",","),0)))</f>
        <v/>
      </c>
    </row>
    <row r="309">
      <c r="L309">
        <f>IF(A309="","",IF(ISNUMBER(--LEFT(A309,FIND(" - ",A309&amp;" - ")-1)),LEFT(A309,FIND(" - ",A309&amp;" - ")-1),TRIM(A309)))</f>
        <v/>
      </c>
      <c r="N309">
        <f>IF(L309="","",IF(ISNUMBER(INDEX(A309:H309,$P$1)),INDEX(A309:H309,$P$1),IFERROR(_xlfn.NUMBERVALUE(INDEX(A309:H309,$P$1),".",","),0)))</f>
        <v/>
      </c>
    </row>
    <row r="310">
      <c r="L310">
        <f>IF(A310="","",IF(ISNUMBER(--LEFT(A310,FIND(" - ",A310&amp;" - ")-1)),LEFT(A310,FIND(" - ",A310&amp;" - ")-1),TRIM(A310)))</f>
        <v/>
      </c>
      <c r="N310">
        <f>IF(L310="","",IF(ISNUMBER(INDEX(A310:H310,$P$1)),INDEX(A310:H310,$P$1),IFERROR(_xlfn.NUMBERVALUE(INDEX(A310:H310,$P$1),".",","),0)))</f>
        <v/>
      </c>
    </row>
    <row r="311">
      <c r="L311">
        <f>IF(A311="","",IF(ISNUMBER(--LEFT(A311,FIND(" - ",A311&amp;" - ")-1)),LEFT(A311,FIND(" - ",A311&amp;" - ")-1),TRIM(A311)))</f>
        <v/>
      </c>
      <c r="N311">
        <f>IF(L311="","",IF(ISNUMBER(INDEX(A311:H311,$P$1)),INDEX(A311:H311,$P$1),IFERROR(_xlfn.NUMBERVALUE(INDEX(A311:H311,$P$1),".",","),0)))</f>
        <v/>
      </c>
    </row>
    <row r="312">
      <c r="L312">
        <f>IF(A312="","",IF(ISNUMBER(--LEFT(A312,FIND(" - ",A312&amp;" - ")-1)),LEFT(A312,FIND(" - ",A312&amp;" - ")-1),TRIM(A312)))</f>
        <v/>
      </c>
      <c r="N312">
        <f>IF(L312="","",IF(ISNUMBER(INDEX(A312:H312,$P$1)),INDEX(A312:H312,$P$1),IFERROR(_xlfn.NUMBERVALUE(INDEX(A312:H312,$P$1),".",","),0)))</f>
        <v/>
      </c>
    </row>
    <row r="313">
      <c r="L313">
        <f>IF(A313="","",IF(ISNUMBER(--LEFT(A313,FIND(" - ",A313&amp;" - ")-1)),LEFT(A313,FIND(" - ",A313&amp;" - ")-1),TRIM(A313)))</f>
        <v/>
      </c>
      <c r="N313">
        <f>IF(L313="","",IF(ISNUMBER(INDEX(A313:H313,$P$1)),INDEX(A313:H313,$P$1),IFERROR(_xlfn.NUMBERVALUE(INDEX(A313:H313,$P$1),".",","),0)))</f>
        <v/>
      </c>
    </row>
    <row r="314">
      <c r="L314">
        <f>IF(A314="","",IF(ISNUMBER(--LEFT(A314,FIND(" - ",A314&amp;" - ")-1)),LEFT(A314,FIND(" - ",A314&amp;" - ")-1),TRIM(A314)))</f>
        <v/>
      </c>
      <c r="N314">
        <f>IF(L314="","",IF(ISNUMBER(INDEX(A314:H314,$P$1)),INDEX(A314:H314,$P$1),IFERROR(_xlfn.NUMBERVALUE(INDEX(A314:H314,$P$1),".",","),0)))</f>
        <v/>
      </c>
    </row>
    <row r="315">
      <c r="L315">
        <f>IF(A315="","",IF(ISNUMBER(--LEFT(A315,FIND(" - ",A315&amp;" - ")-1)),LEFT(A315,FIND(" - ",A315&amp;" - ")-1),TRIM(A315)))</f>
        <v/>
      </c>
      <c r="N315">
        <f>IF(L315="","",IF(ISNUMBER(INDEX(A315:H315,$P$1)),INDEX(A315:H315,$P$1),IFERROR(_xlfn.NUMBERVALUE(INDEX(A315:H315,$P$1),".",","),0)))</f>
        <v/>
      </c>
    </row>
    <row r="316">
      <c r="L316">
        <f>IF(A316="","",IF(ISNUMBER(--LEFT(A316,FIND(" - ",A316&amp;" - ")-1)),LEFT(A316,FIND(" - ",A316&amp;" - ")-1),TRIM(A316)))</f>
        <v/>
      </c>
      <c r="N316">
        <f>IF(L316="","",IF(ISNUMBER(INDEX(A316:H316,$P$1)),INDEX(A316:H316,$P$1),IFERROR(_xlfn.NUMBERVALUE(INDEX(A316:H316,$P$1),".",","),0)))</f>
        <v/>
      </c>
    </row>
    <row r="317">
      <c r="L317">
        <f>IF(A317="","",IF(ISNUMBER(--LEFT(A317,FIND(" - ",A317&amp;" - ")-1)),LEFT(A317,FIND(" - ",A317&amp;" - ")-1),TRIM(A317)))</f>
        <v/>
      </c>
      <c r="N317">
        <f>IF(L317="","",IF(ISNUMBER(INDEX(A317:H317,$P$1)),INDEX(A317:H317,$P$1),IFERROR(_xlfn.NUMBERVALUE(INDEX(A317:H317,$P$1),".",","),0)))</f>
        <v/>
      </c>
    </row>
    <row r="318">
      <c r="L318">
        <f>IF(A318="","",IF(ISNUMBER(--LEFT(A318,FIND(" - ",A318&amp;" - ")-1)),LEFT(A318,FIND(" - ",A318&amp;" - ")-1),TRIM(A318)))</f>
        <v/>
      </c>
      <c r="N318">
        <f>IF(L318="","",IF(ISNUMBER(INDEX(A318:H318,$P$1)),INDEX(A318:H318,$P$1),IFERROR(_xlfn.NUMBERVALUE(INDEX(A318:H318,$P$1),".",","),0)))</f>
        <v/>
      </c>
    </row>
    <row r="319">
      <c r="L319">
        <f>IF(A319="","",IF(ISNUMBER(--LEFT(A319,FIND(" - ",A319&amp;" - ")-1)),LEFT(A319,FIND(" - ",A319&amp;" - ")-1),TRIM(A319)))</f>
        <v/>
      </c>
      <c r="N319">
        <f>IF(L319="","",IF(ISNUMBER(INDEX(A319:H319,$P$1)),INDEX(A319:H319,$P$1),IFERROR(_xlfn.NUMBERVALUE(INDEX(A319:H319,$P$1),".",","),0)))</f>
        <v/>
      </c>
    </row>
    <row r="320">
      <c r="L320">
        <f>IF(A320="","",IF(ISNUMBER(--LEFT(A320,FIND(" - ",A320&amp;" - ")-1)),LEFT(A320,FIND(" - ",A320&amp;" - ")-1),TRIM(A320)))</f>
        <v/>
      </c>
      <c r="N320">
        <f>IF(L320="","",IF(ISNUMBER(INDEX(A320:H320,$P$1)),INDEX(A320:H320,$P$1),IFERROR(_xlfn.NUMBERVALUE(INDEX(A320:H320,$P$1),".",","),0)))</f>
        <v/>
      </c>
    </row>
    <row r="321">
      <c r="L321">
        <f>IF(A321="","",IF(ISNUMBER(--LEFT(A321,FIND(" - ",A321&amp;" - ")-1)),LEFT(A321,FIND(" - ",A321&amp;" - ")-1),TRIM(A321)))</f>
        <v/>
      </c>
      <c r="N321">
        <f>IF(L321="","",IF(ISNUMBER(INDEX(A321:H321,$P$1)),INDEX(A321:H321,$P$1),IFERROR(_xlfn.NUMBERVALUE(INDEX(A321:H321,$P$1),".",","),0)))</f>
        <v/>
      </c>
    </row>
    <row r="322">
      <c r="L322">
        <f>IF(A322="","",IF(ISNUMBER(--LEFT(A322,FIND(" - ",A322&amp;" - ")-1)),LEFT(A322,FIND(" - ",A322&amp;" - ")-1),TRIM(A322)))</f>
        <v/>
      </c>
      <c r="N322">
        <f>IF(L322="","",IF(ISNUMBER(INDEX(A322:H322,$P$1)),INDEX(A322:H322,$P$1),IFERROR(_xlfn.NUMBERVALUE(INDEX(A322:H322,$P$1),".",","),0)))</f>
        <v/>
      </c>
    </row>
    <row r="323">
      <c r="L323">
        <f>IF(A323="","",IF(ISNUMBER(--LEFT(A323,FIND(" - ",A323&amp;" - ")-1)),LEFT(A323,FIND(" - ",A323&amp;" - ")-1),TRIM(A323)))</f>
        <v/>
      </c>
      <c r="N323">
        <f>IF(L323="","",IF(ISNUMBER(INDEX(A323:H323,$P$1)),INDEX(A323:H323,$P$1),IFERROR(_xlfn.NUMBERVALUE(INDEX(A323:H323,$P$1),".",","),0)))</f>
        <v/>
      </c>
    </row>
    <row r="324">
      <c r="L324">
        <f>IF(A324="","",IF(ISNUMBER(--LEFT(A324,FIND(" - ",A324&amp;" - ")-1)),LEFT(A324,FIND(" - ",A324&amp;" - ")-1),TRIM(A324)))</f>
        <v/>
      </c>
      <c r="N324">
        <f>IF(L324="","",IF(ISNUMBER(INDEX(A324:H324,$P$1)),INDEX(A324:H324,$P$1),IFERROR(_xlfn.NUMBERVALUE(INDEX(A324:H324,$P$1),".",","),0)))</f>
        <v/>
      </c>
    </row>
    <row r="325">
      <c r="L325">
        <f>IF(A325="","",IF(ISNUMBER(--LEFT(A325,FIND(" - ",A325&amp;" - ")-1)),LEFT(A325,FIND(" - ",A325&amp;" - ")-1),TRIM(A325)))</f>
        <v/>
      </c>
      <c r="N325">
        <f>IF(L325="","",IF(ISNUMBER(INDEX(A325:H325,$P$1)),INDEX(A325:H325,$P$1),IFERROR(_xlfn.NUMBERVALUE(INDEX(A325:H325,$P$1),".",","),0)))</f>
        <v/>
      </c>
    </row>
    <row r="326">
      <c r="L326">
        <f>IF(A326="","",IF(ISNUMBER(--LEFT(A326,FIND(" - ",A326&amp;" - ")-1)),LEFT(A326,FIND(" - ",A326&amp;" - ")-1),TRIM(A326)))</f>
        <v/>
      </c>
      <c r="N326">
        <f>IF(L326="","",IF(ISNUMBER(INDEX(A326:H326,$P$1)),INDEX(A326:H326,$P$1),IFERROR(_xlfn.NUMBERVALUE(INDEX(A326:H326,$P$1),".",","),0)))</f>
        <v/>
      </c>
    </row>
    <row r="327">
      <c r="L327">
        <f>IF(A327="","",IF(ISNUMBER(--LEFT(A327,FIND(" - ",A327&amp;" - ")-1)),LEFT(A327,FIND(" - ",A327&amp;" - ")-1),TRIM(A327)))</f>
        <v/>
      </c>
      <c r="N327">
        <f>IF(L327="","",IF(ISNUMBER(INDEX(A327:H327,$P$1)),INDEX(A327:H327,$P$1),IFERROR(_xlfn.NUMBERVALUE(INDEX(A327:H327,$P$1),".",","),0)))</f>
        <v/>
      </c>
    </row>
    <row r="328">
      <c r="L328">
        <f>IF(A328="","",IF(ISNUMBER(--LEFT(A328,FIND(" - ",A328&amp;" - ")-1)),LEFT(A328,FIND(" - ",A328&amp;" - ")-1),TRIM(A328)))</f>
        <v/>
      </c>
      <c r="N328">
        <f>IF(L328="","",IF(ISNUMBER(INDEX(A328:H328,$P$1)),INDEX(A328:H328,$P$1),IFERROR(_xlfn.NUMBERVALUE(INDEX(A328:H328,$P$1),".",","),0)))</f>
        <v/>
      </c>
    </row>
    <row r="329">
      <c r="L329">
        <f>IF(A329="","",IF(ISNUMBER(--LEFT(A329,FIND(" - ",A329&amp;" - ")-1)),LEFT(A329,FIND(" - ",A329&amp;" - ")-1),TRIM(A329)))</f>
        <v/>
      </c>
      <c r="N329">
        <f>IF(L329="","",IF(ISNUMBER(INDEX(A329:H329,$P$1)),INDEX(A329:H329,$P$1),IFERROR(_xlfn.NUMBERVALUE(INDEX(A329:H329,$P$1),".",","),0)))</f>
        <v/>
      </c>
    </row>
    <row r="330">
      <c r="L330">
        <f>IF(A330="","",IF(ISNUMBER(--LEFT(A330,FIND(" - ",A330&amp;" - ")-1)),LEFT(A330,FIND(" - ",A330&amp;" - ")-1),TRIM(A330)))</f>
        <v/>
      </c>
      <c r="N330">
        <f>IF(L330="","",IF(ISNUMBER(INDEX(A330:H330,$P$1)),INDEX(A330:H330,$P$1),IFERROR(_xlfn.NUMBERVALUE(INDEX(A330:H330,$P$1),".",","),0)))</f>
        <v/>
      </c>
    </row>
    <row r="331">
      <c r="L331">
        <f>IF(A331="","",IF(ISNUMBER(--LEFT(A331,FIND(" - ",A331&amp;" - ")-1)),LEFT(A331,FIND(" - ",A331&amp;" - ")-1),TRIM(A331)))</f>
        <v/>
      </c>
      <c r="N331">
        <f>IF(L331="","",IF(ISNUMBER(INDEX(A331:H331,$P$1)),INDEX(A331:H331,$P$1),IFERROR(_xlfn.NUMBERVALUE(INDEX(A331:H331,$P$1),".",","),0)))</f>
        <v/>
      </c>
    </row>
    <row r="332">
      <c r="L332">
        <f>IF(A332="","",IF(ISNUMBER(--LEFT(A332,FIND(" - ",A332&amp;" - ")-1)),LEFT(A332,FIND(" - ",A332&amp;" - ")-1),TRIM(A332)))</f>
        <v/>
      </c>
      <c r="N332">
        <f>IF(L332="","",IF(ISNUMBER(INDEX(A332:H332,$P$1)),INDEX(A332:H332,$P$1),IFERROR(_xlfn.NUMBERVALUE(INDEX(A332:H332,$P$1),".",","),0)))</f>
        <v/>
      </c>
    </row>
    <row r="333">
      <c r="L333">
        <f>IF(A333="","",IF(ISNUMBER(--LEFT(A333,FIND(" - ",A333&amp;" - ")-1)),LEFT(A333,FIND(" - ",A333&amp;" - ")-1),TRIM(A333)))</f>
        <v/>
      </c>
      <c r="N333">
        <f>IF(L333="","",IF(ISNUMBER(INDEX(A333:H333,$P$1)),INDEX(A333:H333,$P$1),IFERROR(_xlfn.NUMBERVALUE(INDEX(A333:H333,$P$1),".",","),0)))</f>
        <v/>
      </c>
    </row>
    <row r="334">
      <c r="L334">
        <f>IF(A334="","",IF(ISNUMBER(--LEFT(A334,FIND(" - ",A334&amp;" - ")-1)),LEFT(A334,FIND(" - ",A334&amp;" - ")-1),TRIM(A334)))</f>
        <v/>
      </c>
      <c r="N334">
        <f>IF(L334="","",IF(ISNUMBER(INDEX(A334:H334,$P$1)),INDEX(A334:H334,$P$1),IFERROR(_xlfn.NUMBERVALUE(INDEX(A334:H334,$P$1),".",","),0)))</f>
        <v/>
      </c>
    </row>
    <row r="335">
      <c r="L335">
        <f>IF(A335="","",IF(ISNUMBER(--LEFT(A335,FIND(" - ",A335&amp;" - ")-1)),LEFT(A335,FIND(" - ",A335&amp;" - ")-1),TRIM(A335)))</f>
        <v/>
      </c>
      <c r="N335">
        <f>IF(L335="","",IF(ISNUMBER(INDEX(A335:H335,$P$1)),INDEX(A335:H335,$P$1),IFERROR(_xlfn.NUMBERVALUE(INDEX(A335:H335,$P$1),".",","),0)))</f>
        <v/>
      </c>
    </row>
    <row r="336">
      <c r="L336">
        <f>IF(A336="","",IF(ISNUMBER(--LEFT(A336,FIND(" - ",A336&amp;" - ")-1)),LEFT(A336,FIND(" - ",A336&amp;" - ")-1),TRIM(A336)))</f>
        <v/>
      </c>
      <c r="N336">
        <f>IF(L336="","",IF(ISNUMBER(INDEX(A336:H336,$P$1)),INDEX(A336:H336,$P$1),IFERROR(_xlfn.NUMBERVALUE(INDEX(A336:H336,$P$1),".",","),0)))</f>
        <v/>
      </c>
    </row>
    <row r="337">
      <c r="L337">
        <f>IF(A337="","",IF(ISNUMBER(--LEFT(A337,FIND(" - ",A337&amp;" - ")-1)),LEFT(A337,FIND(" - ",A337&amp;" - ")-1),TRIM(A337)))</f>
        <v/>
      </c>
      <c r="N337">
        <f>IF(L337="","",IF(ISNUMBER(INDEX(A337:H337,$P$1)),INDEX(A337:H337,$P$1),IFERROR(_xlfn.NUMBERVALUE(INDEX(A337:H337,$P$1),".",","),0)))</f>
        <v/>
      </c>
    </row>
    <row r="338">
      <c r="L338">
        <f>IF(A338="","",IF(ISNUMBER(--LEFT(A338,FIND(" - ",A338&amp;" - ")-1)),LEFT(A338,FIND(" - ",A338&amp;" - ")-1),TRIM(A338)))</f>
        <v/>
      </c>
      <c r="N338">
        <f>IF(L338="","",IF(ISNUMBER(INDEX(A338:H338,$P$1)),INDEX(A338:H338,$P$1),IFERROR(_xlfn.NUMBERVALUE(INDEX(A338:H338,$P$1),".",","),0)))</f>
        <v/>
      </c>
    </row>
    <row r="339">
      <c r="L339">
        <f>IF(A339="","",IF(ISNUMBER(--LEFT(A339,FIND(" - ",A339&amp;" - ")-1)),LEFT(A339,FIND(" - ",A339&amp;" - ")-1),TRIM(A339)))</f>
        <v/>
      </c>
      <c r="N339">
        <f>IF(L339="","",IF(ISNUMBER(INDEX(A339:H339,$P$1)),INDEX(A339:H339,$P$1),IFERROR(_xlfn.NUMBERVALUE(INDEX(A339:H339,$P$1),".",","),0)))</f>
        <v/>
      </c>
    </row>
    <row r="340">
      <c r="L340">
        <f>IF(A340="","",IF(ISNUMBER(--LEFT(A340,FIND(" - ",A340&amp;" - ")-1)),LEFT(A340,FIND(" - ",A340&amp;" - ")-1),TRIM(A340)))</f>
        <v/>
      </c>
      <c r="N340">
        <f>IF(L340="","",IF(ISNUMBER(INDEX(A340:H340,$P$1)),INDEX(A340:H340,$P$1),IFERROR(_xlfn.NUMBERVALUE(INDEX(A340:H340,$P$1),".",","),0)))</f>
        <v/>
      </c>
    </row>
    <row r="341">
      <c r="L341">
        <f>IF(A341="","",IF(ISNUMBER(--LEFT(A341,FIND(" - ",A341&amp;" - ")-1)),LEFT(A341,FIND(" - ",A341&amp;" - ")-1),TRIM(A341)))</f>
        <v/>
      </c>
      <c r="N341">
        <f>IF(L341="","",IF(ISNUMBER(INDEX(A341:H341,$P$1)),INDEX(A341:H341,$P$1),IFERROR(_xlfn.NUMBERVALUE(INDEX(A341:H341,$P$1),".",","),0)))</f>
        <v/>
      </c>
    </row>
    <row r="342">
      <c r="L342">
        <f>IF(A342="","",IF(ISNUMBER(--LEFT(A342,FIND(" - ",A342&amp;" - ")-1)),LEFT(A342,FIND(" - ",A342&amp;" - ")-1),TRIM(A342)))</f>
        <v/>
      </c>
      <c r="N342">
        <f>IF(L342="","",IF(ISNUMBER(INDEX(A342:H342,$P$1)),INDEX(A342:H342,$P$1),IFERROR(_xlfn.NUMBERVALUE(INDEX(A342:H342,$P$1),".",","),0)))</f>
        <v/>
      </c>
    </row>
    <row r="343">
      <c r="L343">
        <f>IF(A343="","",IF(ISNUMBER(--LEFT(A343,FIND(" - ",A343&amp;" - ")-1)),LEFT(A343,FIND(" - ",A343&amp;" - ")-1),TRIM(A343)))</f>
        <v/>
      </c>
      <c r="N343">
        <f>IF(L343="","",IF(ISNUMBER(INDEX(A343:H343,$P$1)),INDEX(A343:H343,$P$1),IFERROR(_xlfn.NUMBERVALUE(INDEX(A343:H343,$P$1),".",","),0)))</f>
        <v/>
      </c>
    </row>
    <row r="344">
      <c r="L344">
        <f>IF(A344="","",IF(ISNUMBER(--LEFT(A344,FIND(" - ",A344&amp;" - ")-1)),LEFT(A344,FIND(" - ",A344&amp;" - ")-1),TRIM(A344)))</f>
        <v/>
      </c>
      <c r="N344">
        <f>IF(L344="","",IF(ISNUMBER(INDEX(A344:H344,$P$1)),INDEX(A344:H344,$P$1),IFERROR(_xlfn.NUMBERVALUE(INDEX(A344:H344,$P$1),".",","),0)))</f>
        <v/>
      </c>
    </row>
    <row r="345">
      <c r="L345">
        <f>IF(A345="","",IF(ISNUMBER(--LEFT(A345,FIND(" - ",A345&amp;" - ")-1)),LEFT(A345,FIND(" - ",A345&amp;" - ")-1),TRIM(A345)))</f>
        <v/>
      </c>
      <c r="N345">
        <f>IF(L345="","",IF(ISNUMBER(INDEX(A345:H345,$P$1)),INDEX(A345:H345,$P$1),IFERROR(_xlfn.NUMBERVALUE(INDEX(A345:H345,$P$1),".",","),0)))</f>
        <v/>
      </c>
    </row>
    <row r="346">
      <c r="L346">
        <f>IF(A346="","",IF(ISNUMBER(--LEFT(A346,FIND(" - ",A346&amp;" - ")-1)),LEFT(A346,FIND(" - ",A346&amp;" - ")-1),TRIM(A346)))</f>
        <v/>
      </c>
      <c r="N346">
        <f>IF(L346="","",IF(ISNUMBER(INDEX(A346:H346,$P$1)),INDEX(A346:H346,$P$1),IFERROR(_xlfn.NUMBERVALUE(INDEX(A346:H346,$P$1),".",","),0)))</f>
        <v/>
      </c>
    </row>
    <row r="347">
      <c r="L347">
        <f>IF(A347="","",IF(ISNUMBER(--LEFT(A347,FIND(" - ",A347&amp;" - ")-1)),LEFT(A347,FIND(" - ",A347&amp;" - ")-1),TRIM(A347)))</f>
        <v/>
      </c>
      <c r="N347">
        <f>IF(L347="","",IF(ISNUMBER(INDEX(A347:H347,$P$1)),INDEX(A347:H347,$P$1),IFERROR(_xlfn.NUMBERVALUE(INDEX(A347:H347,$P$1),".",","),0)))</f>
        <v/>
      </c>
    </row>
    <row r="348">
      <c r="L348">
        <f>IF(A348="","",IF(ISNUMBER(--LEFT(A348,FIND(" - ",A348&amp;" - ")-1)),LEFT(A348,FIND(" - ",A348&amp;" - ")-1),TRIM(A348)))</f>
        <v/>
      </c>
      <c r="N348">
        <f>IF(L348="","",IF(ISNUMBER(INDEX(A348:H348,$P$1)),INDEX(A348:H348,$P$1),IFERROR(_xlfn.NUMBERVALUE(INDEX(A348:H348,$P$1),".",","),0)))</f>
        <v/>
      </c>
    </row>
    <row r="349">
      <c r="L349">
        <f>IF(A349="","",IF(ISNUMBER(--LEFT(A349,FIND(" - ",A349&amp;" - ")-1)),LEFT(A349,FIND(" - ",A349&amp;" - ")-1),TRIM(A349)))</f>
        <v/>
      </c>
      <c r="N349">
        <f>IF(L349="","",IF(ISNUMBER(INDEX(A349:H349,$P$1)),INDEX(A349:H349,$P$1),IFERROR(_xlfn.NUMBERVALUE(INDEX(A349:H349,$P$1),".",","),0)))</f>
        <v/>
      </c>
    </row>
    <row r="350">
      <c r="L350">
        <f>IF(A350="","",IF(ISNUMBER(--LEFT(A350,FIND(" - ",A350&amp;" - ")-1)),LEFT(A350,FIND(" - ",A350&amp;" - ")-1),TRIM(A350)))</f>
        <v/>
      </c>
      <c r="N350">
        <f>IF(L350="","",IF(ISNUMBER(INDEX(A350:H350,$P$1)),INDEX(A350:H350,$P$1),IFERROR(_xlfn.NUMBERVALUE(INDEX(A350:H350,$P$1),".",","),0)))</f>
        <v/>
      </c>
    </row>
    <row r="351">
      <c r="L351">
        <f>IF(A351="","",IF(ISNUMBER(--LEFT(A351,FIND(" - ",A351&amp;" - ")-1)),LEFT(A351,FIND(" - ",A351&amp;" - ")-1),TRIM(A351)))</f>
        <v/>
      </c>
      <c r="N351">
        <f>IF(L351="","",IF(ISNUMBER(INDEX(A351:H351,$P$1)),INDEX(A351:H351,$P$1),IFERROR(_xlfn.NUMBERVALUE(INDEX(A351:H351,$P$1),".",","),0)))</f>
        <v/>
      </c>
    </row>
    <row r="352">
      <c r="L352">
        <f>IF(A352="","",IF(ISNUMBER(--LEFT(A352,FIND(" - ",A352&amp;" - ")-1)),LEFT(A352,FIND(" - ",A352&amp;" - ")-1),TRIM(A352)))</f>
        <v/>
      </c>
      <c r="N352">
        <f>IF(L352="","",IF(ISNUMBER(INDEX(A352:H352,$P$1)),INDEX(A352:H352,$P$1),IFERROR(_xlfn.NUMBERVALUE(INDEX(A352:H352,$P$1),".",","),0)))</f>
        <v/>
      </c>
    </row>
    <row r="353">
      <c r="L353">
        <f>IF(A353="","",IF(ISNUMBER(--LEFT(A353,FIND(" - ",A353&amp;" - ")-1)),LEFT(A353,FIND(" - ",A353&amp;" - ")-1),TRIM(A353)))</f>
        <v/>
      </c>
      <c r="N353">
        <f>IF(L353="","",IF(ISNUMBER(INDEX(A353:H353,$P$1)),INDEX(A353:H353,$P$1),IFERROR(_xlfn.NUMBERVALUE(INDEX(A353:H353,$P$1),".",","),0)))</f>
        <v/>
      </c>
    </row>
    <row r="354">
      <c r="L354">
        <f>IF(A354="","",IF(ISNUMBER(--LEFT(A354,FIND(" - ",A354&amp;" - ")-1)),LEFT(A354,FIND(" - ",A354&amp;" - ")-1),TRIM(A354)))</f>
        <v/>
      </c>
      <c r="N354">
        <f>IF(L354="","",IF(ISNUMBER(INDEX(A354:H354,$P$1)),INDEX(A354:H354,$P$1),IFERROR(_xlfn.NUMBERVALUE(INDEX(A354:H354,$P$1),".",","),0)))</f>
        <v/>
      </c>
    </row>
    <row r="355">
      <c r="L355">
        <f>IF(A355="","",IF(ISNUMBER(--LEFT(A355,FIND(" - ",A355&amp;" - ")-1)),LEFT(A355,FIND(" - ",A355&amp;" - ")-1),TRIM(A355)))</f>
        <v/>
      </c>
      <c r="N355">
        <f>IF(L355="","",IF(ISNUMBER(INDEX(A355:H355,$P$1)),INDEX(A355:H355,$P$1),IFERROR(_xlfn.NUMBERVALUE(INDEX(A355:H355,$P$1),".",","),0)))</f>
        <v/>
      </c>
    </row>
    <row r="356">
      <c r="L356">
        <f>IF(A356="","",IF(ISNUMBER(--LEFT(A356,FIND(" - ",A356&amp;" - ")-1)),LEFT(A356,FIND(" - ",A356&amp;" - ")-1),TRIM(A356)))</f>
        <v/>
      </c>
      <c r="N356">
        <f>IF(L356="","",IF(ISNUMBER(INDEX(A356:H356,$P$1)),INDEX(A356:H356,$P$1),IFERROR(_xlfn.NUMBERVALUE(INDEX(A356:H356,$P$1),".",","),0)))</f>
        <v/>
      </c>
    </row>
    <row r="357">
      <c r="L357">
        <f>IF(A357="","",IF(ISNUMBER(--LEFT(A357,FIND(" - ",A357&amp;" - ")-1)),LEFT(A357,FIND(" - ",A357&amp;" - ")-1),TRIM(A357)))</f>
        <v/>
      </c>
      <c r="N357">
        <f>IF(L357="","",IF(ISNUMBER(INDEX(A357:H357,$P$1)),INDEX(A357:H357,$P$1),IFERROR(_xlfn.NUMBERVALUE(INDEX(A357:H357,$P$1),".",","),0)))</f>
        <v/>
      </c>
    </row>
    <row r="358">
      <c r="L358">
        <f>IF(A358="","",IF(ISNUMBER(--LEFT(A358,FIND(" - ",A358&amp;" - ")-1)),LEFT(A358,FIND(" - ",A358&amp;" - ")-1),TRIM(A358)))</f>
        <v/>
      </c>
      <c r="N358">
        <f>IF(L358="","",IF(ISNUMBER(INDEX(A358:H358,$P$1)),INDEX(A358:H358,$P$1),IFERROR(_xlfn.NUMBERVALUE(INDEX(A358:H358,$P$1),".",","),0)))</f>
        <v/>
      </c>
    </row>
    <row r="359">
      <c r="L359">
        <f>IF(A359="","",IF(ISNUMBER(--LEFT(A359,FIND(" - ",A359&amp;" - ")-1)),LEFT(A359,FIND(" - ",A359&amp;" - ")-1),TRIM(A359)))</f>
        <v/>
      </c>
      <c r="N359">
        <f>IF(L359="","",IF(ISNUMBER(INDEX(A359:H359,$P$1)),INDEX(A359:H359,$P$1),IFERROR(_xlfn.NUMBERVALUE(INDEX(A359:H359,$P$1),".",","),0)))</f>
        <v/>
      </c>
    </row>
    <row r="360">
      <c r="L360">
        <f>IF(A360="","",IF(ISNUMBER(--LEFT(A360,FIND(" - ",A360&amp;" - ")-1)),LEFT(A360,FIND(" - ",A360&amp;" - ")-1),TRIM(A360)))</f>
        <v/>
      </c>
      <c r="N360">
        <f>IF(L360="","",IF(ISNUMBER(INDEX(A360:H360,$P$1)),INDEX(A360:H360,$P$1),IFERROR(_xlfn.NUMBERVALUE(INDEX(A360:H360,$P$1),".",","),0)))</f>
        <v/>
      </c>
    </row>
    <row r="361">
      <c r="L361">
        <f>IF(A361="","",IF(ISNUMBER(--LEFT(A361,FIND(" - ",A361&amp;" - ")-1)),LEFT(A361,FIND(" - ",A361&amp;" - ")-1),TRIM(A361)))</f>
        <v/>
      </c>
      <c r="N361">
        <f>IF(L361="","",IF(ISNUMBER(INDEX(A361:H361,$P$1)),INDEX(A361:H361,$P$1),IFERROR(_xlfn.NUMBERVALUE(INDEX(A361:H361,$P$1),".",","),0)))</f>
        <v/>
      </c>
    </row>
    <row r="362">
      <c r="L362">
        <f>IF(A362="","",IF(ISNUMBER(--LEFT(A362,FIND(" - ",A362&amp;" - ")-1)),LEFT(A362,FIND(" - ",A362&amp;" - ")-1),TRIM(A362)))</f>
        <v/>
      </c>
      <c r="N362">
        <f>IF(L362="","",IF(ISNUMBER(INDEX(A362:H362,$P$1)),INDEX(A362:H362,$P$1),IFERROR(_xlfn.NUMBERVALUE(INDEX(A362:H362,$P$1),".",","),0)))</f>
        <v/>
      </c>
    </row>
    <row r="363">
      <c r="L363">
        <f>IF(A363="","",IF(ISNUMBER(--LEFT(A363,FIND(" - ",A363&amp;" - ")-1)),LEFT(A363,FIND(" - ",A363&amp;" - ")-1),TRIM(A363)))</f>
        <v/>
      </c>
      <c r="N363">
        <f>IF(L363="","",IF(ISNUMBER(INDEX(A363:H363,$P$1)),INDEX(A363:H363,$P$1),IFERROR(_xlfn.NUMBERVALUE(INDEX(A363:H363,$P$1),".",","),0)))</f>
        <v/>
      </c>
    </row>
    <row r="364">
      <c r="L364">
        <f>IF(A364="","",IF(ISNUMBER(--LEFT(A364,FIND(" - ",A364&amp;" - ")-1)),LEFT(A364,FIND(" - ",A364&amp;" - ")-1),TRIM(A364)))</f>
        <v/>
      </c>
      <c r="N364">
        <f>IF(L364="","",IF(ISNUMBER(INDEX(A364:H364,$P$1)),INDEX(A364:H364,$P$1),IFERROR(_xlfn.NUMBERVALUE(INDEX(A364:H364,$P$1),".",","),0)))</f>
        <v/>
      </c>
    </row>
    <row r="365">
      <c r="L365">
        <f>IF(A365="","",IF(ISNUMBER(--LEFT(A365,FIND(" - ",A365&amp;" - ")-1)),LEFT(A365,FIND(" - ",A365&amp;" - ")-1),TRIM(A365)))</f>
        <v/>
      </c>
      <c r="N365">
        <f>IF(L365="","",IF(ISNUMBER(INDEX(A365:H365,$P$1)),INDEX(A365:H365,$P$1),IFERROR(_xlfn.NUMBERVALUE(INDEX(A365:H365,$P$1),".",","),0)))</f>
        <v/>
      </c>
    </row>
    <row r="366">
      <c r="L366">
        <f>IF(A366="","",IF(ISNUMBER(--LEFT(A366,FIND(" - ",A366&amp;" - ")-1)),LEFT(A366,FIND(" - ",A366&amp;" - ")-1),TRIM(A366)))</f>
        <v/>
      </c>
      <c r="N366">
        <f>IF(L366="","",IF(ISNUMBER(INDEX(A366:H366,$P$1)),INDEX(A366:H366,$P$1),IFERROR(_xlfn.NUMBERVALUE(INDEX(A366:H366,$P$1),".",","),0)))</f>
        <v/>
      </c>
    </row>
    <row r="367">
      <c r="L367">
        <f>IF(A367="","",IF(ISNUMBER(--LEFT(A367,FIND(" - ",A367&amp;" - ")-1)),LEFT(A367,FIND(" - ",A367&amp;" - ")-1),TRIM(A367)))</f>
        <v/>
      </c>
      <c r="N367">
        <f>IF(L367="","",IF(ISNUMBER(INDEX(A367:H367,$P$1)),INDEX(A367:H367,$P$1),IFERROR(_xlfn.NUMBERVALUE(INDEX(A367:H367,$P$1),".",","),0)))</f>
        <v/>
      </c>
    </row>
    <row r="368">
      <c r="L368">
        <f>IF(A368="","",IF(ISNUMBER(--LEFT(A368,FIND(" - ",A368&amp;" - ")-1)),LEFT(A368,FIND(" - ",A368&amp;" - ")-1),TRIM(A368)))</f>
        <v/>
      </c>
      <c r="N368">
        <f>IF(L368="","",IF(ISNUMBER(INDEX(A368:H368,$P$1)),INDEX(A368:H368,$P$1),IFERROR(_xlfn.NUMBERVALUE(INDEX(A368:H368,$P$1),".",","),0)))</f>
        <v/>
      </c>
    </row>
    <row r="369">
      <c r="L369">
        <f>IF(A369="","",IF(ISNUMBER(--LEFT(A369,FIND(" - ",A369&amp;" - ")-1)),LEFT(A369,FIND(" - ",A369&amp;" - ")-1),TRIM(A369)))</f>
        <v/>
      </c>
      <c r="N369">
        <f>IF(L369="","",IF(ISNUMBER(INDEX(A369:H369,$P$1)),INDEX(A369:H369,$P$1),IFERROR(_xlfn.NUMBERVALUE(INDEX(A369:H369,$P$1),".",","),0)))</f>
        <v/>
      </c>
    </row>
    <row r="370">
      <c r="L370">
        <f>IF(A370="","",IF(ISNUMBER(--LEFT(A370,FIND(" - ",A370&amp;" - ")-1)),LEFT(A370,FIND(" - ",A370&amp;" - ")-1),TRIM(A370)))</f>
        <v/>
      </c>
      <c r="N370">
        <f>IF(L370="","",IF(ISNUMBER(INDEX(A370:H370,$P$1)),INDEX(A370:H370,$P$1),IFERROR(_xlfn.NUMBERVALUE(INDEX(A370:H370,$P$1),".",","),0)))</f>
        <v/>
      </c>
    </row>
    <row r="371">
      <c r="L371">
        <f>IF(A371="","",IF(ISNUMBER(--LEFT(A371,FIND(" - ",A371&amp;" - ")-1)),LEFT(A371,FIND(" - ",A371&amp;" - ")-1),TRIM(A371)))</f>
        <v/>
      </c>
      <c r="N371">
        <f>IF(L371="","",IF(ISNUMBER(INDEX(A371:H371,$P$1)),INDEX(A371:H371,$P$1),IFERROR(_xlfn.NUMBERVALUE(INDEX(A371:H371,$P$1),".",","),0)))</f>
        <v/>
      </c>
    </row>
    <row r="372">
      <c r="L372">
        <f>IF(A372="","",IF(ISNUMBER(--LEFT(A372,FIND(" - ",A372&amp;" - ")-1)),LEFT(A372,FIND(" - ",A372&amp;" - ")-1),TRIM(A372)))</f>
        <v/>
      </c>
      <c r="N372">
        <f>IF(L372="","",IF(ISNUMBER(INDEX(A372:H372,$P$1)),INDEX(A372:H372,$P$1),IFERROR(_xlfn.NUMBERVALUE(INDEX(A372:H372,$P$1),".",","),0)))</f>
        <v/>
      </c>
    </row>
    <row r="373">
      <c r="L373">
        <f>IF(A373="","",IF(ISNUMBER(--LEFT(A373,FIND(" - ",A373&amp;" - ")-1)),LEFT(A373,FIND(" - ",A373&amp;" - ")-1),TRIM(A373)))</f>
        <v/>
      </c>
      <c r="N373">
        <f>IF(L373="","",IF(ISNUMBER(INDEX(A373:H373,$P$1)),INDEX(A373:H373,$P$1),IFERROR(_xlfn.NUMBERVALUE(INDEX(A373:H373,$P$1),".",","),0)))</f>
        <v/>
      </c>
    </row>
    <row r="374">
      <c r="L374">
        <f>IF(A374="","",IF(ISNUMBER(--LEFT(A374,FIND(" - ",A374&amp;" - ")-1)),LEFT(A374,FIND(" - ",A374&amp;" - ")-1),TRIM(A374)))</f>
        <v/>
      </c>
      <c r="N374">
        <f>IF(L374="","",IF(ISNUMBER(INDEX(A374:H374,$P$1)),INDEX(A374:H374,$P$1),IFERROR(_xlfn.NUMBERVALUE(INDEX(A374:H374,$P$1),".",","),0)))</f>
        <v/>
      </c>
    </row>
    <row r="375">
      <c r="L375">
        <f>IF(A375="","",IF(ISNUMBER(--LEFT(A375,FIND(" - ",A375&amp;" - ")-1)),LEFT(A375,FIND(" - ",A375&amp;" - ")-1),TRIM(A375)))</f>
        <v/>
      </c>
      <c r="N375">
        <f>IF(L375="","",IF(ISNUMBER(INDEX(A375:H375,$P$1)),INDEX(A375:H375,$P$1),IFERROR(_xlfn.NUMBERVALUE(INDEX(A375:H375,$P$1),".",","),0)))</f>
        <v/>
      </c>
    </row>
    <row r="376">
      <c r="L376">
        <f>IF(A376="","",IF(ISNUMBER(--LEFT(A376,FIND(" - ",A376&amp;" - ")-1)),LEFT(A376,FIND(" - ",A376&amp;" - ")-1),TRIM(A376)))</f>
        <v/>
      </c>
      <c r="N376">
        <f>IF(L376="","",IF(ISNUMBER(INDEX(A376:H376,$P$1)),INDEX(A376:H376,$P$1),IFERROR(_xlfn.NUMBERVALUE(INDEX(A376:H376,$P$1),".",","),0)))</f>
        <v/>
      </c>
    </row>
    <row r="377">
      <c r="L377">
        <f>IF(A377="","",IF(ISNUMBER(--LEFT(A377,FIND(" - ",A377&amp;" - ")-1)),LEFT(A377,FIND(" - ",A377&amp;" - ")-1),TRIM(A377)))</f>
        <v/>
      </c>
      <c r="N377">
        <f>IF(L377="","",IF(ISNUMBER(INDEX(A377:H377,$P$1)),INDEX(A377:H377,$P$1),IFERROR(_xlfn.NUMBERVALUE(INDEX(A377:H377,$P$1),".",","),0)))</f>
        <v/>
      </c>
    </row>
    <row r="378">
      <c r="L378">
        <f>IF(A378="","",IF(ISNUMBER(--LEFT(A378,FIND(" - ",A378&amp;" - ")-1)),LEFT(A378,FIND(" - ",A378&amp;" - ")-1),TRIM(A378)))</f>
        <v/>
      </c>
      <c r="N378">
        <f>IF(L378="","",IF(ISNUMBER(INDEX(A378:H378,$P$1)),INDEX(A378:H378,$P$1),IFERROR(_xlfn.NUMBERVALUE(INDEX(A378:H378,$P$1),".",","),0)))</f>
        <v/>
      </c>
    </row>
    <row r="379">
      <c r="L379">
        <f>IF(A379="","",IF(ISNUMBER(--LEFT(A379,FIND(" - ",A379&amp;" - ")-1)),LEFT(A379,FIND(" - ",A379&amp;" - ")-1),TRIM(A379)))</f>
        <v/>
      </c>
      <c r="N379">
        <f>IF(L379="","",IF(ISNUMBER(INDEX(A379:H379,$P$1)),INDEX(A379:H379,$P$1),IFERROR(_xlfn.NUMBERVALUE(INDEX(A379:H379,$P$1),".",","),0)))</f>
        <v/>
      </c>
    </row>
    <row r="380">
      <c r="L380">
        <f>IF(A380="","",IF(ISNUMBER(--LEFT(A380,FIND(" - ",A380&amp;" - ")-1)),LEFT(A380,FIND(" - ",A380&amp;" - ")-1),TRIM(A380)))</f>
        <v/>
      </c>
      <c r="N380">
        <f>IF(L380="","",IF(ISNUMBER(INDEX(A380:H380,$P$1)),INDEX(A380:H380,$P$1),IFERROR(_xlfn.NUMBERVALUE(INDEX(A380:H380,$P$1),".",","),0)))</f>
        <v/>
      </c>
    </row>
    <row r="381">
      <c r="L381">
        <f>IF(A381="","",IF(ISNUMBER(--LEFT(A381,FIND(" - ",A381&amp;" - ")-1)),LEFT(A381,FIND(" - ",A381&amp;" - ")-1),TRIM(A381)))</f>
        <v/>
      </c>
      <c r="N381">
        <f>IF(L381="","",IF(ISNUMBER(INDEX(A381:H381,$P$1)),INDEX(A381:H381,$P$1),IFERROR(_xlfn.NUMBERVALUE(INDEX(A381:H381,$P$1),".",","),0)))</f>
        <v/>
      </c>
    </row>
    <row r="382">
      <c r="L382">
        <f>IF(A382="","",IF(ISNUMBER(--LEFT(A382,FIND(" - ",A382&amp;" - ")-1)),LEFT(A382,FIND(" - ",A382&amp;" - ")-1),TRIM(A382)))</f>
        <v/>
      </c>
      <c r="N382">
        <f>IF(L382="","",IF(ISNUMBER(INDEX(A382:H382,$P$1)),INDEX(A382:H382,$P$1),IFERROR(_xlfn.NUMBERVALUE(INDEX(A382:H382,$P$1),".",","),0)))</f>
        <v/>
      </c>
    </row>
    <row r="383">
      <c r="L383">
        <f>IF(A383="","",IF(ISNUMBER(--LEFT(A383,FIND(" - ",A383&amp;" - ")-1)),LEFT(A383,FIND(" - ",A383&amp;" - ")-1),TRIM(A383)))</f>
        <v/>
      </c>
      <c r="N383">
        <f>IF(L383="","",IF(ISNUMBER(INDEX(A383:H383,$P$1)),INDEX(A383:H383,$P$1),IFERROR(_xlfn.NUMBERVALUE(INDEX(A383:H383,$P$1),".",","),0)))</f>
        <v/>
      </c>
    </row>
    <row r="384">
      <c r="L384">
        <f>IF(A384="","",IF(ISNUMBER(--LEFT(A384,FIND(" - ",A384&amp;" - ")-1)),LEFT(A384,FIND(" - ",A384&amp;" - ")-1),TRIM(A384)))</f>
        <v/>
      </c>
      <c r="N384">
        <f>IF(L384="","",IF(ISNUMBER(INDEX(A384:H384,$P$1)),INDEX(A384:H384,$P$1),IFERROR(_xlfn.NUMBERVALUE(INDEX(A384:H384,$P$1),".",","),0)))</f>
        <v/>
      </c>
    </row>
    <row r="385">
      <c r="L385">
        <f>IF(A385="","",IF(ISNUMBER(--LEFT(A385,FIND(" - ",A385&amp;" - ")-1)),LEFT(A385,FIND(" - ",A385&amp;" - ")-1),TRIM(A385)))</f>
        <v/>
      </c>
      <c r="N385">
        <f>IF(L385="","",IF(ISNUMBER(INDEX(A385:H385,$P$1)),INDEX(A385:H385,$P$1),IFERROR(_xlfn.NUMBERVALUE(INDEX(A385:H385,$P$1),".",","),0)))</f>
        <v/>
      </c>
    </row>
    <row r="386">
      <c r="L386">
        <f>IF(A386="","",IF(ISNUMBER(--LEFT(A386,FIND(" - ",A386&amp;" - ")-1)),LEFT(A386,FIND(" - ",A386&amp;" - ")-1),TRIM(A386)))</f>
        <v/>
      </c>
      <c r="N386">
        <f>IF(L386="","",IF(ISNUMBER(INDEX(A386:H386,$P$1)),INDEX(A386:H386,$P$1),IFERROR(_xlfn.NUMBERVALUE(INDEX(A386:H386,$P$1),".",","),0)))</f>
        <v/>
      </c>
    </row>
    <row r="387">
      <c r="L387">
        <f>IF(A387="","",IF(ISNUMBER(--LEFT(A387,FIND(" - ",A387&amp;" - ")-1)),LEFT(A387,FIND(" - ",A387&amp;" - ")-1),TRIM(A387)))</f>
        <v/>
      </c>
      <c r="N387">
        <f>IF(L387="","",IF(ISNUMBER(INDEX(A387:H387,$P$1)),INDEX(A387:H387,$P$1),IFERROR(_xlfn.NUMBERVALUE(INDEX(A387:H387,$P$1),".",","),0)))</f>
        <v/>
      </c>
    </row>
    <row r="388">
      <c r="L388">
        <f>IF(A388="","",IF(ISNUMBER(--LEFT(A388,FIND(" - ",A388&amp;" - ")-1)),LEFT(A388,FIND(" - ",A388&amp;" - ")-1),TRIM(A388)))</f>
        <v/>
      </c>
      <c r="N388">
        <f>IF(L388="","",IF(ISNUMBER(INDEX(A388:H388,$P$1)),INDEX(A388:H388,$P$1),IFERROR(_xlfn.NUMBERVALUE(INDEX(A388:H388,$P$1),".",","),0)))</f>
        <v/>
      </c>
    </row>
    <row r="389">
      <c r="L389">
        <f>IF(A389="","",IF(ISNUMBER(--LEFT(A389,FIND(" - ",A389&amp;" - ")-1)),LEFT(A389,FIND(" - ",A389&amp;" - ")-1),TRIM(A389)))</f>
        <v/>
      </c>
      <c r="N389">
        <f>IF(L389="","",IF(ISNUMBER(INDEX(A389:H389,$P$1)),INDEX(A389:H389,$P$1),IFERROR(_xlfn.NUMBERVALUE(INDEX(A389:H389,$P$1),".",","),0)))</f>
        <v/>
      </c>
    </row>
    <row r="390">
      <c r="L390">
        <f>IF(A390="","",IF(ISNUMBER(--LEFT(A390,FIND(" - ",A390&amp;" - ")-1)),LEFT(A390,FIND(" - ",A390&amp;" - ")-1),TRIM(A390)))</f>
        <v/>
      </c>
      <c r="N390">
        <f>IF(L390="","",IF(ISNUMBER(INDEX(A390:H390,$P$1)),INDEX(A390:H390,$P$1),IFERROR(_xlfn.NUMBERVALUE(INDEX(A390:H390,$P$1),".",","),0)))</f>
        <v/>
      </c>
    </row>
    <row r="391">
      <c r="L391">
        <f>IF(A391="","",IF(ISNUMBER(--LEFT(A391,FIND(" - ",A391&amp;" - ")-1)),LEFT(A391,FIND(" - ",A391&amp;" - ")-1),TRIM(A391)))</f>
        <v/>
      </c>
      <c r="N391">
        <f>IF(L391="","",IF(ISNUMBER(INDEX(A391:H391,$P$1)),INDEX(A391:H391,$P$1),IFERROR(_xlfn.NUMBERVALUE(INDEX(A391:H391,$P$1),".",","),0)))</f>
        <v/>
      </c>
    </row>
    <row r="392">
      <c r="L392">
        <f>IF(A392="","",IF(ISNUMBER(--LEFT(A392,FIND(" - ",A392&amp;" - ")-1)),LEFT(A392,FIND(" - ",A392&amp;" - ")-1),TRIM(A392)))</f>
        <v/>
      </c>
      <c r="N392">
        <f>IF(L392="","",IF(ISNUMBER(INDEX(A392:H392,$P$1)),INDEX(A392:H392,$P$1),IFERROR(_xlfn.NUMBERVALUE(INDEX(A392:H392,$P$1),".",","),0)))</f>
        <v/>
      </c>
    </row>
    <row r="393">
      <c r="L393">
        <f>IF(A393="","",IF(ISNUMBER(--LEFT(A393,FIND(" - ",A393&amp;" - ")-1)),LEFT(A393,FIND(" - ",A393&amp;" - ")-1),TRIM(A393)))</f>
        <v/>
      </c>
      <c r="N393">
        <f>IF(L393="","",IF(ISNUMBER(INDEX(A393:H393,$P$1)),INDEX(A393:H393,$P$1),IFERROR(_xlfn.NUMBERVALUE(INDEX(A393:H393,$P$1),".",","),0)))</f>
        <v/>
      </c>
    </row>
    <row r="394">
      <c r="L394">
        <f>IF(A394="","",IF(ISNUMBER(--LEFT(A394,FIND(" - ",A394&amp;" - ")-1)),LEFT(A394,FIND(" - ",A394&amp;" - ")-1),TRIM(A394)))</f>
        <v/>
      </c>
      <c r="N394">
        <f>IF(L394="","",IF(ISNUMBER(INDEX(A394:H394,$P$1)),INDEX(A394:H394,$P$1),IFERROR(_xlfn.NUMBERVALUE(INDEX(A394:H394,$P$1),".",","),0)))</f>
        <v/>
      </c>
    </row>
    <row r="395">
      <c r="L395">
        <f>IF(A395="","",IF(ISNUMBER(--LEFT(A395,FIND(" - ",A395&amp;" - ")-1)),LEFT(A395,FIND(" - ",A395&amp;" - ")-1),TRIM(A395)))</f>
        <v/>
      </c>
      <c r="N395">
        <f>IF(L395="","",IF(ISNUMBER(INDEX(A395:H395,$P$1)),INDEX(A395:H395,$P$1),IFERROR(_xlfn.NUMBERVALUE(INDEX(A395:H395,$P$1),".",","),0)))</f>
        <v/>
      </c>
    </row>
    <row r="396">
      <c r="L396">
        <f>IF(A396="","",IF(ISNUMBER(--LEFT(A396,FIND(" - ",A396&amp;" - ")-1)),LEFT(A396,FIND(" - ",A396&amp;" - ")-1),TRIM(A396)))</f>
        <v/>
      </c>
      <c r="N396">
        <f>IF(L396="","",IF(ISNUMBER(INDEX(A396:H396,$P$1)),INDEX(A396:H396,$P$1),IFERROR(_xlfn.NUMBERVALUE(INDEX(A396:H396,$P$1),".",","),0)))</f>
        <v/>
      </c>
    </row>
    <row r="397">
      <c r="L397">
        <f>IF(A397="","",IF(ISNUMBER(--LEFT(A397,FIND(" - ",A397&amp;" - ")-1)),LEFT(A397,FIND(" - ",A397&amp;" - ")-1),TRIM(A397)))</f>
        <v/>
      </c>
      <c r="N397">
        <f>IF(L397="","",IF(ISNUMBER(INDEX(A397:H397,$P$1)),INDEX(A397:H397,$P$1),IFERROR(_xlfn.NUMBERVALUE(INDEX(A397:H397,$P$1),".",","),0)))</f>
        <v/>
      </c>
    </row>
    <row r="398">
      <c r="L398">
        <f>IF(A398="","",IF(ISNUMBER(--LEFT(A398,FIND(" - ",A398&amp;" - ")-1)),LEFT(A398,FIND(" - ",A398&amp;" - ")-1),TRIM(A398)))</f>
        <v/>
      </c>
      <c r="N398">
        <f>IF(L398="","",IF(ISNUMBER(INDEX(A398:H398,$P$1)),INDEX(A398:H398,$P$1),IFERROR(_xlfn.NUMBERVALUE(INDEX(A398:H398,$P$1),".",","),0)))</f>
        <v/>
      </c>
    </row>
    <row r="399">
      <c r="L399">
        <f>IF(A399="","",IF(ISNUMBER(--LEFT(A399,FIND(" - ",A399&amp;" - ")-1)),LEFT(A399,FIND(" - ",A399&amp;" - ")-1),TRIM(A399)))</f>
        <v/>
      </c>
      <c r="N399">
        <f>IF(L399="","",IF(ISNUMBER(INDEX(A399:H399,$P$1)),INDEX(A399:H399,$P$1),IFERROR(_xlfn.NUMBERVALUE(INDEX(A399:H399,$P$1),".",","),0)))</f>
        <v/>
      </c>
    </row>
    <row r="400">
      <c r="L400">
        <f>IF(A400="","",IF(ISNUMBER(--LEFT(A400,FIND(" - ",A400&amp;" - ")-1)),LEFT(A400,FIND(" - ",A400&amp;" - ")-1),TRIM(A400)))</f>
        <v/>
      </c>
      <c r="N400">
        <f>IF(L400="","",IF(ISNUMBER(INDEX(A400:H400,$P$1)),INDEX(A400:H400,$P$1),IFERROR(_xlfn.NUMBERVALUE(INDEX(A400:H400,$P$1),".",","),0)))</f>
        <v/>
      </c>
    </row>
    <row r="401">
      <c r="L401">
        <f>IF(A401="","",IF(ISNUMBER(--LEFT(A401,FIND(" - ",A401&amp;" - ")-1)),LEFT(A401,FIND(" - ",A401&amp;" - ")-1),TRIM(A401)))</f>
        <v/>
      </c>
      <c r="N401">
        <f>IF(L401="","",IF(ISNUMBER(INDEX(A401:H401,$P$1)),INDEX(A401:H401,$P$1),IFERROR(_xlfn.NUMBERVALUE(INDEX(A401:H401,$P$1),".",","),0)))</f>
        <v/>
      </c>
    </row>
    <row r="402">
      <c r="L402">
        <f>IF(A402="","",IF(ISNUMBER(--LEFT(A402,FIND(" - ",A402&amp;" - ")-1)),LEFT(A402,FIND(" - ",A402&amp;" - ")-1),TRIM(A402)))</f>
        <v/>
      </c>
      <c r="N402">
        <f>IF(L402="","",IF(ISNUMBER(INDEX(A402:H402,$P$1)),INDEX(A402:H402,$P$1),IFERROR(_xlfn.NUMBERVALUE(INDEX(A402:H402,$P$1),".",","),0)))</f>
        <v/>
      </c>
    </row>
    <row r="403">
      <c r="L403">
        <f>IF(A403="","",IF(ISNUMBER(--LEFT(A403,FIND(" - ",A403&amp;" - ")-1)),LEFT(A403,FIND(" - ",A403&amp;" - ")-1),TRIM(A403)))</f>
        <v/>
      </c>
      <c r="N403">
        <f>IF(L403="","",IF(ISNUMBER(INDEX(A403:H403,$P$1)),INDEX(A403:H403,$P$1),IFERROR(_xlfn.NUMBERVALUE(INDEX(A403:H403,$P$1),".",","),0)))</f>
        <v/>
      </c>
    </row>
    <row r="404">
      <c r="L404">
        <f>IF(A404="","",IF(ISNUMBER(--LEFT(A404,FIND(" - ",A404&amp;" - ")-1)),LEFT(A404,FIND(" - ",A404&amp;" - ")-1),TRIM(A404)))</f>
        <v/>
      </c>
      <c r="N404">
        <f>IF(L404="","",IF(ISNUMBER(INDEX(A404:H404,$P$1)),INDEX(A404:H404,$P$1),IFERROR(_xlfn.NUMBERVALUE(INDEX(A404:H404,$P$1),".",","),0)))</f>
        <v/>
      </c>
    </row>
    <row r="405">
      <c r="L405">
        <f>IF(A405="","",IF(ISNUMBER(--LEFT(A405,FIND(" - ",A405&amp;" - ")-1)),LEFT(A405,FIND(" - ",A405&amp;" - ")-1),TRIM(A405)))</f>
        <v/>
      </c>
      <c r="N405">
        <f>IF(L405="","",IF(ISNUMBER(INDEX(A405:H405,$P$1)),INDEX(A405:H405,$P$1),IFERROR(_xlfn.NUMBERVALUE(INDEX(A405:H405,$P$1),".",","),0)))</f>
        <v/>
      </c>
    </row>
    <row r="406">
      <c r="L406">
        <f>IF(A406="","",IF(ISNUMBER(--LEFT(A406,FIND(" - ",A406&amp;" - ")-1)),LEFT(A406,FIND(" - ",A406&amp;" - ")-1),TRIM(A406)))</f>
        <v/>
      </c>
      <c r="N406">
        <f>IF(L406="","",IF(ISNUMBER(INDEX(A406:H406,$P$1)),INDEX(A406:H406,$P$1),IFERROR(_xlfn.NUMBERVALUE(INDEX(A406:H406,$P$1),".",","),0)))</f>
        <v/>
      </c>
    </row>
    <row r="407">
      <c r="L407">
        <f>IF(A407="","",IF(ISNUMBER(--LEFT(A407,FIND(" - ",A407&amp;" - ")-1)),LEFT(A407,FIND(" - ",A407&amp;" - ")-1),TRIM(A407)))</f>
        <v/>
      </c>
      <c r="N407">
        <f>IF(L407="","",IF(ISNUMBER(INDEX(A407:H407,$P$1)),INDEX(A407:H407,$P$1),IFERROR(_xlfn.NUMBERVALUE(INDEX(A407:H407,$P$1),".",","),0)))</f>
        <v/>
      </c>
    </row>
    <row r="408">
      <c r="L408">
        <f>IF(A408="","",IF(ISNUMBER(--LEFT(A408,FIND(" - ",A408&amp;" - ")-1)),LEFT(A408,FIND(" - ",A408&amp;" - ")-1),TRIM(A408)))</f>
        <v/>
      </c>
      <c r="N408">
        <f>IF(L408="","",IF(ISNUMBER(INDEX(A408:H408,$P$1)),INDEX(A408:H408,$P$1),IFERROR(_xlfn.NUMBERVALUE(INDEX(A408:H408,$P$1),".",","),0)))</f>
        <v/>
      </c>
    </row>
    <row r="409">
      <c r="L409">
        <f>IF(A409="","",IF(ISNUMBER(--LEFT(A409,FIND(" - ",A409&amp;" - ")-1)),LEFT(A409,FIND(" - ",A409&amp;" - ")-1),TRIM(A409)))</f>
        <v/>
      </c>
      <c r="N409">
        <f>IF(L409="","",IF(ISNUMBER(INDEX(A409:H409,$P$1)),INDEX(A409:H409,$P$1),IFERROR(_xlfn.NUMBERVALUE(INDEX(A409:H409,$P$1),".",","),0)))</f>
        <v/>
      </c>
    </row>
    <row r="410">
      <c r="L410">
        <f>IF(A410="","",IF(ISNUMBER(--LEFT(A410,FIND(" - ",A410&amp;" - ")-1)),LEFT(A410,FIND(" - ",A410&amp;" - ")-1),TRIM(A410)))</f>
        <v/>
      </c>
      <c r="N410">
        <f>IF(L410="","",IF(ISNUMBER(INDEX(A410:H410,$P$1)),INDEX(A410:H410,$P$1),IFERROR(_xlfn.NUMBERVALUE(INDEX(A410:H410,$P$1),".",","),0)))</f>
        <v/>
      </c>
    </row>
    <row r="411">
      <c r="L411">
        <f>IF(A411="","",IF(ISNUMBER(--LEFT(A411,FIND(" - ",A411&amp;" - ")-1)),LEFT(A411,FIND(" - ",A411&amp;" - ")-1),TRIM(A411)))</f>
        <v/>
      </c>
      <c r="N411">
        <f>IF(L411="","",IF(ISNUMBER(INDEX(A411:H411,$P$1)),INDEX(A411:H411,$P$1),IFERROR(_xlfn.NUMBERVALUE(INDEX(A411:H411,$P$1),".",","),0)))</f>
        <v/>
      </c>
    </row>
    <row r="412">
      <c r="L412">
        <f>IF(A412="","",IF(ISNUMBER(--LEFT(A412,FIND(" - ",A412&amp;" - ")-1)),LEFT(A412,FIND(" - ",A412&amp;" - ")-1),TRIM(A412)))</f>
        <v/>
      </c>
      <c r="N412">
        <f>IF(L412="","",IF(ISNUMBER(INDEX(A412:H412,$P$1)),INDEX(A412:H412,$P$1),IFERROR(_xlfn.NUMBERVALUE(INDEX(A412:H412,$P$1),".",","),0)))</f>
        <v/>
      </c>
    </row>
    <row r="413">
      <c r="L413">
        <f>IF(A413="","",IF(ISNUMBER(--LEFT(A413,FIND(" - ",A413&amp;" - ")-1)),LEFT(A413,FIND(" - ",A413&amp;" - ")-1),TRIM(A413)))</f>
        <v/>
      </c>
      <c r="N413">
        <f>IF(L413="","",IF(ISNUMBER(INDEX(A413:H413,$P$1)),INDEX(A413:H413,$P$1),IFERROR(_xlfn.NUMBERVALUE(INDEX(A413:H413,$P$1),".",","),0)))</f>
        <v/>
      </c>
    </row>
    <row r="414">
      <c r="L414">
        <f>IF(A414="","",IF(ISNUMBER(--LEFT(A414,FIND(" - ",A414&amp;" - ")-1)),LEFT(A414,FIND(" - ",A414&amp;" - ")-1),TRIM(A414)))</f>
        <v/>
      </c>
      <c r="N414">
        <f>IF(L414="","",IF(ISNUMBER(INDEX(A414:H414,$P$1)),INDEX(A414:H414,$P$1),IFERROR(_xlfn.NUMBERVALUE(INDEX(A414:H414,$P$1),".",","),0)))</f>
        <v/>
      </c>
    </row>
    <row r="415">
      <c r="L415">
        <f>IF(A415="","",IF(ISNUMBER(--LEFT(A415,FIND(" - ",A415&amp;" - ")-1)),LEFT(A415,FIND(" - ",A415&amp;" - ")-1),TRIM(A415)))</f>
        <v/>
      </c>
      <c r="N415">
        <f>IF(L415="","",IF(ISNUMBER(INDEX(A415:H415,$P$1)),INDEX(A415:H415,$P$1),IFERROR(_xlfn.NUMBERVALUE(INDEX(A415:H415,$P$1),".",","),0)))</f>
        <v/>
      </c>
    </row>
    <row r="416">
      <c r="L416">
        <f>IF(A416="","",IF(ISNUMBER(--LEFT(A416,FIND(" - ",A416&amp;" - ")-1)),LEFT(A416,FIND(" - ",A416&amp;" - ")-1),TRIM(A416)))</f>
        <v/>
      </c>
      <c r="N416">
        <f>IF(L416="","",IF(ISNUMBER(INDEX(A416:H416,$P$1)),INDEX(A416:H416,$P$1),IFERROR(_xlfn.NUMBERVALUE(INDEX(A416:H416,$P$1),".",","),0)))</f>
        <v/>
      </c>
    </row>
    <row r="417">
      <c r="L417">
        <f>IF(A417="","",IF(ISNUMBER(--LEFT(A417,FIND(" - ",A417&amp;" - ")-1)),LEFT(A417,FIND(" - ",A417&amp;" - ")-1),TRIM(A417)))</f>
        <v/>
      </c>
      <c r="N417">
        <f>IF(L417="","",IF(ISNUMBER(INDEX(A417:H417,$P$1)),INDEX(A417:H417,$P$1),IFERROR(_xlfn.NUMBERVALUE(INDEX(A417:H417,$P$1),".",","),0)))</f>
        <v/>
      </c>
    </row>
    <row r="418">
      <c r="L418">
        <f>IF(A418="","",IF(ISNUMBER(--LEFT(A418,FIND(" - ",A418&amp;" - ")-1)),LEFT(A418,FIND(" - ",A418&amp;" - ")-1),TRIM(A418)))</f>
        <v/>
      </c>
      <c r="N418">
        <f>IF(L418="","",IF(ISNUMBER(INDEX(A418:H418,$P$1)),INDEX(A418:H418,$P$1),IFERROR(_xlfn.NUMBERVALUE(INDEX(A418:H418,$P$1),".",","),0)))</f>
        <v/>
      </c>
    </row>
    <row r="419">
      <c r="L419">
        <f>IF(A419="","",IF(ISNUMBER(--LEFT(A419,FIND(" - ",A419&amp;" - ")-1)),LEFT(A419,FIND(" - ",A419&amp;" - ")-1),TRIM(A419)))</f>
        <v/>
      </c>
      <c r="N419">
        <f>IF(L419="","",IF(ISNUMBER(INDEX(A419:H419,$P$1)),INDEX(A419:H419,$P$1),IFERROR(_xlfn.NUMBERVALUE(INDEX(A419:H419,$P$1),".",","),0)))</f>
        <v/>
      </c>
    </row>
    <row r="420">
      <c r="L420">
        <f>IF(A420="","",IF(ISNUMBER(--LEFT(A420,FIND(" - ",A420&amp;" - ")-1)),LEFT(A420,FIND(" - ",A420&amp;" - ")-1),TRIM(A420)))</f>
        <v/>
      </c>
      <c r="N420">
        <f>IF(L420="","",IF(ISNUMBER(INDEX(A420:H420,$P$1)),INDEX(A420:H420,$P$1),IFERROR(_xlfn.NUMBERVALUE(INDEX(A420:H420,$P$1),".",","),0)))</f>
        <v/>
      </c>
    </row>
    <row r="421">
      <c r="L421">
        <f>IF(A421="","",IF(ISNUMBER(--LEFT(A421,FIND(" - ",A421&amp;" - ")-1)),LEFT(A421,FIND(" - ",A421&amp;" - ")-1),TRIM(A421)))</f>
        <v/>
      </c>
      <c r="N421">
        <f>IF(L421="","",IF(ISNUMBER(INDEX(A421:H421,$P$1)),INDEX(A421:H421,$P$1),IFERROR(_xlfn.NUMBERVALUE(INDEX(A421:H421,$P$1),".",","),0)))</f>
        <v/>
      </c>
    </row>
    <row r="422">
      <c r="L422">
        <f>IF(A422="","",IF(ISNUMBER(--LEFT(A422,FIND(" - ",A422&amp;" - ")-1)),LEFT(A422,FIND(" - ",A422&amp;" - ")-1),TRIM(A422)))</f>
        <v/>
      </c>
      <c r="N422">
        <f>IF(L422="","",IF(ISNUMBER(INDEX(A422:H422,$P$1)),INDEX(A422:H422,$P$1),IFERROR(_xlfn.NUMBERVALUE(INDEX(A422:H422,$P$1),".",","),0)))</f>
        <v/>
      </c>
    </row>
    <row r="423">
      <c r="L423">
        <f>IF(A423="","",IF(ISNUMBER(--LEFT(A423,FIND(" - ",A423&amp;" - ")-1)),LEFT(A423,FIND(" - ",A423&amp;" - ")-1),TRIM(A423)))</f>
        <v/>
      </c>
      <c r="N423">
        <f>IF(L423="","",IF(ISNUMBER(INDEX(A423:H423,$P$1)),INDEX(A423:H423,$P$1),IFERROR(_xlfn.NUMBERVALUE(INDEX(A423:H423,$P$1),".",","),0)))</f>
        <v/>
      </c>
    </row>
    <row r="424">
      <c r="L424">
        <f>IF(A424="","",IF(ISNUMBER(--LEFT(A424,FIND(" - ",A424&amp;" - ")-1)),LEFT(A424,FIND(" - ",A424&amp;" - ")-1),TRIM(A424)))</f>
        <v/>
      </c>
      <c r="N424">
        <f>IF(L424="","",IF(ISNUMBER(INDEX(A424:H424,$P$1)),INDEX(A424:H424,$P$1),IFERROR(_xlfn.NUMBERVALUE(INDEX(A424:H424,$P$1),".",","),0)))</f>
        <v/>
      </c>
    </row>
    <row r="425">
      <c r="L425">
        <f>IF(A425="","",IF(ISNUMBER(--LEFT(A425,FIND(" - ",A425&amp;" - ")-1)),LEFT(A425,FIND(" - ",A425&amp;" - ")-1),TRIM(A425)))</f>
        <v/>
      </c>
      <c r="N425">
        <f>IF(L425="","",IF(ISNUMBER(INDEX(A425:H425,$P$1)),INDEX(A425:H425,$P$1),IFERROR(_xlfn.NUMBERVALUE(INDEX(A425:H425,$P$1),".",","),0)))</f>
        <v/>
      </c>
    </row>
    <row r="426">
      <c r="L426">
        <f>IF(A426="","",IF(ISNUMBER(--LEFT(A426,FIND(" - ",A426&amp;" - ")-1)),LEFT(A426,FIND(" - ",A426&amp;" - ")-1),TRIM(A426)))</f>
        <v/>
      </c>
      <c r="N426">
        <f>IF(L426="","",IF(ISNUMBER(INDEX(A426:H426,$P$1)),INDEX(A426:H426,$P$1),IFERROR(_xlfn.NUMBERVALUE(INDEX(A426:H426,$P$1),".",","),0)))</f>
        <v/>
      </c>
    </row>
    <row r="427">
      <c r="L427">
        <f>IF(A427="","",IF(ISNUMBER(--LEFT(A427,FIND(" - ",A427&amp;" - ")-1)),LEFT(A427,FIND(" - ",A427&amp;" - ")-1),TRIM(A427)))</f>
        <v/>
      </c>
      <c r="N427">
        <f>IF(L427="","",IF(ISNUMBER(INDEX(A427:H427,$P$1)),INDEX(A427:H427,$P$1),IFERROR(_xlfn.NUMBERVALUE(INDEX(A427:H427,$P$1),".",","),0)))</f>
        <v/>
      </c>
    </row>
    <row r="428">
      <c r="L428">
        <f>IF(A428="","",IF(ISNUMBER(--LEFT(A428,FIND(" - ",A428&amp;" - ")-1)),LEFT(A428,FIND(" - ",A428&amp;" - ")-1),TRIM(A428)))</f>
        <v/>
      </c>
      <c r="N428">
        <f>IF(L428="","",IF(ISNUMBER(INDEX(A428:H428,$P$1)),INDEX(A428:H428,$P$1),IFERROR(_xlfn.NUMBERVALUE(INDEX(A428:H428,$P$1),".",","),0)))</f>
        <v/>
      </c>
    </row>
    <row r="429">
      <c r="L429">
        <f>IF(A429="","",IF(ISNUMBER(--LEFT(A429,FIND(" - ",A429&amp;" - ")-1)),LEFT(A429,FIND(" - ",A429&amp;" - ")-1),TRIM(A429)))</f>
        <v/>
      </c>
      <c r="N429">
        <f>IF(L429="","",IF(ISNUMBER(INDEX(A429:H429,$P$1)),INDEX(A429:H429,$P$1),IFERROR(_xlfn.NUMBERVALUE(INDEX(A429:H429,$P$1),".",","),0)))</f>
        <v/>
      </c>
    </row>
    <row r="430">
      <c r="L430">
        <f>IF(A430="","",IF(ISNUMBER(--LEFT(A430,FIND(" - ",A430&amp;" - ")-1)),LEFT(A430,FIND(" - ",A430&amp;" - ")-1),TRIM(A430)))</f>
        <v/>
      </c>
      <c r="N430">
        <f>IF(L430="","",IF(ISNUMBER(INDEX(A430:H430,$P$1)),INDEX(A430:H430,$P$1),IFERROR(_xlfn.NUMBERVALUE(INDEX(A430:H430,$P$1),".",","),0)))</f>
        <v/>
      </c>
    </row>
    <row r="431">
      <c r="L431">
        <f>IF(A431="","",IF(ISNUMBER(--LEFT(A431,FIND(" - ",A431&amp;" - ")-1)),LEFT(A431,FIND(" - ",A431&amp;" - ")-1),TRIM(A431)))</f>
        <v/>
      </c>
      <c r="N431">
        <f>IF(L431="","",IF(ISNUMBER(INDEX(A431:H431,$P$1)),INDEX(A431:H431,$P$1),IFERROR(_xlfn.NUMBERVALUE(INDEX(A431:H431,$P$1),".",","),0)))</f>
        <v/>
      </c>
    </row>
    <row r="432">
      <c r="L432">
        <f>IF(A432="","",IF(ISNUMBER(--LEFT(A432,FIND(" - ",A432&amp;" - ")-1)),LEFT(A432,FIND(" - ",A432&amp;" - ")-1),TRIM(A432)))</f>
        <v/>
      </c>
      <c r="N432">
        <f>IF(L432="","",IF(ISNUMBER(INDEX(A432:H432,$P$1)),INDEX(A432:H432,$P$1),IFERROR(_xlfn.NUMBERVALUE(INDEX(A432:H432,$P$1),".",","),0)))</f>
        <v/>
      </c>
    </row>
    <row r="433">
      <c r="L433">
        <f>IF(A433="","",IF(ISNUMBER(--LEFT(A433,FIND(" - ",A433&amp;" - ")-1)),LEFT(A433,FIND(" - ",A433&amp;" - ")-1),TRIM(A433)))</f>
        <v/>
      </c>
      <c r="N433">
        <f>IF(L433="","",IF(ISNUMBER(INDEX(A433:H433,$P$1)),INDEX(A433:H433,$P$1),IFERROR(_xlfn.NUMBERVALUE(INDEX(A433:H433,$P$1),".",","),0)))</f>
        <v/>
      </c>
    </row>
    <row r="434">
      <c r="L434">
        <f>IF(A434="","",IF(ISNUMBER(--LEFT(A434,FIND(" - ",A434&amp;" - ")-1)),LEFT(A434,FIND(" - ",A434&amp;" - ")-1),TRIM(A434)))</f>
        <v/>
      </c>
      <c r="N434">
        <f>IF(L434="","",IF(ISNUMBER(INDEX(A434:H434,$P$1)),INDEX(A434:H434,$P$1),IFERROR(_xlfn.NUMBERVALUE(INDEX(A434:H434,$P$1),".",","),0)))</f>
        <v/>
      </c>
    </row>
    <row r="435">
      <c r="L435">
        <f>IF(A435="","",IF(ISNUMBER(--LEFT(A435,FIND(" - ",A435&amp;" - ")-1)),LEFT(A435,FIND(" - ",A435&amp;" - ")-1),TRIM(A435)))</f>
        <v/>
      </c>
      <c r="N435">
        <f>IF(L435="","",IF(ISNUMBER(INDEX(A435:H435,$P$1)),INDEX(A435:H435,$P$1),IFERROR(_xlfn.NUMBERVALUE(INDEX(A435:H435,$P$1),".",","),0)))</f>
        <v/>
      </c>
    </row>
    <row r="436">
      <c r="L436">
        <f>IF(A436="","",IF(ISNUMBER(--LEFT(A436,FIND(" - ",A436&amp;" - ")-1)),LEFT(A436,FIND(" - ",A436&amp;" - ")-1),TRIM(A436)))</f>
        <v/>
      </c>
      <c r="N436">
        <f>IF(L436="","",IF(ISNUMBER(INDEX(A436:H436,$P$1)),INDEX(A436:H436,$P$1),IFERROR(_xlfn.NUMBERVALUE(INDEX(A436:H436,$P$1),".",","),0)))</f>
        <v/>
      </c>
    </row>
    <row r="437">
      <c r="L437">
        <f>IF(A437="","",IF(ISNUMBER(--LEFT(A437,FIND(" - ",A437&amp;" - ")-1)),LEFT(A437,FIND(" - ",A437&amp;" - ")-1),TRIM(A437)))</f>
        <v/>
      </c>
      <c r="N437">
        <f>IF(L437="","",IF(ISNUMBER(INDEX(A437:H437,$P$1)),INDEX(A437:H437,$P$1),IFERROR(_xlfn.NUMBERVALUE(INDEX(A437:H437,$P$1),".",","),0)))</f>
        <v/>
      </c>
    </row>
    <row r="438">
      <c r="L438">
        <f>IF(A438="","",IF(ISNUMBER(--LEFT(A438,FIND(" - ",A438&amp;" - ")-1)),LEFT(A438,FIND(" - ",A438&amp;" - ")-1),TRIM(A438)))</f>
        <v/>
      </c>
      <c r="N438">
        <f>IF(L438="","",IF(ISNUMBER(INDEX(A438:H438,$P$1)),INDEX(A438:H438,$P$1),IFERROR(_xlfn.NUMBERVALUE(INDEX(A438:H438,$P$1),".",","),0)))</f>
        <v/>
      </c>
    </row>
    <row r="439">
      <c r="L439">
        <f>IF(A439="","",IF(ISNUMBER(--LEFT(A439,FIND(" - ",A439&amp;" - ")-1)),LEFT(A439,FIND(" - ",A439&amp;" - ")-1),TRIM(A439)))</f>
        <v/>
      </c>
      <c r="N439">
        <f>IF(L439="","",IF(ISNUMBER(INDEX(A439:H439,$P$1)),INDEX(A439:H439,$P$1),IFERROR(_xlfn.NUMBERVALUE(INDEX(A439:H439,$P$1),".",","),0)))</f>
        <v/>
      </c>
    </row>
    <row r="440">
      <c r="L440">
        <f>IF(A440="","",IF(ISNUMBER(--LEFT(A440,FIND(" - ",A440&amp;" - ")-1)),LEFT(A440,FIND(" - ",A440&amp;" - ")-1),TRIM(A440)))</f>
        <v/>
      </c>
      <c r="N440">
        <f>IF(L440="","",IF(ISNUMBER(INDEX(A440:H440,$P$1)),INDEX(A440:H440,$P$1),IFERROR(_xlfn.NUMBERVALUE(INDEX(A440:H440,$P$1),".",","),0)))</f>
        <v/>
      </c>
    </row>
    <row r="441">
      <c r="L441">
        <f>IF(A441="","",IF(ISNUMBER(--LEFT(A441,FIND(" - ",A441&amp;" - ")-1)),LEFT(A441,FIND(" - ",A441&amp;" - ")-1),TRIM(A441)))</f>
        <v/>
      </c>
      <c r="N441">
        <f>IF(L441="","",IF(ISNUMBER(INDEX(A441:H441,$P$1)),INDEX(A441:H441,$P$1),IFERROR(_xlfn.NUMBERVALUE(INDEX(A441:H441,$P$1),".",","),0)))</f>
        <v/>
      </c>
    </row>
    <row r="442">
      <c r="L442">
        <f>IF(A442="","",IF(ISNUMBER(--LEFT(A442,FIND(" - ",A442&amp;" - ")-1)),LEFT(A442,FIND(" - ",A442&amp;" - ")-1),TRIM(A442)))</f>
        <v/>
      </c>
      <c r="N442">
        <f>IF(L442="","",IF(ISNUMBER(INDEX(A442:H442,$P$1)),INDEX(A442:H442,$P$1),IFERROR(_xlfn.NUMBERVALUE(INDEX(A442:H442,$P$1),".",","),0)))</f>
        <v/>
      </c>
    </row>
    <row r="443">
      <c r="L443">
        <f>IF(A443="","",IF(ISNUMBER(--LEFT(A443,FIND(" - ",A443&amp;" - ")-1)),LEFT(A443,FIND(" - ",A443&amp;" - ")-1),TRIM(A443)))</f>
        <v/>
      </c>
      <c r="N443">
        <f>IF(L443="","",IF(ISNUMBER(INDEX(A443:H443,$P$1)),INDEX(A443:H443,$P$1),IFERROR(_xlfn.NUMBERVALUE(INDEX(A443:H443,$P$1),".",","),0)))</f>
        <v/>
      </c>
    </row>
    <row r="444">
      <c r="L444">
        <f>IF(A444="","",IF(ISNUMBER(--LEFT(A444,FIND(" - ",A444&amp;" - ")-1)),LEFT(A444,FIND(" - ",A444&amp;" - ")-1),TRIM(A444)))</f>
        <v/>
      </c>
      <c r="N444">
        <f>IF(L444="","",IF(ISNUMBER(INDEX(A444:H444,$P$1)),INDEX(A444:H444,$P$1),IFERROR(_xlfn.NUMBERVALUE(INDEX(A444:H444,$P$1),".",","),0)))</f>
        <v/>
      </c>
    </row>
    <row r="445">
      <c r="L445">
        <f>IF(A445="","",IF(ISNUMBER(--LEFT(A445,FIND(" - ",A445&amp;" - ")-1)),LEFT(A445,FIND(" - ",A445&amp;" - ")-1),TRIM(A445)))</f>
        <v/>
      </c>
      <c r="N445">
        <f>IF(L445="","",IF(ISNUMBER(INDEX(A445:H445,$P$1)),INDEX(A445:H445,$P$1),IFERROR(_xlfn.NUMBERVALUE(INDEX(A445:H445,$P$1),".",","),0)))</f>
        <v/>
      </c>
    </row>
    <row r="446">
      <c r="L446">
        <f>IF(A446="","",IF(ISNUMBER(--LEFT(A446,FIND(" - ",A446&amp;" - ")-1)),LEFT(A446,FIND(" - ",A446&amp;" - ")-1),TRIM(A446)))</f>
        <v/>
      </c>
      <c r="N446">
        <f>IF(L446="","",IF(ISNUMBER(INDEX(A446:H446,$P$1)),INDEX(A446:H446,$P$1),IFERROR(_xlfn.NUMBERVALUE(INDEX(A446:H446,$P$1),".",","),0)))</f>
        <v/>
      </c>
    </row>
    <row r="447">
      <c r="L447">
        <f>IF(A447="","",IF(ISNUMBER(--LEFT(A447,FIND(" - ",A447&amp;" - ")-1)),LEFT(A447,FIND(" - ",A447&amp;" - ")-1),TRIM(A447)))</f>
        <v/>
      </c>
      <c r="N447">
        <f>IF(L447="","",IF(ISNUMBER(INDEX(A447:H447,$P$1)),INDEX(A447:H447,$P$1),IFERROR(_xlfn.NUMBERVALUE(INDEX(A447:H447,$P$1),".",","),0)))</f>
        <v/>
      </c>
    </row>
    <row r="448">
      <c r="L448">
        <f>IF(A448="","",IF(ISNUMBER(--LEFT(A448,FIND(" - ",A448&amp;" - ")-1)),LEFT(A448,FIND(" - ",A448&amp;" - ")-1),TRIM(A448)))</f>
        <v/>
      </c>
      <c r="N448">
        <f>IF(L448="","",IF(ISNUMBER(INDEX(A448:H448,$P$1)),INDEX(A448:H448,$P$1),IFERROR(_xlfn.NUMBERVALUE(INDEX(A448:H448,$P$1),".",","),0)))</f>
        <v/>
      </c>
    </row>
    <row r="449">
      <c r="L449">
        <f>IF(A449="","",IF(ISNUMBER(--LEFT(A449,FIND(" - ",A449&amp;" - ")-1)),LEFT(A449,FIND(" - ",A449&amp;" - ")-1),TRIM(A449)))</f>
        <v/>
      </c>
      <c r="N449">
        <f>IF(L449="","",IF(ISNUMBER(INDEX(A449:H449,$P$1)),INDEX(A449:H449,$P$1),IFERROR(_xlfn.NUMBERVALUE(INDEX(A449:H449,$P$1),".",","),0)))</f>
        <v/>
      </c>
    </row>
    <row r="450">
      <c r="L450">
        <f>IF(A450="","",IF(ISNUMBER(--LEFT(A450,FIND(" - ",A450&amp;" - ")-1)),LEFT(A450,FIND(" - ",A450&amp;" - ")-1),TRIM(A450)))</f>
        <v/>
      </c>
      <c r="N450">
        <f>IF(L450="","",IF(ISNUMBER(INDEX(A450:H450,$P$1)),INDEX(A450:H450,$P$1),IFERROR(_xlfn.NUMBERVALUE(INDEX(A450:H450,$P$1),".",","),0)))</f>
        <v/>
      </c>
    </row>
    <row r="451">
      <c r="L451">
        <f>IF(A451="","",IF(ISNUMBER(--LEFT(A451,FIND(" - ",A451&amp;" - ")-1)),LEFT(A451,FIND(" - ",A451&amp;" - ")-1),TRIM(A451)))</f>
        <v/>
      </c>
      <c r="N451">
        <f>IF(L451="","",IF(ISNUMBER(INDEX(A451:H451,$P$1)),INDEX(A451:H451,$P$1),IFERROR(_xlfn.NUMBERVALUE(INDEX(A451:H451,$P$1),".",","),0)))</f>
        <v/>
      </c>
    </row>
    <row r="452">
      <c r="L452">
        <f>IF(A452="","",IF(ISNUMBER(--LEFT(A452,FIND(" - ",A452&amp;" - ")-1)),LEFT(A452,FIND(" - ",A452&amp;" - ")-1),TRIM(A452)))</f>
        <v/>
      </c>
      <c r="N452">
        <f>IF(L452="","",IF(ISNUMBER(INDEX(A452:H452,$P$1)),INDEX(A452:H452,$P$1),IFERROR(_xlfn.NUMBERVALUE(INDEX(A452:H452,$P$1),".",","),0)))</f>
        <v/>
      </c>
    </row>
    <row r="453">
      <c r="L453">
        <f>IF(A453="","",IF(ISNUMBER(--LEFT(A453,FIND(" - ",A453&amp;" - ")-1)),LEFT(A453,FIND(" - ",A453&amp;" - ")-1),TRIM(A453)))</f>
        <v/>
      </c>
      <c r="N453">
        <f>IF(L453="","",IF(ISNUMBER(INDEX(A453:H453,$P$1)),INDEX(A453:H453,$P$1),IFERROR(_xlfn.NUMBERVALUE(INDEX(A453:H453,$P$1),".",","),0)))</f>
        <v/>
      </c>
    </row>
    <row r="454">
      <c r="L454">
        <f>IF(A454="","",IF(ISNUMBER(--LEFT(A454,FIND(" - ",A454&amp;" - ")-1)),LEFT(A454,FIND(" - ",A454&amp;" - ")-1),TRIM(A454)))</f>
        <v/>
      </c>
      <c r="N454">
        <f>IF(L454="","",IF(ISNUMBER(INDEX(A454:H454,$P$1)),INDEX(A454:H454,$P$1),IFERROR(_xlfn.NUMBERVALUE(INDEX(A454:H454,$P$1),".",","),0)))</f>
        <v/>
      </c>
    </row>
    <row r="455">
      <c r="L455">
        <f>IF(A455="","",IF(ISNUMBER(--LEFT(A455,FIND(" - ",A455&amp;" - ")-1)),LEFT(A455,FIND(" - ",A455&amp;" - ")-1),TRIM(A455)))</f>
        <v/>
      </c>
      <c r="N455">
        <f>IF(L455="","",IF(ISNUMBER(INDEX(A455:H455,$P$1)),INDEX(A455:H455,$P$1),IFERROR(_xlfn.NUMBERVALUE(INDEX(A455:H455,$P$1),".",","),0)))</f>
        <v/>
      </c>
    </row>
    <row r="456">
      <c r="L456">
        <f>IF(A456="","",IF(ISNUMBER(--LEFT(A456,FIND(" - ",A456&amp;" - ")-1)),LEFT(A456,FIND(" - ",A456&amp;" - ")-1),TRIM(A456)))</f>
        <v/>
      </c>
      <c r="N456">
        <f>IF(L456="","",IF(ISNUMBER(INDEX(A456:H456,$P$1)),INDEX(A456:H456,$P$1),IFERROR(_xlfn.NUMBERVALUE(INDEX(A456:H456,$P$1),".",","),0)))</f>
        <v/>
      </c>
    </row>
    <row r="457">
      <c r="L457">
        <f>IF(A457="","",IF(ISNUMBER(--LEFT(A457,FIND(" - ",A457&amp;" - ")-1)),LEFT(A457,FIND(" - ",A457&amp;" - ")-1),TRIM(A457)))</f>
        <v/>
      </c>
      <c r="N457">
        <f>IF(L457="","",IF(ISNUMBER(INDEX(A457:H457,$P$1)),INDEX(A457:H457,$P$1),IFERROR(_xlfn.NUMBERVALUE(INDEX(A457:H457,$P$1),".",","),0)))</f>
        <v/>
      </c>
    </row>
    <row r="458">
      <c r="L458">
        <f>IF(A458="","",IF(ISNUMBER(--LEFT(A458,FIND(" - ",A458&amp;" - ")-1)),LEFT(A458,FIND(" - ",A458&amp;" - ")-1),TRIM(A458)))</f>
        <v/>
      </c>
      <c r="N458">
        <f>IF(L458="","",IF(ISNUMBER(INDEX(A458:H458,$P$1)),INDEX(A458:H458,$P$1),IFERROR(_xlfn.NUMBERVALUE(INDEX(A458:H458,$P$1),".",","),0)))</f>
        <v/>
      </c>
    </row>
    <row r="459">
      <c r="L459">
        <f>IF(A459="","",IF(ISNUMBER(--LEFT(A459,FIND(" - ",A459&amp;" - ")-1)),LEFT(A459,FIND(" - ",A459&amp;" - ")-1),TRIM(A459)))</f>
        <v/>
      </c>
      <c r="N459">
        <f>IF(L459="","",IF(ISNUMBER(INDEX(A459:H459,$P$1)),INDEX(A459:H459,$P$1),IFERROR(_xlfn.NUMBERVALUE(INDEX(A459:H459,$P$1),".",","),0)))</f>
        <v/>
      </c>
    </row>
    <row r="460">
      <c r="L460">
        <f>IF(A460="","",IF(ISNUMBER(--LEFT(A460,FIND(" - ",A460&amp;" - ")-1)),LEFT(A460,FIND(" - ",A460&amp;" - ")-1),TRIM(A460)))</f>
        <v/>
      </c>
      <c r="N460">
        <f>IF(L460="","",IF(ISNUMBER(INDEX(A460:H460,$P$1)),INDEX(A460:H460,$P$1),IFERROR(_xlfn.NUMBERVALUE(INDEX(A460:H460,$P$1),".",","),0)))</f>
        <v/>
      </c>
    </row>
    <row r="461">
      <c r="L461">
        <f>IF(A461="","",IF(ISNUMBER(--LEFT(A461,FIND(" - ",A461&amp;" - ")-1)),LEFT(A461,FIND(" - ",A461&amp;" - ")-1),TRIM(A461)))</f>
        <v/>
      </c>
      <c r="N461">
        <f>IF(L461="","",IF(ISNUMBER(INDEX(A461:H461,$P$1)),INDEX(A461:H461,$P$1),IFERROR(_xlfn.NUMBERVALUE(INDEX(A461:H461,$P$1),".",","),0)))</f>
        <v/>
      </c>
    </row>
    <row r="462">
      <c r="L462">
        <f>IF(A462="","",IF(ISNUMBER(--LEFT(A462,FIND(" - ",A462&amp;" - ")-1)),LEFT(A462,FIND(" - ",A462&amp;" - ")-1),TRIM(A462)))</f>
        <v/>
      </c>
      <c r="N462">
        <f>IF(L462="","",IF(ISNUMBER(INDEX(A462:H462,$P$1)),INDEX(A462:H462,$P$1),IFERROR(_xlfn.NUMBERVALUE(INDEX(A462:H462,$P$1),".",","),0)))</f>
        <v/>
      </c>
    </row>
    <row r="463">
      <c r="L463">
        <f>IF(A463="","",IF(ISNUMBER(--LEFT(A463,FIND(" - ",A463&amp;" - ")-1)),LEFT(A463,FIND(" - ",A463&amp;" - ")-1),TRIM(A463)))</f>
        <v/>
      </c>
      <c r="N463">
        <f>IF(L463="","",IF(ISNUMBER(INDEX(A463:H463,$P$1)),INDEX(A463:H463,$P$1),IFERROR(_xlfn.NUMBERVALUE(INDEX(A463:H463,$P$1),".",","),0)))</f>
        <v/>
      </c>
    </row>
    <row r="464">
      <c r="L464">
        <f>IF(A464="","",IF(ISNUMBER(--LEFT(A464,FIND(" - ",A464&amp;" - ")-1)),LEFT(A464,FIND(" - ",A464&amp;" - ")-1),TRIM(A464)))</f>
        <v/>
      </c>
      <c r="N464">
        <f>IF(L464="","",IF(ISNUMBER(INDEX(A464:H464,$P$1)),INDEX(A464:H464,$P$1),IFERROR(_xlfn.NUMBERVALUE(INDEX(A464:H464,$P$1),".",","),0)))</f>
        <v/>
      </c>
    </row>
    <row r="465">
      <c r="L465">
        <f>IF(A465="","",IF(ISNUMBER(--LEFT(A465,FIND(" - ",A465&amp;" - ")-1)),LEFT(A465,FIND(" - ",A465&amp;" - ")-1),TRIM(A465)))</f>
        <v/>
      </c>
      <c r="N465">
        <f>IF(L465="","",IF(ISNUMBER(INDEX(A465:H465,$P$1)),INDEX(A465:H465,$P$1),IFERROR(_xlfn.NUMBERVALUE(INDEX(A465:H465,$P$1),".",","),0)))</f>
        <v/>
      </c>
    </row>
    <row r="466">
      <c r="L466">
        <f>IF(A466="","",IF(ISNUMBER(--LEFT(A466,FIND(" - ",A466&amp;" - ")-1)),LEFT(A466,FIND(" - ",A466&amp;" - ")-1),TRIM(A466)))</f>
        <v/>
      </c>
      <c r="N466">
        <f>IF(L466="","",IF(ISNUMBER(INDEX(A466:H466,$P$1)),INDEX(A466:H466,$P$1),IFERROR(_xlfn.NUMBERVALUE(INDEX(A466:H466,$P$1),".",","),0)))</f>
        <v/>
      </c>
    </row>
    <row r="467">
      <c r="L467">
        <f>IF(A467="","",IF(ISNUMBER(--LEFT(A467,FIND(" - ",A467&amp;" - ")-1)),LEFT(A467,FIND(" - ",A467&amp;" - ")-1),TRIM(A467)))</f>
        <v/>
      </c>
      <c r="N467">
        <f>IF(L467="","",IF(ISNUMBER(INDEX(A467:H467,$P$1)),INDEX(A467:H467,$P$1),IFERROR(_xlfn.NUMBERVALUE(INDEX(A467:H467,$P$1),".",","),0)))</f>
        <v/>
      </c>
    </row>
    <row r="468">
      <c r="L468">
        <f>IF(A468="","",IF(ISNUMBER(--LEFT(A468,FIND(" - ",A468&amp;" - ")-1)),LEFT(A468,FIND(" - ",A468&amp;" - ")-1),TRIM(A468)))</f>
        <v/>
      </c>
      <c r="N468">
        <f>IF(L468="","",IF(ISNUMBER(INDEX(A468:H468,$P$1)),INDEX(A468:H468,$P$1),IFERROR(_xlfn.NUMBERVALUE(INDEX(A468:H468,$P$1),".",","),0)))</f>
        <v/>
      </c>
    </row>
    <row r="469">
      <c r="L469">
        <f>IF(A469="","",IF(ISNUMBER(--LEFT(A469,FIND(" - ",A469&amp;" - ")-1)),LEFT(A469,FIND(" - ",A469&amp;" - ")-1),TRIM(A469)))</f>
        <v/>
      </c>
      <c r="N469">
        <f>IF(L469="","",IF(ISNUMBER(INDEX(A469:H469,$P$1)),INDEX(A469:H469,$P$1),IFERROR(_xlfn.NUMBERVALUE(INDEX(A469:H469,$P$1),".",","),0)))</f>
        <v/>
      </c>
    </row>
    <row r="470">
      <c r="L470">
        <f>IF(A470="","",IF(ISNUMBER(--LEFT(A470,FIND(" - ",A470&amp;" - ")-1)),LEFT(A470,FIND(" - ",A470&amp;" - ")-1),TRIM(A470)))</f>
        <v/>
      </c>
      <c r="N470">
        <f>IF(L470="","",IF(ISNUMBER(INDEX(A470:H470,$P$1)),INDEX(A470:H470,$P$1),IFERROR(_xlfn.NUMBERVALUE(INDEX(A470:H470,$P$1),".",","),0)))</f>
        <v/>
      </c>
    </row>
    <row r="471">
      <c r="L471">
        <f>IF(A471="","",IF(ISNUMBER(--LEFT(A471,FIND(" - ",A471&amp;" - ")-1)),LEFT(A471,FIND(" - ",A471&amp;" - ")-1),TRIM(A471)))</f>
        <v/>
      </c>
      <c r="N471">
        <f>IF(L471="","",IF(ISNUMBER(INDEX(A471:H471,$P$1)),INDEX(A471:H471,$P$1),IFERROR(_xlfn.NUMBERVALUE(INDEX(A471:H471,$P$1),".",","),0)))</f>
        <v/>
      </c>
    </row>
    <row r="472">
      <c r="L472">
        <f>IF(A472="","",IF(ISNUMBER(--LEFT(A472,FIND(" - ",A472&amp;" - ")-1)),LEFT(A472,FIND(" - ",A472&amp;" - ")-1),TRIM(A472)))</f>
        <v/>
      </c>
      <c r="N472">
        <f>IF(L472="","",IF(ISNUMBER(INDEX(A472:H472,$P$1)),INDEX(A472:H472,$P$1),IFERROR(_xlfn.NUMBERVALUE(INDEX(A472:H472,$P$1),".",","),0)))</f>
        <v/>
      </c>
    </row>
    <row r="473">
      <c r="L473">
        <f>IF(A473="","",IF(ISNUMBER(--LEFT(A473,FIND(" - ",A473&amp;" - ")-1)),LEFT(A473,FIND(" - ",A473&amp;" - ")-1),TRIM(A473)))</f>
        <v/>
      </c>
      <c r="N473">
        <f>IF(L473="","",IF(ISNUMBER(INDEX(A473:H473,$P$1)),INDEX(A473:H473,$P$1),IFERROR(_xlfn.NUMBERVALUE(INDEX(A473:H473,$P$1),".",","),0)))</f>
        <v/>
      </c>
    </row>
    <row r="474">
      <c r="L474">
        <f>IF(A474="","",IF(ISNUMBER(--LEFT(A474,FIND(" - ",A474&amp;" - ")-1)),LEFT(A474,FIND(" - ",A474&amp;" - ")-1),TRIM(A474)))</f>
        <v/>
      </c>
      <c r="N474">
        <f>IF(L474="","",IF(ISNUMBER(INDEX(A474:H474,$P$1)),INDEX(A474:H474,$P$1),IFERROR(_xlfn.NUMBERVALUE(INDEX(A474:H474,$P$1),".",","),0)))</f>
        <v/>
      </c>
    </row>
    <row r="475">
      <c r="L475">
        <f>IF(A475="","",IF(ISNUMBER(--LEFT(A475,FIND(" - ",A475&amp;" - ")-1)),LEFT(A475,FIND(" - ",A475&amp;" - ")-1),TRIM(A475)))</f>
        <v/>
      </c>
      <c r="N475">
        <f>IF(L475="","",IF(ISNUMBER(INDEX(A475:H475,$P$1)),INDEX(A475:H475,$P$1),IFERROR(_xlfn.NUMBERVALUE(INDEX(A475:H475,$P$1),".",","),0)))</f>
        <v/>
      </c>
    </row>
    <row r="476">
      <c r="L476">
        <f>IF(A476="","",IF(ISNUMBER(--LEFT(A476,FIND(" - ",A476&amp;" - ")-1)),LEFT(A476,FIND(" - ",A476&amp;" - ")-1),TRIM(A476)))</f>
        <v/>
      </c>
      <c r="N476">
        <f>IF(L476="","",IF(ISNUMBER(INDEX(A476:H476,$P$1)),INDEX(A476:H476,$P$1),IFERROR(_xlfn.NUMBERVALUE(INDEX(A476:H476,$P$1),".",","),0)))</f>
        <v/>
      </c>
    </row>
    <row r="477">
      <c r="L477">
        <f>IF(A477="","",IF(ISNUMBER(--LEFT(A477,FIND(" - ",A477&amp;" - ")-1)),LEFT(A477,FIND(" - ",A477&amp;" - ")-1),TRIM(A477)))</f>
        <v/>
      </c>
      <c r="N477">
        <f>IF(L477="","",IF(ISNUMBER(INDEX(A477:H477,$P$1)),INDEX(A477:H477,$P$1),IFERROR(_xlfn.NUMBERVALUE(INDEX(A477:H477,$P$1),".",","),0)))</f>
        <v/>
      </c>
    </row>
    <row r="478">
      <c r="L478">
        <f>IF(A478="","",IF(ISNUMBER(--LEFT(A478,FIND(" - ",A478&amp;" - ")-1)),LEFT(A478,FIND(" - ",A478&amp;" - ")-1),TRIM(A478)))</f>
        <v/>
      </c>
      <c r="N478">
        <f>IF(L478="","",IF(ISNUMBER(INDEX(A478:H478,$P$1)),INDEX(A478:H478,$P$1),IFERROR(_xlfn.NUMBERVALUE(INDEX(A478:H478,$P$1),".",","),0)))</f>
        <v/>
      </c>
    </row>
    <row r="479">
      <c r="L479">
        <f>IF(A479="","",IF(ISNUMBER(--LEFT(A479,FIND(" - ",A479&amp;" - ")-1)),LEFT(A479,FIND(" - ",A479&amp;" - ")-1),TRIM(A479)))</f>
        <v/>
      </c>
      <c r="N479">
        <f>IF(L479="","",IF(ISNUMBER(INDEX(A479:H479,$P$1)),INDEX(A479:H479,$P$1),IFERROR(_xlfn.NUMBERVALUE(INDEX(A479:H479,$P$1),".",","),0)))</f>
        <v/>
      </c>
    </row>
    <row r="480">
      <c r="L480">
        <f>IF(A480="","",IF(ISNUMBER(--LEFT(A480,FIND(" - ",A480&amp;" - ")-1)),LEFT(A480,FIND(" - ",A480&amp;" - ")-1),TRIM(A480)))</f>
        <v/>
      </c>
      <c r="N480">
        <f>IF(L480="","",IF(ISNUMBER(INDEX(A480:H480,$P$1)),INDEX(A480:H480,$P$1),IFERROR(_xlfn.NUMBERVALUE(INDEX(A480:H480,$P$1),".",","),0)))</f>
        <v/>
      </c>
    </row>
    <row r="481">
      <c r="L481">
        <f>IF(A481="","",IF(ISNUMBER(--LEFT(A481,FIND(" - ",A481&amp;" - ")-1)),LEFT(A481,FIND(" - ",A481&amp;" - ")-1),TRIM(A481)))</f>
        <v/>
      </c>
      <c r="N481">
        <f>IF(L481="","",IF(ISNUMBER(INDEX(A481:H481,$P$1)),INDEX(A481:H481,$P$1),IFERROR(_xlfn.NUMBERVALUE(INDEX(A481:H481,$P$1),".",","),0)))</f>
        <v/>
      </c>
    </row>
    <row r="482">
      <c r="L482">
        <f>IF(A482="","",IF(ISNUMBER(--LEFT(A482,FIND(" - ",A482&amp;" - ")-1)),LEFT(A482,FIND(" - ",A482&amp;" - ")-1),TRIM(A482)))</f>
        <v/>
      </c>
      <c r="N482">
        <f>IF(L482="","",IF(ISNUMBER(INDEX(A482:H482,$P$1)),INDEX(A482:H482,$P$1),IFERROR(_xlfn.NUMBERVALUE(INDEX(A482:H482,$P$1),".",","),0)))</f>
        <v/>
      </c>
    </row>
    <row r="483">
      <c r="L483">
        <f>IF(A483="","",IF(ISNUMBER(--LEFT(A483,FIND(" - ",A483&amp;" - ")-1)),LEFT(A483,FIND(" - ",A483&amp;" - ")-1),TRIM(A483)))</f>
        <v/>
      </c>
      <c r="N483">
        <f>IF(L483="","",IF(ISNUMBER(INDEX(A483:H483,$P$1)),INDEX(A483:H483,$P$1),IFERROR(_xlfn.NUMBERVALUE(INDEX(A483:H483,$P$1),".",","),0)))</f>
        <v/>
      </c>
    </row>
    <row r="484">
      <c r="L484">
        <f>IF(A484="","",IF(ISNUMBER(--LEFT(A484,FIND(" - ",A484&amp;" - ")-1)),LEFT(A484,FIND(" - ",A484&amp;" - ")-1),TRIM(A484)))</f>
        <v/>
      </c>
      <c r="N484">
        <f>IF(L484="","",IF(ISNUMBER(INDEX(A484:H484,$P$1)),INDEX(A484:H484,$P$1),IFERROR(_xlfn.NUMBERVALUE(INDEX(A484:H484,$P$1),".",","),0)))</f>
        <v/>
      </c>
    </row>
    <row r="485">
      <c r="L485">
        <f>IF(A485="","",IF(ISNUMBER(--LEFT(A485,FIND(" - ",A485&amp;" - ")-1)),LEFT(A485,FIND(" - ",A485&amp;" - ")-1),TRIM(A485)))</f>
        <v/>
      </c>
      <c r="N485">
        <f>IF(L485="","",IF(ISNUMBER(INDEX(A485:H485,$P$1)),INDEX(A485:H485,$P$1),IFERROR(_xlfn.NUMBERVALUE(INDEX(A485:H485,$P$1),".",","),0)))</f>
        <v/>
      </c>
    </row>
    <row r="486">
      <c r="L486">
        <f>IF(A486="","",IF(ISNUMBER(--LEFT(A486,FIND(" - ",A486&amp;" - ")-1)),LEFT(A486,FIND(" - ",A486&amp;" - ")-1),TRIM(A486)))</f>
        <v/>
      </c>
      <c r="N486">
        <f>IF(L486="","",IF(ISNUMBER(INDEX(A486:H486,$P$1)),INDEX(A486:H486,$P$1),IFERROR(_xlfn.NUMBERVALUE(INDEX(A486:H486,$P$1),".",","),0)))</f>
        <v/>
      </c>
    </row>
    <row r="487">
      <c r="L487">
        <f>IF(A487="","",IF(ISNUMBER(--LEFT(A487,FIND(" - ",A487&amp;" - ")-1)),LEFT(A487,FIND(" - ",A487&amp;" - ")-1),TRIM(A487)))</f>
        <v/>
      </c>
      <c r="N487">
        <f>IF(L487="","",IF(ISNUMBER(INDEX(A487:H487,$P$1)),INDEX(A487:H487,$P$1),IFERROR(_xlfn.NUMBERVALUE(INDEX(A487:H487,$P$1),".",","),0)))</f>
        <v/>
      </c>
    </row>
    <row r="488">
      <c r="L488">
        <f>IF(A488="","",IF(ISNUMBER(--LEFT(A488,FIND(" - ",A488&amp;" - ")-1)),LEFT(A488,FIND(" - ",A488&amp;" - ")-1),TRIM(A488)))</f>
        <v/>
      </c>
      <c r="N488">
        <f>IF(L488="","",IF(ISNUMBER(INDEX(A488:H488,$P$1)),INDEX(A488:H488,$P$1),IFERROR(_xlfn.NUMBERVALUE(INDEX(A488:H488,$P$1),".",","),0)))</f>
        <v/>
      </c>
    </row>
    <row r="489">
      <c r="L489">
        <f>IF(A489="","",IF(ISNUMBER(--LEFT(A489,FIND(" - ",A489&amp;" - ")-1)),LEFT(A489,FIND(" - ",A489&amp;" - ")-1),TRIM(A489)))</f>
        <v/>
      </c>
      <c r="N489">
        <f>IF(L489="","",IF(ISNUMBER(INDEX(A489:H489,$P$1)),INDEX(A489:H489,$P$1),IFERROR(_xlfn.NUMBERVALUE(INDEX(A489:H489,$P$1),".",","),0)))</f>
        <v/>
      </c>
    </row>
    <row r="490">
      <c r="L490">
        <f>IF(A490="","",IF(ISNUMBER(--LEFT(A490,FIND(" - ",A490&amp;" - ")-1)),LEFT(A490,FIND(" - ",A490&amp;" - ")-1),TRIM(A490)))</f>
        <v/>
      </c>
      <c r="N490">
        <f>IF(L490="","",IF(ISNUMBER(INDEX(A490:H490,$P$1)),INDEX(A490:H490,$P$1),IFERROR(_xlfn.NUMBERVALUE(INDEX(A490:H490,$P$1),".",","),0)))</f>
        <v/>
      </c>
    </row>
    <row r="491">
      <c r="L491">
        <f>IF(A491="","",IF(ISNUMBER(--LEFT(A491,FIND(" - ",A491&amp;" - ")-1)),LEFT(A491,FIND(" - ",A491&amp;" - ")-1),TRIM(A491)))</f>
        <v/>
      </c>
      <c r="N491">
        <f>IF(L491="","",IF(ISNUMBER(INDEX(A491:H491,$P$1)),INDEX(A491:H491,$P$1),IFERROR(_xlfn.NUMBERVALUE(INDEX(A491:H491,$P$1),".",","),0)))</f>
        <v/>
      </c>
    </row>
    <row r="492">
      <c r="L492">
        <f>IF(A492="","",IF(ISNUMBER(--LEFT(A492,FIND(" - ",A492&amp;" - ")-1)),LEFT(A492,FIND(" - ",A492&amp;" - ")-1),TRIM(A492)))</f>
        <v/>
      </c>
      <c r="N492">
        <f>IF(L492="","",IF(ISNUMBER(INDEX(A492:H492,$P$1)),INDEX(A492:H492,$P$1),IFERROR(_xlfn.NUMBERVALUE(INDEX(A492:H492,$P$1),".",","),0)))</f>
        <v/>
      </c>
    </row>
    <row r="493">
      <c r="L493">
        <f>IF(A493="","",IF(ISNUMBER(--LEFT(A493,FIND(" - ",A493&amp;" - ")-1)),LEFT(A493,FIND(" - ",A493&amp;" - ")-1),TRIM(A493)))</f>
        <v/>
      </c>
      <c r="N493">
        <f>IF(L493="","",IF(ISNUMBER(INDEX(A493:H493,$P$1)),INDEX(A493:H493,$P$1),IFERROR(_xlfn.NUMBERVALUE(INDEX(A493:H493,$P$1),".",","),0)))</f>
        <v/>
      </c>
    </row>
    <row r="494">
      <c r="L494">
        <f>IF(A494="","",IF(ISNUMBER(--LEFT(A494,FIND(" - ",A494&amp;" - ")-1)),LEFT(A494,FIND(" - ",A494&amp;" - ")-1),TRIM(A494)))</f>
        <v/>
      </c>
      <c r="N494">
        <f>IF(L494="","",IF(ISNUMBER(INDEX(A494:H494,$P$1)),INDEX(A494:H494,$P$1),IFERROR(_xlfn.NUMBERVALUE(INDEX(A494:H494,$P$1),".",","),0)))</f>
        <v/>
      </c>
    </row>
    <row r="495">
      <c r="L495">
        <f>IF(A495="","",IF(ISNUMBER(--LEFT(A495,FIND(" - ",A495&amp;" - ")-1)),LEFT(A495,FIND(" - ",A495&amp;" - ")-1),TRIM(A495)))</f>
        <v/>
      </c>
      <c r="N495">
        <f>IF(L495="","",IF(ISNUMBER(INDEX(A495:H495,$P$1)),INDEX(A495:H495,$P$1),IFERROR(_xlfn.NUMBERVALUE(INDEX(A495:H495,$P$1),".",","),0)))</f>
        <v/>
      </c>
    </row>
    <row r="496">
      <c r="L496">
        <f>IF(A496="","",IF(ISNUMBER(--LEFT(A496,FIND(" - ",A496&amp;" - ")-1)),LEFT(A496,FIND(" - ",A496&amp;" - ")-1),TRIM(A496)))</f>
        <v/>
      </c>
      <c r="N496">
        <f>IF(L496="","",IF(ISNUMBER(INDEX(A496:H496,$P$1)),INDEX(A496:H496,$P$1),IFERROR(_xlfn.NUMBERVALUE(INDEX(A496:H496,$P$1),".",","),0)))</f>
        <v/>
      </c>
    </row>
    <row r="497">
      <c r="L497">
        <f>IF(A497="","",IF(ISNUMBER(--LEFT(A497,FIND(" - ",A497&amp;" - ")-1)),LEFT(A497,FIND(" - ",A497&amp;" - ")-1),TRIM(A497)))</f>
        <v/>
      </c>
      <c r="N497">
        <f>IF(L497="","",IF(ISNUMBER(INDEX(A497:H497,$P$1)),INDEX(A497:H497,$P$1),IFERROR(_xlfn.NUMBERVALUE(INDEX(A497:H497,$P$1),".",","),0)))</f>
        <v/>
      </c>
    </row>
    <row r="498">
      <c r="L498">
        <f>IF(A498="","",IF(ISNUMBER(--LEFT(A498,FIND(" - ",A498&amp;" - ")-1)),LEFT(A498,FIND(" - ",A498&amp;" - ")-1),TRIM(A498)))</f>
        <v/>
      </c>
      <c r="N498">
        <f>IF(L498="","",IF(ISNUMBER(INDEX(A498:H498,$P$1)),INDEX(A498:H498,$P$1),IFERROR(_xlfn.NUMBERVALUE(INDEX(A498:H498,$P$1),".",","),0)))</f>
        <v/>
      </c>
    </row>
    <row r="499">
      <c r="L499">
        <f>IF(A499="","",IF(ISNUMBER(--LEFT(A499,FIND(" - ",A499&amp;" - ")-1)),LEFT(A499,FIND(" - ",A499&amp;" - ")-1),TRIM(A499)))</f>
        <v/>
      </c>
      <c r="N499">
        <f>IF(L499="","",IF(ISNUMBER(INDEX(A499:H499,$P$1)),INDEX(A499:H499,$P$1),IFERROR(_xlfn.NUMBERVALUE(INDEX(A499:H499,$P$1),".",","),0)))</f>
        <v/>
      </c>
    </row>
    <row r="500">
      <c r="L500">
        <f>IF(A500="","",IF(ISNUMBER(--LEFT(A500,FIND(" - ",A500&amp;" - ")-1)),LEFT(A500,FIND(" - ",A500&amp;" - ")-1),TRIM(A500)))</f>
        <v/>
      </c>
      <c r="N500">
        <f>IF(L500="","",IF(ISNUMBER(INDEX(A500:H500,$P$1)),INDEX(A500:H500,$P$1),IFERROR(_xlfn.NUMBERVALUE(INDEX(A500:H500,$P$1),".",","),0)))</f>
        <v/>
      </c>
    </row>
    <row r="501">
      <c r="L501">
        <f>IF(A501="","",IF(ISNUMBER(--LEFT(A501,FIND(" - ",A501&amp;" - ")-1)),LEFT(A501,FIND(" - ",A501&amp;" - ")-1),TRIM(A501)))</f>
        <v/>
      </c>
      <c r="N501">
        <f>IF(L501="","",IF(ISNUMBER(INDEX(A501:H501,$P$1)),INDEX(A501:H501,$P$1),IFERROR(_xlfn.NUMBERVALUE(INDEX(A501:H501,$P$1),".",","),0)))</f>
        <v/>
      </c>
    </row>
    <row r="502">
      <c r="L502">
        <f>IF(A502="","",IF(ISNUMBER(--LEFT(A502,FIND(" - ",A502&amp;" - ")-1)),LEFT(A502,FIND(" - ",A502&amp;" - ")-1),TRIM(A502)))</f>
        <v/>
      </c>
      <c r="N502">
        <f>IF(L502="","",IF(ISNUMBER(INDEX(A502:H502,$P$1)),INDEX(A502:H502,$P$1),IFERROR(_xlfn.NUMBERVALUE(INDEX(A502:H502,$P$1),".",","),0)))</f>
        <v/>
      </c>
    </row>
    <row r="503">
      <c r="L503">
        <f>IF(A503="","",IF(ISNUMBER(--LEFT(A503,FIND(" - ",A503&amp;" - ")-1)),LEFT(A503,FIND(" - ",A503&amp;" - ")-1),TRIM(A503)))</f>
        <v/>
      </c>
      <c r="N503">
        <f>IF(L503="","",IF(ISNUMBER(INDEX(A503:H503,$P$1)),INDEX(A503:H503,$P$1),IFERROR(_xlfn.NUMBERVALUE(INDEX(A503:H503,$P$1),".",","),0)))</f>
        <v/>
      </c>
    </row>
    <row r="504">
      <c r="L504">
        <f>IF(A504="","",IF(ISNUMBER(--LEFT(A504,FIND(" - ",A504&amp;" - ")-1)),LEFT(A504,FIND(" - ",A504&amp;" - ")-1),TRIM(A504)))</f>
        <v/>
      </c>
      <c r="N504">
        <f>IF(L504="","",IF(ISNUMBER(INDEX(A504:H504,$P$1)),INDEX(A504:H504,$P$1),IFERROR(_xlfn.NUMBERVALUE(INDEX(A504:H504,$P$1),".",","),0)))</f>
        <v/>
      </c>
    </row>
    <row r="505">
      <c r="L505">
        <f>IF(A505="","",IF(ISNUMBER(--LEFT(A505,FIND(" - ",A505&amp;" - ")-1)),LEFT(A505,FIND(" - ",A505&amp;" - ")-1),TRIM(A505)))</f>
        <v/>
      </c>
      <c r="N505">
        <f>IF(L505="","",IF(ISNUMBER(INDEX(A505:H505,$P$1)),INDEX(A505:H505,$P$1),IFERROR(_xlfn.NUMBERVALUE(INDEX(A505:H505,$P$1),".",","),0)))</f>
        <v/>
      </c>
    </row>
    <row r="506">
      <c r="L506">
        <f>IF(A506="","",IF(ISNUMBER(--LEFT(A506,FIND(" - ",A506&amp;" - ")-1)),LEFT(A506,FIND(" - ",A506&amp;" - ")-1),TRIM(A506)))</f>
        <v/>
      </c>
      <c r="N506">
        <f>IF(L506="","",IF(ISNUMBER(INDEX(A506:H506,$P$1)),INDEX(A506:H506,$P$1),IFERROR(_xlfn.NUMBERVALUE(INDEX(A506:H506,$P$1),".",","),0)))</f>
        <v/>
      </c>
    </row>
    <row r="507">
      <c r="L507">
        <f>IF(A507="","",IF(ISNUMBER(--LEFT(A507,FIND(" - ",A507&amp;" - ")-1)),LEFT(A507,FIND(" - ",A507&amp;" - ")-1),TRIM(A507)))</f>
        <v/>
      </c>
      <c r="N507">
        <f>IF(L507="","",IF(ISNUMBER(INDEX(A507:H507,$P$1)),INDEX(A507:H507,$P$1),IFERROR(_xlfn.NUMBERVALUE(INDEX(A507:H507,$P$1),".",","),0)))</f>
        <v/>
      </c>
    </row>
    <row r="508">
      <c r="L508">
        <f>IF(A508="","",IF(ISNUMBER(--LEFT(A508,FIND(" - ",A508&amp;" - ")-1)),LEFT(A508,FIND(" - ",A508&amp;" - ")-1),TRIM(A508)))</f>
        <v/>
      </c>
      <c r="N508">
        <f>IF(L508="","",IF(ISNUMBER(INDEX(A508:H508,$P$1)),INDEX(A508:H508,$P$1),IFERROR(_xlfn.NUMBERVALUE(INDEX(A508:H508,$P$1),".",","),0)))</f>
        <v/>
      </c>
    </row>
    <row r="509">
      <c r="L509">
        <f>IF(A509="","",IF(ISNUMBER(--LEFT(A509,FIND(" - ",A509&amp;" - ")-1)),LEFT(A509,FIND(" - ",A509&amp;" - ")-1),TRIM(A509)))</f>
        <v/>
      </c>
      <c r="N509">
        <f>IF(L509="","",IF(ISNUMBER(INDEX(A509:H509,$P$1)),INDEX(A509:H509,$P$1),IFERROR(_xlfn.NUMBERVALUE(INDEX(A509:H509,$P$1),".",","),0)))</f>
        <v/>
      </c>
    </row>
    <row r="510">
      <c r="L510">
        <f>IF(A510="","",IF(ISNUMBER(--LEFT(A510,FIND(" - ",A510&amp;" - ")-1)),LEFT(A510,FIND(" - ",A510&amp;" - ")-1),TRIM(A510)))</f>
        <v/>
      </c>
      <c r="N510">
        <f>IF(L510="","",IF(ISNUMBER(INDEX(A510:H510,$P$1)),INDEX(A510:H510,$P$1),IFERROR(_xlfn.NUMBERVALUE(INDEX(A510:H510,$P$1),".",","),0)))</f>
        <v/>
      </c>
    </row>
    <row r="511">
      <c r="L511">
        <f>IF(A511="","",IF(ISNUMBER(--LEFT(A511,FIND(" - ",A511&amp;" - ")-1)),LEFT(A511,FIND(" - ",A511&amp;" - ")-1),TRIM(A511)))</f>
        <v/>
      </c>
      <c r="N511">
        <f>IF(L511="","",IF(ISNUMBER(INDEX(A511:H511,$P$1)),INDEX(A511:H511,$P$1),IFERROR(_xlfn.NUMBERVALUE(INDEX(A511:H511,$P$1),".",","),0)))</f>
        <v/>
      </c>
    </row>
    <row r="512">
      <c r="L512">
        <f>IF(A512="","",IF(ISNUMBER(--LEFT(A512,FIND(" - ",A512&amp;" - ")-1)),LEFT(A512,FIND(" - ",A512&amp;" - ")-1),TRIM(A512)))</f>
        <v/>
      </c>
      <c r="N512">
        <f>IF(L512="","",IF(ISNUMBER(INDEX(A512:H512,$P$1)),INDEX(A512:H512,$P$1),IFERROR(_xlfn.NUMBERVALUE(INDEX(A512:H512,$P$1),".",","),0)))</f>
        <v/>
      </c>
    </row>
    <row r="513">
      <c r="L513">
        <f>IF(A513="","",IF(ISNUMBER(--LEFT(A513,FIND(" - ",A513&amp;" - ")-1)),LEFT(A513,FIND(" - ",A513&amp;" - ")-1),TRIM(A513)))</f>
        <v/>
      </c>
      <c r="N513">
        <f>IF(L513="","",IF(ISNUMBER(INDEX(A513:H513,$P$1)),INDEX(A513:H513,$P$1),IFERROR(_xlfn.NUMBERVALUE(INDEX(A513:H513,$P$1),".",","),0)))</f>
        <v/>
      </c>
    </row>
    <row r="514">
      <c r="L514">
        <f>IF(A514="","",IF(ISNUMBER(--LEFT(A514,FIND(" - ",A514&amp;" - ")-1)),LEFT(A514,FIND(" - ",A514&amp;" - ")-1),TRIM(A514)))</f>
        <v/>
      </c>
      <c r="N514">
        <f>IF(L514="","",IF(ISNUMBER(INDEX(A514:H514,$P$1)),INDEX(A514:H514,$P$1),IFERROR(_xlfn.NUMBERVALUE(INDEX(A514:H514,$P$1),".",","),0)))</f>
        <v/>
      </c>
    </row>
    <row r="515">
      <c r="L515">
        <f>IF(A515="","",IF(ISNUMBER(--LEFT(A515,FIND(" - ",A515&amp;" - ")-1)),LEFT(A515,FIND(" - ",A515&amp;" - ")-1),TRIM(A515)))</f>
        <v/>
      </c>
      <c r="N515">
        <f>IF(L515="","",IF(ISNUMBER(INDEX(A515:H515,$P$1)),INDEX(A515:H515,$P$1),IFERROR(_xlfn.NUMBERVALUE(INDEX(A515:H515,$P$1),".",","),0)))</f>
        <v/>
      </c>
    </row>
    <row r="516">
      <c r="L516">
        <f>IF(A516="","",IF(ISNUMBER(--LEFT(A516,FIND(" - ",A516&amp;" - ")-1)),LEFT(A516,FIND(" - ",A516&amp;" - ")-1),TRIM(A516)))</f>
        <v/>
      </c>
      <c r="N516">
        <f>IF(L516="","",IF(ISNUMBER(INDEX(A516:H516,$P$1)),INDEX(A516:H516,$P$1),IFERROR(_xlfn.NUMBERVALUE(INDEX(A516:H516,$P$1),".",","),0)))</f>
        <v/>
      </c>
    </row>
    <row r="517">
      <c r="L517">
        <f>IF(A517="","",IF(ISNUMBER(--LEFT(A517,FIND(" - ",A517&amp;" - ")-1)),LEFT(A517,FIND(" - ",A517&amp;" - ")-1),TRIM(A517)))</f>
        <v/>
      </c>
      <c r="N517">
        <f>IF(L517="","",IF(ISNUMBER(INDEX(A517:H517,$P$1)),INDEX(A517:H517,$P$1),IFERROR(_xlfn.NUMBERVALUE(INDEX(A517:H517,$P$1),".",","),0)))</f>
        <v/>
      </c>
    </row>
    <row r="518">
      <c r="L518">
        <f>IF(A518="","",IF(ISNUMBER(--LEFT(A518,FIND(" - ",A518&amp;" - ")-1)),LEFT(A518,FIND(" - ",A518&amp;" - ")-1),TRIM(A518)))</f>
        <v/>
      </c>
      <c r="N518">
        <f>IF(L518="","",IF(ISNUMBER(INDEX(A518:H518,$P$1)),INDEX(A518:H518,$P$1),IFERROR(_xlfn.NUMBERVALUE(INDEX(A518:H518,$P$1),".",","),0)))</f>
        <v/>
      </c>
    </row>
    <row r="519">
      <c r="L519">
        <f>IF(A519="","",IF(ISNUMBER(--LEFT(A519,FIND(" - ",A519&amp;" - ")-1)),LEFT(A519,FIND(" - ",A519&amp;" - ")-1),TRIM(A519)))</f>
        <v/>
      </c>
      <c r="N519">
        <f>IF(L519="","",IF(ISNUMBER(INDEX(A519:H519,$P$1)),INDEX(A519:H519,$P$1),IFERROR(_xlfn.NUMBERVALUE(INDEX(A519:H519,$P$1),".",","),0)))</f>
        <v/>
      </c>
    </row>
    <row r="520">
      <c r="L520">
        <f>IF(A520="","",IF(ISNUMBER(--LEFT(A520,FIND(" - ",A520&amp;" - ")-1)),LEFT(A520,FIND(" - ",A520&amp;" - ")-1),TRIM(A520)))</f>
        <v/>
      </c>
      <c r="N520">
        <f>IF(L520="","",IF(ISNUMBER(INDEX(A520:H520,$P$1)),INDEX(A520:H520,$P$1),IFERROR(_xlfn.NUMBERVALUE(INDEX(A520:H520,$P$1),".",","),0)))</f>
        <v/>
      </c>
    </row>
    <row r="521">
      <c r="L521">
        <f>IF(A521="","",IF(ISNUMBER(--LEFT(A521,FIND(" - ",A521&amp;" - ")-1)),LEFT(A521,FIND(" - ",A521&amp;" - ")-1),TRIM(A521)))</f>
        <v/>
      </c>
      <c r="N521">
        <f>IF(L521="","",IF(ISNUMBER(INDEX(A521:H521,$P$1)),INDEX(A521:H521,$P$1),IFERROR(_xlfn.NUMBERVALUE(INDEX(A521:H521,$P$1),".",","),0)))</f>
        <v/>
      </c>
    </row>
    <row r="522">
      <c r="L522">
        <f>IF(A522="","",IF(ISNUMBER(--LEFT(A522,FIND(" - ",A522&amp;" - ")-1)),LEFT(A522,FIND(" - ",A522&amp;" - ")-1),TRIM(A522)))</f>
        <v/>
      </c>
      <c r="N522">
        <f>IF(L522="","",IF(ISNUMBER(INDEX(A522:H522,$P$1)),INDEX(A522:H522,$P$1),IFERROR(_xlfn.NUMBERVALUE(INDEX(A522:H522,$P$1),".",","),0)))</f>
        <v/>
      </c>
    </row>
    <row r="523">
      <c r="L523">
        <f>IF(A523="","",IF(ISNUMBER(--LEFT(A523,FIND(" - ",A523&amp;" - ")-1)),LEFT(A523,FIND(" - ",A523&amp;" - ")-1),TRIM(A523)))</f>
        <v/>
      </c>
      <c r="N523">
        <f>IF(L523="","",IF(ISNUMBER(INDEX(A523:H523,$P$1)),INDEX(A523:H523,$P$1),IFERROR(_xlfn.NUMBERVALUE(INDEX(A523:H523,$P$1),".",","),0)))</f>
        <v/>
      </c>
    </row>
    <row r="524">
      <c r="L524">
        <f>IF(A524="","",IF(ISNUMBER(--LEFT(A524,FIND(" - ",A524&amp;" - ")-1)),LEFT(A524,FIND(" - ",A524&amp;" - ")-1),TRIM(A524)))</f>
        <v/>
      </c>
      <c r="N524">
        <f>IF(L524="","",IF(ISNUMBER(INDEX(A524:H524,$P$1)),INDEX(A524:H524,$P$1),IFERROR(_xlfn.NUMBERVALUE(INDEX(A524:H524,$P$1),".",","),0)))</f>
        <v/>
      </c>
    </row>
    <row r="525">
      <c r="L525">
        <f>IF(A525="","",IF(ISNUMBER(--LEFT(A525,FIND(" - ",A525&amp;" - ")-1)),LEFT(A525,FIND(" - ",A525&amp;" - ")-1),TRIM(A525)))</f>
        <v/>
      </c>
      <c r="N525">
        <f>IF(L525="","",IF(ISNUMBER(INDEX(A525:H525,$P$1)),INDEX(A525:H525,$P$1),IFERROR(_xlfn.NUMBERVALUE(INDEX(A525:H525,$P$1),".",","),0)))</f>
        <v/>
      </c>
    </row>
    <row r="526">
      <c r="L526">
        <f>IF(A526="","",IF(ISNUMBER(--LEFT(A526,FIND(" - ",A526&amp;" - ")-1)),LEFT(A526,FIND(" - ",A526&amp;" - ")-1),TRIM(A526)))</f>
        <v/>
      </c>
      <c r="N526">
        <f>IF(L526="","",IF(ISNUMBER(INDEX(A526:H526,$P$1)),INDEX(A526:H526,$P$1),IFERROR(_xlfn.NUMBERVALUE(INDEX(A526:H526,$P$1),".",","),0)))</f>
        <v/>
      </c>
    </row>
    <row r="527">
      <c r="L527">
        <f>IF(A527="","",IF(ISNUMBER(--LEFT(A527,FIND(" - ",A527&amp;" - ")-1)),LEFT(A527,FIND(" - ",A527&amp;" - ")-1),TRIM(A527)))</f>
        <v/>
      </c>
      <c r="N527">
        <f>IF(L527="","",IF(ISNUMBER(INDEX(A527:H527,$P$1)),INDEX(A527:H527,$P$1),IFERROR(_xlfn.NUMBERVALUE(INDEX(A527:H527,$P$1),".",","),0)))</f>
        <v/>
      </c>
    </row>
    <row r="528">
      <c r="L528">
        <f>IF(A528="","",IF(ISNUMBER(--LEFT(A528,FIND(" - ",A528&amp;" - ")-1)),LEFT(A528,FIND(" - ",A528&amp;" - ")-1),TRIM(A528)))</f>
        <v/>
      </c>
      <c r="N528">
        <f>IF(L528="","",IF(ISNUMBER(INDEX(A528:H528,$P$1)),INDEX(A528:H528,$P$1),IFERROR(_xlfn.NUMBERVALUE(INDEX(A528:H528,$P$1),".",","),0)))</f>
        <v/>
      </c>
    </row>
    <row r="529">
      <c r="L529">
        <f>IF(A529="","",IF(ISNUMBER(--LEFT(A529,FIND(" - ",A529&amp;" - ")-1)),LEFT(A529,FIND(" - ",A529&amp;" - ")-1),TRIM(A529)))</f>
        <v/>
      </c>
      <c r="N529">
        <f>IF(L529="","",IF(ISNUMBER(INDEX(A529:H529,$P$1)),INDEX(A529:H529,$P$1),IFERROR(_xlfn.NUMBERVALUE(INDEX(A529:H529,$P$1),".",","),0)))</f>
        <v/>
      </c>
    </row>
    <row r="530">
      <c r="L530">
        <f>IF(A530="","",IF(ISNUMBER(--LEFT(A530,FIND(" - ",A530&amp;" - ")-1)),LEFT(A530,FIND(" - ",A530&amp;" - ")-1),TRIM(A530)))</f>
        <v/>
      </c>
      <c r="N530">
        <f>IF(L530="","",IF(ISNUMBER(INDEX(A530:H530,$P$1)),INDEX(A530:H530,$P$1),IFERROR(_xlfn.NUMBERVALUE(INDEX(A530:H530,$P$1),".",","),0)))</f>
        <v/>
      </c>
    </row>
    <row r="531">
      <c r="L531">
        <f>IF(A531="","",IF(ISNUMBER(--LEFT(A531,FIND(" - ",A531&amp;" - ")-1)),LEFT(A531,FIND(" - ",A531&amp;" - ")-1),TRIM(A531)))</f>
        <v/>
      </c>
      <c r="N531">
        <f>IF(L531="","",IF(ISNUMBER(INDEX(A531:H531,$P$1)),INDEX(A531:H531,$P$1),IFERROR(_xlfn.NUMBERVALUE(INDEX(A531:H531,$P$1),".",","),0)))</f>
        <v/>
      </c>
    </row>
    <row r="532">
      <c r="L532">
        <f>IF(A532="","",IF(ISNUMBER(--LEFT(A532,FIND(" - ",A532&amp;" - ")-1)),LEFT(A532,FIND(" - ",A532&amp;" - ")-1),TRIM(A532)))</f>
        <v/>
      </c>
      <c r="N532">
        <f>IF(L532="","",IF(ISNUMBER(INDEX(A532:H532,$P$1)),INDEX(A532:H532,$P$1),IFERROR(_xlfn.NUMBERVALUE(INDEX(A532:H532,$P$1),".",","),0)))</f>
        <v/>
      </c>
    </row>
    <row r="533">
      <c r="L533">
        <f>IF(A533="","",IF(ISNUMBER(--LEFT(A533,FIND(" - ",A533&amp;" - ")-1)),LEFT(A533,FIND(" - ",A533&amp;" - ")-1),TRIM(A533)))</f>
        <v/>
      </c>
      <c r="N533">
        <f>IF(L533="","",IF(ISNUMBER(INDEX(A533:H533,$P$1)),INDEX(A533:H533,$P$1),IFERROR(_xlfn.NUMBERVALUE(INDEX(A533:H533,$P$1),".",","),0)))</f>
        <v/>
      </c>
    </row>
    <row r="534">
      <c r="L534">
        <f>IF(A534="","",IF(ISNUMBER(--LEFT(A534,FIND(" - ",A534&amp;" - ")-1)),LEFT(A534,FIND(" - ",A534&amp;" - ")-1),TRIM(A534)))</f>
        <v/>
      </c>
      <c r="N534">
        <f>IF(L534="","",IF(ISNUMBER(INDEX(A534:H534,$P$1)),INDEX(A534:H534,$P$1),IFERROR(_xlfn.NUMBERVALUE(INDEX(A534:H534,$P$1),".",","),0)))</f>
        <v/>
      </c>
    </row>
    <row r="535">
      <c r="L535">
        <f>IF(A535="","",IF(ISNUMBER(--LEFT(A535,FIND(" - ",A535&amp;" - ")-1)),LEFT(A535,FIND(" - ",A535&amp;" - ")-1),TRIM(A535)))</f>
        <v/>
      </c>
      <c r="N535">
        <f>IF(L535="","",IF(ISNUMBER(INDEX(A535:H535,$P$1)),INDEX(A535:H535,$P$1),IFERROR(_xlfn.NUMBERVALUE(INDEX(A535:H535,$P$1),".",","),0)))</f>
        <v/>
      </c>
    </row>
    <row r="536">
      <c r="L536">
        <f>IF(A536="","",IF(ISNUMBER(--LEFT(A536,FIND(" - ",A536&amp;" - ")-1)),LEFT(A536,FIND(" - ",A536&amp;" - ")-1),TRIM(A536)))</f>
        <v/>
      </c>
      <c r="N536">
        <f>IF(L536="","",IF(ISNUMBER(INDEX(A536:H536,$P$1)),INDEX(A536:H536,$P$1),IFERROR(_xlfn.NUMBERVALUE(INDEX(A536:H536,$P$1),".",","),0)))</f>
        <v/>
      </c>
    </row>
    <row r="537">
      <c r="L537">
        <f>IF(A537="","",IF(ISNUMBER(--LEFT(A537,FIND(" - ",A537&amp;" - ")-1)),LEFT(A537,FIND(" - ",A537&amp;" - ")-1),TRIM(A537)))</f>
        <v/>
      </c>
      <c r="N537">
        <f>IF(L537="","",IF(ISNUMBER(INDEX(A537:H537,$P$1)),INDEX(A537:H537,$P$1),IFERROR(_xlfn.NUMBERVALUE(INDEX(A537:H537,$P$1),".",","),0)))</f>
        <v/>
      </c>
    </row>
    <row r="538">
      <c r="L538">
        <f>IF(A538="","",IF(ISNUMBER(--LEFT(A538,FIND(" - ",A538&amp;" - ")-1)),LEFT(A538,FIND(" - ",A538&amp;" - ")-1),TRIM(A538)))</f>
        <v/>
      </c>
      <c r="N538">
        <f>IF(L538="","",IF(ISNUMBER(INDEX(A538:H538,$P$1)),INDEX(A538:H538,$P$1),IFERROR(_xlfn.NUMBERVALUE(INDEX(A538:H538,$P$1),".",","),0)))</f>
        <v/>
      </c>
    </row>
    <row r="539">
      <c r="L539">
        <f>IF(A539="","",IF(ISNUMBER(--LEFT(A539,FIND(" - ",A539&amp;" - ")-1)),LEFT(A539,FIND(" - ",A539&amp;" - ")-1),TRIM(A539)))</f>
        <v/>
      </c>
      <c r="N539">
        <f>IF(L539="","",IF(ISNUMBER(INDEX(A539:H539,$P$1)),INDEX(A539:H539,$P$1),IFERROR(_xlfn.NUMBERVALUE(INDEX(A539:H539,$P$1),".",","),0)))</f>
        <v/>
      </c>
    </row>
    <row r="540">
      <c r="L540">
        <f>IF(A540="","",IF(ISNUMBER(--LEFT(A540,FIND(" - ",A540&amp;" - ")-1)),LEFT(A540,FIND(" - ",A540&amp;" - ")-1),TRIM(A540)))</f>
        <v/>
      </c>
      <c r="N540">
        <f>IF(L540="","",IF(ISNUMBER(INDEX(A540:H540,$P$1)),INDEX(A540:H540,$P$1),IFERROR(_xlfn.NUMBERVALUE(INDEX(A540:H540,$P$1),".",","),0)))</f>
        <v/>
      </c>
    </row>
    <row r="541">
      <c r="L541">
        <f>IF(A541="","",IF(ISNUMBER(--LEFT(A541,FIND(" - ",A541&amp;" - ")-1)),LEFT(A541,FIND(" - ",A541&amp;" - ")-1),TRIM(A541)))</f>
        <v/>
      </c>
      <c r="N541">
        <f>IF(L541="","",IF(ISNUMBER(INDEX(A541:H541,$P$1)),INDEX(A541:H541,$P$1),IFERROR(_xlfn.NUMBERVALUE(INDEX(A541:H541,$P$1),".",","),0)))</f>
        <v/>
      </c>
    </row>
    <row r="542">
      <c r="L542">
        <f>IF(A542="","",IF(ISNUMBER(--LEFT(A542,FIND(" - ",A542&amp;" - ")-1)),LEFT(A542,FIND(" - ",A542&amp;" - ")-1),TRIM(A542)))</f>
        <v/>
      </c>
      <c r="N542">
        <f>IF(L542="","",IF(ISNUMBER(INDEX(A542:H542,$P$1)),INDEX(A542:H542,$P$1),IFERROR(_xlfn.NUMBERVALUE(INDEX(A542:H542,$P$1),".",","),0)))</f>
        <v/>
      </c>
    </row>
    <row r="543">
      <c r="L543">
        <f>IF(A543="","",IF(ISNUMBER(--LEFT(A543,FIND(" - ",A543&amp;" - ")-1)),LEFT(A543,FIND(" - ",A543&amp;" - ")-1),TRIM(A543)))</f>
        <v/>
      </c>
      <c r="N543">
        <f>IF(L543="","",IF(ISNUMBER(INDEX(A543:H543,$P$1)),INDEX(A543:H543,$P$1),IFERROR(_xlfn.NUMBERVALUE(INDEX(A543:H543,$P$1),".",","),0)))</f>
        <v/>
      </c>
    </row>
    <row r="544">
      <c r="L544">
        <f>IF(A544="","",IF(ISNUMBER(--LEFT(A544,FIND(" - ",A544&amp;" - ")-1)),LEFT(A544,FIND(" - ",A544&amp;" - ")-1),TRIM(A544)))</f>
        <v/>
      </c>
      <c r="N544">
        <f>IF(L544="","",IF(ISNUMBER(INDEX(A544:H544,$P$1)),INDEX(A544:H544,$P$1),IFERROR(_xlfn.NUMBERVALUE(INDEX(A544:H544,$P$1),".",","),0)))</f>
        <v/>
      </c>
    </row>
    <row r="545">
      <c r="L545">
        <f>IF(A545="","",IF(ISNUMBER(--LEFT(A545,FIND(" - ",A545&amp;" - ")-1)),LEFT(A545,FIND(" - ",A545&amp;" - ")-1),TRIM(A545)))</f>
        <v/>
      </c>
      <c r="N545">
        <f>IF(L545="","",IF(ISNUMBER(INDEX(A545:H545,$P$1)),INDEX(A545:H545,$P$1),IFERROR(_xlfn.NUMBERVALUE(INDEX(A545:H545,$P$1),".",","),0)))</f>
        <v/>
      </c>
    </row>
    <row r="546">
      <c r="L546">
        <f>IF(A546="","",IF(ISNUMBER(--LEFT(A546,FIND(" - ",A546&amp;" - ")-1)),LEFT(A546,FIND(" - ",A546&amp;" - ")-1),TRIM(A546)))</f>
        <v/>
      </c>
      <c r="N546">
        <f>IF(L546="","",IF(ISNUMBER(INDEX(A546:H546,$P$1)),INDEX(A546:H546,$P$1),IFERROR(_xlfn.NUMBERVALUE(INDEX(A546:H546,$P$1),".",","),0)))</f>
        <v/>
      </c>
    </row>
    <row r="547">
      <c r="L547">
        <f>IF(A547="","",IF(ISNUMBER(--LEFT(A547,FIND(" - ",A547&amp;" - ")-1)),LEFT(A547,FIND(" - ",A547&amp;" - ")-1),TRIM(A547)))</f>
        <v/>
      </c>
      <c r="N547">
        <f>IF(L547="","",IF(ISNUMBER(INDEX(A547:H547,$P$1)),INDEX(A547:H547,$P$1),IFERROR(_xlfn.NUMBERVALUE(INDEX(A547:H547,$P$1),".",","),0)))</f>
        <v/>
      </c>
    </row>
    <row r="548">
      <c r="L548">
        <f>IF(A548="","",IF(ISNUMBER(--LEFT(A548,FIND(" - ",A548&amp;" - ")-1)),LEFT(A548,FIND(" - ",A548&amp;" - ")-1),TRIM(A548)))</f>
        <v/>
      </c>
      <c r="N548">
        <f>IF(L548="","",IF(ISNUMBER(INDEX(A548:H548,$P$1)),INDEX(A548:H548,$P$1),IFERROR(_xlfn.NUMBERVALUE(INDEX(A548:H548,$P$1),".",","),0)))</f>
        <v/>
      </c>
    </row>
    <row r="549">
      <c r="L549">
        <f>IF(A549="","",IF(ISNUMBER(--LEFT(A549,FIND(" - ",A549&amp;" - ")-1)),LEFT(A549,FIND(" - ",A549&amp;" - ")-1),TRIM(A549)))</f>
        <v/>
      </c>
      <c r="N549">
        <f>IF(L549="","",IF(ISNUMBER(INDEX(A549:H549,$P$1)),INDEX(A549:H549,$P$1),IFERROR(_xlfn.NUMBERVALUE(INDEX(A549:H549,$P$1),".",","),0)))</f>
        <v/>
      </c>
    </row>
    <row r="550">
      <c r="L550">
        <f>IF(A550="","",IF(ISNUMBER(--LEFT(A550,FIND(" - ",A550&amp;" - ")-1)),LEFT(A550,FIND(" - ",A550&amp;" - ")-1),TRIM(A550)))</f>
        <v/>
      </c>
      <c r="N550">
        <f>IF(L550="","",IF(ISNUMBER(INDEX(A550:H550,$P$1)),INDEX(A550:H550,$P$1),IFERROR(_xlfn.NUMBERVALUE(INDEX(A550:H550,$P$1),".",","),0)))</f>
        <v/>
      </c>
    </row>
    <row r="551">
      <c r="L551">
        <f>IF(A551="","",IF(ISNUMBER(--LEFT(A551,FIND(" - ",A551&amp;" - ")-1)),LEFT(A551,FIND(" - ",A551&amp;" - ")-1),TRIM(A551)))</f>
        <v/>
      </c>
      <c r="N551">
        <f>IF(L551="","",IF(ISNUMBER(INDEX(A551:H551,$P$1)),INDEX(A551:H551,$P$1),IFERROR(_xlfn.NUMBERVALUE(INDEX(A551:H551,$P$1),".",","),0)))</f>
        <v/>
      </c>
    </row>
    <row r="552">
      <c r="L552">
        <f>IF(A552="","",IF(ISNUMBER(--LEFT(A552,FIND(" - ",A552&amp;" - ")-1)),LEFT(A552,FIND(" - ",A552&amp;" - ")-1),TRIM(A552)))</f>
        <v/>
      </c>
      <c r="N552">
        <f>IF(L552="","",IF(ISNUMBER(INDEX(A552:H552,$P$1)),INDEX(A552:H552,$P$1),IFERROR(_xlfn.NUMBERVALUE(INDEX(A552:H552,$P$1),".",","),0)))</f>
        <v/>
      </c>
    </row>
    <row r="553">
      <c r="L553">
        <f>IF(A553="","",IF(ISNUMBER(--LEFT(A553,FIND(" - ",A553&amp;" - ")-1)),LEFT(A553,FIND(" - ",A553&amp;" - ")-1),TRIM(A553)))</f>
        <v/>
      </c>
      <c r="N553">
        <f>IF(L553="","",IF(ISNUMBER(INDEX(A553:H553,$P$1)),INDEX(A553:H553,$P$1),IFERROR(_xlfn.NUMBERVALUE(INDEX(A553:H553,$P$1),".",","),0)))</f>
        <v/>
      </c>
    </row>
    <row r="554">
      <c r="L554">
        <f>IF(A554="","",IF(ISNUMBER(--LEFT(A554,FIND(" - ",A554&amp;" - ")-1)),LEFT(A554,FIND(" - ",A554&amp;" - ")-1),TRIM(A554)))</f>
        <v/>
      </c>
      <c r="N554">
        <f>IF(L554="","",IF(ISNUMBER(INDEX(A554:H554,$P$1)),INDEX(A554:H554,$P$1),IFERROR(_xlfn.NUMBERVALUE(INDEX(A554:H554,$P$1),".",","),0)))</f>
        <v/>
      </c>
    </row>
    <row r="555">
      <c r="L555">
        <f>IF(A555="","",IF(ISNUMBER(--LEFT(A555,FIND(" - ",A555&amp;" - ")-1)),LEFT(A555,FIND(" - ",A555&amp;" - ")-1),TRIM(A555)))</f>
        <v/>
      </c>
      <c r="N555">
        <f>IF(L555="","",IF(ISNUMBER(INDEX(A555:H555,$P$1)),INDEX(A555:H555,$P$1),IFERROR(_xlfn.NUMBERVALUE(INDEX(A555:H555,$P$1),".",","),0)))</f>
        <v/>
      </c>
    </row>
    <row r="556">
      <c r="L556">
        <f>IF(A556="","",IF(ISNUMBER(--LEFT(A556,FIND(" - ",A556&amp;" - ")-1)),LEFT(A556,FIND(" - ",A556&amp;" - ")-1),TRIM(A556)))</f>
        <v/>
      </c>
      <c r="N556">
        <f>IF(L556="","",IF(ISNUMBER(INDEX(A556:H556,$P$1)),INDEX(A556:H556,$P$1),IFERROR(_xlfn.NUMBERVALUE(INDEX(A556:H556,$P$1),".",","),0)))</f>
        <v/>
      </c>
    </row>
    <row r="557">
      <c r="L557">
        <f>IF(A557="","",IF(ISNUMBER(--LEFT(A557,FIND(" - ",A557&amp;" - ")-1)),LEFT(A557,FIND(" - ",A557&amp;" - ")-1),TRIM(A557)))</f>
        <v/>
      </c>
      <c r="N557">
        <f>IF(L557="","",IF(ISNUMBER(INDEX(A557:H557,$P$1)),INDEX(A557:H557,$P$1),IFERROR(_xlfn.NUMBERVALUE(INDEX(A557:H557,$P$1),".",","),0)))</f>
        <v/>
      </c>
    </row>
    <row r="558">
      <c r="L558">
        <f>IF(A558="","",IF(ISNUMBER(--LEFT(A558,FIND(" - ",A558&amp;" - ")-1)),LEFT(A558,FIND(" - ",A558&amp;" - ")-1),TRIM(A558)))</f>
        <v/>
      </c>
      <c r="N558">
        <f>IF(L558="","",IF(ISNUMBER(INDEX(A558:H558,$P$1)),INDEX(A558:H558,$P$1),IFERROR(_xlfn.NUMBERVALUE(INDEX(A558:H558,$P$1),".",","),0)))</f>
        <v/>
      </c>
    </row>
    <row r="559">
      <c r="L559">
        <f>IF(A559="","",IF(ISNUMBER(--LEFT(A559,FIND(" - ",A559&amp;" - ")-1)),LEFT(A559,FIND(" - ",A559&amp;" - ")-1),TRIM(A559)))</f>
        <v/>
      </c>
      <c r="N559">
        <f>IF(L559="","",IF(ISNUMBER(INDEX(A559:H559,$P$1)),INDEX(A559:H559,$P$1),IFERROR(_xlfn.NUMBERVALUE(INDEX(A559:H559,$P$1),".",","),0)))</f>
        <v/>
      </c>
    </row>
    <row r="560">
      <c r="L560">
        <f>IF(A560="","",IF(ISNUMBER(--LEFT(A560,FIND(" - ",A560&amp;" - ")-1)),LEFT(A560,FIND(" - ",A560&amp;" - ")-1),TRIM(A560)))</f>
        <v/>
      </c>
      <c r="N560">
        <f>IF(L560="","",IF(ISNUMBER(INDEX(A560:H560,$P$1)),INDEX(A560:H560,$P$1),IFERROR(_xlfn.NUMBERVALUE(INDEX(A560:H560,$P$1),".",","),0)))</f>
        <v/>
      </c>
    </row>
    <row r="561">
      <c r="L561">
        <f>IF(A561="","",IF(ISNUMBER(--LEFT(A561,FIND(" - ",A561&amp;" - ")-1)),LEFT(A561,FIND(" - ",A561&amp;" - ")-1),TRIM(A561)))</f>
        <v/>
      </c>
      <c r="N561">
        <f>IF(L561="","",IF(ISNUMBER(INDEX(A561:H561,$P$1)),INDEX(A561:H561,$P$1),IFERROR(_xlfn.NUMBERVALUE(INDEX(A561:H561,$P$1),".",","),0)))</f>
        <v/>
      </c>
    </row>
    <row r="562">
      <c r="L562">
        <f>IF(A562="","",IF(ISNUMBER(--LEFT(A562,FIND(" - ",A562&amp;" - ")-1)),LEFT(A562,FIND(" - ",A562&amp;" - ")-1),TRIM(A562)))</f>
        <v/>
      </c>
      <c r="N562">
        <f>IF(L562="","",IF(ISNUMBER(INDEX(A562:H562,$P$1)),INDEX(A562:H562,$P$1),IFERROR(_xlfn.NUMBERVALUE(INDEX(A562:H562,$P$1),".",","),0)))</f>
        <v/>
      </c>
    </row>
    <row r="563">
      <c r="L563">
        <f>IF(A563="","",IF(ISNUMBER(--LEFT(A563,FIND(" - ",A563&amp;" - ")-1)),LEFT(A563,FIND(" - ",A563&amp;" - ")-1),TRIM(A563)))</f>
        <v/>
      </c>
      <c r="N563">
        <f>IF(L563="","",IF(ISNUMBER(INDEX(A563:H563,$P$1)),INDEX(A563:H563,$P$1),IFERROR(_xlfn.NUMBERVALUE(INDEX(A563:H563,$P$1),".",","),0)))</f>
        <v/>
      </c>
    </row>
    <row r="564">
      <c r="L564">
        <f>IF(A564="","",IF(ISNUMBER(--LEFT(A564,FIND(" - ",A564&amp;" - ")-1)),LEFT(A564,FIND(" - ",A564&amp;" - ")-1),TRIM(A564)))</f>
        <v/>
      </c>
      <c r="N564">
        <f>IF(L564="","",IF(ISNUMBER(INDEX(A564:H564,$P$1)),INDEX(A564:H564,$P$1),IFERROR(_xlfn.NUMBERVALUE(INDEX(A564:H564,$P$1),".",","),0)))</f>
        <v/>
      </c>
    </row>
    <row r="565">
      <c r="L565">
        <f>IF(A565="","",IF(ISNUMBER(--LEFT(A565,FIND(" - ",A565&amp;" - ")-1)),LEFT(A565,FIND(" - ",A565&amp;" - ")-1),TRIM(A565)))</f>
        <v/>
      </c>
      <c r="N565">
        <f>IF(L565="","",IF(ISNUMBER(INDEX(A565:H565,$P$1)),INDEX(A565:H565,$P$1),IFERROR(_xlfn.NUMBERVALUE(INDEX(A565:H565,$P$1),".",","),0)))</f>
        <v/>
      </c>
    </row>
    <row r="566">
      <c r="L566">
        <f>IF(A566="","",IF(ISNUMBER(--LEFT(A566,FIND(" - ",A566&amp;" - ")-1)),LEFT(A566,FIND(" - ",A566&amp;" - ")-1),TRIM(A566)))</f>
        <v/>
      </c>
      <c r="N566">
        <f>IF(L566="","",IF(ISNUMBER(INDEX(A566:H566,$P$1)),INDEX(A566:H566,$P$1),IFERROR(_xlfn.NUMBERVALUE(INDEX(A566:H566,$P$1),".",","),0)))</f>
        <v/>
      </c>
    </row>
    <row r="567">
      <c r="L567">
        <f>IF(A567="","",IF(ISNUMBER(--LEFT(A567,FIND(" - ",A567&amp;" - ")-1)),LEFT(A567,FIND(" - ",A567&amp;" - ")-1),TRIM(A567)))</f>
        <v/>
      </c>
      <c r="N567">
        <f>IF(L567="","",IF(ISNUMBER(INDEX(A567:H567,$P$1)),INDEX(A567:H567,$P$1),IFERROR(_xlfn.NUMBERVALUE(INDEX(A567:H567,$P$1),".",","),0)))</f>
        <v/>
      </c>
    </row>
    <row r="568">
      <c r="L568">
        <f>IF(A568="","",IF(ISNUMBER(--LEFT(A568,FIND(" - ",A568&amp;" - ")-1)),LEFT(A568,FIND(" - ",A568&amp;" - ")-1),TRIM(A568)))</f>
        <v/>
      </c>
      <c r="N568">
        <f>IF(L568="","",IF(ISNUMBER(INDEX(A568:H568,$P$1)),INDEX(A568:H568,$P$1),IFERROR(_xlfn.NUMBERVALUE(INDEX(A568:H568,$P$1),".",","),0)))</f>
        <v/>
      </c>
    </row>
    <row r="569">
      <c r="L569">
        <f>IF(A569="","",IF(ISNUMBER(--LEFT(A569,FIND(" - ",A569&amp;" - ")-1)),LEFT(A569,FIND(" - ",A569&amp;" - ")-1),TRIM(A569)))</f>
        <v/>
      </c>
      <c r="N569">
        <f>IF(L569="","",IF(ISNUMBER(INDEX(A569:H569,$P$1)),INDEX(A569:H569,$P$1),IFERROR(_xlfn.NUMBERVALUE(INDEX(A569:H569,$P$1),".",","),0)))</f>
        <v/>
      </c>
    </row>
    <row r="570">
      <c r="L570">
        <f>IF(A570="","",IF(ISNUMBER(--LEFT(A570,FIND(" - ",A570&amp;" - ")-1)),LEFT(A570,FIND(" - ",A570&amp;" - ")-1),TRIM(A570)))</f>
        <v/>
      </c>
      <c r="N570">
        <f>IF(L570="","",IF(ISNUMBER(INDEX(A570:H570,$P$1)),INDEX(A570:H570,$P$1),IFERROR(_xlfn.NUMBERVALUE(INDEX(A570:H570,$P$1),".",","),0)))</f>
        <v/>
      </c>
    </row>
    <row r="571">
      <c r="L571">
        <f>IF(A571="","",IF(ISNUMBER(--LEFT(A571,FIND(" - ",A571&amp;" - ")-1)),LEFT(A571,FIND(" - ",A571&amp;" - ")-1),TRIM(A571)))</f>
        <v/>
      </c>
      <c r="N571">
        <f>IF(L571="","",IF(ISNUMBER(INDEX(A571:H571,$P$1)),INDEX(A571:H571,$P$1),IFERROR(_xlfn.NUMBERVALUE(INDEX(A571:H571,$P$1),".",","),0)))</f>
        <v/>
      </c>
    </row>
    <row r="572">
      <c r="L572">
        <f>IF(A572="","",IF(ISNUMBER(--LEFT(A572,FIND(" - ",A572&amp;" - ")-1)),LEFT(A572,FIND(" - ",A572&amp;" - ")-1),TRIM(A572)))</f>
        <v/>
      </c>
      <c r="N572">
        <f>IF(L572="","",IF(ISNUMBER(INDEX(A572:H572,$P$1)),INDEX(A572:H572,$P$1),IFERROR(_xlfn.NUMBERVALUE(INDEX(A572:H572,$P$1),".",","),0)))</f>
        <v/>
      </c>
    </row>
    <row r="573">
      <c r="L573">
        <f>IF(A573="","",IF(ISNUMBER(--LEFT(A573,FIND(" - ",A573&amp;" - ")-1)),LEFT(A573,FIND(" - ",A573&amp;" - ")-1),TRIM(A573)))</f>
        <v/>
      </c>
      <c r="N573">
        <f>IF(L573="","",IF(ISNUMBER(INDEX(A573:H573,$P$1)),INDEX(A573:H573,$P$1),IFERROR(_xlfn.NUMBERVALUE(INDEX(A573:H573,$P$1),".",","),0)))</f>
        <v/>
      </c>
    </row>
    <row r="574">
      <c r="L574">
        <f>IF(A574="","",IF(ISNUMBER(--LEFT(A574,FIND(" - ",A574&amp;" - ")-1)),LEFT(A574,FIND(" - ",A574&amp;" - ")-1),TRIM(A574)))</f>
        <v/>
      </c>
      <c r="N574">
        <f>IF(L574="","",IF(ISNUMBER(INDEX(A574:H574,$P$1)),INDEX(A574:H574,$P$1),IFERROR(_xlfn.NUMBERVALUE(INDEX(A574:H574,$P$1),".",","),0)))</f>
        <v/>
      </c>
    </row>
    <row r="575">
      <c r="L575">
        <f>IF(A575="","",IF(ISNUMBER(--LEFT(A575,FIND(" - ",A575&amp;" - ")-1)),LEFT(A575,FIND(" - ",A575&amp;" - ")-1),TRIM(A575)))</f>
        <v/>
      </c>
      <c r="N575">
        <f>IF(L575="","",IF(ISNUMBER(INDEX(A575:H575,$P$1)),INDEX(A575:H575,$P$1),IFERROR(_xlfn.NUMBERVALUE(INDEX(A575:H575,$P$1),".",","),0)))</f>
        <v/>
      </c>
    </row>
    <row r="576">
      <c r="L576">
        <f>IF(A576="","",IF(ISNUMBER(--LEFT(A576,FIND(" - ",A576&amp;" - ")-1)),LEFT(A576,FIND(" - ",A576&amp;" - ")-1),TRIM(A576)))</f>
        <v/>
      </c>
      <c r="N576">
        <f>IF(L576="","",IF(ISNUMBER(INDEX(A576:H576,$P$1)),INDEX(A576:H576,$P$1),IFERROR(_xlfn.NUMBERVALUE(INDEX(A576:H576,$P$1),".",","),0)))</f>
        <v/>
      </c>
    </row>
    <row r="577">
      <c r="L577">
        <f>IF(A577="","",IF(ISNUMBER(--LEFT(A577,FIND(" - ",A577&amp;" - ")-1)),LEFT(A577,FIND(" - ",A577&amp;" - ")-1),TRIM(A577)))</f>
        <v/>
      </c>
      <c r="N577">
        <f>IF(L577="","",IF(ISNUMBER(INDEX(A577:H577,$P$1)),INDEX(A577:H577,$P$1),IFERROR(_xlfn.NUMBERVALUE(INDEX(A577:H577,$P$1),".",","),0)))</f>
        <v/>
      </c>
    </row>
    <row r="578">
      <c r="L578">
        <f>IF(A578="","",IF(ISNUMBER(--LEFT(A578,FIND(" - ",A578&amp;" - ")-1)),LEFT(A578,FIND(" - ",A578&amp;" - ")-1),TRIM(A578)))</f>
        <v/>
      </c>
      <c r="N578">
        <f>IF(L578="","",IF(ISNUMBER(INDEX(A578:H578,$P$1)),INDEX(A578:H578,$P$1),IFERROR(_xlfn.NUMBERVALUE(INDEX(A578:H578,$P$1),".",","),0)))</f>
        <v/>
      </c>
    </row>
    <row r="579">
      <c r="L579">
        <f>IF(A579="","",IF(ISNUMBER(--LEFT(A579,FIND(" - ",A579&amp;" - ")-1)),LEFT(A579,FIND(" - ",A579&amp;" - ")-1),TRIM(A579)))</f>
        <v/>
      </c>
      <c r="N579">
        <f>IF(L579="","",IF(ISNUMBER(INDEX(A579:H579,$P$1)),INDEX(A579:H579,$P$1),IFERROR(_xlfn.NUMBERVALUE(INDEX(A579:H579,$P$1),".",","),0)))</f>
        <v/>
      </c>
    </row>
    <row r="580">
      <c r="L580">
        <f>IF(A580="","",IF(ISNUMBER(--LEFT(A580,FIND(" - ",A580&amp;" - ")-1)),LEFT(A580,FIND(" - ",A580&amp;" - ")-1),TRIM(A580)))</f>
        <v/>
      </c>
      <c r="N580">
        <f>IF(L580="","",IF(ISNUMBER(INDEX(A580:H580,$P$1)),INDEX(A580:H580,$P$1),IFERROR(_xlfn.NUMBERVALUE(INDEX(A580:H580,$P$1),".",","),0)))</f>
        <v/>
      </c>
    </row>
    <row r="581">
      <c r="L581">
        <f>IF(A581="","",IF(ISNUMBER(--LEFT(A581,FIND(" - ",A581&amp;" - ")-1)),LEFT(A581,FIND(" - ",A581&amp;" - ")-1),TRIM(A581)))</f>
        <v/>
      </c>
      <c r="N581">
        <f>IF(L581="","",IF(ISNUMBER(INDEX(A581:H581,$P$1)),INDEX(A581:H581,$P$1),IFERROR(_xlfn.NUMBERVALUE(INDEX(A581:H581,$P$1),".",","),0)))</f>
        <v/>
      </c>
    </row>
    <row r="582">
      <c r="L582">
        <f>IF(A582="","",IF(ISNUMBER(--LEFT(A582,FIND(" - ",A582&amp;" - ")-1)),LEFT(A582,FIND(" - ",A582&amp;" - ")-1),TRIM(A582)))</f>
        <v/>
      </c>
      <c r="N582">
        <f>IF(L582="","",IF(ISNUMBER(INDEX(A582:H582,$P$1)),INDEX(A582:H582,$P$1),IFERROR(_xlfn.NUMBERVALUE(INDEX(A582:H582,$P$1),".",","),0)))</f>
        <v/>
      </c>
    </row>
    <row r="583">
      <c r="L583">
        <f>IF(A583="","",IF(ISNUMBER(--LEFT(A583,FIND(" - ",A583&amp;" - ")-1)),LEFT(A583,FIND(" - ",A583&amp;" - ")-1),TRIM(A583)))</f>
        <v/>
      </c>
      <c r="N583">
        <f>IF(L583="","",IF(ISNUMBER(INDEX(A583:H583,$P$1)),INDEX(A583:H583,$P$1),IFERROR(_xlfn.NUMBERVALUE(INDEX(A583:H583,$P$1),".",","),0)))</f>
        <v/>
      </c>
    </row>
    <row r="584">
      <c r="L584">
        <f>IF(A584="","",IF(ISNUMBER(--LEFT(A584,FIND(" - ",A584&amp;" - ")-1)),LEFT(A584,FIND(" - ",A584&amp;" - ")-1),TRIM(A584)))</f>
        <v/>
      </c>
      <c r="N584">
        <f>IF(L584="","",IF(ISNUMBER(INDEX(A584:H584,$P$1)),INDEX(A584:H584,$P$1),IFERROR(_xlfn.NUMBERVALUE(INDEX(A584:H584,$P$1),".",","),0)))</f>
        <v/>
      </c>
    </row>
    <row r="585">
      <c r="L585">
        <f>IF(A585="","",IF(ISNUMBER(--LEFT(A585,FIND(" - ",A585&amp;" - ")-1)),LEFT(A585,FIND(" - ",A585&amp;" - ")-1),TRIM(A585)))</f>
        <v/>
      </c>
      <c r="N585">
        <f>IF(L585="","",IF(ISNUMBER(INDEX(A585:H585,$P$1)),INDEX(A585:H585,$P$1),IFERROR(_xlfn.NUMBERVALUE(INDEX(A585:H585,$P$1),".",","),0)))</f>
        <v/>
      </c>
    </row>
    <row r="586">
      <c r="L586">
        <f>IF(A586="","",IF(ISNUMBER(--LEFT(A586,FIND(" - ",A586&amp;" - ")-1)),LEFT(A586,FIND(" - ",A586&amp;" - ")-1),TRIM(A586)))</f>
        <v/>
      </c>
      <c r="N586">
        <f>IF(L586="","",IF(ISNUMBER(INDEX(A586:H586,$P$1)),INDEX(A586:H586,$P$1),IFERROR(_xlfn.NUMBERVALUE(INDEX(A586:H586,$P$1),".",","),0)))</f>
        <v/>
      </c>
    </row>
    <row r="587">
      <c r="L587">
        <f>IF(A587="","",IF(ISNUMBER(--LEFT(A587,FIND(" - ",A587&amp;" - ")-1)),LEFT(A587,FIND(" - ",A587&amp;" - ")-1),TRIM(A587)))</f>
        <v/>
      </c>
      <c r="N587">
        <f>IF(L587="","",IF(ISNUMBER(INDEX(A587:H587,$P$1)),INDEX(A587:H587,$P$1),IFERROR(_xlfn.NUMBERVALUE(INDEX(A587:H587,$P$1),".",","),0)))</f>
        <v/>
      </c>
    </row>
    <row r="588">
      <c r="L588">
        <f>IF(A588="","",IF(ISNUMBER(--LEFT(A588,FIND(" - ",A588&amp;" - ")-1)),LEFT(A588,FIND(" - ",A588&amp;" - ")-1),TRIM(A588)))</f>
        <v/>
      </c>
      <c r="N588">
        <f>IF(L588="","",IF(ISNUMBER(INDEX(A588:H588,$P$1)),INDEX(A588:H588,$P$1),IFERROR(_xlfn.NUMBERVALUE(INDEX(A588:H588,$P$1),".",","),0)))</f>
        <v/>
      </c>
    </row>
    <row r="589">
      <c r="L589">
        <f>IF(A589="","",IF(ISNUMBER(--LEFT(A589,FIND(" - ",A589&amp;" - ")-1)),LEFT(A589,FIND(" - ",A589&amp;" - ")-1),TRIM(A589)))</f>
        <v/>
      </c>
      <c r="N589">
        <f>IF(L589="","",IF(ISNUMBER(INDEX(A589:H589,$P$1)),INDEX(A589:H589,$P$1),IFERROR(_xlfn.NUMBERVALUE(INDEX(A589:H589,$P$1),".",","),0)))</f>
        <v/>
      </c>
    </row>
    <row r="590">
      <c r="L590">
        <f>IF(A590="","",IF(ISNUMBER(--LEFT(A590,FIND(" - ",A590&amp;" - ")-1)),LEFT(A590,FIND(" - ",A590&amp;" - ")-1),TRIM(A590)))</f>
        <v/>
      </c>
      <c r="N590">
        <f>IF(L590="","",IF(ISNUMBER(INDEX(A590:H590,$P$1)),INDEX(A590:H590,$P$1),IFERROR(_xlfn.NUMBERVALUE(INDEX(A590:H590,$P$1),".",","),0)))</f>
        <v/>
      </c>
    </row>
    <row r="591">
      <c r="L591">
        <f>IF(A591="","",IF(ISNUMBER(--LEFT(A591,FIND(" - ",A591&amp;" - ")-1)),LEFT(A591,FIND(" - ",A591&amp;" - ")-1),TRIM(A591)))</f>
        <v/>
      </c>
      <c r="N591">
        <f>IF(L591="","",IF(ISNUMBER(INDEX(A591:H591,$P$1)),INDEX(A591:H591,$P$1),IFERROR(_xlfn.NUMBERVALUE(INDEX(A591:H591,$P$1),".",","),0)))</f>
        <v/>
      </c>
    </row>
    <row r="592">
      <c r="L592">
        <f>IF(A592="","",IF(ISNUMBER(--LEFT(A592,FIND(" - ",A592&amp;" - ")-1)),LEFT(A592,FIND(" - ",A592&amp;" - ")-1),TRIM(A592)))</f>
        <v/>
      </c>
      <c r="N592">
        <f>IF(L592="","",IF(ISNUMBER(INDEX(A592:H592,$P$1)),INDEX(A592:H592,$P$1),IFERROR(_xlfn.NUMBERVALUE(INDEX(A592:H592,$P$1),".",","),0)))</f>
        <v/>
      </c>
    </row>
    <row r="593">
      <c r="L593">
        <f>IF(A593="","",IF(ISNUMBER(--LEFT(A593,FIND(" - ",A593&amp;" - ")-1)),LEFT(A593,FIND(" - ",A593&amp;" - ")-1),TRIM(A593)))</f>
        <v/>
      </c>
      <c r="N593">
        <f>IF(L593="","",IF(ISNUMBER(INDEX(A593:H593,$P$1)),INDEX(A593:H593,$P$1),IFERROR(_xlfn.NUMBERVALUE(INDEX(A593:H593,$P$1),".",","),0)))</f>
        <v/>
      </c>
    </row>
    <row r="594">
      <c r="L594">
        <f>IF(A594="","",IF(ISNUMBER(--LEFT(A594,FIND(" - ",A594&amp;" - ")-1)),LEFT(A594,FIND(" - ",A594&amp;" - ")-1),TRIM(A594)))</f>
        <v/>
      </c>
      <c r="N594">
        <f>IF(L594="","",IF(ISNUMBER(INDEX(A594:H594,$P$1)),INDEX(A594:H594,$P$1),IFERROR(_xlfn.NUMBERVALUE(INDEX(A594:H594,$P$1),".",","),0)))</f>
        <v/>
      </c>
    </row>
    <row r="595">
      <c r="L595">
        <f>IF(A595="","",IF(ISNUMBER(--LEFT(A595,FIND(" - ",A595&amp;" - ")-1)),LEFT(A595,FIND(" - ",A595&amp;" - ")-1),TRIM(A595)))</f>
        <v/>
      </c>
      <c r="N595">
        <f>IF(L595="","",IF(ISNUMBER(INDEX(A595:H595,$P$1)),INDEX(A595:H595,$P$1),IFERROR(_xlfn.NUMBERVALUE(INDEX(A595:H595,$P$1),".",","),0)))</f>
        <v/>
      </c>
    </row>
    <row r="596">
      <c r="L596">
        <f>IF(A596="","",IF(ISNUMBER(--LEFT(A596,FIND(" - ",A596&amp;" - ")-1)),LEFT(A596,FIND(" - ",A596&amp;" - ")-1),TRIM(A596)))</f>
        <v/>
      </c>
      <c r="N596">
        <f>IF(L596="","",IF(ISNUMBER(INDEX(A596:H596,$P$1)),INDEX(A596:H596,$P$1),IFERROR(_xlfn.NUMBERVALUE(INDEX(A596:H596,$P$1),".",","),0)))</f>
        <v/>
      </c>
    </row>
    <row r="597">
      <c r="L597">
        <f>IF(A597="","",IF(ISNUMBER(--LEFT(A597,FIND(" - ",A597&amp;" - ")-1)),LEFT(A597,FIND(" - ",A597&amp;" - ")-1),TRIM(A597)))</f>
        <v/>
      </c>
      <c r="N597">
        <f>IF(L597="","",IF(ISNUMBER(INDEX(A597:H597,$P$1)),INDEX(A597:H597,$P$1),IFERROR(_xlfn.NUMBERVALUE(INDEX(A597:H597,$P$1),".",","),0)))</f>
        <v/>
      </c>
    </row>
    <row r="598">
      <c r="L598">
        <f>IF(A598="","",IF(ISNUMBER(--LEFT(A598,FIND(" - ",A598&amp;" - ")-1)),LEFT(A598,FIND(" - ",A598&amp;" - ")-1),TRIM(A598)))</f>
        <v/>
      </c>
      <c r="N598">
        <f>IF(L598="","",IF(ISNUMBER(INDEX(A598:H598,$P$1)),INDEX(A598:H598,$P$1),IFERROR(_xlfn.NUMBERVALUE(INDEX(A598:H598,$P$1),".",","),0)))</f>
        <v/>
      </c>
    </row>
    <row r="599">
      <c r="L599">
        <f>IF(A599="","",IF(ISNUMBER(--LEFT(A599,FIND(" - ",A599&amp;" - ")-1)),LEFT(A599,FIND(" - ",A599&amp;" - ")-1),TRIM(A599)))</f>
        <v/>
      </c>
      <c r="N599">
        <f>IF(L599="","",IF(ISNUMBER(INDEX(A599:H599,$P$1)),INDEX(A599:H599,$P$1),IFERROR(_xlfn.NUMBERVALUE(INDEX(A599:H599,$P$1),".",","),0)))</f>
        <v/>
      </c>
    </row>
    <row r="600">
      <c r="L600">
        <f>IF(A600="","",IF(ISNUMBER(--LEFT(A600,FIND(" - ",A600&amp;" - ")-1)),LEFT(A600,FIND(" - ",A600&amp;" - ")-1),TRIM(A600)))</f>
        <v/>
      </c>
      <c r="N600">
        <f>IF(L600="","",IF(ISNUMBER(INDEX(A600:H600,$P$1)),INDEX(A600:H600,$P$1),IFERROR(_xlfn.NUMBERVALUE(INDEX(A600:H600,$P$1),".",","),0)))</f>
        <v/>
      </c>
    </row>
    <row r="601">
      <c r="L601">
        <f>IF(A601="","",IF(ISNUMBER(--LEFT(A601,FIND(" - ",A601&amp;" - ")-1)),LEFT(A601,FIND(" - ",A601&amp;" - ")-1),TRIM(A601)))</f>
        <v/>
      </c>
      <c r="N601">
        <f>IF(L601="","",IF(ISNUMBER(INDEX(A601:H601,$P$1)),INDEX(A601:H601,$P$1),IFERROR(_xlfn.NUMBERVALUE(INDEX(A601:H601,$P$1),".",","),0)))</f>
        <v/>
      </c>
    </row>
    <row r="602">
      <c r="L602">
        <f>IF(A602="","",IF(ISNUMBER(--LEFT(A602,FIND(" - ",A602&amp;" - ")-1)),LEFT(A602,FIND(" - ",A602&amp;" - ")-1),TRIM(A602)))</f>
        <v/>
      </c>
      <c r="N602">
        <f>IF(L602="","",IF(ISNUMBER(INDEX(A602:H602,$P$1)),INDEX(A602:H602,$P$1),IFERROR(_xlfn.NUMBERVALUE(INDEX(A602:H602,$P$1),".",","),0)))</f>
        <v/>
      </c>
    </row>
    <row r="603">
      <c r="L603">
        <f>IF(A603="","",IF(ISNUMBER(--LEFT(A603,FIND(" - ",A603&amp;" - ")-1)),LEFT(A603,FIND(" - ",A603&amp;" - ")-1),TRIM(A603)))</f>
        <v/>
      </c>
      <c r="N603">
        <f>IF(L603="","",IF(ISNUMBER(INDEX(A603:H603,$P$1)),INDEX(A603:H603,$P$1),IFERROR(_xlfn.NUMBERVALUE(INDEX(A603:H603,$P$1),".",","),0)))</f>
        <v/>
      </c>
    </row>
    <row r="604">
      <c r="L604">
        <f>IF(A604="","",IF(ISNUMBER(--LEFT(A604,FIND(" - ",A604&amp;" - ")-1)),LEFT(A604,FIND(" - ",A604&amp;" - ")-1),TRIM(A604)))</f>
        <v/>
      </c>
      <c r="N604">
        <f>IF(L604="","",IF(ISNUMBER(INDEX(A604:H604,$P$1)),INDEX(A604:H604,$P$1),IFERROR(_xlfn.NUMBERVALUE(INDEX(A604:H604,$P$1),".",","),0)))</f>
        <v/>
      </c>
    </row>
    <row r="605">
      <c r="L605">
        <f>IF(A605="","",IF(ISNUMBER(--LEFT(A605,FIND(" - ",A605&amp;" - ")-1)),LEFT(A605,FIND(" - ",A605&amp;" - ")-1),TRIM(A605)))</f>
        <v/>
      </c>
      <c r="N605">
        <f>IF(L605="","",IF(ISNUMBER(INDEX(A605:H605,$P$1)),INDEX(A605:H605,$P$1),IFERROR(_xlfn.NUMBERVALUE(INDEX(A605:H605,$P$1),".",","),0)))</f>
        <v/>
      </c>
    </row>
    <row r="606">
      <c r="L606">
        <f>IF(A606="","",IF(ISNUMBER(--LEFT(A606,FIND(" - ",A606&amp;" - ")-1)),LEFT(A606,FIND(" - ",A606&amp;" - ")-1),TRIM(A606)))</f>
        <v/>
      </c>
      <c r="N606">
        <f>IF(L606="","",IF(ISNUMBER(INDEX(A606:H606,$P$1)),INDEX(A606:H606,$P$1),IFERROR(_xlfn.NUMBERVALUE(INDEX(A606:H606,$P$1),".",","),0)))</f>
        <v/>
      </c>
    </row>
    <row r="607">
      <c r="L607">
        <f>IF(A607="","",IF(ISNUMBER(--LEFT(A607,FIND(" - ",A607&amp;" - ")-1)),LEFT(A607,FIND(" - ",A607&amp;" - ")-1),TRIM(A607)))</f>
        <v/>
      </c>
      <c r="N607">
        <f>IF(L607="","",IF(ISNUMBER(INDEX(A607:H607,$P$1)),INDEX(A607:H607,$P$1),IFERROR(_xlfn.NUMBERVALUE(INDEX(A607:H607,$P$1),".",","),0)))</f>
        <v/>
      </c>
    </row>
    <row r="608">
      <c r="L608">
        <f>IF(A608="","",IF(ISNUMBER(--LEFT(A608,FIND(" - ",A608&amp;" - ")-1)),LEFT(A608,FIND(" - ",A608&amp;" - ")-1),TRIM(A608)))</f>
        <v/>
      </c>
      <c r="N608">
        <f>IF(L608="","",IF(ISNUMBER(INDEX(A608:H608,$P$1)),INDEX(A608:H608,$P$1),IFERROR(_xlfn.NUMBERVALUE(INDEX(A608:H608,$P$1),".",","),0)))</f>
        <v/>
      </c>
    </row>
    <row r="609">
      <c r="L609">
        <f>IF(A609="","",IF(ISNUMBER(--LEFT(A609,FIND(" - ",A609&amp;" - ")-1)),LEFT(A609,FIND(" - ",A609&amp;" - ")-1),TRIM(A609)))</f>
        <v/>
      </c>
      <c r="N609">
        <f>IF(L609="","",IF(ISNUMBER(INDEX(A609:H609,$P$1)),INDEX(A609:H609,$P$1),IFERROR(_xlfn.NUMBERVALUE(INDEX(A609:H609,$P$1),".",","),0)))</f>
        <v/>
      </c>
    </row>
    <row r="610">
      <c r="L610">
        <f>IF(A610="","",IF(ISNUMBER(--LEFT(A610,FIND(" - ",A610&amp;" - ")-1)),LEFT(A610,FIND(" - ",A610&amp;" - ")-1),TRIM(A610)))</f>
        <v/>
      </c>
      <c r="N610">
        <f>IF(L610="","",IF(ISNUMBER(INDEX(A610:H610,$P$1)),INDEX(A610:H610,$P$1),IFERROR(_xlfn.NUMBERVALUE(INDEX(A610:H610,$P$1),".",","),0)))</f>
        <v/>
      </c>
    </row>
    <row r="611">
      <c r="L611">
        <f>IF(A611="","",IF(ISNUMBER(--LEFT(A611,FIND(" - ",A611&amp;" - ")-1)),LEFT(A611,FIND(" - ",A611&amp;" - ")-1),TRIM(A611)))</f>
        <v/>
      </c>
      <c r="N611">
        <f>IF(L611="","",IF(ISNUMBER(INDEX(A611:H611,$P$1)),INDEX(A611:H611,$P$1),IFERROR(_xlfn.NUMBERVALUE(INDEX(A611:H611,$P$1),".",","),0)))</f>
        <v/>
      </c>
    </row>
    <row r="612">
      <c r="L612">
        <f>IF(A612="","",IF(ISNUMBER(--LEFT(A612,FIND(" - ",A612&amp;" - ")-1)),LEFT(A612,FIND(" - ",A612&amp;" - ")-1),TRIM(A612)))</f>
        <v/>
      </c>
      <c r="N612">
        <f>IF(L612="","",IF(ISNUMBER(INDEX(A612:H612,$P$1)),INDEX(A612:H612,$P$1),IFERROR(_xlfn.NUMBERVALUE(INDEX(A612:H612,$P$1),".",","),0)))</f>
        <v/>
      </c>
    </row>
    <row r="613">
      <c r="L613">
        <f>IF(A613="","",IF(ISNUMBER(--LEFT(A613,FIND(" - ",A613&amp;" - ")-1)),LEFT(A613,FIND(" - ",A613&amp;" - ")-1),TRIM(A613)))</f>
        <v/>
      </c>
      <c r="N613">
        <f>IF(L613="","",IF(ISNUMBER(INDEX(A613:H613,$P$1)),INDEX(A613:H613,$P$1),IFERROR(_xlfn.NUMBERVALUE(INDEX(A613:H613,$P$1),".",","),0)))</f>
        <v/>
      </c>
    </row>
    <row r="614">
      <c r="L614">
        <f>IF(A614="","",IF(ISNUMBER(--LEFT(A614,FIND(" - ",A614&amp;" - ")-1)),LEFT(A614,FIND(" - ",A614&amp;" - ")-1),TRIM(A614)))</f>
        <v/>
      </c>
      <c r="N614">
        <f>IF(L614="","",IF(ISNUMBER(INDEX(A614:H614,$P$1)),INDEX(A614:H614,$P$1),IFERROR(_xlfn.NUMBERVALUE(INDEX(A614:H614,$P$1),".",","),0)))</f>
        <v/>
      </c>
    </row>
    <row r="615">
      <c r="L615">
        <f>IF(A615="","",IF(ISNUMBER(--LEFT(A615,FIND(" - ",A615&amp;" - ")-1)),LEFT(A615,FIND(" - ",A615&amp;" - ")-1),TRIM(A615)))</f>
        <v/>
      </c>
      <c r="N615">
        <f>IF(L615="","",IF(ISNUMBER(INDEX(A615:H615,$P$1)),INDEX(A615:H615,$P$1),IFERROR(_xlfn.NUMBERVALUE(INDEX(A615:H615,$P$1),".",","),0)))</f>
        <v/>
      </c>
    </row>
    <row r="616">
      <c r="L616">
        <f>IF(A616="","",IF(ISNUMBER(--LEFT(A616,FIND(" - ",A616&amp;" - ")-1)),LEFT(A616,FIND(" - ",A616&amp;" - ")-1),TRIM(A616)))</f>
        <v/>
      </c>
      <c r="N616">
        <f>IF(L616="","",IF(ISNUMBER(INDEX(A616:H616,$P$1)),INDEX(A616:H616,$P$1),IFERROR(_xlfn.NUMBERVALUE(INDEX(A616:H616,$P$1),".",","),0)))</f>
        <v/>
      </c>
    </row>
    <row r="617">
      <c r="L617">
        <f>IF(A617="","",IF(ISNUMBER(--LEFT(A617,FIND(" - ",A617&amp;" - ")-1)),LEFT(A617,FIND(" - ",A617&amp;" - ")-1),TRIM(A617)))</f>
        <v/>
      </c>
      <c r="N617">
        <f>IF(L617="","",IF(ISNUMBER(INDEX(A617:H617,$P$1)),INDEX(A617:H617,$P$1),IFERROR(_xlfn.NUMBERVALUE(INDEX(A617:H617,$P$1),".",","),0)))</f>
        <v/>
      </c>
    </row>
    <row r="618">
      <c r="L618">
        <f>IF(A618="","",IF(ISNUMBER(--LEFT(A618,FIND(" - ",A618&amp;" - ")-1)),LEFT(A618,FIND(" - ",A618&amp;" - ")-1),TRIM(A618)))</f>
        <v/>
      </c>
      <c r="N618">
        <f>IF(L618="","",IF(ISNUMBER(INDEX(A618:H618,$P$1)),INDEX(A618:H618,$P$1),IFERROR(_xlfn.NUMBERVALUE(INDEX(A618:H618,$P$1),".",","),0)))</f>
        <v/>
      </c>
    </row>
    <row r="619">
      <c r="L619">
        <f>IF(A619="","",IF(ISNUMBER(--LEFT(A619,FIND(" - ",A619&amp;" - ")-1)),LEFT(A619,FIND(" - ",A619&amp;" - ")-1),TRIM(A619)))</f>
        <v/>
      </c>
      <c r="N619">
        <f>IF(L619="","",IF(ISNUMBER(INDEX(A619:H619,$P$1)),INDEX(A619:H619,$P$1),IFERROR(_xlfn.NUMBERVALUE(INDEX(A619:H619,$P$1),".",","),0)))</f>
        <v/>
      </c>
    </row>
    <row r="620">
      <c r="L620">
        <f>IF(A620="","",IF(ISNUMBER(--LEFT(A620,FIND(" - ",A620&amp;" - ")-1)),LEFT(A620,FIND(" - ",A620&amp;" - ")-1),TRIM(A620)))</f>
        <v/>
      </c>
      <c r="N620">
        <f>IF(L620="","",IF(ISNUMBER(INDEX(A620:H620,$P$1)),INDEX(A620:H620,$P$1),IFERROR(_xlfn.NUMBERVALUE(INDEX(A620:H620,$P$1),".",","),0)))</f>
        <v/>
      </c>
    </row>
    <row r="621">
      <c r="L621">
        <f>IF(A621="","",IF(ISNUMBER(--LEFT(A621,FIND(" - ",A621&amp;" - ")-1)),LEFT(A621,FIND(" - ",A621&amp;" - ")-1),TRIM(A621)))</f>
        <v/>
      </c>
      <c r="N621">
        <f>IF(L621="","",IF(ISNUMBER(INDEX(A621:H621,$P$1)),INDEX(A621:H621,$P$1),IFERROR(_xlfn.NUMBERVALUE(INDEX(A621:H621,$P$1),".",","),0)))</f>
        <v/>
      </c>
    </row>
    <row r="622">
      <c r="L622">
        <f>IF(A622="","",IF(ISNUMBER(--LEFT(A622,FIND(" - ",A622&amp;" - ")-1)),LEFT(A622,FIND(" - ",A622&amp;" - ")-1),TRIM(A622)))</f>
        <v/>
      </c>
      <c r="N622">
        <f>IF(L622="","",IF(ISNUMBER(INDEX(A622:H622,$P$1)),INDEX(A622:H622,$P$1),IFERROR(_xlfn.NUMBERVALUE(INDEX(A622:H622,$P$1),".",","),0)))</f>
        <v/>
      </c>
    </row>
    <row r="623">
      <c r="L623">
        <f>IF(A623="","",IF(ISNUMBER(--LEFT(A623,FIND(" - ",A623&amp;" - ")-1)),LEFT(A623,FIND(" - ",A623&amp;" - ")-1),TRIM(A623)))</f>
        <v/>
      </c>
      <c r="N623">
        <f>IF(L623="","",IF(ISNUMBER(INDEX(A623:H623,$P$1)),INDEX(A623:H623,$P$1),IFERROR(_xlfn.NUMBERVALUE(INDEX(A623:H623,$P$1),".",","),0)))</f>
        <v/>
      </c>
    </row>
    <row r="624">
      <c r="L624">
        <f>IF(A624="","",IF(ISNUMBER(--LEFT(A624,FIND(" - ",A624&amp;" - ")-1)),LEFT(A624,FIND(" - ",A624&amp;" - ")-1),TRIM(A624)))</f>
        <v/>
      </c>
      <c r="N624">
        <f>IF(L624="","",IF(ISNUMBER(INDEX(A624:H624,$P$1)),INDEX(A624:H624,$P$1),IFERROR(_xlfn.NUMBERVALUE(INDEX(A624:H624,$P$1),".",","),0)))</f>
        <v/>
      </c>
    </row>
    <row r="625">
      <c r="L625">
        <f>IF(A625="","",IF(ISNUMBER(--LEFT(A625,FIND(" - ",A625&amp;" - ")-1)),LEFT(A625,FIND(" - ",A625&amp;" - ")-1),TRIM(A625)))</f>
        <v/>
      </c>
      <c r="N625">
        <f>IF(L625="","",IF(ISNUMBER(INDEX(A625:H625,$P$1)),INDEX(A625:H625,$P$1),IFERROR(_xlfn.NUMBERVALUE(INDEX(A625:H625,$P$1),".",","),0)))</f>
        <v/>
      </c>
    </row>
    <row r="626">
      <c r="L626">
        <f>IF(A626="","",IF(ISNUMBER(--LEFT(A626,FIND(" - ",A626&amp;" - ")-1)),LEFT(A626,FIND(" - ",A626&amp;" - ")-1),TRIM(A626)))</f>
        <v/>
      </c>
      <c r="N626">
        <f>IF(L626="","",IF(ISNUMBER(INDEX(A626:H626,$P$1)),INDEX(A626:H626,$P$1),IFERROR(_xlfn.NUMBERVALUE(INDEX(A626:H626,$P$1),".",","),0)))</f>
        <v/>
      </c>
    </row>
    <row r="627">
      <c r="L627">
        <f>IF(A627="","",IF(ISNUMBER(--LEFT(A627,FIND(" - ",A627&amp;" - ")-1)),LEFT(A627,FIND(" - ",A627&amp;" - ")-1),TRIM(A627)))</f>
        <v/>
      </c>
      <c r="N627">
        <f>IF(L627="","",IF(ISNUMBER(INDEX(A627:H627,$P$1)),INDEX(A627:H627,$P$1),IFERROR(_xlfn.NUMBERVALUE(INDEX(A627:H627,$P$1),".",","),0)))</f>
        <v/>
      </c>
    </row>
    <row r="628">
      <c r="L628">
        <f>IF(A628="","",IF(ISNUMBER(--LEFT(A628,FIND(" - ",A628&amp;" - ")-1)),LEFT(A628,FIND(" - ",A628&amp;" - ")-1),TRIM(A628)))</f>
        <v/>
      </c>
      <c r="N628">
        <f>IF(L628="","",IF(ISNUMBER(INDEX(A628:H628,$P$1)),INDEX(A628:H628,$P$1),IFERROR(_xlfn.NUMBERVALUE(INDEX(A628:H628,$P$1),".",","),0)))</f>
        <v/>
      </c>
    </row>
    <row r="629">
      <c r="L629">
        <f>IF(A629="","",IF(ISNUMBER(--LEFT(A629,FIND(" - ",A629&amp;" - ")-1)),LEFT(A629,FIND(" - ",A629&amp;" - ")-1),TRIM(A629)))</f>
        <v/>
      </c>
      <c r="N629">
        <f>IF(L629="","",IF(ISNUMBER(INDEX(A629:H629,$P$1)),INDEX(A629:H629,$P$1),IFERROR(_xlfn.NUMBERVALUE(INDEX(A629:H629,$P$1),".",","),0)))</f>
        <v/>
      </c>
    </row>
    <row r="630">
      <c r="L630">
        <f>IF(A630="","",IF(ISNUMBER(--LEFT(A630,FIND(" - ",A630&amp;" - ")-1)),LEFT(A630,FIND(" - ",A630&amp;" - ")-1),TRIM(A630)))</f>
        <v/>
      </c>
      <c r="N630">
        <f>IF(L630="","",IF(ISNUMBER(INDEX(A630:H630,$P$1)),INDEX(A630:H630,$P$1),IFERROR(_xlfn.NUMBERVALUE(INDEX(A630:H630,$P$1),".",","),0)))</f>
        <v/>
      </c>
    </row>
    <row r="631">
      <c r="L631">
        <f>IF(A631="","",IF(ISNUMBER(--LEFT(A631,FIND(" - ",A631&amp;" - ")-1)),LEFT(A631,FIND(" - ",A631&amp;" - ")-1),TRIM(A631)))</f>
        <v/>
      </c>
      <c r="N631">
        <f>IF(L631="","",IF(ISNUMBER(INDEX(A631:H631,$P$1)),INDEX(A631:H631,$P$1),IFERROR(_xlfn.NUMBERVALUE(INDEX(A631:H631,$P$1),".",","),0)))</f>
        <v/>
      </c>
    </row>
    <row r="632">
      <c r="L632">
        <f>IF(A632="","",IF(ISNUMBER(--LEFT(A632,FIND(" - ",A632&amp;" - ")-1)),LEFT(A632,FIND(" - ",A632&amp;" - ")-1),TRIM(A632)))</f>
        <v/>
      </c>
      <c r="N632">
        <f>IF(L632="","",IF(ISNUMBER(INDEX(A632:H632,$P$1)),INDEX(A632:H632,$P$1),IFERROR(_xlfn.NUMBERVALUE(INDEX(A632:H632,$P$1),".",","),0)))</f>
        <v/>
      </c>
    </row>
    <row r="633">
      <c r="L633">
        <f>IF(A633="","",IF(ISNUMBER(--LEFT(A633,FIND(" - ",A633&amp;" - ")-1)),LEFT(A633,FIND(" - ",A633&amp;" - ")-1),TRIM(A633)))</f>
        <v/>
      </c>
      <c r="N633">
        <f>IF(L633="","",IF(ISNUMBER(INDEX(A633:H633,$P$1)),INDEX(A633:H633,$P$1),IFERROR(_xlfn.NUMBERVALUE(INDEX(A633:H633,$P$1),".",","),0)))</f>
        <v/>
      </c>
    </row>
    <row r="634">
      <c r="L634">
        <f>IF(A634="","",IF(ISNUMBER(--LEFT(A634,FIND(" - ",A634&amp;" - ")-1)),LEFT(A634,FIND(" - ",A634&amp;" - ")-1),TRIM(A634)))</f>
        <v/>
      </c>
      <c r="N634">
        <f>IF(L634="","",IF(ISNUMBER(INDEX(A634:H634,$P$1)),INDEX(A634:H634,$P$1),IFERROR(_xlfn.NUMBERVALUE(INDEX(A634:H634,$P$1),".",","),0)))</f>
        <v/>
      </c>
    </row>
    <row r="635">
      <c r="L635">
        <f>IF(A635="","",IF(ISNUMBER(--LEFT(A635,FIND(" - ",A635&amp;" - ")-1)),LEFT(A635,FIND(" - ",A635&amp;" - ")-1),TRIM(A635)))</f>
        <v/>
      </c>
      <c r="N635">
        <f>IF(L635="","",IF(ISNUMBER(INDEX(A635:H635,$P$1)),INDEX(A635:H635,$P$1),IFERROR(_xlfn.NUMBERVALUE(INDEX(A635:H635,$P$1),".",","),0)))</f>
        <v/>
      </c>
    </row>
    <row r="636">
      <c r="L636">
        <f>IF(A636="","",IF(ISNUMBER(--LEFT(A636,FIND(" - ",A636&amp;" - ")-1)),LEFT(A636,FIND(" - ",A636&amp;" - ")-1),TRIM(A636)))</f>
        <v/>
      </c>
      <c r="N636">
        <f>IF(L636="","",IF(ISNUMBER(INDEX(A636:H636,$P$1)),INDEX(A636:H636,$P$1),IFERROR(_xlfn.NUMBERVALUE(INDEX(A636:H636,$P$1),".",","),0)))</f>
        <v/>
      </c>
    </row>
    <row r="637">
      <c r="L637">
        <f>IF(A637="","",IF(ISNUMBER(--LEFT(A637,FIND(" - ",A637&amp;" - ")-1)),LEFT(A637,FIND(" - ",A637&amp;" - ")-1),TRIM(A637)))</f>
        <v/>
      </c>
      <c r="N637">
        <f>IF(L637="","",IF(ISNUMBER(INDEX(A637:H637,$P$1)),INDEX(A637:H637,$P$1),IFERROR(_xlfn.NUMBERVALUE(INDEX(A637:H637,$P$1),".",","),0)))</f>
        <v/>
      </c>
    </row>
    <row r="638">
      <c r="L638">
        <f>IF(A638="","",IF(ISNUMBER(--LEFT(A638,FIND(" - ",A638&amp;" - ")-1)),LEFT(A638,FIND(" - ",A638&amp;" - ")-1),TRIM(A638)))</f>
        <v/>
      </c>
      <c r="N638">
        <f>IF(L638="","",IF(ISNUMBER(INDEX(A638:H638,$P$1)),INDEX(A638:H638,$P$1),IFERROR(_xlfn.NUMBERVALUE(INDEX(A638:H638,$P$1),".",","),0)))</f>
        <v/>
      </c>
    </row>
    <row r="639">
      <c r="L639">
        <f>IF(A639="","",IF(ISNUMBER(--LEFT(A639,FIND(" - ",A639&amp;" - ")-1)),LEFT(A639,FIND(" - ",A639&amp;" - ")-1),TRIM(A639)))</f>
        <v/>
      </c>
      <c r="N639">
        <f>IF(L639="","",IF(ISNUMBER(INDEX(A639:H639,$P$1)),INDEX(A639:H639,$P$1),IFERROR(_xlfn.NUMBERVALUE(INDEX(A639:H639,$P$1),".",","),0)))</f>
        <v/>
      </c>
    </row>
    <row r="640">
      <c r="L640">
        <f>IF(A640="","",IF(ISNUMBER(--LEFT(A640,FIND(" - ",A640&amp;" - ")-1)),LEFT(A640,FIND(" - ",A640&amp;" - ")-1),TRIM(A640)))</f>
        <v/>
      </c>
      <c r="N640">
        <f>IF(L640="","",IF(ISNUMBER(INDEX(A640:H640,$P$1)),INDEX(A640:H640,$P$1),IFERROR(_xlfn.NUMBERVALUE(INDEX(A640:H640,$P$1),".",","),0)))</f>
        <v/>
      </c>
    </row>
    <row r="641">
      <c r="L641">
        <f>IF(A641="","",IF(ISNUMBER(--LEFT(A641,FIND(" - ",A641&amp;" - ")-1)),LEFT(A641,FIND(" - ",A641&amp;" - ")-1),TRIM(A641)))</f>
        <v/>
      </c>
      <c r="N641">
        <f>IF(L641="","",IF(ISNUMBER(INDEX(A641:H641,$P$1)),INDEX(A641:H641,$P$1),IFERROR(_xlfn.NUMBERVALUE(INDEX(A641:H641,$P$1),".",","),0)))</f>
        <v/>
      </c>
    </row>
    <row r="642">
      <c r="L642">
        <f>IF(A642="","",IF(ISNUMBER(--LEFT(A642,FIND(" - ",A642&amp;" - ")-1)),LEFT(A642,FIND(" - ",A642&amp;" - ")-1),TRIM(A642)))</f>
        <v/>
      </c>
      <c r="N642">
        <f>IF(L642="","",IF(ISNUMBER(INDEX(A642:H642,$P$1)),INDEX(A642:H642,$P$1),IFERROR(_xlfn.NUMBERVALUE(INDEX(A642:H642,$P$1),".",","),0)))</f>
        <v/>
      </c>
    </row>
    <row r="643">
      <c r="L643">
        <f>IF(A643="","",IF(ISNUMBER(--LEFT(A643,FIND(" - ",A643&amp;" - ")-1)),LEFT(A643,FIND(" - ",A643&amp;" - ")-1),TRIM(A643)))</f>
        <v/>
      </c>
      <c r="N643">
        <f>IF(L643="","",IF(ISNUMBER(INDEX(A643:H643,$P$1)),INDEX(A643:H643,$P$1),IFERROR(_xlfn.NUMBERVALUE(INDEX(A643:H643,$P$1),".",","),0)))</f>
        <v/>
      </c>
    </row>
    <row r="644">
      <c r="L644">
        <f>IF(A644="","",IF(ISNUMBER(--LEFT(A644,FIND(" - ",A644&amp;" - ")-1)),LEFT(A644,FIND(" - ",A644&amp;" - ")-1),TRIM(A644)))</f>
        <v/>
      </c>
      <c r="N644">
        <f>IF(L644="","",IF(ISNUMBER(INDEX(A644:H644,$P$1)),INDEX(A644:H644,$P$1),IFERROR(_xlfn.NUMBERVALUE(INDEX(A644:H644,$P$1),".",","),0)))</f>
        <v/>
      </c>
    </row>
    <row r="645">
      <c r="L645">
        <f>IF(A645="","",IF(ISNUMBER(--LEFT(A645,FIND(" - ",A645&amp;" - ")-1)),LEFT(A645,FIND(" - ",A645&amp;" - ")-1),TRIM(A645)))</f>
        <v/>
      </c>
      <c r="N645">
        <f>IF(L645="","",IF(ISNUMBER(INDEX(A645:H645,$P$1)),INDEX(A645:H645,$P$1),IFERROR(_xlfn.NUMBERVALUE(INDEX(A645:H645,$P$1),".",","),0)))</f>
        <v/>
      </c>
    </row>
    <row r="646">
      <c r="L646">
        <f>IF(A646="","",IF(ISNUMBER(--LEFT(A646,FIND(" - ",A646&amp;" - ")-1)),LEFT(A646,FIND(" - ",A646&amp;" - ")-1),TRIM(A646)))</f>
        <v/>
      </c>
      <c r="N646">
        <f>IF(L646="","",IF(ISNUMBER(INDEX(A646:H646,$P$1)),INDEX(A646:H646,$P$1),IFERROR(_xlfn.NUMBERVALUE(INDEX(A646:H646,$P$1),".",","),0)))</f>
        <v/>
      </c>
    </row>
    <row r="647">
      <c r="L647">
        <f>IF(A647="","",IF(ISNUMBER(--LEFT(A647,FIND(" - ",A647&amp;" - ")-1)),LEFT(A647,FIND(" - ",A647&amp;" - ")-1),TRIM(A647)))</f>
        <v/>
      </c>
      <c r="N647">
        <f>IF(L647="","",IF(ISNUMBER(INDEX(A647:H647,$P$1)),INDEX(A647:H647,$P$1),IFERROR(_xlfn.NUMBERVALUE(INDEX(A647:H647,$P$1),".",","),0)))</f>
        <v/>
      </c>
    </row>
    <row r="648">
      <c r="L648">
        <f>IF(A648="","",IF(ISNUMBER(--LEFT(A648,FIND(" - ",A648&amp;" - ")-1)),LEFT(A648,FIND(" - ",A648&amp;" - ")-1),TRIM(A648)))</f>
        <v/>
      </c>
      <c r="N648">
        <f>IF(L648="","",IF(ISNUMBER(INDEX(A648:H648,$P$1)),INDEX(A648:H648,$P$1),IFERROR(_xlfn.NUMBERVALUE(INDEX(A648:H648,$P$1),".",","),0)))</f>
        <v/>
      </c>
    </row>
    <row r="649">
      <c r="L649">
        <f>IF(A649="","",IF(ISNUMBER(--LEFT(A649,FIND(" - ",A649&amp;" - ")-1)),LEFT(A649,FIND(" - ",A649&amp;" - ")-1),TRIM(A649)))</f>
        <v/>
      </c>
      <c r="N649">
        <f>IF(L649="","",IF(ISNUMBER(INDEX(A649:H649,$P$1)),INDEX(A649:H649,$P$1),IFERROR(_xlfn.NUMBERVALUE(INDEX(A649:H649,$P$1),".",","),0)))</f>
        <v/>
      </c>
    </row>
    <row r="650">
      <c r="L650">
        <f>IF(A650="","",IF(ISNUMBER(--LEFT(A650,FIND(" - ",A650&amp;" - ")-1)),LEFT(A650,FIND(" - ",A650&amp;" - ")-1),TRIM(A650)))</f>
        <v/>
      </c>
      <c r="N650">
        <f>IF(L650="","",IF(ISNUMBER(INDEX(A650:H650,$P$1)),INDEX(A650:H650,$P$1),IFERROR(_xlfn.NUMBERVALUE(INDEX(A650:H650,$P$1),".",","),0)))</f>
        <v/>
      </c>
    </row>
    <row r="651">
      <c r="L651">
        <f>IF(A651="","",IF(ISNUMBER(--LEFT(A651,FIND(" - ",A651&amp;" - ")-1)),LEFT(A651,FIND(" - ",A651&amp;" - ")-1),TRIM(A651)))</f>
        <v/>
      </c>
      <c r="N651">
        <f>IF(L651="","",IF(ISNUMBER(INDEX(A651:H651,$P$1)),INDEX(A651:H651,$P$1),IFERROR(_xlfn.NUMBERVALUE(INDEX(A651:H651,$P$1),".",","),0)))</f>
        <v/>
      </c>
    </row>
    <row r="652">
      <c r="L652">
        <f>IF(A652="","",IF(ISNUMBER(--LEFT(A652,FIND(" - ",A652&amp;" - ")-1)),LEFT(A652,FIND(" - ",A652&amp;" - ")-1),TRIM(A652)))</f>
        <v/>
      </c>
      <c r="N652">
        <f>IF(L652="","",IF(ISNUMBER(INDEX(A652:H652,$P$1)),INDEX(A652:H652,$P$1),IFERROR(_xlfn.NUMBERVALUE(INDEX(A652:H652,$P$1),".",","),0)))</f>
        <v/>
      </c>
    </row>
    <row r="653">
      <c r="L653">
        <f>IF(A653="","",IF(ISNUMBER(--LEFT(A653,FIND(" - ",A653&amp;" - ")-1)),LEFT(A653,FIND(" - ",A653&amp;" - ")-1),TRIM(A653)))</f>
        <v/>
      </c>
      <c r="N653">
        <f>IF(L653="","",IF(ISNUMBER(INDEX(A653:H653,$P$1)),INDEX(A653:H653,$P$1),IFERROR(_xlfn.NUMBERVALUE(INDEX(A653:H653,$P$1),".",","),0)))</f>
        <v/>
      </c>
    </row>
    <row r="654">
      <c r="L654">
        <f>IF(A654="","",IF(ISNUMBER(--LEFT(A654,FIND(" - ",A654&amp;" - ")-1)),LEFT(A654,FIND(" - ",A654&amp;" - ")-1),TRIM(A654)))</f>
        <v/>
      </c>
      <c r="N654">
        <f>IF(L654="","",IF(ISNUMBER(INDEX(A654:H654,$P$1)),INDEX(A654:H654,$P$1),IFERROR(_xlfn.NUMBERVALUE(INDEX(A654:H654,$P$1),".",","),0)))</f>
        <v/>
      </c>
    </row>
    <row r="655">
      <c r="L655">
        <f>IF(A655="","",IF(ISNUMBER(--LEFT(A655,FIND(" - ",A655&amp;" - ")-1)),LEFT(A655,FIND(" - ",A655&amp;" - ")-1),TRIM(A655)))</f>
        <v/>
      </c>
      <c r="N655">
        <f>IF(L655="","",IF(ISNUMBER(INDEX(A655:H655,$P$1)),INDEX(A655:H655,$P$1),IFERROR(_xlfn.NUMBERVALUE(INDEX(A655:H655,$P$1),".",","),0)))</f>
        <v/>
      </c>
    </row>
    <row r="656">
      <c r="L656">
        <f>IF(A656="","",IF(ISNUMBER(--LEFT(A656,FIND(" - ",A656&amp;" - ")-1)),LEFT(A656,FIND(" - ",A656&amp;" - ")-1),TRIM(A656)))</f>
        <v/>
      </c>
      <c r="N656">
        <f>IF(L656="","",IF(ISNUMBER(INDEX(A656:H656,$P$1)),INDEX(A656:H656,$P$1),IFERROR(_xlfn.NUMBERVALUE(INDEX(A656:H656,$P$1),".",","),0)))</f>
        <v/>
      </c>
    </row>
    <row r="657">
      <c r="L657">
        <f>IF(A657="","",IF(ISNUMBER(--LEFT(A657,FIND(" - ",A657&amp;" - ")-1)),LEFT(A657,FIND(" - ",A657&amp;" - ")-1),TRIM(A657)))</f>
        <v/>
      </c>
      <c r="N657">
        <f>IF(L657="","",IF(ISNUMBER(INDEX(A657:H657,$P$1)),INDEX(A657:H657,$P$1),IFERROR(_xlfn.NUMBERVALUE(INDEX(A657:H657,$P$1),".",","),0)))</f>
        <v/>
      </c>
    </row>
    <row r="658">
      <c r="L658">
        <f>IF(A658="","",IF(ISNUMBER(--LEFT(A658,FIND(" - ",A658&amp;" - ")-1)),LEFT(A658,FIND(" - ",A658&amp;" - ")-1),TRIM(A658)))</f>
        <v/>
      </c>
      <c r="N658">
        <f>IF(L658="","",IF(ISNUMBER(INDEX(A658:H658,$P$1)),INDEX(A658:H658,$P$1),IFERROR(_xlfn.NUMBERVALUE(INDEX(A658:H658,$P$1),".",","),0)))</f>
        <v/>
      </c>
    </row>
    <row r="659">
      <c r="L659">
        <f>IF(A659="","",IF(ISNUMBER(--LEFT(A659,FIND(" - ",A659&amp;" - ")-1)),LEFT(A659,FIND(" - ",A659&amp;" - ")-1),TRIM(A659)))</f>
        <v/>
      </c>
      <c r="N659">
        <f>IF(L659="","",IF(ISNUMBER(INDEX(A659:H659,$P$1)),INDEX(A659:H659,$P$1),IFERROR(_xlfn.NUMBERVALUE(INDEX(A659:H659,$P$1),".",","),0)))</f>
        <v/>
      </c>
    </row>
    <row r="660">
      <c r="L660">
        <f>IF(A660="","",IF(ISNUMBER(--LEFT(A660,FIND(" - ",A660&amp;" - ")-1)),LEFT(A660,FIND(" - ",A660&amp;" - ")-1),TRIM(A660)))</f>
        <v/>
      </c>
      <c r="N660">
        <f>IF(L660="","",IF(ISNUMBER(INDEX(A660:H660,$P$1)),INDEX(A660:H660,$P$1),IFERROR(_xlfn.NUMBERVALUE(INDEX(A660:H660,$P$1),".",","),0)))</f>
        <v/>
      </c>
    </row>
    <row r="661">
      <c r="L661">
        <f>IF(A661="","",IF(ISNUMBER(--LEFT(A661,FIND(" - ",A661&amp;" - ")-1)),LEFT(A661,FIND(" - ",A661&amp;" - ")-1),TRIM(A661)))</f>
        <v/>
      </c>
      <c r="N661">
        <f>IF(L661="","",IF(ISNUMBER(INDEX(A661:H661,$P$1)),INDEX(A661:H661,$P$1),IFERROR(_xlfn.NUMBERVALUE(INDEX(A661:H661,$P$1),".",","),0)))</f>
        <v/>
      </c>
    </row>
    <row r="662">
      <c r="L662">
        <f>IF(A662="","",IF(ISNUMBER(--LEFT(A662,FIND(" - ",A662&amp;" - ")-1)),LEFT(A662,FIND(" - ",A662&amp;" - ")-1),TRIM(A662)))</f>
        <v/>
      </c>
      <c r="N662">
        <f>IF(L662="","",IF(ISNUMBER(INDEX(A662:H662,$P$1)),INDEX(A662:H662,$P$1),IFERROR(_xlfn.NUMBERVALUE(INDEX(A662:H662,$P$1),".",","),0)))</f>
        <v/>
      </c>
    </row>
    <row r="663">
      <c r="L663">
        <f>IF(A663="","",IF(ISNUMBER(--LEFT(A663,FIND(" - ",A663&amp;" - ")-1)),LEFT(A663,FIND(" - ",A663&amp;" - ")-1),TRIM(A663)))</f>
        <v/>
      </c>
      <c r="N663">
        <f>IF(L663="","",IF(ISNUMBER(INDEX(A663:H663,$P$1)),INDEX(A663:H663,$P$1),IFERROR(_xlfn.NUMBERVALUE(INDEX(A663:H663,$P$1),".",","),0)))</f>
        <v/>
      </c>
    </row>
    <row r="664">
      <c r="L664">
        <f>IF(A664="","",IF(ISNUMBER(--LEFT(A664,FIND(" - ",A664&amp;" - ")-1)),LEFT(A664,FIND(" - ",A664&amp;" - ")-1),TRIM(A664)))</f>
        <v/>
      </c>
      <c r="N664">
        <f>IF(L664="","",IF(ISNUMBER(INDEX(A664:H664,$P$1)),INDEX(A664:H664,$P$1),IFERROR(_xlfn.NUMBERVALUE(INDEX(A664:H664,$P$1),".",","),0)))</f>
        <v/>
      </c>
    </row>
    <row r="665">
      <c r="L665">
        <f>IF(A665="","",IF(ISNUMBER(--LEFT(A665,FIND(" - ",A665&amp;" - ")-1)),LEFT(A665,FIND(" - ",A665&amp;" - ")-1),TRIM(A665)))</f>
        <v/>
      </c>
      <c r="N665">
        <f>IF(L665="","",IF(ISNUMBER(INDEX(A665:H665,$P$1)),INDEX(A665:H665,$P$1),IFERROR(_xlfn.NUMBERVALUE(INDEX(A665:H665,$P$1),".",","),0)))</f>
        <v/>
      </c>
    </row>
    <row r="666">
      <c r="L666">
        <f>IF(A666="","",IF(ISNUMBER(--LEFT(A666,FIND(" - ",A666&amp;" - ")-1)),LEFT(A666,FIND(" - ",A666&amp;" - ")-1),TRIM(A666)))</f>
        <v/>
      </c>
      <c r="N666">
        <f>IF(L666="","",IF(ISNUMBER(INDEX(A666:H666,$P$1)),INDEX(A666:H666,$P$1),IFERROR(_xlfn.NUMBERVALUE(INDEX(A666:H666,$P$1),".",","),0)))</f>
        <v/>
      </c>
    </row>
    <row r="667">
      <c r="L667">
        <f>IF(A667="","",IF(ISNUMBER(--LEFT(A667,FIND(" - ",A667&amp;" - ")-1)),LEFT(A667,FIND(" - ",A667&amp;" - ")-1),TRIM(A667)))</f>
        <v/>
      </c>
      <c r="N667">
        <f>IF(L667="","",IF(ISNUMBER(INDEX(A667:H667,$P$1)),INDEX(A667:H667,$P$1),IFERROR(_xlfn.NUMBERVALUE(INDEX(A667:H667,$P$1),".",","),0)))</f>
        <v/>
      </c>
    </row>
    <row r="668">
      <c r="L668">
        <f>IF(A668="","",IF(ISNUMBER(--LEFT(A668,FIND(" - ",A668&amp;" - ")-1)),LEFT(A668,FIND(" - ",A668&amp;" - ")-1),TRIM(A668)))</f>
        <v/>
      </c>
      <c r="N668">
        <f>IF(L668="","",IF(ISNUMBER(INDEX(A668:H668,$P$1)),INDEX(A668:H668,$P$1),IFERROR(_xlfn.NUMBERVALUE(INDEX(A668:H668,$P$1),".",","),0)))</f>
        <v/>
      </c>
    </row>
    <row r="669">
      <c r="L669">
        <f>IF(A669="","",IF(ISNUMBER(--LEFT(A669,FIND(" - ",A669&amp;" - ")-1)),LEFT(A669,FIND(" - ",A669&amp;" - ")-1),TRIM(A669)))</f>
        <v/>
      </c>
      <c r="N669">
        <f>IF(L669="","",IF(ISNUMBER(INDEX(A669:H669,$P$1)),INDEX(A669:H669,$P$1),IFERROR(_xlfn.NUMBERVALUE(INDEX(A669:H669,$P$1),".",","),0)))</f>
        <v/>
      </c>
    </row>
    <row r="670">
      <c r="L670">
        <f>IF(A670="","",IF(ISNUMBER(--LEFT(A670,FIND(" - ",A670&amp;" - ")-1)),LEFT(A670,FIND(" - ",A670&amp;" - ")-1),TRIM(A670)))</f>
        <v/>
      </c>
      <c r="N670">
        <f>IF(L670="","",IF(ISNUMBER(INDEX(A670:H670,$P$1)),INDEX(A670:H670,$P$1),IFERROR(_xlfn.NUMBERVALUE(INDEX(A670:H670,$P$1),".",","),0)))</f>
        <v/>
      </c>
    </row>
    <row r="671">
      <c r="L671">
        <f>IF(A671="","",IF(ISNUMBER(--LEFT(A671,FIND(" - ",A671&amp;" - ")-1)),LEFT(A671,FIND(" - ",A671&amp;" - ")-1),TRIM(A671)))</f>
        <v/>
      </c>
      <c r="N671">
        <f>IF(L671="","",IF(ISNUMBER(INDEX(A671:H671,$P$1)),INDEX(A671:H671,$P$1),IFERROR(_xlfn.NUMBERVALUE(INDEX(A671:H671,$P$1),".",","),0)))</f>
        <v/>
      </c>
    </row>
    <row r="672">
      <c r="L672">
        <f>IF(A672="","",IF(ISNUMBER(--LEFT(A672,FIND(" - ",A672&amp;" - ")-1)),LEFT(A672,FIND(" - ",A672&amp;" - ")-1),TRIM(A672)))</f>
        <v/>
      </c>
      <c r="N672">
        <f>IF(L672="","",IF(ISNUMBER(INDEX(A672:H672,$P$1)),INDEX(A672:H672,$P$1),IFERROR(_xlfn.NUMBERVALUE(INDEX(A672:H672,$P$1),".",","),0)))</f>
        <v/>
      </c>
    </row>
    <row r="673">
      <c r="L673">
        <f>IF(A673="","",IF(ISNUMBER(--LEFT(A673,FIND(" - ",A673&amp;" - ")-1)),LEFT(A673,FIND(" - ",A673&amp;" - ")-1),TRIM(A673)))</f>
        <v/>
      </c>
      <c r="N673">
        <f>IF(L673="","",IF(ISNUMBER(INDEX(A673:H673,$P$1)),INDEX(A673:H673,$P$1),IFERROR(_xlfn.NUMBERVALUE(INDEX(A673:H673,$P$1),".",","),0)))</f>
        <v/>
      </c>
    </row>
    <row r="674">
      <c r="L674">
        <f>IF(A674="","",IF(ISNUMBER(--LEFT(A674,FIND(" - ",A674&amp;" - ")-1)),LEFT(A674,FIND(" - ",A674&amp;" - ")-1),TRIM(A674)))</f>
        <v/>
      </c>
      <c r="N674">
        <f>IF(L674="","",IF(ISNUMBER(INDEX(A674:H674,$P$1)),INDEX(A674:H674,$P$1),IFERROR(_xlfn.NUMBERVALUE(INDEX(A674:H674,$P$1),".",","),0)))</f>
        <v/>
      </c>
    </row>
    <row r="675">
      <c r="L675">
        <f>IF(A675="","",IF(ISNUMBER(--LEFT(A675,FIND(" - ",A675&amp;" - ")-1)),LEFT(A675,FIND(" - ",A675&amp;" - ")-1),TRIM(A675)))</f>
        <v/>
      </c>
      <c r="N675">
        <f>IF(L675="","",IF(ISNUMBER(INDEX(A675:H675,$P$1)),INDEX(A675:H675,$P$1),IFERROR(_xlfn.NUMBERVALUE(INDEX(A675:H675,$P$1),".",","),0)))</f>
        <v/>
      </c>
    </row>
    <row r="676">
      <c r="L676">
        <f>IF(A676="","",IF(ISNUMBER(--LEFT(A676,FIND(" - ",A676&amp;" - ")-1)),LEFT(A676,FIND(" - ",A676&amp;" - ")-1),TRIM(A676)))</f>
        <v/>
      </c>
      <c r="N676">
        <f>IF(L676="","",IF(ISNUMBER(INDEX(A676:H676,$P$1)),INDEX(A676:H676,$P$1),IFERROR(_xlfn.NUMBERVALUE(INDEX(A676:H676,$P$1),".",","),0)))</f>
        <v/>
      </c>
    </row>
    <row r="677">
      <c r="L677">
        <f>IF(A677="","",IF(ISNUMBER(--LEFT(A677,FIND(" - ",A677&amp;" - ")-1)),LEFT(A677,FIND(" - ",A677&amp;" - ")-1),TRIM(A677)))</f>
        <v/>
      </c>
      <c r="N677">
        <f>IF(L677="","",IF(ISNUMBER(INDEX(A677:H677,$P$1)),INDEX(A677:H677,$P$1),IFERROR(_xlfn.NUMBERVALUE(INDEX(A677:H677,$P$1),".",","),0)))</f>
        <v/>
      </c>
    </row>
    <row r="678">
      <c r="L678">
        <f>IF(A678="","",IF(ISNUMBER(--LEFT(A678,FIND(" - ",A678&amp;" - ")-1)),LEFT(A678,FIND(" - ",A678&amp;" - ")-1),TRIM(A678)))</f>
        <v/>
      </c>
      <c r="N678">
        <f>IF(L678="","",IF(ISNUMBER(INDEX(A678:H678,$P$1)),INDEX(A678:H678,$P$1),IFERROR(_xlfn.NUMBERVALUE(INDEX(A678:H678,$P$1),".",","),0)))</f>
        <v/>
      </c>
    </row>
    <row r="679">
      <c r="L679">
        <f>IF(A679="","",IF(ISNUMBER(--LEFT(A679,FIND(" - ",A679&amp;" - ")-1)),LEFT(A679,FIND(" - ",A679&amp;" - ")-1),TRIM(A679)))</f>
        <v/>
      </c>
      <c r="N679">
        <f>IF(L679="","",IF(ISNUMBER(INDEX(A679:H679,$P$1)),INDEX(A679:H679,$P$1),IFERROR(_xlfn.NUMBERVALUE(INDEX(A679:H679,$P$1),".",","),0)))</f>
        <v/>
      </c>
    </row>
    <row r="680">
      <c r="L680">
        <f>IF(A680="","",IF(ISNUMBER(--LEFT(A680,FIND(" - ",A680&amp;" - ")-1)),LEFT(A680,FIND(" - ",A680&amp;" - ")-1),TRIM(A680)))</f>
        <v/>
      </c>
      <c r="N680">
        <f>IF(L680="","",IF(ISNUMBER(INDEX(A680:H680,$P$1)),INDEX(A680:H680,$P$1),IFERROR(_xlfn.NUMBERVALUE(INDEX(A680:H680,$P$1),".",","),0)))</f>
        <v/>
      </c>
    </row>
    <row r="681">
      <c r="L681">
        <f>IF(A681="","",IF(ISNUMBER(--LEFT(A681,FIND(" - ",A681&amp;" - ")-1)),LEFT(A681,FIND(" - ",A681&amp;" - ")-1),TRIM(A681)))</f>
        <v/>
      </c>
      <c r="N681">
        <f>IF(L681="","",IF(ISNUMBER(INDEX(A681:H681,$P$1)),INDEX(A681:H681,$P$1),IFERROR(_xlfn.NUMBERVALUE(INDEX(A681:H681,$P$1),".",","),0)))</f>
        <v/>
      </c>
    </row>
    <row r="682">
      <c r="L682">
        <f>IF(A682="","",IF(ISNUMBER(--LEFT(A682,FIND(" - ",A682&amp;" - ")-1)),LEFT(A682,FIND(" - ",A682&amp;" - ")-1),TRIM(A682)))</f>
        <v/>
      </c>
      <c r="N682">
        <f>IF(L682="","",IF(ISNUMBER(INDEX(A682:H682,$P$1)),INDEX(A682:H682,$P$1),IFERROR(_xlfn.NUMBERVALUE(INDEX(A682:H682,$P$1),".",","),0)))</f>
        <v/>
      </c>
    </row>
    <row r="683">
      <c r="L683">
        <f>IF(A683="","",IF(ISNUMBER(--LEFT(A683,FIND(" - ",A683&amp;" - ")-1)),LEFT(A683,FIND(" - ",A683&amp;" - ")-1),TRIM(A683)))</f>
        <v/>
      </c>
      <c r="N683">
        <f>IF(L683="","",IF(ISNUMBER(INDEX(A683:H683,$P$1)),INDEX(A683:H683,$P$1),IFERROR(_xlfn.NUMBERVALUE(INDEX(A683:H683,$P$1),".",","),0)))</f>
        <v/>
      </c>
    </row>
    <row r="684">
      <c r="L684">
        <f>IF(A684="","",IF(ISNUMBER(--LEFT(A684,FIND(" - ",A684&amp;" - ")-1)),LEFT(A684,FIND(" - ",A684&amp;" - ")-1),TRIM(A684)))</f>
        <v/>
      </c>
      <c r="N684">
        <f>IF(L684="","",IF(ISNUMBER(INDEX(A684:H684,$P$1)),INDEX(A684:H684,$P$1),IFERROR(_xlfn.NUMBERVALUE(INDEX(A684:H684,$P$1),".",","),0)))</f>
        <v/>
      </c>
    </row>
    <row r="685">
      <c r="L685">
        <f>IF(A685="","",IF(ISNUMBER(--LEFT(A685,FIND(" - ",A685&amp;" - ")-1)),LEFT(A685,FIND(" - ",A685&amp;" - ")-1),TRIM(A685)))</f>
        <v/>
      </c>
      <c r="N685">
        <f>IF(L685="","",IF(ISNUMBER(INDEX(A685:H685,$P$1)),INDEX(A685:H685,$P$1),IFERROR(_xlfn.NUMBERVALUE(INDEX(A685:H685,$P$1),".",","),0)))</f>
        <v/>
      </c>
    </row>
    <row r="686">
      <c r="L686">
        <f>IF(A686="","",IF(ISNUMBER(--LEFT(A686,FIND(" - ",A686&amp;" - ")-1)),LEFT(A686,FIND(" - ",A686&amp;" - ")-1),TRIM(A686)))</f>
        <v/>
      </c>
      <c r="N686">
        <f>IF(L686="","",IF(ISNUMBER(INDEX(A686:H686,$P$1)),INDEX(A686:H686,$P$1),IFERROR(_xlfn.NUMBERVALUE(INDEX(A686:H686,$P$1),".",","),0)))</f>
        <v/>
      </c>
    </row>
    <row r="687">
      <c r="L687">
        <f>IF(A687="","",IF(ISNUMBER(--LEFT(A687,FIND(" - ",A687&amp;" - ")-1)),LEFT(A687,FIND(" - ",A687&amp;" - ")-1),TRIM(A687)))</f>
        <v/>
      </c>
      <c r="N687">
        <f>IF(L687="","",IF(ISNUMBER(INDEX(A687:H687,$P$1)),INDEX(A687:H687,$P$1),IFERROR(_xlfn.NUMBERVALUE(INDEX(A687:H687,$P$1),".",","),0)))</f>
        <v/>
      </c>
    </row>
    <row r="688">
      <c r="L688">
        <f>IF(A688="","",IF(ISNUMBER(--LEFT(A688,FIND(" - ",A688&amp;" - ")-1)),LEFT(A688,FIND(" - ",A688&amp;" - ")-1),TRIM(A688)))</f>
        <v/>
      </c>
      <c r="N688">
        <f>IF(L688="","",IF(ISNUMBER(INDEX(A688:H688,$P$1)),INDEX(A688:H688,$P$1),IFERROR(_xlfn.NUMBERVALUE(INDEX(A688:H688,$P$1),".",","),0)))</f>
        <v/>
      </c>
    </row>
    <row r="689">
      <c r="L689">
        <f>IF(A689="","",IF(ISNUMBER(--LEFT(A689,FIND(" - ",A689&amp;" - ")-1)),LEFT(A689,FIND(" - ",A689&amp;" - ")-1),TRIM(A689)))</f>
        <v/>
      </c>
      <c r="N689">
        <f>IF(L689="","",IF(ISNUMBER(INDEX(A689:H689,$P$1)),INDEX(A689:H689,$P$1),IFERROR(_xlfn.NUMBERVALUE(INDEX(A689:H689,$P$1),".",","),0)))</f>
        <v/>
      </c>
    </row>
    <row r="690">
      <c r="L690">
        <f>IF(A690="","",IF(ISNUMBER(--LEFT(A690,FIND(" - ",A690&amp;" - ")-1)),LEFT(A690,FIND(" - ",A690&amp;" - ")-1),TRIM(A690)))</f>
        <v/>
      </c>
      <c r="N690">
        <f>IF(L690="","",IF(ISNUMBER(INDEX(A690:H690,$P$1)),INDEX(A690:H690,$P$1),IFERROR(_xlfn.NUMBERVALUE(INDEX(A690:H690,$P$1),".",","),0)))</f>
        <v/>
      </c>
    </row>
    <row r="691">
      <c r="L691">
        <f>IF(A691="","",IF(ISNUMBER(--LEFT(A691,FIND(" - ",A691&amp;" - ")-1)),LEFT(A691,FIND(" - ",A691&amp;" - ")-1),TRIM(A691)))</f>
        <v/>
      </c>
      <c r="N691">
        <f>IF(L691="","",IF(ISNUMBER(INDEX(A691:H691,$P$1)),INDEX(A691:H691,$P$1),IFERROR(_xlfn.NUMBERVALUE(INDEX(A691:H691,$P$1),".",","),0)))</f>
        <v/>
      </c>
    </row>
    <row r="692">
      <c r="L692">
        <f>IF(A692="","",IF(ISNUMBER(--LEFT(A692,FIND(" - ",A692&amp;" - ")-1)),LEFT(A692,FIND(" - ",A692&amp;" - ")-1),TRIM(A692)))</f>
        <v/>
      </c>
      <c r="N692">
        <f>IF(L692="","",IF(ISNUMBER(INDEX(A692:H692,$P$1)),INDEX(A692:H692,$P$1),IFERROR(_xlfn.NUMBERVALUE(INDEX(A692:H692,$P$1),".",","),0)))</f>
        <v/>
      </c>
    </row>
    <row r="693">
      <c r="L693">
        <f>IF(A693="","",IF(ISNUMBER(--LEFT(A693,FIND(" - ",A693&amp;" - ")-1)),LEFT(A693,FIND(" - ",A693&amp;" - ")-1),TRIM(A693)))</f>
        <v/>
      </c>
      <c r="N693">
        <f>IF(L693="","",IF(ISNUMBER(INDEX(A693:H693,$P$1)),INDEX(A693:H693,$P$1),IFERROR(_xlfn.NUMBERVALUE(INDEX(A693:H693,$P$1),".",","),0)))</f>
        <v/>
      </c>
    </row>
    <row r="694">
      <c r="L694">
        <f>IF(A694="","",IF(ISNUMBER(--LEFT(A694,FIND(" - ",A694&amp;" - ")-1)),LEFT(A694,FIND(" - ",A694&amp;" - ")-1),TRIM(A694)))</f>
        <v/>
      </c>
      <c r="N694">
        <f>IF(L694="","",IF(ISNUMBER(INDEX(A694:H694,$P$1)),INDEX(A694:H694,$P$1),IFERROR(_xlfn.NUMBERVALUE(INDEX(A694:H694,$P$1),".",","),0)))</f>
        <v/>
      </c>
    </row>
    <row r="695">
      <c r="L695">
        <f>IF(A695="","",IF(ISNUMBER(--LEFT(A695,FIND(" - ",A695&amp;" - ")-1)),LEFT(A695,FIND(" - ",A695&amp;" - ")-1),TRIM(A695)))</f>
        <v/>
      </c>
      <c r="N695">
        <f>IF(L695="","",IF(ISNUMBER(INDEX(A695:H695,$P$1)),INDEX(A695:H695,$P$1),IFERROR(_xlfn.NUMBERVALUE(INDEX(A695:H695,$P$1),".",","),0)))</f>
        <v/>
      </c>
    </row>
    <row r="696">
      <c r="L696">
        <f>IF(A696="","",IF(ISNUMBER(--LEFT(A696,FIND(" - ",A696&amp;" - ")-1)),LEFT(A696,FIND(" - ",A696&amp;" - ")-1),TRIM(A696)))</f>
        <v/>
      </c>
      <c r="N696">
        <f>IF(L696="","",IF(ISNUMBER(INDEX(A696:H696,$P$1)),INDEX(A696:H696,$P$1),IFERROR(_xlfn.NUMBERVALUE(INDEX(A696:H696,$P$1),".",","),0)))</f>
        <v/>
      </c>
    </row>
    <row r="697">
      <c r="L697">
        <f>IF(A697="","",IF(ISNUMBER(--LEFT(A697,FIND(" - ",A697&amp;" - ")-1)),LEFT(A697,FIND(" - ",A697&amp;" - ")-1),TRIM(A697)))</f>
        <v/>
      </c>
      <c r="N697">
        <f>IF(L697="","",IF(ISNUMBER(INDEX(A697:H697,$P$1)),INDEX(A697:H697,$P$1),IFERROR(_xlfn.NUMBERVALUE(INDEX(A697:H697,$P$1),".",","),0)))</f>
        <v/>
      </c>
    </row>
    <row r="698">
      <c r="L698">
        <f>IF(A698="","",IF(ISNUMBER(--LEFT(A698,FIND(" - ",A698&amp;" - ")-1)),LEFT(A698,FIND(" - ",A698&amp;" - ")-1),TRIM(A698)))</f>
        <v/>
      </c>
      <c r="N698">
        <f>IF(L698="","",IF(ISNUMBER(INDEX(A698:H698,$P$1)),INDEX(A698:H698,$P$1),IFERROR(_xlfn.NUMBERVALUE(INDEX(A698:H698,$P$1),".",","),0)))</f>
        <v/>
      </c>
    </row>
    <row r="699">
      <c r="L699">
        <f>IF(A699="","",IF(ISNUMBER(--LEFT(A699,FIND(" - ",A699&amp;" - ")-1)),LEFT(A699,FIND(" - ",A699&amp;" - ")-1),TRIM(A699)))</f>
        <v/>
      </c>
      <c r="N699">
        <f>IF(L699="","",IF(ISNUMBER(INDEX(A699:H699,$P$1)),INDEX(A699:H699,$P$1),IFERROR(_xlfn.NUMBERVALUE(INDEX(A699:H699,$P$1),".",","),0)))</f>
        <v/>
      </c>
    </row>
    <row r="700">
      <c r="L700">
        <f>IF(A700="","",IF(ISNUMBER(--LEFT(A700,FIND(" - ",A700&amp;" - ")-1)),LEFT(A700,FIND(" - ",A700&amp;" - ")-1),TRIM(A700)))</f>
        <v/>
      </c>
      <c r="N700">
        <f>IF(L700="","",IF(ISNUMBER(INDEX(A700:H700,$P$1)),INDEX(A700:H700,$P$1),IFERROR(_xlfn.NUMBERVALUE(INDEX(A700:H700,$P$1),".",","),0)))</f>
        <v/>
      </c>
    </row>
    <row r="701">
      <c r="L701">
        <f>IF(A701="","",IF(ISNUMBER(--LEFT(A701,FIND(" - ",A701&amp;" - ")-1)),LEFT(A701,FIND(" - ",A701&amp;" - ")-1),TRIM(A701)))</f>
        <v/>
      </c>
      <c r="N701">
        <f>IF(L701="","",IF(ISNUMBER(INDEX(A701:H701,$P$1)),INDEX(A701:H701,$P$1),IFERROR(_xlfn.NUMBERVALUE(INDEX(A701:H701,$P$1),".",","),0)))</f>
        <v/>
      </c>
    </row>
    <row r="702">
      <c r="L702">
        <f>IF(A702="","",IF(ISNUMBER(--LEFT(A702,FIND(" - ",A702&amp;" - ")-1)),LEFT(A702,FIND(" - ",A702&amp;" - ")-1),TRIM(A702)))</f>
        <v/>
      </c>
      <c r="N702">
        <f>IF(L702="","",IF(ISNUMBER(INDEX(A702:H702,$P$1)),INDEX(A702:H702,$P$1),IFERROR(_xlfn.NUMBERVALUE(INDEX(A702:H702,$P$1),".",","),0)))</f>
        <v/>
      </c>
    </row>
    <row r="703">
      <c r="L703">
        <f>IF(A703="","",IF(ISNUMBER(--LEFT(A703,FIND(" - ",A703&amp;" - ")-1)),LEFT(A703,FIND(" - ",A703&amp;" - ")-1),TRIM(A703)))</f>
        <v/>
      </c>
      <c r="N703">
        <f>IF(L703="","",IF(ISNUMBER(INDEX(A703:H703,$P$1)),INDEX(A703:H703,$P$1),IFERROR(_xlfn.NUMBERVALUE(INDEX(A703:H703,$P$1),".",","),0)))</f>
        <v/>
      </c>
    </row>
    <row r="704">
      <c r="L704">
        <f>IF(A704="","",IF(ISNUMBER(--LEFT(A704,FIND(" - ",A704&amp;" - ")-1)),LEFT(A704,FIND(" - ",A704&amp;" - ")-1),TRIM(A704)))</f>
        <v/>
      </c>
      <c r="N704">
        <f>IF(L704="","",IF(ISNUMBER(INDEX(A704:H704,$P$1)),INDEX(A704:H704,$P$1),IFERROR(_xlfn.NUMBERVALUE(INDEX(A704:H704,$P$1),".",","),0)))</f>
        <v/>
      </c>
    </row>
    <row r="705">
      <c r="L705">
        <f>IF(A705="","",IF(ISNUMBER(--LEFT(A705,FIND(" - ",A705&amp;" - ")-1)),LEFT(A705,FIND(" - ",A705&amp;" - ")-1),TRIM(A705)))</f>
        <v/>
      </c>
      <c r="N705">
        <f>IF(L705="","",IF(ISNUMBER(INDEX(A705:H705,$P$1)),INDEX(A705:H705,$P$1),IFERROR(_xlfn.NUMBERVALUE(INDEX(A705:H705,$P$1),".",","),0)))</f>
        <v/>
      </c>
    </row>
    <row r="706">
      <c r="L706">
        <f>IF(A706="","",IF(ISNUMBER(--LEFT(A706,FIND(" - ",A706&amp;" - ")-1)),LEFT(A706,FIND(" - ",A706&amp;" - ")-1),TRIM(A706)))</f>
        <v/>
      </c>
      <c r="N706">
        <f>IF(L706="","",IF(ISNUMBER(INDEX(A706:H706,$P$1)),INDEX(A706:H706,$P$1),IFERROR(_xlfn.NUMBERVALUE(INDEX(A706:H706,$P$1),".",","),0)))</f>
        <v/>
      </c>
    </row>
    <row r="707">
      <c r="L707">
        <f>IF(A707="","",IF(ISNUMBER(--LEFT(A707,FIND(" - ",A707&amp;" - ")-1)),LEFT(A707,FIND(" - ",A707&amp;" - ")-1),TRIM(A707)))</f>
        <v/>
      </c>
      <c r="N707">
        <f>IF(L707="","",IF(ISNUMBER(INDEX(A707:H707,$P$1)),INDEX(A707:H707,$P$1),IFERROR(_xlfn.NUMBERVALUE(INDEX(A707:H707,$P$1),".",","),0)))</f>
        <v/>
      </c>
    </row>
    <row r="708">
      <c r="L708">
        <f>IF(A708="","",IF(ISNUMBER(--LEFT(A708,FIND(" - ",A708&amp;" - ")-1)),LEFT(A708,FIND(" - ",A708&amp;" - ")-1),TRIM(A708)))</f>
        <v/>
      </c>
      <c r="N708">
        <f>IF(L708="","",IF(ISNUMBER(INDEX(A708:H708,$P$1)),INDEX(A708:H708,$P$1),IFERROR(_xlfn.NUMBERVALUE(INDEX(A708:H708,$P$1),".",","),0)))</f>
        <v/>
      </c>
    </row>
    <row r="709">
      <c r="L709">
        <f>IF(A709="","",IF(ISNUMBER(--LEFT(A709,FIND(" - ",A709&amp;" - ")-1)),LEFT(A709,FIND(" - ",A709&amp;" - ")-1),TRIM(A709)))</f>
        <v/>
      </c>
      <c r="N709">
        <f>IF(L709="","",IF(ISNUMBER(INDEX(A709:H709,$P$1)),INDEX(A709:H709,$P$1),IFERROR(_xlfn.NUMBERVALUE(INDEX(A709:H709,$P$1),".",","),0)))</f>
        <v/>
      </c>
    </row>
    <row r="710">
      <c r="L710">
        <f>IF(A710="","",IF(ISNUMBER(--LEFT(A710,FIND(" - ",A710&amp;" - ")-1)),LEFT(A710,FIND(" - ",A710&amp;" - ")-1),TRIM(A710)))</f>
        <v/>
      </c>
      <c r="N710">
        <f>IF(L710="","",IF(ISNUMBER(INDEX(A710:H710,$P$1)),INDEX(A710:H710,$P$1),IFERROR(_xlfn.NUMBERVALUE(INDEX(A710:H710,$P$1),".",","),0)))</f>
        <v/>
      </c>
    </row>
    <row r="711">
      <c r="L711">
        <f>IF(A711="","",IF(ISNUMBER(--LEFT(A711,FIND(" - ",A711&amp;" - ")-1)),LEFT(A711,FIND(" - ",A711&amp;" - ")-1),TRIM(A711)))</f>
        <v/>
      </c>
      <c r="N711">
        <f>IF(L711="","",IF(ISNUMBER(INDEX(A711:H711,$P$1)),INDEX(A711:H711,$P$1),IFERROR(_xlfn.NUMBERVALUE(INDEX(A711:H711,$P$1),".",","),0)))</f>
        <v/>
      </c>
    </row>
    <row r="712">
      <c r="L712">
        <f>IF(A712="","",IF(ISNUMBER(--LEFT(A712,FIND(" - ",A712&amp;" - ")-1)),LEFT(A712,FIND(" - ",A712&amp;" - ")-1),TRIM(A712)))</f>
        <v/>
      </c>
      <c r="N712">
        <f>IF(L712="","",IF(ISNUMBER(INDEX(A712:H712,$P$1)),INDEX(A712:H712,$P$1),IFERROR(_xlfn.NUMBERVALUE(INDEX(A712:H712,$P$1),".",","),0)))</f>
        <v/>
      </c>
    </row>
    <row r="713">
      <c r="L713">
        <f>IF(A713="","",IF(ISNUMBER(--LEFT(A713,FIND(" - ",A713&amp;" - ")-1)),LEFT(A713,FIND(" - ",A713&amp;" - ")-1),TRIM(A713)))</f>
        <v/>
      </c>
      <c r="N713">
        <f>IF(L713="","",IF(ISNUMBER(INDEX(A713:H713,$P$1)),INDEX(A713:H713,$P$1),IFERROR(_xlfn.NUMBERVALUE(INDEX(A713:H713,$P$1),".",","),0)))</f>
        <v/>
      </c>
    </row>
    <row r="714">
      <c r="L714">
        <f>IF(A714="","",IF(ISNUMBER(--LEFT(A714,FIND(" - ",A714&amp;" - ")-1)),LEFT(A714,FIND(" - ",A714&amp;" - ")-1),TRIM(A714)))</f>
        <v/>
      </c>
      <c r="N714">
        <f>IF(L714="","",IF(ISNUMBER(INDEX(A714:H714,$P$1)),INDEX(A714:H714,$P$1),IFERROR(_xlfn.NUMBERVALUE(INDEX(A714:H714,$P$1),".",","),0)))</f>
        <v/>
      </c>
    </row>
    <row r="715">
      <c r="L715">
        <f>IF(A715="","",IF(ISNUMBER(--LEFT(A715,FIND(" - ",A715&amp;" - ")-1)),LEFT(A715,FIND(" - ",A715&amp;" - ")-1),TRIM(A715)))</f>
        <v/>
      </c>
      <c r="N715">
        <f>IF(L715="","",IF(ISNUMBER(INDEX(A715:H715,$P$1)),INDEX(A715:H715,$P$1),IFERROR(_xlfn.NUMBERVALUE(INDEX(A715:H715,$P$1),".",","),0)))</f>
        <v/>
      </c>
    </row>
    <row r="716">
      <c r="L716">
        <f>IF(A716="","",IF(ISNUMBER(--LEFT(A716,FIND(" - ",A716&amp;" - ")-1)),LEFT(A716,FIND(" - ",A716&amp;" - ")-1),TRIM(A716)))</f>
        <v/>
      </c>
      <c r="N716">
        <f>IF(L716="","",IF(ISNUMBER(INDEX(A716:H716,$P$1)),INDEX(A716:H716,$P$1),IFERROR(_xlfn.NUMBERVALUE(INDEX(A716:H716,$P$1),".",","),0)))</f>
        <v/>
      </c>
    </row>
    <row r="717">
      <c r="L717">
        <f>IF(A717="","",IF(ISNUMBER(--LEFT(A717,FIND(" - ",A717&amp;" - ")-1)),LEFT(A717,FIND(" - ",A717&amp;" - ")-1),TRIM(A717)))</f>
        <v/>
      </c>
      <c r="N717">
        <f>IF(L717="","",IF(ISNUMBER(INDEX(A717:H717,$P$1)),INDEX(A717:H717,$P$1),IFERROR(_xlfn.NUMBERVALUE(INDEX(A717:H717,$P$1),".",","),0)))</f>
        <v/>
      </c>
    </row>
    <row r="718">
      <c r="L718">
        <f>IF(A718="","",IF(ISNUMBER(--LEFT(A718,FIND(" - ",A718&amp;" - ")-1)),LEFT(A718,FIND(" - ",A718&amp;" - ")-1),TRIM(A718)))</f>
        <v/>
      </c>
      <c r="N718">
        <f>IF(L718="","",IF(ISNUMBER(INDEX(A718:H718,$P$1)),INDEX(A718:H718,$P$1),IFERROR(_xlfn.NUMBERVALUE(INDEX(A718:H718,$P$1),".",","),0)))</f>
        <v/>
      </c>
    </row>
    <row r="719">
      <c r="L719">
        <f>IF(A719="","",IF(ISNUMBER(--LEFT(A719,FIND(" - ",A719&amp;" - ")-1)),LEFT(A719,FIND(" - ",A719&amp;" - ")-1),TRIM(A719)))</f>
        <v/>
      </c>
      <c r="N719">
        <f>IF(L719="","",IF(ISNUMBER(INDEX(A719:H719,$P$1)),INDEX(A719:H719,$P$1),IFERROR(_xlfn.NUMBERVALUE(INDEX(A719:H719,$P$1),".",","),0)))</f>
        <v/>
      </c>
    </row>
    <row r="720">
      <c r="L720">
        <f>IF(A720="","",IF(ISNUMBER(--LEFT(A720,FIND(" - ",A720&amp;" - ")-1)),LEFT(A720,FIND(" - ",A720&amp;" - ")-1),TRIM(A720)))</f>
        <v/>
      </c>
      <c r="N720">
        <f>IF(L720="","",IF(ISNUMBER(INDEX(A720:H720,$P$1)),INDEX(A720:H720,$P$1),IFERROR(_xlfn.NUMBERVALUE(INDEX(A720:H720,$P$1),".",","),0)))</f>
        <v/>
      </c>
    </row>
    <row r="721">
      <c r="L721">
        <f>IF(A721="","",IF(ISNUMBER(--LEFT(A721,FIND(" - ",A721&amp;" - ")-1)),LEFT(A721,FIND(" - ",A721&amp;" - ")-1),TRIM(A721)))</f>
        <v/>
      </c>
      <c r="N721">
        <f>IF(L721="","",IF(ISNUMBER(INDEX(A721:H721,$P$1)),INDEX(A721:H721,$P$1),IFERROR(_xlfn.NUMBERVALUE(INDEX(A721:H721,$P$1),".",","),0)))</f>
        <v/>
      </c>
    </row>
    <row r="722">
      <c r="L722">
        <f>IF(A722="","",IF(ISNUMBER(--LEFT(A722,FIND(" - ",A722&amp;" - ")-1)),LEFT(A722,FIND(" - ",A722&amp;" - ")-1),TRIM(A722)))</f>
        <v/>
      </c>
      <c r="N722">
        <f>IF(L722="","",IF(ISNUMBER(INDEX(A722:H722,$P$1)),INDEX(A722:H722,$P$1),IFERROR(_xlfn.NUMBERVALUE(INDEX(A722:H722,$P$1),".",","),0)))</f>
        <v/>
      </c>
    </row>
    <row r="723">
      <c r="L723">
        <f>IF(A723="","",IF(ISNUMBER(--LEFT(A723,FIND(" - ",A723&amp;" - ")-1)),LEFT(A723,FIND(" - ",A723&amp;" - ")-1),TRIM(A723)))</f>
        <v/>
      </c>
      <c r="N723">
        <f>IF(L723="","",IF(ISNUMBER(INDEX(A723:H723,$P$1)),INDEX(A723:H723,$P$1),IFERROR(_xlfn.NUMBERVALUE(INDEX(A723:H723,$P$1),".",","),0)))</f>
        <v/>
      </c>
    </row>
    <row r="724">
      <c r="L724">
        <f>IF(A724="","",IF(ISNUMBER(--LEFT(A724,FIND(" - ",A724&amp;" - ")-1)),LEFT(A724,FIND(" - ",A724&amp;" - ")-1),TRIM(A724)))</f>
        <v/>
      </c>
      <c r="N724">
        <f>IF(L724="","",IF(ISNUMBER(INDEX(A724:H724,$P$1)),INDEX(A724:H724,$P$1),IFERROR(_xlfn.NUMBERVALUE(INDEX(A724:H724,$P$1),".",","),0)))</f>
        <v/>
      </c>
    </row>
    <row r="725">
      <c r="L725">
        <f>IF(A725="","",IF(ISNUMBER(--LEFT(A725,FIND(" - ",A725&amp;" - ")-1)),LEFT(A725,FIND(" - ",A725&amp;" - ")-1),TRIM(A725)))</f>
        <v/>
      </c>
      <c r="N725">
        <f>IF(L725="","",IF(ISNUMBER(INDEX(A725:H725,$P$1)),INDEX(A725:H725,$P$1),IFERROR(_xlfn.NUMBERVALUE(INDEX(A725:H725,$P$1),".",","),0)))</f>
        <v/>
      </c>
    </row>
    <row r="726">
      <c r="L726">
        <f>IF(A726="","",IF(ISNUMBER(--LEFT(A726,FIND(" - ",A726&amp;" - ")-1)),LEFT(A726,FIND(" - ",A726&amp;" - ")-1),TRIM(A726)))</f>
        <v/>
      </c>
      <c r="N726">
        <f>IF(L726="","",IF(ISNUMBER(INDEX(A726:H726,$P$1)),INDEX(A726:H726,$P$1),IFERROR(_xlfn.NUMBERVALUE(INDEX(A726:H726,$P$1),".",","),0)))</f>
        <v/>
      </c>
    </row>
    <row r="727">
      <c r="L727">
        <f>IF(A727="","",IF(ISNUMBER(--LEFT(A727,FIND(" - ",A727&amp;" - ")-1)),LEFT(A727,FIND(" - ",A727&amp;" - ")-1),TRIM(A727)))</f>
        <v/>
      </c>
      <c r="N727">
        <f>IF(L727="","",IF(ISNUMBER(INDEX(A727:H727,$P$1)),INDEX(A727:H727,$P$1),IFERROR(_xlfn.NUMBERVALUE(INDEX(A727:H727,$P$1),".",","),0)))</f>
        <v/>
      </c>
    </row>
    <row r="728">
      <c r="L728">
        <f>IF(A728="","",IF(ISNUMBER(--LEFT(A728,FIND(" - ",A728&amp;" - ")-1)),LEFT(A728,FIND(" - ",A728&amp;" - ")-1),TRIM(A728)))</f>
        <v/>
      </c>
      <c r="N728">
        <f>IF(L728="","",IF(ISNUMBER(INDEX(A728:H728,$P$1)),INDEX(A728:H728,$P$1),IFERROR(_xlfn.NUMBERVALUE(INDEX(A728:H728,$P$1),".",","),0)))</f>
        <v/>
      </c>
    </row>
    <row r="729">
      <c r="L729">
        <f>IF(A729="","",IF(ISNUMBER(--LEFT(A729,FIND(" - ",A729&amp;" - ")-1)),LEFT(A729,FIND(" - ",A729&amp;" - ")-1),TRIM(A729)))</f>
        <v/>
      </c>
      <c r="N729">
        <f>IF(L729="","",IF(ISNUMBER(INDEX(A729:H729,$P$1)),INDEX(A729:H729,$P$1),IFERROR(_xlfn.NUMBERVALUE(INDEX(A729:H729,$P$1),".",","),0)))</f>
        <v/>
      </c>
    </row>
    <row r="730">
      <c r="L730">
        <f>IF(A730="","",IF(ISNUMBER(--LEFT(A730,FIND(" - ",A730&amp;" - ")-1)),LEFT(A730,FIND(" - ",A730&amp;" - ")-1),TRIM(A730)))</f>
        <v/>
      </c>
      <c r="N730">
        <f>IF(L730="","",IF(ISNUMBER(INDEX(A730:H730,$P$1)),INDEX(A730:H730,$P$1),IFERROR(_xlfn.NUMBERVALUE(INDEX(A730:H730,$P$1),".",","),0)))</f>
        <v/>
      </c>
    </row>
    <row r="731">
      <c r="L731">
        <f>IF(A731="","",IF(ISNUMBER(--LEFT(A731,FIND(" - ",A731&amp;" - ")-1)),LEFT(A731,FIND(" - ",A731&amp;" - ")-1),TRIM(A731)))</f>
        <v/>
      </c>
      <c r="N731">
        <f>IF(L731="","",IF(ISNUMBER(INDEX(A731:H731,$P$1)),INDEX(A731:H731,$P$1),IFERROR(_xlfn.NUMBERVALUE(INDEX(A731:H731,$P$1),".",","),0)))</f>
        <v/>
      </c>
    </row>
    <row r="732">
      <c r="L732">
        <f>IF(A732="","",IF(ISNUMBER(--LEFT(A732,FIND(" - ",A732&amp;" - ")-1)),LEFT(A732,FIND(" - ",A732&amp;" - ")-1),TRIM(A732)))</f>
        <v/>
      </c>
      <c r="N732">
        <f>IF(L732="","",IF(ISNUMBER(INDEX(A732:H732,$P$1)),INDEX(A732:H732,$P$1),IFERROR(_xlfn.NUMBERVALUE(INDEX(A732:H732,$P$1),".",","),0)))</f>
        <v/>
      </c>
    </row>
    <row r="733">
      <c r="L733">
        <f>IF(A733="","",IF(ISNUMBER(--LEFT(A733,FIND(" - ",A733&amp;" - ")-1)),LEFT(A733,FIND(" - ",A733&amp;" - ")-1),TRIM(A733)))</f>
        <v/>
      </c>
      <c r="N733">
        <f>IF(L733="","",IF(ISNUMBER(INDEX(A733:H733,$P$1)),INDEX(A733:H733,$P$1),IFERROR(_xlfn.NUMBERVALUE(INDEX(A733:H733,$P$1),".",","),0)))</f>
        <v/>
      </c>
    </row>
    <row r="734">
      <c r="L734">
        <f>IF(A734="","",IF(ISNUMBER(--LEFT(A734,FIND(" - ",A734&amp;" - ")-1)),LEFT(A734,FIND(" - ",A734&amp;" - ")-1),TRIM(A734)))</f>
        <v/>
      </c>
      <c r="N734">
        <f>IF(L734="","",IF(ISNUMBER(INDEX(A734:H734,$P$1)),INDEX(A734:H734,$P$1),IFERROR(_xlfn.NUMBERVALUE(INDEX(A734:H734,$P$1),".",","),0)))</f>
        <v/>
      </c>
    </row>
    <row r="735">
      <c r="L735">
        <f>IF(A735="","",IF(ISNUMBER(--LEFT(A735,FIND(" - ",A735&amp;" - ")-1)),LEFT(A735,FIND(" - ",A735&amp;" - ")-1),TRIM(A735)))</f>
        <v/>
      </c>
      <c r="N735">
        <f>IF(L735="","",IF(ISNUMBER(INDEX(A735:H735,$P$1)),INDEX(A735:H735,$P$1),IFERROR(_xlfn.NUMBERVALUE(INDEX(A735:H735,$P$1),".",","),0)))</f>
        <v/>
      </c>
    </row>
    <row r="736">
      <c r="L736">
        <f>IF(A736="","",IF(ISNUMBER(--LEFT(A736,FIND(" - ",A736&amp;" - ")-1)),LEFT(A736,FIND(" - ",A736&amp;" - ")-1),TRIM(A736)))</f>
        <v/>
      </c>
      <c r="N736">
        <f>IF(L736="","",IF(ISNUMBER(INDEX(A736:H736,$P$1)),INDEX(A736:H736,$P$1),IFERROR(_xlfn.NUMBERVALUE(INDEX(A736:H736,$P$1),".",","),0)))</f>
        <v/>
      </c>
    </row>
    <row r="737">
      <c r="L737">
        <f>IF(A737="","",IF(ISNUMBER(--LEFT(A737,FIND(" - ",A737&amp;" - ")-1)),LEFT(A737,FIND(" - ",A737&amp;" - ")-1),TRIM(A737)))</f>
        <v/>
      </c>
      <c r="N737">
        <f>IF(L737="","",IF(ISNUMBER(INDEX(A737:H737,$P$1)),INDEX(A737:H737,$P$1),IFERROR(_xlfn.NUMBERVALUE(INDEX(A737:H737,$P$1),".",","),0)))</f>
        <v/>
      </c>
    </row>
    <row r="738">
      <c r="L738">
        <f>IF(A738="","",IF(ISNUMBER(--LEFT(A738,FIND(" - ",A738&amp;" - ")-1)),LEFT(A738,FIND(" - ",A738&amp;" - ")-1),TRIM(A738)))</f>
        <v/>
      </c>
      <c r="N738">
        <f>IF(L738="","",IF(ISNUMBER(INDEX(A738:H738,$P$1)),INDEX(A738:H738,$P$1),IFERROR(_xlfn.NUMBERVALUE(INDEX(A738:H738,$P$1),".",","),0)))</f>
        <v/>
      </c>
    </row>
    <row r="739">
      <c r="L739">
        <f>IF(A739="","",IF(ISNUMBER(--LEFT(A739,FIND(" - ",A739&amp;" - ")-1)),LEFT(A739,FIND(" - ",A739&amp;" - ")-1),TRIM(A739)))</f>
        <v/>
      </c>
      <c r="N739">
        <f>IF(L739="","",IF(ISNUMBER(INDEX(A739:H739,$P$1)),INDEX(A739:H739,$P$1),IFERROR(_xlfn.NUMBERVALUE(INDEX(A739:H739,$P$1),".",","),0)))</f>
        <v/>
      </c>
    </row>
    <row r="740">
      <c r="L740">
        <f>IF(A740="","",IF(ISNUMBER(--LEFT(A740,FIND(" - ",A740&amp;" - ")-1)),LEFT(A740,FIND(" - ",A740&amp;" - ")-1),TRIM(A740)))</f>
        <v/>
      </c>
      <c r="N740">
        <f>IF(L740="","",IF(ISNUMBER(INDEX(A740:H740,$P$1)),INDEX(A740:H740,$P$1),IFERROR(_xlfn.NUMBERVALUE(INDEX(A740:H740,$P$1),".",","),0)))</f>
        <v/>
      </c>
    </row>
    <row r="741">
      <c r="L741">
        <f>IF(A741="","",IF(ISNUMBER(--LEFT(A741,FIND(" - ",A741&amp;" - ")-1)),LEFT(A741,FIND(" - ",A741&amp;" - ")-1),TRIM(A741)))</f>
        <v/>
      </c>
      <c r="N741">
        <f>IF(L741="","",IF(ISNUMBER(INDEX(A741:H741,$P$1)),INDEX(A741:H741,$P$1),IFERROR(_xlfn.NUMBERVALUE(INDEX(A741:H741,$P$1),".",","),0)))</f>
        <v/>
      </c>
    </row>
    <row r="742">
      <c r="L742">
        <f>IF(A742="","",IF(ISNUMBER(--LEFT(A742,FIND(" - ",A742&amp;" - ")-1)),LEFT(A742,FIND(" - ",A742&amp;" - ")-1),TRIM(A742)))</f>
        <v/>
      </c>
      <c r="N742">
        <f>IF(L742="","",IF(ISNUMBER(INDEX(A742:H742,$P$1)),INDEX(A742:H742,$P$1),IFERROR(_xlfn.NUMBERVALUE(INDEX(A742:H742,$P$1),".",","),0)))</f>
        <v/>
      </c>
    </row>
    <row r="743">
      <c r="L743">
        <f>IF(A743="","",IF(ISNUMBER(--LEFT(A743,FIND(" - ",A743&amp;" - ")-1)),LEFT(A743,FIND(" - ",A743&amp;" - ")-1),TRIM(A743)))</f>
        <v/>
      </c>
      <c r="N743">
        <f>IF(L743="","",IF(ISNUMBER(INDEX(A743:H743,$P$1)),INDEX(A743:H743,$P$1),IFERROR(_xlfn.NUMBERVALUE(INDEX(A743:H743,$P$1),".",","),0)))</f>
        <v/>
      </c>
    </row>
    <row r="744">
      <c r="L744">
        <f>IF(A744="","",IF(ISNUMBER(--LEFT(A744,FIND(" - ",A744&amp;" - ")-1)),LEFT(A744,FIND(" - ",A744&amp;" - ")-1),TRIM(A744)))</f>
        <v/>
      </c>
      <c r="N744">
        <f>IF(L744="","",IF(ISNUMBER(INDEX(A744:H744,$P$1)),INDEX(A744:H744,$P$1),IFERROR(_xlfn.NUMBERVALUE(INDEX(A744:H744,$P$1),".",","),0)))</f>
        <v/>
      </c>
    </row>
    <row r="745">
      <c r="L745">
        <f>IF(A745="","",IF(ISNUMBER(--LEFT(A745,FIND(" - ",A745&amp;" - ")-1)),LEFT(A745,FIND(" - ",A745&amp;" - ")-1),TRIM(A745)))</f>
        <v/>
      </c>
      <c r="N745">
        <f>IF(L745="","",IF(ISNUMBER(INDEX(A745:H745,$P$1)),INDEX(A745:H745,$P$1),IFERROR(_xlfn.NUMBERVALUE(INDEX(A745:H745,$P$1),".",","),0)))</f>
        <v/>
      </c>
    </row>
    <row r="746">
      <c r="L746">
        <f>IF(A746="","",IF(ISNUMBER(--LEFT(A746,FIND(" - ",A746&amp;" - ")-1)),LEFT(A746,FIND(" - ",A746&amp;" - ")-1),TRIM(A746)))</f>
        <v/>
      </c>
      <c r="N746">
        <f>IF(L746="","",IF(ISNUMBER(INDEX(A746:H746,$P$1)),INDEX(A746:H746,$P$1),IFERROR(_xlfn.NUMBERVALUE(INDEX(A746:H746,$P$1),".",","),0)))</f>
        <v/>
      </c>
    </row>
    <row r="747">
      <c r="L747">
        <f>IF(A747="","",IF(ISNUMBER(--LEFT(A747,FIND(" - ",A747&amp;" - ")-1)),LEFT(A747,FIND(" - ",A747&amp;" - ")-1),TRIM(A747)))</f>
        <v/>
      </c>
      <c r="N747">
        <f>IF(L747="","",IF(ISNUMBER(INDEX(A747:H747,$P$1)),INDEX(A747:H747,$P$1),IFERROR(_xlfn.NUMBERVALUE(INDEX(A747:H747,$P$1),".",","),0)))</f>
        <v/>
      </c>
    </row>
    <row r="748">
      <c r="L748">
        <f>IF(A748="","",IF(ISNUMBER(--LEFT(A748,FIND(" - ",A748&amp;" - ")-1)),LEFT(A748,FIND(" - ",A748&amp;" - ")-1),TRIM(A748)))</f>
        <v/>
      </c>
      <c r="N748">
        <f>IF(L748="","",IF(ISNUMBER(INDEX(A748:H748,$P$1)),INDEX(A748:H748,$P$1),IFERROR(_xlfn.NUMBERVALUE(INDEX(A748:H748,$P$1),".",","),0)))</f>
        <v/>
      </c>
    </row>
    <row r="749">
      <c r="L749">
        <f>IF(A749="","",IF(ISNUMBER(--LEFT(A749,FIND(" - ",A749&amp;" - ")-1)),LEFT(A749,FIND(" - ",A749&amp;" - ")-1),TRIM(A749)))</f>
        <v/>
      </c>
      <c r="N749">
        <f>IF(L749="","",IF(ISNUMBER(INDEX(A749:H749,$P$1)),INDEX(A749:H749,$P$1),IFERROR(_xlfn.NUMBERVALUE(INDEX(A749:H749,$P$1),".",","),0)))</f>
        <v/>
      </c>
    </row>
    <row r="750">
      <c r="L750">
        <f>IF(A750="","",IF(ISNUMBER(--LEFT(A750,FIND(" - ",A750&amp;" - ")-1)),LEFT(A750,FIND(" - ",A750&amp;" - ")-1),TRIM(A750)))</f>
        <v/>
      </c>
      <c r="N750">
        <f>IF(L750="","",IF(ISNUMBER(INDEX(A750:H750,$P$1)),INDEX(A750:H750,$P$1),IFERROR(_xlfn.NUMBERVALUE(INDEX(A750:H750,$P$1),".",","),0)))</f>
        <v/>
      </c>
    </row>
    <row r="751">
      <c r="L751">
        <f>IF(A751="","",IF(ISNUMBER(--LEFT(A751,FIND(" - ",A751&amp;" - ")-1)),LEFT(A751,FIND(" - ",A751&amp;" - ")-1),TRIM(A751)))</f>
        <v/>
      </c>
      <c r="N751">
        <f>IF(L751="","",IF(ISNUMBER(INDEX(A751:H751,$P$1)),INDEX(A751:H751,$P$1),IFERROR(_xlfn.NUMBERVALUE(INDEX(A751:H751,$P$1),".",","),0)))</f>
        <v/>
      </c>
    </row>
    <row r="752">
      <c r="L752">
        <f>IF(A752="","",IF(ISNUMBER(--LEFT(A752,FIND(" - ",A752&amp;" - ")-1)),LEFT(A752,FIND(" - ",A752&amp;" - ")-1),TRIM(A752)))</f>
        <v/>
      </c>
      <c r="N752">
        <f>IF(L752="","",IF(ISNUMBER(INDEX(A752:H752,$P$1)),INDEX(A752:H752,$P$1),IFERROR(_xlfn.NUMBERVALUE(INDEX(A752:H752,$P$1),".",","),0)))</f>
        <v/>
      </c>
    </row>
    <row r="753">
      <c r="L753">
        <f>IF(A753="","",IF(ISNUMBER(--LEFT(A753,FIND(" - ",A753&amp;" - ")-1)),LEFT(A753,FIND(" - ",A753&amp;" - ")-1),TRIM(A753)))</f>
        <v/>
      </c>
      <c r="N753">
        <f>IF(L753="","",IF(ISNUMBER(INDEX(A753:H753,$P$1)),INDEX(A753:H753,$P$1),IFERROR(_xlfn.NUMBERVALUE(INDEX(A753:H753,$P$1),".",","),0)))</f>
        <v/>
      </c>
    </row>
    <row r="754">
      <c r="L754">
        <f>IF(A754="","",IF(ISNUMBER(--LEFT(A754,FIND(" - ",A754&amp;" - ")-1)),LEFT(A754,FIND(" - ",A754&amp;" - ")-1),TRIM(A754)))</f>
        <v/>
      </c>
      <c r="N754">
        <f>IF(L754="","",IF(ISNUMBER(INDEX(A754:H754,$P$1)),INDEX(A754:H754,$P$1),IFERROR(_xlfn.NUMBERVALUE(INDEX(A754:H754,$P$1),".",","),0)))</f>
        <v/>
      </c>
    </row>
    <row r="755">
      <c r="L755">
        <f>IF(A755="","",IF(ISNUMBER(--LEFT(A755,FIND(" - ",A755&amp;" - ")-1)),LEFT(A755,FIND(" - ",A755&amp;" - ")-1),TRIM(A755)))</f>
        <v/>
      </c>
      <c r="N755">
        <f>IF(L755="","",IF(ISNUMBER(INDEX(A755:H755,$P$1)),INDEX(A755:H755,$P$1),IFERROR(_xlfn.NUMBERVALUE(INDEX(A755:H755,$P$1),".",","),0)))</f>
        <v/>
      </c>
    </row>
    <row r="756">
      <c r="L756">
        <f>IF(A756="","",IF(ISNUMBER(--LEFT(A756,FIND(" - ",A756&amp;" - ")-1)),LEFT(A756,FIND(" - ",A756&amp;" - ")-1),TRIM(A756)))</f>
        <v/>
      </c>
      <c r="N756">
        <f>IF(L756="","",IF(ISNUMBER(INDEX(A756:H756,$P$1)),INDEX(A756:H756,$P$1),IFERROR(_xlfn.NUMBERVALUE(INDEX(A756:H756,$P$1),".",","),0)))</f>
        <v/>
      </c>
    </row>
    <row r="757">
      <c r="L757">
        <f>IF(A757="","",IF(ISNUMBER(--LEFT(A757,FIND(" - ",A757&amp;" - ")-1)),LEFT(A757,FIND(" - ",A757&amp;" - ")-1),TRIM(A757)))</f>
        <v/>
      </c>
      <c r="N757">
        <f>IF(L757="","",IF(ISNUMBER(INDEX(A757:H757,$P$1)),INDEX(A757:H757,$P$1),IFERROR(_xlfn.NUMBERVALUE(INDEX(A757:H757,$P$1),".",","),0)))</f>
        <v/>
      </c>
    </row>
    <row r="758">
      <c r="L758">
        <f>IF(A758="","",IF(ISNUMBER(--LEFT(A758,FIND(" - ",A758&amp;" - ")-1)),LEFT(A758,FIND(" - ",A758&amp;" - ")-1),TRIM(A758)))</f>
        <v/>
      </c>
      <c r="N758">
        <f>IF(L758="","",IF(ISNUMBER(INDEX(A758:H758,$P$1)),INDEX(A758:H758,$P$1),IFERROR(_xlfn.NUMBERVALUE(INDEX(A758:H758,$P$1),".",","),0)))</f>
        <v/>
      </c>
    </row>
    <row r="759">
      <c r="L759">
        <f>IF(A759="","",IF(ISNUMBER(--LEFT(A759,FIND(" - ",A759&amp;" - ")-1)),LEFT(A759,FIND(" - ",A759&amp;" - ")-1),TRIM(A759)))</f>
        <v/>
      </c>
      <c r="N759">
        <f>IF(L759="","",IF(ISNUMBER(INDEX(A759:H759,$P$1)),INDEX(A759:H759,$P$1),IFERROR(_xlfn.NUMBERVALUE(INDEX(A759:H759,$P$1),".",","),0)))</f>
        <v/>
      </c>
    </row>
    <row r="760">
      <c r="L760">
        <f>IF(A760="","",IF(ISNUMBER(--LEFT(A760,FIND(" - ",A760&amp;" - ")-1)),LEFT(A760,FIND(" - ",A760&amp;" - ")-1),TRIM(A760)))</f>
        <v/>
      </c>
      <c r="N760">
        <f>IF(L760="","",IF(ISNUMBER(INDEX(A760:H760,$P$1)),INDEX(A760:H760,$P$1),IFERROR(_xlfn.NUMBERVALUE(INDEX(A760:H760,$P$1),".",","),0)))</f>
        <v/>
      </c>
    </row>
    <row r="761">
      <c r="L761">
        <f>IF(A761="","",IF(ISNUMBER(--LEFT(A761,FIND(" - ",A761&amp;" - ")-1)),LEFT(A761,FIND(" - ",A761&amp;" - ")-1),TRIM(A761)))</f>
        <v/>
      </c>
      <c r="N761">
        <f>IF(L761="","",IF(ISNUMBER(INDEX(A761:H761,$P$1)),INDEX(A761:H761,$P$1),IFERROR(_xlfn.NUMBERVALUE(INDEX(A761:H761,$P$1),".",","),0)))</f>
        <v/>
      </c>
    </row>
    <row r="762">
      <c r="L762">
        <f>IF(A762="","",IF(ISNUMBER(--LEFT(A762,FIND(" - ",A762&amp;" - ")-1)),LEFT(A762,FIND(" - ",A762&amp;" - ")-1),TRIM(A762)))</f>
        <v/>
      </c>
      <c r="N762">
        <f>IF(L762="","",IF(ISNUMBER(INDEX(A762:H762,$P$1)),INDEX(A762:H762,$P$1),IFERROR(_xlfn.NUMBERVALUE(INDEX(A762:H762,$P$1),".",","),0)))</f>
        <v/>
      </c>
    </row>
    <row r="763">
      <c r="L763">
        <f>IF(A763="","",IF(ISNUMBER(--LEFT(A763,FIND(" - ",A763&amp;" - ")-1)),LEFT(A763,FIND(" - ",A763&amp;" - ")-1),TRIM(A763)))</f>
        <v/>
      </c>
      <c r="N763">
        <f>IF(L763="","",IF(ISNUMBER(INDEX(A763:H763,$P$1)),INDEX(A763:H763,$P$1),IFERROR(_xlfn.NUMBERVALUE(INDEX(A763:H763,$P$1),".",","),0)))</f>
        <v/>
      </c>
    </row>
    <row r="764">
      <c r="L764">
        <f>IF(A764="","",IF(ISNUMBER(--LEFT(A764,FIND(" - ",A764&amp;" - ")-1)),LEFT(A764,FIND(" - ",A764&amp;" - ")-1),TRIM(A764)))</f>
        <v/>
      </c>
      <c r="N764">
        <f>IF(L764="","",IF(ISNUMBER(INDEX(A764:H764,$P$1)),INDEX(A764:H764,$P$1),IFERROR(_xlfn.NUMBERVALUE(INDEX(A764:H764,$P$1),".",","),0)))</f>
        <v/>
      </c>
    </row>
    <row r="765">
      <c r="L765">
        <f>IF(A765="","",IF(ISNUMBER(--LEFT(A765,FIND(" - ",A765&amp;" - ")-1)),LEFT(A765,FIND(" - ",A765&amp;" - ")-1),TRIM(A765)))</f>
        <v/>
      </c>
      <c r="N765">
        <f>IF(L765="","",IF(ISNUMBER(INDEX(A765:H765,$P$1)),INDEX(A765:H765,$P$1),IFERROR(_xlfn.NUMBERVALUE(INDEX(A765:H765,$P$1),".",","),0)))</f>
        <v/>
      </c>
    </row>
    <row r="766">
      <c r="L766">
        <f>IF(A766="","",IF(ISNUMBER(--LEFT(A766,FIND(" - ",A766&amp;" - ")-1)),LEFT(A766,FIND(" - ",A766&amp;" - ")-1),TRIM(A766)))</f>
        <v/>
      </c>
      <c r="N766">
        <f>IF(L766="","",IF(ISNUMBER(INDEX(A766:H766,$P$1)),INDEX(A766:H766,$P$1),IFERROR(_xlfn.NUMBERVALUE(INDEX(A766:H766,$P$1),".",","),0)))</f>
        <v/>
      </c>
    </row>
    <row r="767">
      <c r="L767">
        <f>IF(A767="","",IF(ISNUMBER(--LEFT(A767,FIND(" - ",A767&amp;" - ")-1)),LEFT(A767,FIND(" - ",A767&amp;" - ")-1),TRIM(A767)))</f>
        <v/>
      </c>
      <c r="N767">
        <f>IF(L767="","",IF(ISNUMBER(INDEX(A767:H767,$P$1)),INDEX(A767:H767,$P$1),IFERROR(_xlfn.NUMBERVALUE(INDEX(A767:H767,$P$1),".",","),0)))</f>
        <v/>
      </c>
    </row>
    <row r="768">
      <c r="L768">
        <f>IF(A768="","",IF(ISNUMBER(--LEFT(A768,FIND(" - ",A768&amp;" - ")-1)),LEFT(A768,FIND(" - ",A768&amp;" - ")-1),TRIM(A768)))</f>
        <v/>
      </c>
      <c r="N768">
        <f>IF(L768="","",IF(ISNUMBER(INDEX(A768:H768,$P$1)),INDEX(A768:H768,$P$1),IFERROR(_xlfn.NUMBERVALUE(INDEX(A768:H768,$P$1),".",","),0)))</f>
        <v/>
      </c>
    </row>
    <row r="769">
      <c r="L769">
        <f>IF(A769="","",IF(ISNUMBER(--LEFT(A769,FIND(" - ",A769&amp;" - ")-1)),LEFT(A769,FIND(" - ",A769&amp;" - ")-1),TRIM(A769)))</f>
        <v/>
      </c>
      <c r="N769">
        <f>IF(L769="","",IF(ISNUMBER(INDEX(A769:H769,$P$1)),INDEX(A769:H769,$P$1),IFERROR(_xlfn.NUMBERVALUE(INDEX(A769:H769,$P$1),".",","),0)))</f>
        <v/>
      </c>
    </row>
    <row r="770">
      <c r="L770">
        <f>IF(A770="","",IF(ISNUMBER(--LEFT(A770,FIND(" - ",A770&amp;" - ")-1)),LEFT(A770,FIND(" - ",A770&amp;" - ")-1),TRIM(A770)))</f>
        <v/>
      </c>
      <c r="N770">
        <f>IF(L770="","",IF(ISNUMBER(INDEX(A770:H770,$P$1)),INDEX(A770:H770,$P$1),IFERROR(_xlfn.NUMBERVALUE(INDEX(A770:H770,$P$1),".",","),0)))</f>
        <v/>
      </c>
    </row>
    <row r="771">
      <c r="L771">
        <f>IF(A771="","",IF(ISNUMBER(--LEFT(A771,FIND(" - ",A771&amp;" - ")-1)),LEFT(A771,FIND(" - ",A771&amp;" - ")-1),TRIM(A771)))</f>
        <v/>
      </c>
      <c r="N771">
        <f>IF(L771="","",IF(ISNUMBER(INDEX(A771:H771,$P$1)),INDEX(A771:H771,$P$1),IFERROR(_xlfn.NUMBERVALUE(INDEX(A771:H771,$P$1),".",","),0)))</f>
        <v/>
      </c>
    </row>
    <row r="772">
      <c r="L772">
        <f>IF(A772="","",IF(ISNUMBER(--LEFT(A772,FIND(" - ",A772&amp;" - ")-1)),LEFT(A772,FIND(" - ",A772&amp;" - ")-1),TRIM(A772)))</f>
        <v/>
      </c>
      <c r="N772">
        <f>IF(L772="","",IF(ISNUMBER(INDEX(A772:H772,$P$1)),INDEX(A772:H772,$P$1),IFERROR(_xlfn.NUMBERVALUE(INDEX(A772:H772,$P$1),".",","),0)))</f>
        <v/>
      </c>
    </row>
    <row r="773">
      <c r="L773">
        <f>IF(A773="","",IF(ISNUMBER(--LEFT(A773,FIND(" - ",A773&amp;" - ")-1)),LEFT(A773,FIND(" - ",A773&amp;" - ")-1),TRIM(A773)))</f>
        <v/>
      </c>
      <c r="N773">
        <f>IF(L773="","",IF(ISNUMBER(INDEX(A773:H773,$P$1)),INDEX(A773:H773,$P$1),IFERROR(_xlfn.NUMBERVALUE(INDEX(A773:H773,$P$1),".",","),0)))</f>
        <v/>
      </c>
    </row>
    <row r="774">
      <c r="L774">
        <f>IF(A774="","",IF(ISNUMBER(--LEFT(A774,FIND(" - ",A774&amp;" - ")-1)),LEFT(A774,FIND(" - ",A774&amp;" - ")-1),TRIM(A774)))</f>
        <v/>
      </c>
      <c r="N774">
        <f>IF(L774="","",IF(ISNUMBER(INDEX(A774:H774,$P$1)),INDEX(A774:H774,$P$1),IFERROR(_xlfn.NUMBERVALUE(INDEX(A774:H774,$P$1),".",","),0)))</f>
        <v/>
      </c>
    </row>
    <row r="775">
      <c r="L775">
        <f>IF(A775="","",IF(ISNUMBER(--LEFT(A775,FIND(" - ",A775&amp;" - ")-1)),LEFT(A775,FIND(" - ",A775&amp;" - ")-1),TRIM(A775)))</f>
        <v/>
      </c>
      <c r="N775">
        <f>IF(L775="","",IF(ISNUMBER(INDEX(A775:H775,$P$1)),INDEX(A775:H775,$P$1),IFERROR(_xlfn.NUMBERVALUE(INDEX(A775:H775,$P$1),".",","),0)))</f>
        <v/>
      </c>
    </row>
    <row r="776">
      <c r="L776">
        <f>IF(A776="","",IF(ISNUMBER(--LEFT(A776,FIND(" - ",A776&amp;" - ")-1)),LEFT(A776,FIND(" - ",A776&amp;" - ")-1),TRIM(A776)))</f>
        <v/>
      </c>
      <c r="N776">
        <f>IF(L776="","",IF(ISNUMBER(INDEX(A776:H776,$P$1)),INDEX(A776:H776,$P$1),IFERROR(_xlfn.NUMBERVALUE(INDEX(A776:H776,$P$1),".",","),0)))</f>
        <v/>
      </c>
    </row>
    <row r="777">
      <c r="L777">
        <f>IF(A777="","",IF(ISNUMBER(--LEFT(A777,FIND(" - ",A777&amp;" - ")-1)),LEFT(A777,FIND(" - ",A777&amp;" - ")-1),TRIM(A777)))</f>
        <v/>
      </c>
      <c r="N777">
        <f>IF(L777="","",IF(ISNUMBER(INDEX(A777:H777,$P$1)),INDEX(A777:H777,$P$1),IFERROR(_xlfn.NUMBERVALUE(INDEX(A777:H777,$P$1),".",","),0)))</f>
        <v/>
      </c>
    </row>
    <row r="778">
      <c r="L778">
        <f>IF(A778="","",IF(ISNUMBER(--LEFT(A778,FIND(" - ",A778&amp;" - ")-1)),LEFT(A778,FIND(" - ",A778&amp;" - ")-1),TRIM(A778)))</f>
        <v/>
      </c>
      <c r="N778">
        <f>IF(L778="","",IF(ISNUMBER(INDEX(A778:H778,$P$1)),INDEX(A778:H778,$P$1),IFERROR(_xlfn.NUMBERVALUE(INDEX(A778:H778,$P$1),".",","),0)))</f>
        <v/>
      </c>
    </row>
    <row r="779">
      <c r="L779">
        <f>IF(A779="","",IF(ISNUMBER(--LEFT(A779,FIND(" - ",A779&amp;" - ")-1)),LEFT(A779,FIND(" - ",A779&amp;" - ")-1),TRIM(A779)))</f>
        <v/>
      </c>
      <c r="N779">
        <f>IF(L779="","",IF(ISNUMBER(INDEX(A779:H779,$P$1)),INDEX(A779:H779,$P$1),IFERROR(_xlfn.NUMBERVALUE(INDEX(A779:H779,$P$1),".",","),0)))</f>
        <v/>
      </c>
    </row>
    <row r="780">
      <c r="L780">
        <f>IF(A780="","",IF(ISNUMBER(--LEFT(A780,FIND(" - ",A780&amp;" - ")-1)),LEFT(A780,FIND(" - ",A780&amp;" - ")-1),TRIM(A780)))</f>
        <v/>
      </c>
      <c r="N780">
        <f>IF(L780="","",IF(ISNUMBER(INDEX(A780:H780,$P$1)),INDEX(A780:H780,$P$1),IFERROR(_xlfn.NUMBERVALUE(INDEX(A780:H780,$P$1),".",","),0)))</f>
        <v/>
      </c>
    </row>
    <row r="781">
      <c r="L781">
        <f>IF(A781="","",IF(ISNUMBER(--LEFT(A781,FIND(" - ",A781&amp;" - ")-1)),LEFT(A781,FIND(" - ",A781&amp;" - ")-1),TRIM(A781)))</f>
        <v/>
      </c>
      <c r="N781">
        <f>IF(L781="","",IF(ISNUMBER(INDEX(A781:H781,$P$1)),INDEX(A781:H781,$P$1),IFERROR(_xlfn.NUMBERVALUE(INDEX(A781:H781,$P$1),".",","),0)))</f>
        <v/>
      </c>
    </row>
    <row r="782">
      <c r="L782">
        <f>IF(A782="","",IF(ISNUMBER(--LEFT(A782,FIND(" - ",A782&amp;" - ")-1)),LEFT(A782,FIND(" - ",A782&amp;" - ")-1),TRIM(A782)))</f>
        <v/>
      </c>
      <c r="N782">
        <f>IF(L782="","",IF(ISNUMBER(INDEX(A782:H782,$P$1)),INDEX(A782:H782,$P$1),IFERROR(_xlfn.NUMBERVALUE(INDEX(A782:H782,$P$1),".",","),0)))</f>
        <v/>
      </c>
    </row>
    <row r="783">
      <c r="L783">
        <f>IF(A783="","",IF(ISNUMBER(--LEFT(A783,FIND(" - ",A783&amp;" - ")-1)),LEFT(A783,FIND(" - ",A783&amp;" - ")-1),TRIM(A783)))</f>
        <v/>
      </c>
      <c r="N783">
        <f>IF(L783="","",IF(ISNUMBER(INDEX(A783:H783,$P$1)),INDEX(A783:H783,$P$1),IFERROR(_xlfn.NUMBERVALUE(INDEX(A783:H783,$P$1),".",","),0)))</f>
        <v/>
      </c>
    </row>
    <row r="784">
      <c r="L784">
        <f>IF(A784="","",IF(ISNUMBER(--LEFT(A784,FIND(" - ",A784&amp;" - ")-1)),LEFT(A784,FIND(" - ",A784&amp;" - ")-1),TRIM(A784)))</f>
        <v/>
      </c>
      <c r="N784">
        <f>IF(L784="","",IF(ISNUMBER(INDEX(A784:H784,$P$1)),INDEX(A784:H784,$P$1),IFERROR(_xlfn.NUMBERVALUE(INDEX(A784:H784,$P$1),".",","),0)))</f>
        <v/>
      </c>
    </row>
    <row r="785">
      <c r="L785">
        <f>IF(A785="","",IF(ISNUMBER(--LEFT(A785,FIND(" - ",A785&amp;" - ")-1)),LEFT(A785,FIND(" - ",A785&amp;" - ")-1),TRIM(A785)))</f>
        <v/>
      </c>
      <c r="N785">
        <f>IF(L785="","",IF(ISNUMBER(INDEX(A785:H785,$P$1)),INDEX(A785:H785,$P$1),IFERROR(_xlfn.NUMBERVALUE(INDEX(A785:H785,$P$1),".",","),0)))</f>
        <v/>
      </c>
    </row>
    <row r="786">
      <c r="L786">
        <f>IF(A786="","",IF(ISNUMBER(--LEFT(A786,FIND(" - ",A786&amp;" - ")-1)),LEFT(A786,FIND(" - ",A786&amp;" - ")-1),TRIM(A786)))</f>
        <v/>
      </c>
      <c r="N786">
        <f>IF(L786="","",IF(ISNUMBER(INDEX(A786:H786,$P$1)),INDEX(A786:H786,$P$1),IFERROR(_xlfn.NUMBERVALUE(INDEX(A786:H786,$P$1),".",","),0)))</f>
        <v/>
      </c>
    </row>
    <row r="787">
      <c r="L787">
        <f>IF(A787="","",IF(ISNUMBER(--LEFT(A787,FIND(" - ",A787&amp;" - ")-1)),LEFT(A787,FIND(" - ",A787&amp;" - ")-1),TRIM(A787)))</f>
        <v/>
      </c>
      <c r="N787">
        <f>IF(L787="","",IF(ISNUMBER(INDEX(A787:H787,$P$1)),INDEX(A787:H787,$P$1),IFERROR(_xlfn.NUMBERVALUE(INDEX(A787:H787,$P$1),".",","),0)))</f>
        <v/>
      </c>
    </row>
    <row r="788">
      <c r="L788">
        <f>IF(A788="","",IF(ISNUMBER(--LEFT(A788,FIND(" - ",A788&amp;" - ")-1)),LEFT(A788,FIND(" - ",A788&amp;" - ")-1),TRIM(A788)))</f>
        <v/>
      </c>
      <c r="N788">
        <f>IF(L788="","",IF(ISNUMBER(INDEX(A788:H788,$P$1)),INDEX(A788:H788,$P$1),IFERROR(_xlfn.NUMBERVALUE(INDEX(A788:H788,$P$1),".",","),0)))</f>
        <v/>
      </c>
    </row>
    <row r="789">
      <c r="L789">
        <f>IF(A789="","",IF(ISNUMBER(--LEFT(A789,FIND(" - ",A789&amp;" - ")-1)),LEFT(A789,FIND(" - ",A789&amp;" - ")-1),TRIM(A789)))</f>
        <v/>
      </c>
      <c r="N789">
        <f>IF(L789="","",IF(ISNUMBER(INDEX(A789:H789,$P$1)),INDEX(A789:H789,$P$1),IFERROR(_xlfn.NUMBERVALUE(INDEX(A789:H789,$P$1),".",","),0)))</f>
        <v/>
      </c>
    </row>
    <row r="790">
      <c r="L790">
        <f>IF(A790="","",IF(ISNUMBER(--LEFT(A790,FIND(" - ",A790&amp;" - ")-1)),LEFT(A790,FIND(" - ",A790&amp;" - ")-1),TRIM(A790)))</f>
        <v/>
      </c>
      <c r="N790">
        <f>IF(L790="","",IF(ISNUMBER(INDEX(A790:H790,$P$1)),INDEX(A790:H790,$P$1),IFERROR(_xlfn.NUMBERVALUE(INDEX(A790:H790,$P$1),".",","),0)))</f>
        <v/>
      </c>
    </row>
    <row r="791">
      <c r="L791">
        <f>IF(A791="","",IF(ISNUMBER(--LEFT(A791,FIND(" - ",A791&amp;" - ")-1)),LEFT(A791,FIND(" - ",A791&amp;" - ")-1),TRIM(A791)))</f>
        <v/>
      </c>
      <c r="N791">
        <f>IF(L791="","",IF(ISNUMBER(INDEX(A791:H791,$P$1)),INDEX(A791:H791,$P$1),IFERROR(_xlfn.NUMBERVALUE(INDEX(A791:H791,$P$1),".",","),0)))</f>
        <v/>
      </c>
    </row>
    <row r="792">
      <c r="L792">
        <f>IF(A792="","",IF(ISNUMBER(--LEFT(A792,FIND(" - ",A792&amp;" - ")-1)),LEFT(A792,FIND(" - ",A792&amp;" - ")-1),TRIM(A792)))</f>
        <v/>
      </c>
      <c r="N792">
        <f>IF(L792="","",IF(ISNUMBER(INDEX(A792:H792,$P$1)),INDEX(A792:H792,$P$1),IFERROR(_xlfn.NUMBERVALUE(INDEX(A792:H792,$P$1),".",","),0)))</f>
        <v/>
      </c>
    </row>
    <row r="793">
      <c r="L793">
        <f>IF(A793="","",IF(ISNUMBER(--LEFT(A793,FIND(" - ",A793&amp;" - ")-1)),LEFT(A793,FIND(" - ",A793&amp;" - ")-1),TRIM(A793)))</f>
        <v/>
      </c>
      <c r="N793">
        <f>IF(L793="","",IF(ISNUMBER(INDEX(A793:H793,$P$1)),INDEX(A793:H793,$P$1),IFERROR(_xlfn.NUMBERVALUE(INDEX(A793:H793,$P$1),".",","),0)))</f>
        <v/>
      </c>
    </row>
    <row r="794">
      <c r="L794">
        <f>IF(A794="","",IF(ISNUMBER(--LEFT(A794,FIND(" - ",A794&amp;" - ")-1)),LEFT(A794,FIND(" - ",A794&amp;" - ")-1),TRIM(A794)))</f>
        <v/>
      </c>
      <c r="N794">
        <f>IF(L794="","",IF(ISNUMBER(INDEX(A794:H794,$P$1)),INDEX(A794:H794,$P$1),IFERROR(_xlfn.NUMBERVALUE(INDEX(A794:H794,$P$1),".",","),0)))</f>
        <v/>
      </c>
    </row>
    <row r="795">
      <c r="L795">
        <f>IF(A795="","",IF(ISNUMBER(--LEFT(A795,FIND(" - ",A795&amp;" - ")-1)),LEFT(A795,FIND(" - ",A795&amp;" - ")-1),TRIM(A795)))</f>
        <v/>
      </c>
      <c r="N795">
        <f>IF(L795="","",IF(ISNUMBER(INDEX(A795:H795,$P$1)),INDEX(A795:H795,$P$1),IFERROR(_xlfn.NUMBERVALUE(INDEX(A795:H795,$P$1),".",","),0)))</f>
        <v/>
      </c>
    </row>
    <row r="796">
      <c r="L796">
        <f>IF(A796="","",IF(ISNUMBER(--LEFT(A796,FIND(" - ",A796&amp;" - ")-1)),LEFT(A796,FIND(" - ",A796&amp;" - ")-1),TRIM(A796)))</f>
        <v/>
      </c>
      <c r="N796">
        <f>IF(L796="","",IF(ISNUMBER(INDEX(A796:H796,$P$1)),INDEX(A796:H796,$P$1),IFERROR(_xlfn.NUMBERVALUE(INDEX(A796:H796,$P$1),".",","),0)))</f>
        <v/>
      </c>
    </row>
    <row r="797">
      <c r="L797">
        <f>IF(A797="","",IF(ISNUMBER(--LEFT(A797,FIND(" - ",A797&amp;" - ")-1)),LEFT(A797,FIND(" - ",A797&amp;" - ")-1),TRIM(A797)))</f>
        <v/>
      </c>
      <c r="N797">
        <f>IF(L797="","",IF(ISNUMBER(INDEX(A797:H797,$P$1)),INDEX(A797:H797,$P$1),IFERROR(_xlfn.NUMBERVALUE(INDEX(A797:H797,$P$1),".",","),0)))</f>
        <v/>
      </c>
    </row>
    <row r="798">
      <c r="L798">
        <f>IF(A798="","",IF(ISNUMBER(--LEFT(A798,FIND(" - ",A798&amp;" - ")-1)),LEFT(A798,FIND(" - ",A798&amp;" - ")-1),TRIM(A798)))</f>
        <v/>
      </c>
      <c r="N798">
        <f>IF(L798="","",IF(ISNUMBER(INDEX(A798:H798,$P$1)),INDEX(A798:H798,$P$1),IFERROR(_xlfn.NUMBERVALUE(INDEX(A798:H798,$P$1),".",","),0)))</f>
        <v/>
      </c>
    </row>
    <row r="799">
      <c r="L799">
        <f>IF(A799="","",IF(ISNUMBER(--LEFT(A799,FIND(" - ",A799&amp;" - ")-1)),LEFT(A799,FIND(" - ",A799&amp;" - ")-1),TRIM(A799)))</f>
        <v/>
      </c>
      <c r="N799">
        <f>IF(L799="","",IF(ISNUMBER(INDEX(A799:H799,$P$1)),INDEX(A799:H799,$P$1),IFERROR(_xlfn.NUMBERVALUE(INDEX(A799:H799,$P$1),".",","),0)))</f>
        <v/>
      </c>
    </row>
    <row r="800">
      <c r="L800">
        <f>IF(A800="","",IF(ISNUMBER(--LEFT(A800,FIND(" - ",A800&amp;" - ")-1)),LEFT(A800,FIND(" - ",A800&amp;" - ")-1),TRIM(A800)))</f>
        <v/>
      </c>
      <c r="N800">
        <f>IF(L800="","",IF(ISNUMBER(INDEX(A800:H800,$P$1)),INDEX(A800:H800,$P$1),IFERROR(_xlfn.NUMBERVALUE(INDEX(A800:H800,$P$1),".",","),0)))</f>
        <v/>
      </c>
    </row>
    <row r="801">
      <c r="L801">
        <f>IF(A801="","",IF(ISNUMBER(--LEFT(A801,FIND(" - ",A801&amp;" - ")-1)),LEFT(A801,FIND(" - ",A801&amp;" - ")-1),TRIM(A801)))</f>
        <v/>
      </c>
      <c r="N801">
        <f>IF(L801="","",IF(ISNUMBER(INDEX(A801:H801,$P$1)),INDEX(A801:H801,$P$1),IFERROR(_xlfn.NUMBERVALUE(INDEX(A801:H801,$P$1),".",","),0)))</f>
        <v/>
      </c>
    </row>
    <row r="802">
      <c r="L802">
        <f>IF(A802="","",IF(ISNUMBER(--LEFT(A802,FIND(" - ",A802&amp;" - ")-1)),LEFT(A802,FIND(" - ",A802&amp;" - ")-1),TRIM(A802)))</f>
        <v/>
      </c>
      <c r="N802">
        <f>IF(L802="","",IF(ISNUMBER(INDEX(A802:H802,$P$1)),INDEX(A802:H802,$P$1),IFERROR(_xlfn.NUMBERVALUE(INDEX(A802:H802,$P$1),".",","),0)))</f>
        <v/>
      </c>
    </row>
    <row r="803">
      <c r="L803">
        <f>IF(A803="","",IF(ISNUMBER(--LEFT(A803,FIND(" - ",A803&amp;" - ")-1)),LEFT(A803,FIND(" - ",A803&amp;" - ")-1),TRIM(A803)))</f>
        <v/>
      </c>
      <c r="N803">
        <f>IF(L803="","",IF(ISNUMBER(INDEX(A803:H803,$P$1)),INDEX(A803:H803,$P$1),IFERROR(_xlfn.NUMBERVALUE(INDEX(A803:H803,$P$1),".",","),0)))</f>
        <v/>
      </c>
    </row>
    <row r="804">
      <c r="L804">
        <f>IF(A804="","",IF(ISNUMBER(--LEFT(A804,FIND(" - ",A804&amp;" - ")-1)),LEFT(A804,FIND(" - ",A804&amp;" - ")-1),TRIM(A804)))</f>
        <v/>
      </c>
      <c r="N804">
        <f>IF(L804="","",IF(ISNUMBER(INDEX(A804:H804,$P$1)),INDEX(A804:H804,$P$1),IFERROR(_xlfn.NUMBERVALUE(INDEX(A804:H804,$P$1),".",","),0)))</f>
        <v/>
      </c>
    </row>
    <row r="805">
      <c r="L805">
        <f>IF(A805="","",IF(ISNUMBER(--LEFT(A805,FIND(" - ",A805&amp;" - ")-1)),LEFT(A805,FIND(" - ",A805&amp;" - ")-1),TRIM(A805)))</f>
        <v/>
      </c>
      <c r="N805">
        <f>IF(L805="","",IF(ISNUMBER(INDEX(A805:H805,$P$1)),INDEX(A805:H805,$P$1),IFERROR(_xlfn.NUMBERVALUE(INDEX(A805:H805,$P$1),".",","),0)))</f>
        <v/>
      </c>
    </row>
    <row r="806">
      <c r="L806">
        <f>IF(A806="","",IF(ISNUMBER(--LEFT(A806,FIND(" - ",A806&amp;" - ")-1)),LEFT(A806,FIND(" - ",A806&amp;" - ")-1),TRIM(A806)))</f>
        <v/>
      </c>
      <c r="N806">
        <f>IF(L806="","",IF(ISNUMBER(INDEX(A806:H806,$P$1)),INDEX(A806:H806,$P$1),IFERROR(_xlfn.NUMBERVALUE(INDEX(A806:H806,$P$1),".",","),0)))</f>
        <v/>
      </c>
    </row>
    <row r="807">
      <c r="L807">
        <f>IF(A807="","",IF(ISNUMBER(--LEFT(A807,FIND(" - ",A807&amp;" - ")-1)),LEFT(A807,FIND(" - ",A807&amp;" - ")-1),TRIM(A807)))</f>
        <v/>
      </c>
      <c r="N807">
        <f>IF(L807="","",IF(ISNUMBER(INDEX(A807:H807,$P$1)),INDEX(A807:H807,$P$1),IFERROR(_xlfn.NUMBERVALUE(INDEX(A807:H807,$P$1),".",","),0)))</f>
        <v/>
      </c>
    </row>
    <row r="808">
      <c r="L808">
        <f>IF(A808="","",IF(ISNUMBER(--LEFT(A808,FIND(" - ",A808&amp;" - ")-1)),LEFT(A808,FIND(" - ",A808&amp;" - ")-1),TRIM(A808)))</f>
        <v/>
      </c>
      <c r="N808">
        <f>IF(L808="","",IF(ISNUMBER(INDEX(A808:H808,$P$1)),INDEX(A808:H808,$P$1),IFERROR(_xlfn.NUMBERVALUE(INDEX(A808:H808,$P$1),".",","),0)))</f>
        <v/>
      </c>
    </row>
    <row r="809">
      <c r="L809">
        <f>IF(A809="","",IF(ISNUMBER(--LEFT(A809,FIND(" - ",A809&amp;" - ")-1)),LEFT(A809,FIND(" - ",A809&amp;" - ")-1),TRIM(A809)))</f>
        <v/>
      </c>
      <c r="N809">
        <f>IF(L809="","",IF(ISNUMBER(INDEX(A809:H809,$P$1)),INDEX(A809:H809,$P$1),IFERROR(_xlfn.NUMBERVALUE(INDEX(A809:H809,$P$1),".",","),0)))</f>
        <v/>
      </c>
    </row>
    <row r="810">
      <c r="L810">
        <f>IF(A810="","",IF(ISNUMBER(--LEFT(A810,FIND(" - ",A810&amp;" - ")-1)),LEFT(A810,FIND(" - ",A810&amp;" - ")-1),TRIM(A810)))</f>
        <v/>
      </c>
      <c r="N810">
        <f>IF(L810="","",IF(ISNUMBER(INDEX(A810:H810,$P$1)),INDEX(A810:H810,$P$1),IFERROR(_xlfn.NUMBERVALUE(INDEX(A810:H810,$P$1),".",","),0)))</f>
        <v/>
      </c>
    </row>
    <row r="811">
      <c r="L811">
        <f>IF(A811="","",IF(ISNUMBER(--LEFT(A811,FIND(" - ",A811&amp;" - ")-1)),LEFT(A811,FIND(" - ",A811&amp;" - ")-1),TRIM(A811)))</f>
        <v/>
      </c>
      <c r="N811">
        <f>IF(L811="","",IF(ISNUMBER(INDEX(A811:H811,$P$1)),INDEX(A811:H811,$P$1),IFERROR(_xlfn.NUMBERVALUE(INDEX(A811:H811,$P$1),".",","),0)))</f>
        <v/>
      </c>
    </row>
    <row r="812">
      <c r="L812">
        <f>IF(A812="","",IF(ISNUMBER(--LEFT(A812,FIND(" - ",A812&amp;" - ")-1)),LEFT(A812,FIND(" - ",A812&amp;" - ")-1),TRIM(A812)))</f>
        <v/>
      </c>
      <c r="N812">
        <f>IF(L812="","",IF(ISNUMBER(INDEX(A812:H812,$P$1)),INDEX(A812:H812,$P$1),IFERROR(_xlfn.NUMBERVALUE(INDEX(A812:H812,$P$1),".",","),0)))</f>
        <v/>
      </c>
    </row>
    <row r="813">
      <c r="L813">
        <f>IF(A813="","",IF(ISNUMBER(--LEFT(A813,FIND(" - ",A813&amp;" - ")-1)),LEFT(A813,FIND(" - ",A813&amp;" - ")-1),TRIM(A813)))</f>
        <v/>
      </c>
      <c r="N813">
        <f>IF(L813="","",IF(ISNUMBER(INDEX(A813:H813,$P$1)),INDEX(A813:H813,$P$1),IFERROR(_xlfn.NUMBERVALUE(INDEX(A813:H813,$P$1),".",","),0)))</f>
        <v/>
      </c>
    </row>
    <row r="814">
      <c r="L814">
        <f>IF(A814="","",IF(ISNUMBER(--LEFT(A814,FIND(" - ",A814&amp;" - ")-1)),LEFT(A814,FIND(" - ",A814&amp;" - ")-1),TRIM(A814)))</f>
        <v/>
      </c>
      <c r="N814">
        <f>IF(L814="","",IF(ISNUMBER(INDEX(A814:H814,$P$1)),INDEX(A814:H814,$P$1),IFERROR(_xlfn.NUMBERVALUE(INDEX(A814:H814,$P$1),".",","),0)))</f>
        <v/>
      </c>
    </row>
    <row r="815">
      <c r="L815">
        <f>IF(A815="","",IF(ISNUMBER(--LEFT(A815,FIND(" - ",A815&amp;" - ")-1)),LEFT(A815,FIND(" - ",A815&amp;" - ")-1),TRIM(A815)))</f>
        <v/>
      </c>
      <c r="N815">
        <f>IF(L815="","",IF(ISNUMBER(INDEX(A815:H815,$P$1)),INDEX(A815:H815,$P$1),IFERROR(_xlfn.NUMBERVALUE(INDEX(A815:H815,$P$1),".",","),0)))</f>
        <v/>
      </c>
    </row>
    <row r="816">
      <c r="L816">
        <f>IF(A816="","",IF(ISNUMBER(--LEFT(A816,FIND(" - ",A816&amp;" - ")-1)),LEFT(A816,FIND(" - ",A816&amp;" - ")-1),TRIM(A816)))</f>
        <v/>
      </c>
      <c r="N816">
        <f>IF(L816="","",IF(ISNUMBER(INDEX(A816:H816,$P$1)),INDEX(A816:H816,$P$1),IFERROR(_xlfn.NUMBERVALUE(INDEX(A816:H816,$P$1),".",","),0)))</f>
        <v/>
      </c>
    </row>
    <row r="817">
      <c r="L817">
        <f>IF(A817="","",IF(ISNUMBER(--LEFT(A817,FIND(" - ",A817&amp;" - ")-1)),LEFT(A817,FIND(" - ",A817&amp;" - ")-1),TRIM(A817)))</f>
        <v/>
      </c>
      <c r="N817">
        <f>IF(L817="","",IF(ISNUMBER(INDEX(A817:H817,$P$1)),INDEX(A817:H817,$P$1),IFERROR(_xlfn.NUMBERVALUE(INDEX(A817:H817,$P$1),".",","),0)))</f>
        <v/>
      </c>
    </row>
    <row r="818">
      <c r="L818">
        <f>IF(A818="","",IF(ISNUMBER(--LEFT(A818,FIND(" - ",A818&amp;" - ")-1)),LEFT(A818,FIND(" - ",A818&amp;" - ")-1),TRIM(A818)))</f>
        <v/>
      </c>
      <c r="N818">
        <f>IF(L818="","",IF(ISNUMBER(INDEX(A818:H818,$P$1)),INDEX(A818:H818,$P$1),IFERROR(_xlfn.NUMBERVALUE(INDEX(A818:H818,$P$1),".",","),0)))</f>
        <v/>
      </c>
    </row>
    <row r="819">
      <c r="L819">
        <f>IF(A819="","",IF(ISNUMBER(--LEFT(A819,FIND(" - ",A819&amp;" - ")-1)),LEFT(A819,FIND(" - ",A819&amp;" - ")-1),TRIM(A819)))</f>
        <v/>
      </c>
      <c r="N819">
        <f>IF(L819="","",IF(ISNUMBER(INDEX(A819:H819,$P$1)),INDEX(A819:H819,$P$1),IFERROR(_xlfn.NUMBERVALUE(INDEX(A819:H819,$P$1),".",","),0)))</f>
        <v/>
      </c>
    </row>
    <row r="820">
      <c r="L820">
        <f>IF(A820="","",IF(ISNUMBER(--LEFT(A820,FIND(" - ",A820&amp;" - ")-1)),LEFT(A820,FIND(" - ",A820&amp;" - ")-1),TRIM(A820)))</f>
        <v/>
      </c>
      <c r="N820">
        <f>IF(L820="","",IF(ISNUMBER(INDEX(A820:H820,$P$1)),INDEX(A820:H820,$P$1),IFERROR(_xlfn.NUMBERVALUE(INDEX(A820:H820,$P$1),".",","),0)))</f>
        <v/>
      </c>
    </row>
    <row r="821">
      <c r="L821">
        <f>IF(A821="","",IF(ISNUMBER(--LEFT(A821,FIND(" - ",A821&amp;" - ")-1)),LEFT(A821,FIND(" - ",A821&amp;" - ")-1),TRIM(A821)))</f>
        <v/>
      </c>
      <c r="N821">
        <f>IF(L821="","",IF(ISNUMBER(INDEX(A821:H821,$P$1)),INDEX(A821:H821,$P$1),IFERROR(_xlfn.NUMBERVALUE(INDEX(A821:H821,$P$1),".",","),0)))</f>
        <v/>
      </c>
    </row>
    <row r="822">
      <c r="L822">
        <f>IF(A822="","",IF(ISNUMBER(--LEFT(A822,FIND(" - ",A822&amp;" - ")-1)),LEFT(A822,FIND(" - ",A822&amp;" - ")-1),TRIM(A822)))</f>
        <v/>
      </c>
      <c r="N822">
        <f>IF(L822="","",IF(ISNUMBER(INDEX(A822:H822,$P$1)),INDEX(A822:H822,$P$1),IFERROR(_xlfn.NUMBERVALUE(INDEX(A822:H822,$P$1),".",","),0)))</f>
        <v/>
      </c>
    </row>
    <row r="823">
      <c r="L823">
        <f>IF(A823="","",IF(ISNUMBER(--LEFT(A823,FIND(" - ",A823&amp;" - ")-1)),LEFT(A823,FIND(" - ",A823&amp;" - ")-1),TRIM(A823)))</f>
        <v/>
      </c>
      <c r="N823">
        <f>IF(L823="","",IF(ISNUMBER(INDEX(A823:H823,$P$1)),INDEX(A823:H823,$P$1),IFERROR(_xlfn.NUMBERVALUE(INDEX(A823:H823,$P$1),".",","),0)))</f>
        <v/>
      </c>
    </row>
    <row r="824">
      <c r="L824">
        <f>IF(A824="","",IF(ISNUMBER(--LEFT(A824,FIND(" - ",A824&amp;" - ")-1)),LEFT(A824,FIND(" - ",A824&amp;" - ")-1),TRIM(A824)))</f>
        <v/>
      </c>
      <c r="N824">
        <f>IF(L824="","",IF(ISNUMBER(INDEX(A824:H824,$P$1)),INDEX(A824:H824,$P$1),IFERROR(_xlfn.NUMBERVALUE(INDEX(A824:H824,$P$1),".",","),0)))</f>
        <v/>
      </c>
    </row>
    <row r="825">
      <c r="L825">
        <f>IF(A825="","",IF(ISNUMBER(--LEFT(A825,FIND(" - ",A825&amp;" - ")-1)),LEFT(A825,FIND(" - ",A825&amp;" - ")-1),TRIM(A825)))</f>
        <v/>
      </c>
      <c r="N825">
        <f>IF(L825="","",IF(ISNUMBER(INDEX(A825:H825,$P$1)),INDEX(A825:H825,$P$1),IFERROR(_xlfn.NUMBERVALUE(INDEX(A825:H825,$P$1),".",","),0)))</f>
        <v/>
      </c>
    </row>
    <row r="826">
      <c r="L826">
        <f>IF(A826="","",IF(ISNUMBER(--LEFT(A826,FIND(" - ",A826&amp;" - ")-1)),LEFT(A826,FIND(" - ",A826&amp;" - ")-1),TRIM(A826)))</f>
        <v/>
      </c>
      <c r="N826">
        <f>IF(L826="","",IF(ISNUMBER(INDEX(A826:H826,$P$1)),INDEX(A826:H826,$P$1),IFERROR(_xlfn.NUMBERVALUE(INDEX(A826:H826,$P$1),".",","),0)))</f>
        <v/>
      </c>
    </row>
    <row r="827">
      <c r="L827">
        <f>IF(A827="","",IF(ISNUMBER(--LEFT(A827,FIND(" - ",A827&amp;" - ")-1)),LEFT(A827,FIND(" - ",A827&amp;" - ")-1),TRIM(A827)))</f>
        <v/>
      </c>
      <c r="N827">
        <f>IF(L827="","",IF(ISNUMBER(INDEX(A827:H827,$P$1)),INDEX(A827:H827,$P$1),IFERROR(_xlfn.NUMBERVALUE(INDEX(A827:H827,$P$1),".",","),0)))</f>
        <v/>
      </c>
    </row>
    <row r="828">
      <c r="L828">
        <f>IF(A828="","",IF(ISNUMBER(--LEFT(A828,FIND(" - ",A828&amp;" - ")-1)),LEFT(A828,FIND(" - ",A828&amp;" - ")-1),TRIM(A828)))</f>
        <v/>
      </c>
      <c r="N828">
        <f>IF(L828="","",IF(ISNUMBER(INDEX(A828:H828,$P$1)),INDEX(A828:H828,$P$1),IFERROR(_xlfn.NUMBERVALUE(INDEX(A828:H828,$P$1),".",","),0)))</f>
        <v/>
      </c>
    </row>
    <row r="829">
      <c r="L829">
        <f>IF(A829="","",IF(ISNUMBER(--LEFT(A829,FIND(" - ",A829&amp;" - ")-1)),LEFT(A829,FIND(" - ",A829&amp;" - ")-1),TRIM(A829)))</f>
        <v/>
      </c>
      <c r="N829">
        <f>IF(L829="","",IF(ISNUMBER(INDEX(A829:H829,$P$1)),INDEX(A829:H829,$P$1),IFERROR(_xlfn.NUMBERVALUE(INDEX(A829:H829,$P$1),".",","),0)))</f>
        <v/>
      </c>
    </row>
    <row r="830">
      <c r="L830">
        <f>IF(A830="","",IF(ISNUMBER(--LEFT(A830,FIND(" - ",A830&amp;" - ")-1)),LEFT(A830,FIND(" - ",A830&amp;" - ")-1),TRIM(A830)))</f>
        <v/>
      </c>
      <c r="N830">
        <f>IF(L830="","",IF(ISNUMBER(INDEX(A830:H830,$P$1)),INDEX(A830:H830,$P$1),IFERROR(_xlfn.NUMBERVALUE(INDEX(A830:H830,$P$1),".",","),0)))</f>
        <v/>
      </c>
    </row>
    <row r="831">
      <c r="L831">
        <f>IF(A831="","",IF(ISNUMBER(--LEFT(A831,FIND(" - ",A831&amp;" - ")-1)),LEFT(A831,FIND(" - ",A831&amp;" - ")-1),TRIM(A831)))</f>
        <v/>
      </c>
      <c r="N831">
        <f>IF(L831="","",IF(ISNUMBER(INDEX(A831:H831,$P$1)),INDEX(A831:H831,$P$1),IFERROR(_xlfn.NUMBERVALUE(INDEX(A831:H831,$P$1),".",","),0)))</f>
        <v/>
      </c>
    </row>
    <row r="832">
      <c r="L832">
        <f>IF(A832="","",IF(ISNUMBER(--LEFT(A832,FIND(" - ",A832&amp;" - ")-1)),LEFT(A832,FIND(" - ",A832&amp;" - ")-1),TRIM(A832)))</f>
        <v/>
      </c>
      <c r="N832">
        <f>IF(L832="","",IF(ISNUMBER(INDEX(A832:H832,$P$1)),INDEX(A832:H832,$P$1),IFERROR(_xlfn.NUMBERVALUE(INDEX(A832:H832,$P$1),".",","),0)))</f>
        <v/>
      </c>
    </row>
    <row r="833">
      <c r="L833">
        <f>IF(A833="","",IF(ISNUMBER(--LEFT(A833,FIND(" - ",A833&amp;" - ")-1)),LEFT(A833,FIND(" - ",A833&amp;" - ")-1),TRIM(A833)))</f>
        <v/>
      </c>
      <c r="N833">
        <f>IF(L833="","",IF(ISNUMBER(INDEX(A833:H833,$P$1)),INDEX(A833:H833,$P$1),IFERROR(_xlfn.NUMBERVALUE(INDEX(A833:H833,$P$1),".",","),0)))</f>
        <v/>
      </c>
    </row>
    <row r="834">
      <c r="L834">
        <f>IF(A834="","",IF(ISNUMBER(--LEFT(A834,FIND(" - ",A834&amp;" - ")-1)),LEFT(A834,FIND(" - ",A834&amp;" - ")-1),TRIM(A834)))</f>
        <v/>
      </c>
      <c r="N834">
        <f>IF(L834="","",IF(ISNUMBER(INDEX(A834:H834,$P$1)),INDEX(A834:H834,$P$1),IFERROR(_xlfn.NUMBERVALUE(INDEX(A834:H834,$P$1),".",","),0)))</f>
        <v/>
      </c>
    </row>
    <row r="835">
      <c r="L835">
        <f>IF(A835="","",IF(ISNUMBER(--LEFT(A835,FIND(" - ",A835&amp;" - ")-1)),LEFT(A835,FIND(" - ",A835&amp;" - ")-1),TRIM(A835)))</f>
        <v/>
      </c>
      <c r="N835">
        <f>IF(L835="","",IF(ISNUMBER(INDEX(A835:H835,$P$1)),INDEX(A835:H835,$P$1),IFERROR(_xlfn.NUMBERVALUE(INDEX(A835:H835,$P$1),".",","),0)))</f>
        <v/>
      </c>
    </row>
    <row r="836">
      <c r="L836">
        <f>IF(A836="","",IF(ISNUMBER(--LEFT(A836,FIND(" - ",A836&amp;" - ")-1)),LEFT(A836,FIND(" - ",A836&amp;" - ")-1),TRIM(A836)))</f>
        <v/>
      </c>
      <c r="N836">
        <f>IF(L836="","",IF(ISNUMBER(INDEX(A836:H836,$P$1)),INDEX(A836:H836,$P$1),IFERROR(_xlfn.NUMBERVALUE(INDEX(A836:H836,$P$1),".",","),0)))</f>
        <v/>
      </c>
    </row>
    <row r="837">
      <c r="L837">
        <f>IF(A837="","",IF(ISNUMBER(--LEFT(A837,FIND(" - ",A837&amp;" - ")-1)),LEFT(A837,FIND(" - ",A837&amp;" - ")-1),TRIM(A837)))</f>
        <v/>
      </c>
      <c r="N837">
        <f>IF(L837="","",IF(ISNUMBER(INDEX(A837:H837,$P$1)),INDEX(A837:H837,$P$1),IFERROR(_xlfn.NUMBERVALUE(INDEX(A837:H837,$P$1),".",","),0)))</f>
        <v/>
      </c>
    </row>
    <row r="838">
      <c r="L838">
        <f>IF(A838="","",IF(ISNUMBER(--LEFT(A838,FIND(" - ",A838&amp;" - ")-1)),LEFT(A838,FIND(" - ",A838&amp;" - ")-1),TRIM(A838)))</f>
        <v/>
      </c>
      <c r="N838">
        <f>IF(L838="","",IF(ISNUMBER(INDEX(A838:H838,$P$1)),INDEX(A838:H838,$P$1),IFERROR(_xlfn.NUMBERVALUE(INDEX(A838:H838,$P$1),".",","),0)))</f>
        <v/>
      </c>
    </row>
    <row r="839">
      <c r="L839">
        <f>IF(A839="","",IF(ISNUMBER(--LEFT(A839,FIND(" - ",A839&amp;" - ")-1)),LEFT(A839,FIND(" - ",A839&amp;" - ")-1),TRIM(A839)))</f>
        <v/>
      </c>
      <c r="N839">
        <f>IF(L839="","",IF(ISNUMBER(INDEX(A839:H839,$P$1)),INDEX(A839:H839,$P$1),IFERROR(_xlfn.NUMBERVALUE(INDEX(A839:H839,$P$1),".",","),0)))</f>
        <v/>
      </c>
    </row>
    <row r="840">
      <c r="L840">
        <f>IF(A840="","",IF(ISNUMBER(--LEFT(A840,FIND(" - ",A840&amp;" - ")-1)),LEFT(A840,FIND(" - ",A840&amp;" - ")-1),TRIM(A840)))</f>
        <v/>
      </c>
      <c r="N840">
        <f>IF(L840="","",IF(ISNUMBER(INDEX(A840:H840,$P$1)),INDEX(A840:H840,$P$1),IFERROR(_xlfn.NUMBERVALUE(INDEX(A840:H840,$P$1),".",","),0)))</f>
        <v/>
      </c>
    </row>
    <row r="841">
      <c r="L841">
        <f>IF(A841="","",IF(ISNUMBER(--LEFT(A841,FIND(" - ",A841&amp;" - ")-1)),LEFT(A841,FIND(" - ",A841&amp;" - ")-1),TRIM(A841)))</f>
        <v/>
      </c>
      <c r="N841">
        <f>IF(L841="","",IF(ISNUMBER(INDEX(A841:H841,$P$1)),INDEX(A841:H841,$P$1),IFERROR(_xlfn.NUMBERVALUE(INDEX(A841:H841,$P$1),".",","),0)))</f>
        <v/>
      </c>
    </row>
    <row r="842">
      <c r="L842">
        <f>IF(A842="","",IF(ISNUMBER(--LEFT(A842,FIND(" - ",A842&amp;" - ")-1)),LEFT(A842,FIND(" - ",A842&amp;" - ")-1),TRIM(A842)))</f>
        <v/>
      </c>
      <c r="N842">
        <f>IF(L842="","",IF(ISNUMBER(INDEX(A842:H842,$P$1)),INDEX(A842:H842,$P$1),IFERROR(_xlfn.NUMBERVALUE(INDEX(A842:H842,$P$1),".",","),0)))</f>
        <v/>
      </c>
    </row>
    <row r="843">
      <c r="L843">
        <f>IF(A843="","",IF(ISNUMBER(--LEFT(A843,FIND(" - ",A843&amp;" - ")-1)),LEFT(A843,FIND(" - ",A843&amp;" - ")-1),TRIM(A843)))</f>
        <v/>
      </c>
      <c r="N843">
        <f>IF(L843="","",IF(ISNUMBER(INDEX(A843:H843,$P$1)),INDEX(A843:H843,$P$1),IFERROR(_xlfn.NUMBERVALUE(INDEX(A843:H843,$P$1),".",","),0)))</f>
        <v/>
      </c>
    </row>
    <row r="844">
      <c r="L844">
        <f>IF(A844="","",IF(ISNUMBER(--LEFT(A844,FIND(" - ",A844&amp;" - ")-1)),LEFT(A844,FIND(" - ",A844&amp;" - ")-1),TRIM(A844)))</f>
        <v/>
      </c>
      <c r="N844">
        <f>IF(L844="","",IF(ISNUMBER(INDEX(A844:H844,$P$1)),INDEX(A844:H844,$P$1),IFERROR(_xlfn.NUMBERVALUE(INDEX(A844:H844,$P$1),".",","),0)))</f>
        <v/>
      </c>
    </row>
    <row r="845">
      <c r="L845">
        <f>IF(A845="","",IF(ISNUMBER(--LEFT(A845,FIND(" - ",A845&amp;" - ")-1)),LEFT(A845,FIND(" - ",A845&amp;" - ")-1),TRIM(A845)))</f>
        <v/>
      </c>
      <c r="N845">
        <f>IF(L845="","",IF(ISNUMBER(INDEX(A845:H845,$P$1)),INDEX(A845:H845,$P$1),IFERROR(_xlfn.NUMBERVALUE(INDEX(A845:H845,$P$1),".",","),0)))</f>
        <v/>
      </c>
    </row>
    <row r="846">
      <c r="L846">
        <f>IF(A846="","",IF(ISNUMBER(--LEFT(A846,FIND(" - ",A846&amp;" - ")-1)),LEFT(A846,FIND(" - ",A846&amp;" - ")-1),TRIM(A846)))</f>
        <v/>
      </c>
      <c r="N846">
        <f>IF(L846="","",IF(ISNUMBER(INDEX(A846:H846,$P$1)),INDEX(A846:H846,$P$1),IFERROR(_xlfn.NUMBERVALUE(INDEX(A846:H846,$P$1),".",","),0)))</f>
        <v/>
      </c>
    </row>
    <row r="847">
      <c r="L847">
        <f>IF(A847="","",IF(ISNUMBER(--LEFT(A847,FIND(" - ",A847&amp;" - ")-1)),LEFT(A847,FIND(" - ",A847&amp;" - ")-1),TRIM(A847)))</f>
        <v/>
      </c>
      <c r="N847">
        <f>IF(L847="","",IF(ISNUMBER(INDEX(A847:H847,$P$1)),INDEX(A847:H847,$P$1),IFERROR(_xlfn.NUMBERVALUE(INDEX(A847:H847,$P$1),".",","),0)))</f>
        <v/>
      </c>
    </row>
    <row r="848">
      <c r="L848">
        <f>IF(A848="","",IF(ISNUMBER(--LEFT(A848,FIND(" - ",A848&amp;" - ")-1)),LEFT(A848,FIND(" - ",A848&amp;" - ")-1),TRIM(A848)))</f>
        <v/>
      </c>
      <c r="N848">
        <f>IF(L848="","",IF(ISNUMBER(INDEX(A848:H848,$P$1)),INDEX(A848:H848,$P$1),IFERROR(_xlfn.NUMBERVALUE(INDEX(A848:H848,$P$1),".",","),0)))</f>
        <v/>
      </c>
    </row>
    <row r="849">
      <c r="L849">
        <f>IF(A849="","",IF(ISNUMBER(--LEFT(A849,FIND(" - ",A849&amp;" - ")-1)),LEFT(A849,FIND(" - ",A849&amp;" - ")-1),TRIM(A849)))</f>
        <v/>
      </c>
      <c r="N849">
        <f>IF(L849="","",IF(ISNUMBER(INDEX(A849:H849,$P$1)),INDEX(A849:H849,$P$1),IFERROR(_xlfn.NUMBERVALUE(INDEX(A849:H849,$P$1),".",","),0)))</f>
        <v/>
      </c>
    </row>
    <row r="850">
      <c r="L850">
        <f>IF(A850="","",IF(ISNUMBER(--LEFT(A850,FIND(" - ",A850&amp;" - ")-1)),LEFT(A850,FIND(" - ",A850&amp;" - ")-1),TRIM(A850)))</f>
        <v/>
      </c>
      <c r="N850">
        <f>IF(L850="","",IF(ISNUMBER(INDEX(A850:H850,$P$1)),INDEX(A850:H850,$P$1),IFERROR(_xlfn.NUMBERVALUE(INDEX(A850:H850,$P$1),".",","),0)))</f>
        <v/>
      </c>
    </row>
    <row r="851">
      <c r="L851">
        <f>IF(A851="","",IF(ISNUMBER(--LEFT(A851,FIND(" - ",A851&amp;" - ")-1)),LEFT(A851,FIND(" - ",A851&amp;" - ")-1),TRIM(A851)))</f>
        <v/>
      </c>
      <c r="N851">
        <f>IF(L851="","",IF(ISNUMBER(INDEX(A851:H851,$P$1)),INDEX(A851:H851,$P$1),IFERROR(_xlfn.NUMBERVALUE(INDEX(A851:H851,$P$1),".",","),0)))</f>
        <v/>
      </c>
    </row>
    <row r="852">
      <c r="L852">
        <f>IF(A852="","",IF(ISNUMBER(--LEFT(A852,FIND(" - ",A852&amp;" - ")-1)),LEFT(A852,FIND(" - ",A852&amp;" - ")-1),TRIM(A852)))</f>
        <v/>
      </c>
      <c r="N852">
        <f>IF(L852="","",IF(ISNUMBER(INDEX(A852:H852,$P$1)),INDEX(A852:H852,$P$1),IFERROR(_xlfn.NUMBERVALUE(INDEX(A852:H852,$P$1),".",","),0)))</f>
        <v/>
      </c>
    </row>
    <row r="853">
      <c r="L853">
        <f>IF(A853="","",IF(ISNUMBER(--LEFT(A853,FIND(" - ",A853&amp;" - ")-1)),LEFT(A853,FIND(" - ",A853&amp;" - ")-1),TRIM(A853)))</f>
        <v/>
      </c>
      <c r="N853">
        <f>IF(L853="","",IF(ISNUMBER(INDEX(A853:H853,$P$1)),INDEX(A853:H853,$P$1),IFERROR(_xlfn.NUMBERVALUE(INDEX(A853:H853,$P$1),".",","),0)))</f>
        <v/>
      </c>
    </row>
    <row r="854">
      <c r="L854">
        <f>IF(A854="","",IF(ISNUMBER(--LEFT(A854,FIND(" - ",A854&amp;" - ")-1)),LEFT(A854,FIND(" - ",A854&amp;" - ")-1),TRIM(A854)))</f>
        <v/>
      </c>
      <c r="N854">
        <f>IF(L854="","",IF(ISNUMBER(INDEX(A854:H854,$P$1)),INDEX(A854:H854,$P$1),IFERROR(_xlfn.NUMBERVALUE(INDEX(A854:H854,$P$1),".",","),0)))</f>
        <v/>
      </c>
    </row>
    <row r="855">
      <c r="L855">
        <f>IF(A855="","",IF(ISNUMBER(--LEFT(A855,FIND(" - ",A855&amp;" - ")-1)),LEFT(A855,FIND(" - ",A855&amp;" - ")-1),TRIM(A855)))</f>
        <v/>
      </c>
      <c r="N855">
        <f>IF(L855="","",IF(ISNUMBER(INDEX(A855:H855,$P$1)),INDEX(A855:H855,$P$1),IFERROR(_xlfn.NUMBERVALUE(INDEX(A855:H855,$P$1),".",","),0)))</f>
        <v/>
      </c>
    </row>
    <row r="856">
      <c r="L856">
        <f>IF(A856="","",IF(ISNUMBER(--LEFT(A856,FIND(" - ",A856&amp;" - ")-1)),LEFT(A856,FIND(" - ",A856&amp;" - ")-1),TRIM(A856)))</f>
        <v/>
      </c>
      <c r="N856">
        <f>IF(L856="","",IF(ISNUMBER(INDEX(A856:H856,$P$1)),INDEX(A856:H856,$P$1),IFERROR(_xlfn.NUMBERVALUE(INDEX(A856:H856,$P$1),".",","),0)))</f>
        <v/>
      </c>
    </row>
    <row r="857">
      <c r="L857">
        <f>IF(A857="","",IF(ISNUMBER(--LEFT(A857,FIND(" - ",A857&amp;" - ")-1)),LEFT(A857,FIND(" - ",A857&amp;" - ")-1),TRIM(A857)))</f>
        <v/>
      </c>
      <c r="N857">
        <f>IF(L857="","",IF(ISNUMBER(INDEX(A857:H857,$P$1)),INDEX(A857:H857,$P$1),IFERROR(_xlfn.NUMBERVALUE(INDEX(A857:H857,$P$1),".",","),0)))</f>
        <v/>
      </c>
    </row>
    <row r="858">
      <c r="L858">
        <f>IF(A858="","",IF(ISNUMBER(--LEFT(A858,FIND(" - ",A858&amp;" - ")-1)),LEFT(A858,FIND(" - ",A858&amp;" - ")-1),TRIM(A858)))</f>
        <v/>
      </c>
      <c r="N858">
        <f>IF(L858="","",IF(ISNUMBER(INDEX(A858:H858,$P$1)),INDEX(A858:H858,$P$1),IFERROR(_xlfn.NUMBERVALUE(INDEX(A858:H858,$P$1),".",","),0)))</f>
        <v/>
      </c>
    </row>
    <row r="859">
      <c r="L859">
        <f>IF(A859="","",IF(ISNUMBER(--LEFT(A859,FIND(" - ",A859&amp;" - ")-1)),LEFT(A859,FIND(" - ",A859&amp;" - ")-1),TRIM(A859)))</f>
        <v/>
      </c>
      <c r="N859">
        <f>IF(L859="","",IF(ISNUMBER(INDEX(A859:H859,$P$1)),INDEX(A859:H859,$P$1),IFERROR(_xlfn.NUMBERVALUE(INDEX(A859:H859,$P$1),".",","),0)))</f>
        <v/>
      </c>
    </row>
    <row r="860">
      <c r="L860">
        <f>IF(A860="","",IF(ISNUMBER(--LEFT(A860,FIND(" - ",A860&amp;" - ")-1)),LEFT(A860,FIND(" - ",A860&amp;" - ")-1),TRIM(A860)))</f>
        <v/>
      </c>
      <c r="N860">
        <f>IF(L860="","",IF(ISNUMBER(INDEX(A860:H860,$P$1)),INDEX(A860:H860,$P$1),IFERROR(_xlfn.NUMBERVALUE(INDEX(A860:H860,$P$1),".",","),0)))</f>
        <v/>
      </c>
    </row>
    <row r="861">
      <c r="L861">
        <f>IF(A861="","",IF(ISNUMBER(--LEFT(A861,FIND(" - ",A861&amp;" - ")-1)),LEFT(A861,FIND(" - ",A861&amp;" - ")-1),TRIM(A861)))</f>
        <v/>
      </c>
      <c r="N861">
        <f>IF(L861="","",IF(ISNUMBER(INDEX(A861:H861,$P$1)),INDEX(A861:H861,$P$1),IFERROR(_xlfn.NUMBERVALUE(INDEX(A861:H861,$P$1),".",","),0)))</f>
        <v/>
      </c>
    </row>
    <row r="862">
      <c r="L862">
        <f>IF(A862="","",IF(ISNUMBER(--LEFT(A862,FIND(" - ",A862&amp;" - ")-1)),LEFT(A862,FIND(" - ",A862&amp;" - ")-1),TRIM(A862)))</f>
        <v/>
      </c>
      <c r="N862">
        <f>IF(L862="","",IF(ISNUMBER(INDEX(A862:H862,$P$1)),INDEX(A862:H862,$P$1),IFERROR(_xlfn.NUMBERVALUE(INDEX(A862:H862,$P$1),".",","),0)))</f>
        <v/>
      </c>
    </row>
    <row r="863">
      <c r="L863">
        <f>IF(A863="","",IF(ISNUMBER(--LEFT(A863,FIND(" - ",A863&amp;" - ")-1)),LEFT(A863,FIND(" - ",A863&amp;" - ")-1),TRIM(A863)))</f>
        <v/>
      </c>
      <c r="N863">
        <f>IF(L863="","",IF(ISNUMBER(INDEX(A863:H863,$P$1)),INDEX(A863:H863,$P$1),IFERROR(_xlfn.NUMBERVALUE(INDEX(A863:H863,$P$1),".",","),0)))</f>
        <v/>
      </c>
    </row>
    <row r="864">
      <c r="L864">
        <f>IF(A864="","",IF(ISNUMBER(--LEFT(A864,FIND(" - ",A864&amp;" - ")-1)),LEFT(A864,FIND(" - ",A864&amp;" - ")-1),TRIM(A864)))</f>
        <v/>
      </c>
      <c r="N864">
        <f>IF(L864="","",IF(ISNUMBER(INDEX(A864:H864,$P$1)),INDEX(A864:H864,$P$1),IFERROR(_xlfn.NUMBERVALUE(INDEX(A864:H864,$P$1),".",","),0)))</f>
        <v/>
      </c>
    </row>
    <row r="865">
      <c r="L865">
        <f>IF(A865="","",IF(ISNUMBER(--LEFT(A865,FIND(" - ",A865&amp;" - ")-1)),LEFT(A865,FIND(" - ",A865&amp;" - ")-1),TRIM(A865)))</f>
        <v/>
      </c>
      <c r="N865">
        <f>IF(L865="","",IF(ISNUMBER(INDEX(A865:H865,$P$1)),INDEX(A865:H865,$P$1),IFERROR(_xlfn.NUMBERVALUE(INDEX(A865:H865,$P$1),".",","),0)))</f>
        <v/>
      </c>
    </row>
    <row r="866">
      <c r="L866">
        <f>IF(A866="","",IF(ISNUMBER(--LEFT(A866,FIND(" - ",A866&amp;" - ")-1)),LEFT(A866,FIND(" - ",A866&amp;" - ")-1),TRIM(A866)))</f>
        <v/>
      </c>
      <c r="N866">
        <f>IF(L866="","",IF(ISNUMBER(INDEX(A866:H866,$P$1)),INDEX(A866:H866,$P$1),IFERROR(_xlfn.NUMBERVALUE(INDEX(A866:H866,$P$1),".",","),0)))</f>
        <v/>
      </c>
    </row>
    <row r="867">
      <c r="L867">
        <f>IF(A867="","",IF(ISNUMBER(--LEFT(A867,FIND(" - ",A867&amp;" - ")-1)),LEFT(A867,FIND(" - ",A867&amp;" - ")-1),TRIM(A867)))</f>
        <v/>
      </c>
      <c r="N867">
        <f>IF(L867="","",IF(ISNUMBER(INDEX(A867:H867,$P$1)),INDEX(A867:H867,$P$1),IFERROR(_xlfn.NUMBERVALUE(INDEX(A867:H867,$P$1),".",","),0)))</f>
        <v/>
      </c>
    </row>
    <row r="868">
      <c r="L868">
        <f>IF(A868="","",IF(ISNUMBER(--LEFT(A868,FIND(" - ",A868&amp;" - ")-1)),LEFT(A868,FIND(" - ",A868&amp;" - ")-1),TRIM(A868)))</f>
        <v/>
      </c>
      <c r="N868">
        <f>IF(L868="","",IF(ISNUMBER(INDEX(A868:H868,$P$1)),INDEX(A868:H868,$P$1),IFERROR(_xlfn.NUMBERVALUE(INDEX(A868:H868,$P$1),".",","),0)))</f>
        <v/>
      </c>
    </row>
    <row r="869">
      <c r="L869">
        <f>IF(A869="","",IF(ISNUMBER(--LEFT(A869,FIND(" - ",A869&amp;" - ")-1)),LEFT(A869,FIND(" - ",A869&amp;" - ")-1),TRIM(A869)))</f>
        <v/>
      </c>
      <c r="N869">
        <f>IF(L869="","",IF(ISNUMBER(INDEX(A869:H869,$P$1)),INDEX(A869:H869,$P$1),IFERROR(_xlfn.NUMBERVALUE(INDEX(A869:H869,$P$1),".",","),0)))</f>
        <v/>
      </c>
    </row>
    <row r="870">
      <c r="L870">
        <f>IF(A870="","",IF(ISNUMBER(--LEFT(A870,FIND(" - ",A870&amp;" - ")-1)),LEFT(A870,FIND(" - ",A870&amp;" - ")-1),TRIM(A870)))</f>
        <v/>
      </c>
      <c r="N870">
        <f>IF(L870="","",IF(ISNUMBER(INDEX(A870:H870,$P$1)),INDEX(A870:H870,$P$1),IFERROR(_xlfn.NUMBERVALUE(INDEX(A870:H870,$P$1),".",","),0)))</f>
        <v/>
      </c>
    </row>
    <row r="871">
      <c r="L871">
        <f>IF(A871="","",IF(ISNUMBER(--LEFT(A871,FIND(" - ",A871&amp;" - ")-1)),LEFT(A871,FIND(" - ",A871&amp;" - ")-1),TRIM(A871)))</f>
        <v/>
      </c>
      <c r="N871">
        <f>IF(L871="","",IF(ISNUMBER(INDEX(A871:H871,$P$1)),INDEX(A871:H871,$P$1),IFERROR(_xlfn.NUMBERVALUE(INDEX(A871:H871,$P$1),".",","),0)))</f>
        <v/>
      </c>
    </row>
    <row r="872">
      <c r="L872">
        <f>IF(A872="","",IF(ISNUMBER(--LEFT(A872,FIND(" - ",A872&amp;" - ")-1)),LEFT(A872,FIND(" - ",A872&amp;" - ")-1),TRIM(A872)))</f>
        <v/>
      </c>
      <c r="N872">
        <f>IF(L872="","",IF(ISNUMBER(INDEX(A872:H872,$P$1)),INDEX(A872:H872,$P$1),IFERROR(_xlfn.NUMBERVALUE(INDEX(A872:H872,$P$1),".",","),0)))</f>
        <v/>
      </c>
    </row>
    <row r="873">
      <c r="L873">
        <f>IF(A873="","",IF(ISNUMBER(--LEFT(A873,FIND(" - ",A873&amp;" - ")-1)),LEFT(A873,FIND(" - ",A873&amp;" - ")-1),TRIM(A873)))</f>
        <v/>
      </c>
      <c r="N873">
        <f>IF(L873="","",IF(ISNUMBER(INDEX(A873:H873,$P$1)),INDEX(A873:H873,$P$1),IFERROR(_xlfn.NUMBERVALUE(INDEX(A873:H873,$P$1),".",","),0)))</f>
        <v/>
      </c>
    </row>
    <row r="874">
      <c r="L874">
        <f>IF(A874="","",IF(ISNUMBER(--LEFT(A874,FIND(" - ",A874&amp;" - ")-1)),LEFT(A874,FIND(" - ",A874&amp;" - ")-1),TRIM(A874)))</f>
        <v/>
      </c>
      <c r="N874">
        <f>IF(L874="","",IF(ISNUMBER(INDEX(A874:H874,$P$1)),INDEX(A874:H874,$P$1),IFERROR(_xlfn.NUMBERVALUE(INDEX(A874:H874,$P$1),".",","),0)))</f>
        <v/>
      </c>
    </row>
    <row r="875">
      <c r="L875">
        <f>IF(A875="","",IF(ISNUMBER(--LEFT(A875,FIND(" - ",A875&amp;" - ")-1)),LEFT(A875,FIND(" - ",A875&amp;" - ")-1),TRIM(A875)))</f>
        <v/>
      </c>
      <c r="N875">
        <f>IF(L875="","",IF(ISNUMBER(INDEX(A875:H875,$P$1)),INDEX(A875:H875,$P$1),IFERROR(_xlfn.NUMBERVALUE(INDEX(A875:H875,$P$1),".",","),0)))</f>
        <v/>
      </c>
    </row>
    <row r="876">
      <c r="L876">
        <f>IF(A876="","",IF(ISNUMBER(--LEFT(A876,FIND(" - ",A876&amp;" - ")-1)),LEFT(A876,FIND(" - ",A876&amp;" - ")-1),TRIM(A876)))</f>
        <v/>
      </c>
      <c r="N876">
        <f>IF(L876="","",IF(ISNUMBER(INDEX(A876:H876,$P$1)),INDEX(A876:H876,$P$1),IFERROR(_xlfn.NUMBERVALUE(INDEX(A876:H876,$P$1),".",","),0)))</f>
        <v/>
      </c>
    </row>
    <row r="877">
      <c r="L877">
        <f>IF(A877="","",IF(ISNUMBER(--LEFT(A877,FIND(" - ",A877&amp;" - ")-1)),LEFT(A877,FIND(" - ",A877&amp;" - ")-1),TRIM(A877)))</f>
        <v/>
      </c>
      <c r="N877">
        <f>IF(L877="","",IF(ISNUMBER(INDEX(A877:H877,$P$1)),INDEX(A877:H877,$P$1),IFERROR(_xlfn.NUMBERVALUE(INDEX(A877:H877,$P$1),".",","),0)))</f>
        <v/>
      </c>
    </row>
    <row r="878">
      <c r="L878">
        <f>IF(A878="","",IF(ISNUMBER(--LEFT(A878,FIND(" - ",A878&amp;" - ")-1)),LEFT(A878,FIND(" - ",A878&amp;" - ")-1),TRIM(A878)))</f>
        <v/>
      </c>
      <c r="N878">
        <f>IF(L878="","",IF(ISNUMBER(INDEX(A878:H878,$P$1)),INDEX(A878:H878,$P$1),IFERROR(_xlfn.NUMBERVALUE(INDEX(A878:H878,$P$1),".",","),0)))</f>
        <v/>
      </c>
    </row>
    <row r="879">
      <c r="L879">
        <f>IF(A879="","",IF(ISNUMBER(--LEFT(A879,FIND(" - ",A879&amp;" - ")-1)),LEFT(A879,FIND(" - ",A879&amp;" - ")-1),TRIM(A879)))</f>
        <v/>
      </c>
      <c r="N879">
        <f>IF(L879="","",IF(ISNUMBER(INDEX(A879:H879,$P$1)),INDEX(A879:H879,$P$1),IFERROR(_xlfn.NUMBERVALUE(INDEX(A879:H879,$P$1),".",","),0)))</f>
        <v/>
      </c>
    </row>
    <row r="880">
      <c r="L880">
        <f>IF(A880="","",IF(ISNUMBER(--LEFT(A880,FIND(" - ",A880&amp;" - ")-1)),LEFT(A880,FIND(" - ",A880&amp;" - ")-1),TRIM(A880)))</f>
        <v/>
      </c>
      <c r="N880">
        <f>IF(L880="","",IF(ISNUMBER(INDEX(A880:H880,$P$1)),INDEX(A880:H880,$P$1),IFERROR(_xlfn.NUMBERVALUE(INDEX(A880:H880,$P$1),".",","),0)))</f>
        <v/>
      </c>
    </row>
    <row r="881">
      <c r="L881">
        <f>IF(A881="","",IF(ISNUMBER(--LEFT(A881,FIND(" - ",A881&amp;" - ")-1)),LEFT(A881,FIND(" - ",A881&amp;" - ")-1),TRIM(A881)))</f>
        <v/>
      </c>
      <c r="N881">
        <f>IF(L881="","",IF(ISNUMBER(INDEX(A881:H881,$P$1)),INDEX(A881:H881,$P$1),IFERROR(_xlfn.NUMBERVALUE(INDEX(A881:H881,$P$1),".",","),0)))</f>
        <v/>
      </c>
    </row>
    <row r="882">
      <c r="L882">
        <f>IF(A882="","",IF(ISNUMBER(--LEFT(A882,FIND(" - ",A882&amp;" - ")-1)),LEFT(A882,FIND(" - ",A882&amp;" - ")-1),TRIM(A882)))</f>
        <v/>
      </c>
      <c r="N882">
        <f>IF(L882="","",IF(ISNUMBER(INDEX(A882:H882,$P$1)),INDEX(A882:H882,$P$1),IFERROR(_xlfn.NUMBERVALUE(INDEX(A882:H882,$P$1),".",","),0)))</f>
        <v/>
      </c>
    </row>
    <row r="883">
      <c r="L883">
        <f>IF(A883="","",IF(ISNUMBER(--LEFT(A883,FIND(" - ",A883&amp;" - ")-1)),LEFT(A883,FIND(" - ",A883&amp;" - ")-1),TRIM(A883)))</f>
        <v/>
      </c>
      <c r="N883">
        <f>IF(L883="","",IF(ISNUMBER(INDEX(A883:H883,$P$1)),INDEX(A883:H883,$P$1),IFERROR(_xlfn.NUMBERVALUE(INDEX(A883:H883,$P$1),".",","),0)))</f>
        <v/>
      </c>
    </row>
    <row r="884">
      <c r="L884">
        <f>IF(A884="","",IF(ISNUMBER(--LEFT(A884,FIND(" - ",A884&amp;" - ")-1)),LEFT(A884,FIND(" - ",A884&amp;" - ")-1),TRIM(A884)))</f>
        <v/>
      </c>
      <c r="N884">
        <f>IF(L884="","",IF(ISNUMBER(INDEX(A884:H884,$P$1)),INDEX(A884:H884,$P$1),IFERROR(_xlfn.NUMBERVALUE(INDEX(A884:H884,$P$1),".",","),0)))</f>
        <v/>
      </c>
    </row>
    <row r="885">
      <c r="L885">
        <f>IF(A885="","",IF(ISNUMBER(--LEFT(A885,FIND(" - ",A885&amp;" - ")-1)),LEFT(A885,FIND(" - ",A885&amp;" - ")-1),TRIM(A885)))</f>
        <v/>
      </c>
      <c r="N885">
        <f>IF(L885="","",IF(ISNUMBER(INDEX(A885:H885,$P$1)),INDEX(A885:H885,$P$1),IFERROR(_xlfn.NUMBERVALUE(INDEX(A885:H885,$P$1),".",","),0)))</f>
        <v/>
      </c>
    </row>
    <row r="886">
      <c r="L886">
        <f>IF(A886="","",IF(ISNUMBER(--LEFT(A886,FIND(" - ",A886&amp;" - ")-1)),LEFT(A886,FIND(" - ",A886&amp;" - ")-1),TRIM(A886)))</f>
        <v/>
      </c>
      <c r="N886">
        <f>IF(L886="","",IF(ISNUMBER(INDEX(A886:H886,$P$1)),INDEX(A886:H886,$P$1),IFERROR(_xlfn.NUMBERVALUE(INDEX(A886:H886,$P$1),".",","),0)))</f>
        <v/>
      </c>
    </row>
    <row r="887">
      <c r="L887">
        <f>IF(A887="","",IF(ISNUMBER(--LEFT(A887,FIND(" - ",A887&amp;" - ")-1)),LEFT(A887,FIND(" - ",A887&amp;" - ")-1),TRIM(A887)))</f>
        <v/>
      </c>
      <c r="N887">
        <f>IF(L887="","",IF(ISNUMBER(INDEX(A887:H887,$P$1)),INDEX(A887:H887,$P$1),IFERROR(_xlfn.NUMBERVALUE(INDEX(A887:H887,$P$1),".",","),0)))</f>
        <v/>
      </c>
    </row>
    <row r="888">
      <c r="L888">
        <f>IF(A888="","",IF(ISNUMBER(--LEFT(A888,FIND(" - ",A888&amp;" - ")-1)),LEFT(A888,FIND(" - ",A888&amp;" - ")-1),TRIM(A888)))</f>
        <v/>
      </c>
      <c r="N888">
        <f>IF(L888="","",IF(ISNUMBER(INDEX(A888:H888,$P$1)),INDEX(A888:H888,$P$1),IFERROR(_xlfn.NUMBERVALUE(INDEX(A888:H888,$P$1),".",","),0)))</f>
        <v/>
      </c>
    </row>
    <row r="889">
      <c r="L889">
        <f>IF(A889="","",IF(ISNUMBER(--LEFT(A889,FIND(" - ",A889&amp;" - ")-1)),LEFT(A889,FIND(" - ",A889&amp;" - ")-1),TRIM(A889)))</f>
        <v/>
      </c>
      <c r="N889">
        <f>IF(L889="","",IF(ISNUMBER(INDEX(A889:H889,$P$1)),INDEX(A889:H889,$P$1),IFERROR(_xlfn.NUMBERVALUE(INDEX(A889:H889,$P$1),".",","),0)))</f>
        <v/>
      </c>
    </row>
    <row r="890">
      <c r="L890">
        <f>IF(A890="","",IF(ISNUMBER(--LEFT(A890,FIND(" - ",A890&amp;" - ")-1)),LEFT(A890,FIND(" - ",A890&amp;" - ")-1),TRIM(A890)))</f>
        <v/>
      </c>
      <c r="N890">
        <f>IF(L890="","",IF(ISNUMBER(INDEX(A890:H890,$P$1)),INDEX(A890:H890,$P$1),IFERROR(_xlfn.NUMBERVALUE(INDEX(A890:H890,$P$1),".",","),0)))</f>
        <v/>
      </c>
    </row>
    <row r="891">
      <c r="L891">
        <f>IF(A891="","",IF(ISNUMBER(--LEFT(A891,FIND(" - ",A891&amp;" - ")-1)),LEFT(A891,FIND(" - ",A891&amp;" - ")-1),TRIM(A891)))</f>
        <v/>
      </c>
      <c r="N891">
        <f>IF(L891="","",IF(ISNUMBER(INDEX(A891:H891,$P$1)),INDEX(A891:H891,$P$1),IFERROR(_xlfn.NUMBERVALUE(INDEX(A891:H891,$P$1),".",","),0)))</f>
        <v/>
      </c>
    </row>
    <row r="892">
      <c r="L892">
        <f>IF(A892="","",IF(ISNUMBER(--LEFT(A892,FIND(" - ",A892&amp;" - ")-1)),LEFT(A892,FIND(" - ",A892&amp;" - ")-1),TRIM(A892)))</f>
        <v/>
      </c>
      <c r="N892">
        <f>IF(L892="","",IF(ISNUMBER(INDEX(A892:H892,$P$1)),INDEX(A892:H892,$P$1),IFERROR(_xlfn.NUMBERVALUE(INDEX(A892:H892,$P$1),".",","),0)))</f>
        <v/>
      </c>
    </row>
    <row r="893">
      <c r="L893">
        <f>IF(A893="","",IF(ISNUMBER(--LEFT(A893,FIND(" - ",A893&amp;" - ")-1)),LEFT(A893,FIND(" - ",A893&amp;" - ")-1),TRIM(A893)))</f>
        <v/>
      </c>
      <c r="N893">
        <f>IF(L893="","",IF(ISNUMBER(INDEX(A893:H893,$P$1)),INDEX(A893:H893,$P$1),IFERROR(_xlfn.NUMBERVALUE(INDEX(A893:H893,$P$1),".",","),0)))</f>
        <v/>
      </c>
    </row>
    <row r="894">
      <c r="L894">
        <f>IF(A894="","",IF(ISNUMBER(--LEFT(A894,FIND(" - ",A894&amp;" - ")-1)),LEFT(A894,FIND(" - ",A894&amp;" - ")-1),TRIM(A894)))</f>
        <v/>
      </c>
      <c r="N894">
        <f>IF(L894="","",IF(ISNUMBER(INDEX(A894:H894,$P$1)),INDEX(A894:H894,$P$1),IFERROR(_xlfn.NUMBERVALUE(INDEX(A894:H894,$P$1),".",","),0)))</f>
        <v/>
      </c>
    </row>
    <row r="895">
      <c r="L895">
        <f>IF(A895="","",IF(ISNUMBER(--LEFT(A895,FIND(" - ",A895&amp;" - ")-1)),LEFT(A895,FIND(" - ",A895&amp;" - ")-1),TRIM(A895)))</f>
        <v/>
      </c>
      <c r="N895">
        <f>IF(L895="","",IF(ISNUMBER(INDEX(A895:H895,$P$1)),INDEX(A895:H895,$P$1),IFERROR(_xlfn.NUMBERVALUE(INDEX(A895:H895,$P$1),".",","),0)))</f>
        <v/>
      </c>
    </row>
    <row r="896">
      <c r="L896">
        <f>IF(A896="","",IF(ISNUMBER(--LEFT(A896,FIND(" - ",A896&amp;" - ")-1)),LEFT(A896,FIND(" - ",A896&amp;" - ")-1),TRIM(A896)))</f>
        <v/>
      </c>
      <c r="N896">
        <f>IF(L896="","",IF(ISNUMBER(INDEX(A896:H896,$P$1)),INDEX(A896:H896,$P$1),IFERROR(_xlfn.NUMBERVALUE(INDEX(A896:H896,$P$1),".",","),0)))</f>
        <v/>
      </c>
    </row>
    <row r="897">
      <c r="L897">
        <f>IF(A897="","",IF(ISNUMBER(--LEFT(A897,FIND(" - ",A897&amp;" - ")-1)),LEFT(A897,FIND(" - ",A897&amp;" - ")-1),TRIM(A897)))</f>
        <v/>
      </c>
      <c r="N897">
        <f>IF(L897="","",IF(ISNUMBER(INDEX(A897:H897,$P$1)),INDEX(A897:H897,$P$1),IFERROR(_xlfn.NUMBERVALUE(INDEX(A897:H897,$P$1),".",","),0)))</f>
        <v/>
      </c>
    </row>
    <row r="898">
      <c r="L898">
        <f>IF(A898="","",IF(ISNUMBER(--LEFT(A898,FIND(" - ",A898&amp;" - ")-1)),LEFT(A898,FIND(" - ",A898&amp;" - ")-1),TRIM(A898)))</f>
        <v/>
      </c>
      <c r="N898">
        <f>IF(L898="","",IF(ISNUMBER(INDEX(A898:H898,$P$1)),INDEX(A898:H898,$P$1),IFERROR(_xlfn.NUMBERVALUE(INDEX(A898:H898,$P$1),".",","),0)))</f>
        <v/>
      </c>
    </row>
    <row r="899">
      <c r="L899">
        <f>IF(A899="","",IF(ISNUMBER(--LEFT(A899,FIND(" - ",A899&amp;" - ")-1)),LEFT(A899,FIND(" - ",A899&amp;" - ")-1),TRIM(A899)))</f>
        <v/>
      </c>
      <c r="N899">
        <f>IF(L899="","",IF(ISNUMBER(INDEX(A899:H899,$P$1)),INDEX(A899:H899,$P$1),IFERROR(_xlfn.NUMBERVALUE(INDEX(A899:H899,$P$1),".",","),0)))</f>
        <v/>
      </c>
    </row>
    <row r="900">
      <c r="L900">
        <f>IF(A900="","",IF(ISNUMBER(--LEFT(A900,FIND(" - ",A900&amp;" - ")-1)),LEFT(A900,FIND(" - ",A900&amp;" - ")-1),TRIM(A900)))</f>
        <v/>
      </c>
      <c r="N900">
        <f>IF(L900="","",IF(ISNUMBER(INDEX(A900:H900,$P$1)),INDEX(A900:H900,$P$1),IFERROR(_xlfn.NUMBERVALUE(INDEX(A900:H900,$P$1),".",","),0)))</f>
        <v/>
      </c>
    </row>
    <row r="901">
      <c r="L901">
        <f>IF(A901="","",IF(ISNUMBER(--LEFT(A901,FIND(" - ",A901&amp;" - ")-1)),LEFT(A901,FIND(" - ",A901&amp;" - ")-1),TRIM(A901)))</f>
        <v/>
      </c>
      <c r="N901">
        <f>IF(L901="","",IF(ISNUMBER(INDEX(A901:H901,$P$1)),INDEX(A901:H901,$P$1),IFERROR(_xlfn.NUMBERVALUE(INDEX(A901:H901,$P$1),".",","),0)))</f>
        <v/>
      </c>
    </row>
    <row r="902">
      <c r="L902">
        <f>IF(A902="","",IF(ISNUMBER(--LEFT(A902,FIND(" - ",A902&amp;" - ")-1)),LEFT(A902,FIND(" - ",A902&amp;" - ")-1),TRIM(A902)))</f>
        <v/>
      </c>
      <c r="N902">
        <f>IF(L902="","",IF(ISNUMBER(INDEX(A902:H902,$P$1)),INDEX(A902:H902,$P$1),IFERROR(_xlfn.NUMBERVALUE(INDEX(A902:H902,$P$1),".",","),0)))</f>
        <v/>
      </c>
    </row>
    <row r="903">
      <c r="L903">
        <f>IF(A903="","",IF(ISNUMBER(--LEFT(A903,FIND(" - ",A903&amp;" - ")-1)),LEFT(A903,FIND(" - ",A903&amp;" - ")-1),TRIM(A903)))</f>
        <v/>
      </c>
      <c r="N903">
        <f>IF(L903="","",IF(ISNUMBER(INDEX(A903:H903,$P$1)),INDEX(A903:H903,$P$1),IFERROR(_xlfn.NUMBERVALUE(INDEX(A903:H903,$P$1),".",","),0)))</f>
        <v/>
      </c>
    </row>
    <row r="904">
      <c r="L904">
        <f>IF(A904="","",IF(ISNUMBER(--LEFT(A904,FIND(" - ",A904&amp;" - ")-1)),LEFT(A904,FIND(" - ",A904&amp;" - ")-1),TRIM(A904)))</f>
        <v/>
      </c>
      <c r="N904">
        <f>IF(L904="","",IF(ISNUMBER(INDEX(A904:H904,$P$1)),INDEX(A904:H904,$P$1),IFERROR(_xlfn.NUMBERVALUE(INDEX(A904:H904,$P$1),".",","),0)))</f>
        <v/>
      </c>
    </row>
    <row r="905">
      <c r="L905">
        <f>IF(A905="","",IF(ISNUMBER(--LEFT(A905,FIND(" - ",A905&amp;" - ")-1)),LEFT(A905,FIND(" - ",A905&amp;" - ")-1),TRIM(A905)))</f>
        <v/>
      </c>
      <c r="N905">
        <f>IF(L905="","",IF(ISNUMBER(INDEX(A905:H905,$P$1)),INDEX(A905:H905,$P$1),IFERROR(_xlfn.NUMBERVALUE(INDEX(A905:H905,$P$1),".",","),0)))</f>
        <v/>
      </c>
    </row>
    <row r="906">
      <c r="L906">
        <f>IF(A906="","",IF(ISNUMBER(--LEFT(A906,FIND(" - ",A906&amp;" - ")-1)),LEFT(A906,FIND(" - ",A906&amp;" - ")-1),TRIM(A906)))</f>
        <v/>
      </c>
      <c r="N906">
        <f>IF(L906="","",IF(ISNUMBER(INDEX(A906:H906,$P$1)),INDEX(A906:H906,$P$1),IFERROR(_xlfn.NUMBERVALUE(INDEX(A906:H906,$P$1),".",","),0)))</f>
        <v/>
      </c>
    </row>
    <row r="907">
      <c r="L907">
        <f>IF(A907="","",IF(ISNUMBER(--LEFT(A907,FIND(" - ",A907&amp;" - ")-1)),LEFT(A907,FIND(" - ",A907&amp;" - ")-1),TRIM(A907)))</f>
        <v/>
      </c>
      <c r="N907">
        <f>IF(L907="","",IF(ISNUMBER(INDEX(A907:H907,$P$1)),INDEX(A907:H907,$P$1),IFERROR(_xlfn.NUMBERVALUE(INDEX(A907:H907,$P$1),".",","),0)))</f>
        <v/>
      </c>
    </row>
    <row r="908">
      <c r="L908">
        <f>IF(A908="","",IF(ISNUMBER(--LEFT(A908,FIND(" - ",A908&amp;" - ")-1)),LEFT(A908,FIND(" - ",A908&amp;" - ")-1),TRIM(A908)))</f>
        <v/>
      </c>
      <c r="N908">
        <f>IF(L908="","",IF(ISNUMBER(INDEX(A908:H908,$P$1)),INDEX(A908:H908,$P$1),IFERROR(_xlfn.NUMBERVALUE(INDEX(A908:H908,$P$1),".",","),0)))</f>
        <v/>
      </c>
    </row>
    <row r="909">
      <c r="L909">
        <f>IF(A909="","",IF(ISNUMBER(--LEFT(A909,FIND(" - ",A909&amp;" - ")-1)),LEFT(A909,FIND(" - ",A909&amp;" - ")-1),TRIM(A909)))</f>
        <v/>
      </c>
      <c r="N909">
        <f>IF(L909="","",IF(ISNUMBER(INDEX(A909:H909,$P$1)),INDEX(A909:H909,$P$1),IFERROR(_xlfn.NUMBERVALUE(INDEX(A909:H909,$P$1),".",","),0)))</f>
        <v/>
      </c>
    </row>
    <row r="910">
      <c r="L910">
        <f>IF(A910="","",IF(ISNUMBER(--LEFT(A910,FIND(" - ",A910&amp;" - ")-1)),LEFT(A910,FIND(" - ",A910&amp;" - ")-1),TRIM(A910)))</f>
        <v/>
      </c>
      <c r="N910">
        <f>IF(L910="","",IF(ISNUMBER(INDEX(A910:H910,$P$1)),INDEX(A910:H910,$P$1),IFERROR(_xlfn.NUMBERVALUE(INDEX(A910:H910,$P$1),".",","),0)))</f>
        <v/>
      </c>
    </row>
    <row r="911">
      <c r="L911">
        <f>IF(A911="","",IF(ISNUMBER(--LEFT(A911,FIND(" - ",A911&amp;" - ")-1)),LEFT(A911,FIND(" - ",A911&amp;" - ")-1),TRIM(A911)))</f>
        <v/>
      </c>
      <c r="N911">
        <f>IF(L911="","",IF(ISNUMBER(INDEX(A911:H911,$P$1)),INDEX(A911:H911,$P$1),IFERROR(_xlfn.NUMBERVALUE(INDEX(A911:H911,$P$1),".",","),0)))</f>
        <v/>
      </c>
    </row>
    <row r="912">
      <c r="L912">
        <f>IF(A912="","",IF(ISNUMBER(--LEFT(A912,FIND(" - ",A912&amp;" - ")-1)),LEFT(A912,FIND(" - ",A912&amp;" - ")-1),TRIM(A912)))</f>
        <v/>
      </c>
      <c r="N912">
        <f>IF(L912="","",IF(ISNUMBER(INDEX(A912:H912,$P$1)),INDEX(A912:H912,$P$1),IFERROR(_xlfn.NUMBERVALUE(INDEX(A912:H912,$P$1),".",","),0)))</f>
        <v/>
      </c>
    </row>
    <row r="913">
      <c r="L913">
        <f>IF(A913="","",IF(ISNUMBER(--LEFT(A913,FIND(" - ",A913&amp;" - ")-1)),LEFT(A913,FIND(" - ",A913&amp;" - ")-1),TRIM(A913)))</f>
        <v/>
      </c>
      <c r="N913">
        <f>IF(L913="","",IF(ISNUMBER(INDEX(A913:H913,$P$1)),INDEX(A913:H913,$P$1),IFERROR(_xlfn.NUMBERVALUE(INDEX(A913:H913,$P$1),".",","),0)))</f>
        <v/>
      </c>
    </row>
    <row r="914">
      <c r="L914">
        <f>IF(A914="","",IF(ISNUMBER(--LEFT(A914,FIND(" - ",A914&amp;" - ")-1)),LEFT(A914,FIND(" - ",A914&amp;" - ")-1),TRIM(A914)))</f>
        <v/>
      </c>
      <c r="N914">
        <f>IF(L914="","",IF(ISNUMBER(INDEX(A914:H914,$P$1)),INDEX(A914:H914,$P$1),IFERROR(_xlfn.NUMBERVALUE(INDEX(A914:H914,$P$1),".",","),0)))</f>
        <v/>
      </c>
    </row>
    <row r="915">
      <c r="L915">
        <f>IF(A915="","",IF(ISNUMBER(--LEFT(A915,FIND(" - ",A915&amp;" - ")-1)),LEFT(A915,FIND(" - ",A915&amp;" - ")-1),TRIM(A915)))</f>
        <v/>
      </c>
      <c r="N915">
        <f>IF(L915="","",IF(ISNUMBER(INDEX(A915:H915,$P$1)),INDEX(A915:H915,$P$1),IFERROR(_xlfn.NUMBERVALUE(INDEX(A915:H915,$P$1),".",","),0)))</f>
        <v/>
      </c>
    </row>
    <row r="916">
      <c r="L916">
        <f>IF(A916="","",IF(ISNUMBER(--LEFT(A916,FIND(" - ",A916&amp;" - ")-1)),LEFT(A916,FIND(" - ",A916&amp;" - ")-1),TRIM(A916)))</f>
        <v/>
      </c>
      <c r="N916">
        <f>IF(L916="","",IF(ISNUMBER(INDEX(A916:H916,$P$1)),INDEX(A916:H916,$P$1),IFERROR(_xlfn.NUMBERVALUE(INDEX(A916:H916,$P$1),".",","),0)))</f>
        <v/>
      </c>
    </row>
    <row r="917">
      <c r="L917">
        <f>IF(A917="","",IF(ISNUMBER(--LEFT(A917,FIND(" - ",A917&amp;" - ")-1)),LEFT(A917,FIND(" - ",A917&amp;" - ")-1),TRIM(A917)))</f>
        <v/>
      </c>
      <c r="N917">
        <f>IF(L917="","",IF(ISNUMBER(INDEX(A917:H917,$P$1)),INDEX(A917:H917,$P$1),IFERROR(_xlfn.NUMBERVALUE(INDEX(A917:H917,$P$1),".",","),0)))</f>
        <v/>
      </c>
    </row>
    <row r="918">
      <c r="L918">
        <f>IF(A918="","",IF(ISNUMBER(--LEFT(A918,FIND(" - ",A918&amp;" - ")-1)),LEFT(A918,FIND(" - ",A918&amp;" - ")-1),TRIM(A918)))</f>
        <v/>
      </c>
      <c r="N918">
        <f>IF(L918="","",IF(ISNUMBER(INDEX(A918:H918,$P$1)),INDEX(A918:H918,$P$1),IFERROR(_xlfn.NUMBERVALUE(INDEX(A918:H918,$P$1),".",","),0)))</f>
        <v/>
      </c>
    </row>
    <row r="919">
      <c r="L919">
        <f>IF(A919="","",IF(ISNUMBER(--LEFT(A919,FIND(" - ",A919&amp;" - ")-1)),LEFT(A919,FIND(" - ",A919&amp;" - ")-1),TRIM(A919)))</f>
        <v/>
      </c>
      <c r="N919">
        <f>IF(L919="","",IF(ISNUMBER(INDEX(A919:H919,$P$1)),INDEX(A919:H919,$P$1),IFERROR(_xlfn.NUMBERVALUE(INDEX(A919:H919,$P$1),".",","),0)))</f>
        <v/>
      </c>
    </row>
    <row r="920">
      <c r="L920">
        <f>IF(A920="","",IF(ISNUMBER(--LEFT(A920,FIND(" - ",A920&amp;" - ")-1)),LEFT(A920,FIND(" - ",A920&amp;" - ")-1),TRIM(A920)))</f>
        <v/>
      </c>
      <c r="N920">
        <f>IF(L920="","",IF(ISNUMBER(INDEX(A920:H920,$P$1)),INDEX(A920:H920,$P$1),IFERROR(_xlfn.NUMBERVALUE(INDEX(A920:H920,$P$1),".",","),0)))</f>
        <v/>
      </c>
    </row>
    <row r="921">
      <c r="L921">
        <f>IF(A921="","",IF(ISNUMBER(--LEFT(A921,FIND(" - ",A921&amp;" - ")-1)),LEFT(A921,FIND(" - ",A921&amp;" - ")-1),TRIM(A921)))</f>
        <v/>
      </c>
      <c r="N921">
        <f>IF(L921="","",IF(ISNUMBER(INDEX(A921:H921,$P$1)),INDEX(A921:H921,$P$1),IFERROR(_xlfn.NUMBERVALUE(INDEX(A921:H921,$P$1),".",","),0)))</f>
        <v/>
      </c>
    </row>
    <row r="922">
      <c r="L922">
        <f>IF(A922="","",IF(ISNUMBER(--LEFT(A922,FIND(" - ",A922&amp;" - ")-1)),LEFT(A922,FIND(" - ",A922&amp;" - ")-1),TRIM(A922)))</f>
        <v/>
      </c>
      <c r="N922">
        <f>IF(L922="","",IF(ISNUMBER(INDEX(A922:H922,$P$1)),INDEX(A922:H922,$P$1),IFERROR(_xlfn.NUMBERVALUE(INDEX(A922:H922,$P$1),".",","),0)))</f>
        <v/>
      </c>
    </row>
    <row r="923">
      <c r="L923">
        <f>IF(A923="","",IF(ISNUMBER(--LEFT(A923,FIND(" - ",A923&amp;" - ")-1)),LEFT(A923,FIND(" - ",A923&amp;" - ")-1),TRIM(A923)))</f>
        <v/>
      </c>
      <c r="N923">
        <f>IF(L923="","",IF(ISNUMBER(INDEX(A923:H923,$P$1)),INDEX(A923:H923,$P$1),IFERROR(_xlfn.NUMBERVALUE(INDEX(A923:H923,$P$1),".",","),0)))</f>
        <v/>
      </c>
    </row>
    <row r="924">
      <c r="L924">
        <f>IF(A924="","",IF(ISNUMBER(--LEFT(A924,FIND(" - ",A924&amp;" - ")-1)),LEFT(A924,FIND(" - ",A924&amp;" - ")-1),TRIM(A924)))</f>
        <v/>
      </c>
      <c r="N924">
        <f>IF(L924="","",IF(ISNUMBER(INDEX(A924:H924,$P$1)),INDEX(A924:H924,$P$1),IFERROR(_xlfn.NUMBERVALUE(INDEX(A924:H924,$P$1),".",","),0)))</f>
        <v/>
      </c>
    </row>
    <row r="925">
      <c r="L925">
        <f>IF(A925="","",IF(ISNUMBER(--LEFT(A925,FIND(" - ",A925&amp;" - ")-1)),LEFT(A925,FIND(" - ",A925&amp;" - ")-1),TRIM(A925)))</f>
        <v/>
      </c>
      <c r="N925">
        <f>IF(L925="","",IF(ISNUMBER(INDEX(A925:H925,$P$1)),INDEX(A925:H925,$P$1),IFERROR(_xlfn.NUMBERVALUE(INDEX(A925:H925,$P$1),".",","),0)))</f>
        <v/>
      </c>
    </row>
    <row r="926">
      <c r="L926">
        <f>IF(A926="","",IF(ISNUMBER(--LEFT(A926,FIND(" - ",A926&amp;" - ")-1)),LEFT(A926,FIND(" - ",A926&amp;" - ")-1),TRIM(A926)))</f>
        <v/>
      </c>
      <c r="N926">
        <f>IF(L926="","",IF(ISNUMBER(INDEX(A926:H926,$P$1)),INDEX(A926:H926,$P$1),IFERROR(_xlfn.NUMBERVALUE(INDEX(A926:H926,$P$1),".",","),0)))</f>
        <v/>
      </c>
    </row>
    <row r="927">
      <c r="L927">
        <f>IF(A927="","",IF(ISNUMBER(--LEFT(A927,FIND(" - ",A927&amp;" - ")-1)),LEFT(A927,FIND(" - ",A927&amp;" - ")-1),TRIM(A927)))</f>
        <v/>
      </c>
      <c r="N927">
        <f>IF(L927="","",IF(ISNUMBER(INDEX(A927:H927,$P$1)),INDEX(A927:H927,$P$1),IFERROR(_xlfn.NUMBERVALUE(INDEX(A927:H927,$P$1),".",","),0)))</f>
        <v/>
      </c>
    </row>
    <row r="928">
      <c r="L928">
        <f>IF(A928="","",IF(ISNUMBER(--LEFT(A928,FIND(" - ",A928&amp;" - ")-1)),LEFT(A928,FIND(" - ",A928&amp;" - ")-1),TRIM(A928)))</f>
        <v/>
      </c>
      <c r="N928">
        <f>IF(L928="","",IF(ISNUMBER(INDEX(A928:H928,$P$1)),INDEX(A928:H928,$P$1),IFERROR(_xlfn.NUMBERVALUE(INDEX(A928:H928,$P$1),".",","),0)))</f>
        <v/>
      </c>
    </row>
    <row r="929">
      <c r="L929">
        <f>IF(A929="","",IF(ISNUMBER(--LEFT(A929,FIND(" - ",A929&amp;" - ")-1)),LEFT(A929,FIND(" - ",A929&amp;" - ")-1),TRIM(A929)))</f>
        <v/>
      </c>
      <c r="N929">
        <f>IF(L929="","",IF(ISNUMBER(INDEX(A929:H929,$P$1)),INDEX(A929:H929,$P$1),IFERROR(_xlfn.NUMBERVALUE(INDEX(A929:H929,$P$1),".",","),0)))</f>
        <v/>
      </c>
    </row>
    <row r="930">
      <c r="L930">
        <f>IF(A930="","",IF(ISNUMBER(--LEFT(A930,FIND(" - ",A930&amp;" - ")-1)),LEFT(A930,FIND(" - ",A930&amp;" - ")-1),TRIM(A930)))</f>
        <v/>
      </c>
      <c r="N930">
        <f>IF(L930="","",IF(ISNUMBER(INDEX(A930:H930,$P$1)),INDEX(A930:H930,$P$1),IFERROR(_xlfn.NUMBERVALUE(INDEX(A930:H930,$P$1),".",","),0)))</f>
        <v/>
      </c>
    </row>
    <row r="931">
      <c r="L931">
        <f>IF(A931="","",IF(ISNUMBER(--LEFT(A931,FIND(" - ",A931&amp;" - ")-1)),LEFT(A931,FIND(" - ",A931&amp;" - ")-1),TRIM(A931)))</f>
        <v/>
      </c>
      <c r="N931">
        <f>IF(L931="","",IF(ISNUMBER(INDEX(A931:H931,$P$1)),INDEX(A931:H931,$P$1),IFERROR(_xlfn.NUMBERVALUE(INDEX(A931:H931,$P$1),".",","),0)))</f>
        <v/>
      </c>
    </row>
    <row r="932">
      <c r="L932">
        <f>IF(A932="","",IF(ISNUMBER(--LEFT(A932,FIND(" - ",A932&amp;" - ")-1)),LEFT(A932,FIND(" - ",A932&amp;" - ")-1),TRIM(A932)))</f>
        <v/>
      </c>
      <c r="N932">
        <f>IF(L932="","",IF(ISNUMBER(INDEX(A932:H932,$P$1)),INDEX(A932:H932,$P$1),IFERROR(_xlfn.NUMBERVALUE(INDEX(A932:H932,$P$1),".",","),0)))</f>
        <v/>
      </c>
    </row>
    <row r="933">
      <c r="L933">
        <f>IF(A933="","",IF(ISNUMBER(--LEFT(A933,FIND(" - ",A933&amp;" - ")-1)),LEFT(A933,FIND(" - ",A933&amp;" - ")-1),TRIM(A933)))</f>
        <v/>
      </c>
      <c r="N933">
        <f>IF(L933="","",IF(ISNUMBER(INDEX(A933:H933,$P$1)),INDEX(A933:H933,$P$1),IFERROR(_xlfn.NUMBERVALUE(INDEX(A933:H933,$P$1),".",","),0)))</f>
        <v/>
      </c>
    </row>
    <row r="934">
      <c r="L934">
        <f>IF(A934="","",IF(ISNUMBER(--LEFT(A934,FIND(" - ",A934&amp;" - ")-1)),LEFT(A934,FIND(" - ",A934&amp;" - ")-1),TRIM(A934)))</f>
        <v/>
      </c>
      <c r="N934">
        <f>IF(L934="","",IF(ISNUMBER(INDEX(A934:H934,$P$1)),INDEX(A934:H934,$P$1),IFERROR(_xlfn.NUMBERVALUE(INDEX(A934:H934,$P$1),".",","),0)))</f>
        <v/>
      </c>
    </row>
    <row r="935">
      <c r="L935">
        <f>IF(A935="","",IF(ISNUMBER(--LEFT(A935,FIND(" - ",A935&amp;" - ")-1)),LEFT(A935,FIND(" - ",A935&amp;" - ")-1),TRIM(A935)))</f>
        <v/>
      </c>
      <c r="N935">
        <f>IF(L935="","",IF(ISNUMBER(INDEX(A935:H935,$P$1)),INDEX(A935:H935,$P$1),IFERROR(_xlfn.NUMBERVALUE(INDEX(A935:H935,$P$1),".",","),0)))</f>
        <v/>
      </c>
    </row>
    <row r="936">
      <c r="L936">
        <f>IF(A936="","",IF(ISNUMBER(--LEFT(A936,FIND(" - ",A936&amp;" - ")-1)),LEFT(A936,FIND(" - ",A936&amp;" - ")-1),TRIM(A936)))</f>
        <v/>
      </c>
      <c r="N936">
        <f>IF(L936="","",IF(ISNUMBER(INDEX(A936:H936,$P$1)),INDEX(A936:H936,$P$1),IFERROR(_xlfn.NUMBERVALUE(INDEX(A936:H936,$P$1),".",","),0)))</f>
        <v/>
      </c>
    </row>
    <row r="937">
      <c r="L937">
        <f>IF(A937="","",IF(ISNUMBER(--LEFT(A937,FIND(" - ",A937&amp;" - ")-1)),LEFT(A937,FIND(" - ",A937&amp;" - ")-1),TRIM(A937)))</f>
        <v/>
      </c>
      <c r="N937">
        <f>IF(L937="","",IF(ISNUMBER(INDEX(A937:H937,$P$1)),INDEX(A937:H937,$P$1),IFERROR(_xlfn.NUMBERVALUE(INDEX(A937:H937,$P$1),".",","),0)))</f>
        <v/>
      </c>
    </row>
    <row r="938">
      <c r="L938">
        <f>IF(A938="","",IF(ISNUMBER(--LEFT(A938,FIND(" - ",A938&amp;" - ")-1)),LEFT(A938,FIND(" - ",A938&amp;" - ")-1),TRIM(A938)))</f>
        <v/>
      </c>
      <c r="N938">
        <f>IF(L938="","",IF(ISNUMBER(INDEX(A938:H938,$P$1)),INDEX(A938:H938,$P$1),IFERROR(_xlfn.NUMBERVALUE(INDEX(A938:H938,$P$1),".",","),0)))</f>
        <v/>
      </c>
    </row>
    <row r="939">
      <c r="L939">
        <f>IF(A939="","",IF(ISNUMBER(--LEFT(A939,FIND(" - ",A939&amp;" - ")-1)),LEFT(A939,FIND(" - ",A939&amp;" - ")-1),TRIM(A939)))</f>
        <v/>
      </c>
      <c r="N939">
        <f>IF(L939="","",IF(ISNUMBER(INDEX(A939:H939,$P$1)),INDEX(A939:H939,$P$1),IFERROR(_xlfn.NUMBERVALUE(INDEX(A939:H939,$P$1),".",","),0)))</f>
        <v/>
      </c>
    </row>
    <row r="940">
      <c r="L940">
        <f>IF(A940="","",IF(ISNUMBER(--LEFT(A940,FIND(" - ",A940&amp;" - ")-1)),LEFT(A940,FIND(" - ",A940&amp;" - ")-1),TRIM(A940)))</f>
        <v/>
      </c>
      <c r="N940">
        <f>IF(L940="","",IF(ISNUMBER(INDEX(A940:H940,$P$1)),INDEX(A940:H940,$P$1),IFERROR(_xlfn.NUMBERVALUE(INDEX(A940:H940,$P$1),".",","),0)))</f>
        <v/>
      </c>
    </row>
    <row r="941">
      <c r="L941">
        <f>IF(A941="","",IF(ISNUMBER(--LEFT(A941,FIND(" - ",A941&amp;" - ")-1)),LEFT(A941,FIND(" - ",A941&amp;" - ")-1),TRIM(A941)))</f>
        <v/>
      </c>
      <c r="N941">
        <f>IF(L941="","",IF(ISNUMBER(INDEX(A941:H941,$P$1)),INDEX(A941:H941,$P$1),IFERROR(_xlfn.NUMBERVALUE(INDEX(A941:H941,$P$1),".",","),0)))</f>
        <v/>
      </c>
    </row>
    <row r="942">
      <c r="L942">
        <f>IF(A942="","",IF(ISNUMBER(--LEFT(A942,FIND(" - ",A942&amp;" - ")-1)),LEFT(A942,FIND(" - ",A942&amp;" - ")-1),TRIM(A942)))</f>
        <v/>
      </c>
      <c r="N942">
        <f>IF(L942="","",IF(ISNUMBER(INDEX(A942:H942,$P$1)),INDEX(A942:H942,$P$1),IFERROR(_xlfn.NUMBERVALUE(INDEX(A942:H942,$P$1),".",","),0)))</f>
        <v/>
      </c>
    </row>
    <row r="943">
      <c r="L943">
        <f>IF(A943="","",IF(ISNUMBER(--LEFT(A943,FIND(" - ",A943&amp;" - ")-1)),LEFT(A943,FIND(" - ",A943&amp;" - ")-1),TRIM(A943)))</f>
        <v/>
      </c>
      <c r="N943">
        <f>IF(L943="","",IF(ISNUMBER(INDEX(A943:H943,$P$1)),INDEX(A943:H943,$P$1),IFERROR(_xlfn.NUMBERVALUE(INDEX(A943:H943,$P$1),".",","),0)))</f>
        <v/>
      </c>
    </row>
    <row r="944">
      <c r="L944">
        <f>IF(A944="","",IF(ISNUMBER(--LEFT(A944,FIND(" - ",A944&amp;" - ")-1)),LEFT(A944,FIND(" - ",A944&amp;" - ")-1),TRIM(A944)))</f>
        <v/>
      </c>
      <c r="N944">
        <f>IF(L944="","",IF(ISNUMBER(INDEX(A944:H944,$P$1)),INDEX(A944:H944,$P$1),IFERROR(_xlfn.NUMBERVALUE(INDEX(A944:H944,$P$1),".",","),0)))</f>
        <v/>
      </c>
    </row>
    <row r="945">
      <c r="L945">
        <f>IF(A945="","",IF(ISNUMBER(--LEFT(A945,FIND(" - ",A945&amp;" - ")-1)),LEFT(A945,FIND(" - ",A945&amp;" - ")-1),TRIM(A945)))</f>
        <v/>
      </c>
      <c r="N945">
        <f>IF(L945="","",IF(ISNUMBER(INDEX(A945:H945,$P$1)),INDEX(A945:H945,$P$1),IFERROR(_xlfn.NUMBERVALUE(INDEX(A945:H945,$P$1),".",","),0)))</f>
        <v/>
      </c>
    </row>
    <row r="946">
      <c r="L946">
        <f>IF(A946="","",IF(ISNUMBER(--LEFT(A946,FIND(" - ",A946&amp;" - ")-1)),LEFT(A946,FIND(" - ",A946&amp;" - ")-1),TRIM(A946)))</f>
        <v/>
      </c>
      <c r="N946">
        <f>IF(L946="","",IF(ISNUMBER(INDEX(A946:H946,$P$1)),INDEX(A946:H946,$P$1),IFERROR(_xlfn.NUMBERVALUE(INDEX(A946:H946,$P$1),".",","),0)))</f>
        <v/>
      </c>
    </row>
    <row r="947">
      <c r="L947">
        <f>IF(A947="","",IF(ISNUMBER(--LEFT(A947,FIND(" - ",A947&amp;" - ")-1)),LEFT(A947,FIND(" - ",A947&amp;" - ")-1),TRIM(A947)))</f>
        <v/>
      </c>
      <c r="N947">
        <f>IF(L947="","",IF(ISNUMBER(INDEX(A947:H947,$P$1)),INDEX(A947:H947,$P$1),IFERROR(_xlfn.NUMBERVALUE(INDEX(A947:H947,$P$1),".",","),0)))</f>
        <v/>
      </c>
    </row>
    <row r="948">
      <c r="L948">
        <f>IF(A948="","",IF(ISNUMBER(--LEFT(A948,FIND(" - ",A948&amp;" - ")-1)),LEFT(A948,FIND(" - ",A948&amp;" - ")-1),TRIM(A948)))</f>
        <v/>
      </c>
      <c r="N948">
        <f>IF(L948="","",IF(ISNUMBER(INDEX(A948:H948,$P$1)),INDEX(A948:H948,$P$1),IFERROR(_xlfn.NUMBERVALUE(INDEX(A948:H948,$P$1),".",","),0)))</f>
        <v/>
      </c>
    </row>
    <row r="949">
      <c r="L949">
        <f>IF(A949="","",IF(ISNUMBER(--LEFT(A949,FIND(" - ",A949&amp;" - ")-1)),LEFT(A949,FIND(" - ",A949&amp;" - ")-1),TRIM(A949)))</f>
        <v/>
      </c>
      <c r="N949">
        <f>IF(L949="","",IF(ISNUMBER(INDEX(A949:H949,$P$1)),INDEX(A949:H949,$P$1),IFERROR(_xlfn.NUMBERVALUE(INDEX(A949:H949,$P$1),".",","),0)))</f>
        <v/>
      </c>
    </row>
    <row r="950">
      <c r="L950">
        <f>IF(A950="","",IF(ISNUMBER(--LEFT(A950,FIND(" - ",A950&amp;" - ")-1)),LEFT(A950,FIND(" - ",A950&amp;" - ")-1),TRIM(A950)))</f>
        <v/>
      </c>
      <c r="N950">
        <f>IF(L950="","",IF(ISNUMBER(INDEX(A950:H950,$P$1)),INDEX(A950:H950,$P$1),IFERROR(_xlfn.NUMBERVALUE(INDEX(A950:H950,$P$1),".",","),0)))</f>
        <v/>
      </c>
    </row>
    <row r="951">
      <c r="L951">
        <f>IF(A951="","",IF(ISNUMBER(--LEFT(A951,FIND(" - ",A951&amp;" - ")-1)),LEFT(A951,FIND(" - ",A951&amp;" - ")-1),TRIM(A951)))</f>
        <v/>
      </c>
      <c r="N951">
        <f>IF(L951="","",IF(ISNUMBER(INDEX(A951:H951,$P$1)),INDEX(A951:H951,$P$1),IFERROR(_xlfn.NUMBERVALUE(INDEX(A951:H951,$P$1),".",","),0)))</f>
        <v/>
      </c>
    </row>
    <row r="952">
      <c r="L952">
        <f>IF(A952="","",IF(ISNUMBER(--LEFT(A952,FIND(" - ",A952&amp;" - ")-1)),LEFT(A952,FIND(" - ",A952&amp;" - ")-1),TRIM(A952)))</f>
        <v/>
      </c>
      <c r="N952">
        <f>IF(L952="","",IF(ISNUMBER(INDEX(A952:H952,$P$1)),INDEX(A952:H952,$P$1),IFERROR(_xlfn.NUMBERVALUE(INDEX(A952:H952,$P$1),".",","),0)))</f>
        <v/>
      </c>
    </row>
    <row r="953">
      <c r="L953">
        <f>IF(A953="","",IF(ISNUMBER(--LEFT(A953,FIND(" - ",A953&amp;" - ")-1)),LEFT(A953,FIND(" - ",A953&amp;" - ")-1),TRIM(A953)))</f>
        <v/>
      </c>
      <c r="N953">
        <f>IF(L953="","",IF(ISNUMBER(INDEX(A953:H953,$P$1)),INDEX(A953:H953,$P$1),IFERROR(_xlfn.NUMBERVALUE(INDEX(A953:H953,$P$1),".",","),0)))</f>
        <v/>
      </c>
    </row>
    <row r="954">
      <c r="L954">
        <f>IF(A954="","",IF(ISNUMBER(--LEFT(A954,FIND(" - ",A954&amp;" - ")-1)),LEFT(A954,FIND(" - ",A954&amp;" - ")-1),TRIM(A954)))</f>
        <v/>
      </c>
      <c r="N954">
        <f>IF(L954="","",IF(ISNUMBER(INDEX(A954:H954,$P$1)),INDEX(A954:H954,$P$1),IFERROR(_xlfn.NUMBERVALUE(INDEX(A954:H954,$P$1),".",","),0)))</f>
        <v/>
      </c>
    </row>
    <row r="955">
      <c r="L955">
        <f>IF(A955="","",IF(ISNUMBER(--LEFT(A955,FIND(" - ",A955&amp;" - ")-1)),LEFT(A955,FIND(" - ",A955&amp;" - ")-1),TRIM(A955)))</f>
        <v/>
      </c>
      <c r="N955">
        <f>IF(L955="","",IF(ISNUMBER(INDEX(A955:H955,$P$1)),INDEX(A955:H955,$P$1),IFERROR(_xlfn.NUMBERVALUE(INDEX(A955:H955,$P$1),".",","),0)))</f>
        <v/>
      </c>
    </row>
    <row r="956">
      <c r="L956">
        <f>IF(A956="","",IF(ISNUMBER(--LEFT(A956,FIND(" - ",A956&amp;" - ")-1)),LEFT(A956,FIND(" - ",A956&amp;" - ")-1),TRIM(A956)))</f>
        <v/>
      </c>
      <c r="N956">
        <f>IF(L956="","",IF(ISNUMBER(INDEX(A956:H956,$P$1)),INDEX(A956:H956,$P$1),IFERROR(_xlfn.NUMBERVALUE(INDEX(A956:H956,$P$1),".",","),0)))</f>
        <v/>
      </c>
    </row>
    <row r="957">
      <c r="L957">
        <f>IF(A957="","",IF(ISNUMBER(--LEFT(A957,FIND(" - ",A957&amp;" - ")-1)),LEFT(A957,FIND(" - ",A957&amp;" - ")-1),TRIM(A957)))</f>
        <v/>
      </c>
      <c r="N957">
        <f>IF(L957="","",IF(ISNUMBER(INDEX(A957:H957,$P$1)),INDEX(A957:H957,$P$1),IFERROR(_xlfn.NUMBERVALUE(INDEX(A957:H957,$P$1),".",","),0)))</f>
        <v/>
      </c>
    </row>
    <row r="958">
      <c r="L958">
        <f>IF(A958="","",IF(ISNUMBER(--LEFT(A958,FIND(" - ",A958&amp;" - ")-1)),LEFT(A958,FIND(" - ",A958&amp;" - ")-1),TRIM(A958)))</f>
        <v/>
      </c>
      <c r="N958">
        <f>IF(L958="","",IF(ISNUMBER(INDEX(A958:H958,$P$1)),INDEX(A958:H958,$P$1),IFERROR(_xlfn.NUMBERVALUE(INDEX(A958:H958,$P$1),".",","),0)))</f>
        <v/>
      </c>
    </row>
    <row r="959">
      <c r="L959">
        <f>IF(A959="","",IF(ISNUMBER(--LEFT(A959,FIND(" - ",A959&amp;" - ")-1)),LEFT(A959,FIND(" - ",A959&amp;" - ")-1),TRIM(A959)))</f>
        <v/>
      </c>
      <c r="N959">
        <f>IF(L959="","",IF(ISNUMBER(INDEX(A959:H959,$P$1)),INDEX(A959:H959,$P$1),IFERROR(_xlfn.NUMBERVALUE(INDEX(A959:H959,$P$1),".",","),0)))</f>
        <v/>
      </c>
    </row>
    <row r="960">
      <c r="L960">
        <f>IF(A960="","",IF(ISNUMBER(--LEFT(A960,FIND(" - ",A960&amp;" - ")-1)),LEFT(A960,FIND(" - ",A960&amp;" - ")-1),TRIM(A960)))</f>
        <v/>
      </c>
      <c r="N960">
        <f>IF(L960="","",IF(ISNUMBER(INDEX(A960:H960,$P$1)),INDEX(A960:H960,$P$1),IFERROR(_xlfn.NUMBERVALUE(INDEX(A960:H960,$P$1),".",","),0)))</f>
        <v/>
      </c>
    </row>
    <row r="961">
      <c r="L961">
        <f>IF(A961="","",IF(ISNUMBER(--LEFT(A961,FIND(" - ",A961&amp;" - ")-1)),LEFT(A961,FIND(" - ",A961&amp;" - ")-1),TRIM(A961)))</f>
        <v/>
      </c>
      <c r="N961">
        <f>IF(L961="","",IF(ISNUMBER(INDEX(A961:H961,$P$1)),INDEX(A961:H961,$P$1),IFERROR(_xlfn.NUMBERVALUE(INDEX(A961:H961,$P$1),".",","),0)))</f>
        <v/>
      </c>
    </row>
    <row r="962">
      <c r="L962">
        <f>IF(A962="","",IF(ISNUMBER(--LEFT(A962,FIND(" - ",A962&amp;" - ")-1)),LEFT(A962,FIND(" - ",A962&amp;" - ")-1),TRIM(A962)))</f>
        <v/>
      </c>
      <c r="N962">
        <f>IF(L962="","",IF(ISNUMBER(INDEX(A962:H962,$P$1)),INDEX(A962:H962,$P$1),IFERROR(_xlfn.NUMBERVALUE(INDEX(A962:H962,$P$1),".",","),0)))</f>
        <v/>
      </c>
    </row>
    <row r="963">
      <c r="L963">
        <f>IF(A963="","",IF(ISNUMBER(--LEFT(A963,FIND(" - ",A963&amp;" - ")-1)),LEFT(A963,FIND(" - ",A963&amp;" - ")-1),TRIM(A963)))</f>
        <v/>
      </c>
      <c r="N963">
        <f>IF(L963="","",IF(ISNUMBER(INDEX(A963:H963,$P$1)),INDEX(A963:H963,$P$1),IFERROR(_xlfn.NUMBERVALUE(INDEX(A963:H963,$P$1),".",","),0)))</f>
        <v/>
      </c>
    </row>
    <row r="964">
      <c r="L964">
        <f>IF(A964="","",IF(ISNUMBER(--LEFT(A964,FIND(" - ",A964&amp;" - ")-1)),LEFT(A964,FIND(" - ",A964&amp;" - ")-1),TRIM(A964)))</f>
        <v/>
      </c>
      <c r="N964">
        <f>IF(L964="","",IF(ISNUMBER(INDEX(A964:H964,$P$1)),INDEX(A964:H964,$P$1),IFERROR(_xlfn.NUMBERVALUE(INDEX(A964:H964,$P$1),".",","),0)))</f>
        <v/>
      </c>
    </row>
    <row r="965">
      <c r="L965">
        <f>IF(A965="","",IF(ISNUMBER(--LEFT(A965,FIND(" - ",A965&amp;" - ")-1)),LEFT(A965,FIND(" - ",A965&amp;" - ")-1),TRIM(A965)))</f>
        <v/>
      </c>
      <c r="N965">
        <f>IF(L965="","",IF(ISNUMBER(INDEX(A965:H965,$P$1)),INDEX(A965:H965,$P$1),IFERROR(_xlfn.NUMBERVALUE(INDEX(A965:H965,$P$1),".",","),0)))</f>
        <v/>
      </c>
    </row>
    <row r="966">
      <c r="L966">
        <f>IF(A966="","",IF(ISNUMBER(--LEFT(A966,FIND(" - ",A966&amp;" - ")-1)),LEFT(A966,FIND(" - ",A966&amp;" - ")-1),TRIM(A966)))</f>
        <v/>
      </c>
      <c r="N966">
        <f>IF(L966="","",IF(ISNUMBER(INDEX(A966:H966,$P$1)),INDEX(A966:H966,$P$1),IFERROR(_xlfn.NUMBERVALUE(INDEX(A966:H966,$P$1),".",","),0)))</f>
        <v/>
      </c>
    </row>
    <row r="967">
      <c r="L967">
        <f>IF(A967="","",IF(ISNUMBER(--LEFT(A967,FIND(" - ",A967&amp;" - ")-1)),LEFT(A967,FIND(" - ",A967&amp;" - ")-1),TRIM(A967)))</f>
        <v/>
      </c>
      <c r="N967">
        <f>IF(L967="","",IF(ISNUMBER(INDEX(A967:H967,$P$1)),INDEX(A967:H967,$P$1),IFERROR(_xlfn.NUMBERVALUE(INDEX(A967:H967,$P$1),".",","),0)))</f>
        <v/>
      </c>
    </row>
    <row r="968">
      <c r="L968">
        <f>IF(A968="","",IF(ISNUMBER(--LEFT(A968,FIND(" - ",A968&amp;" - ")-1)),LEFT(A968,FIND(" - ",A968&amp;" - ")-1),TRIM(A968)))</f>
        <v/>
      </c>
      <c r="N968">
        <f>IF(L968="","",IF(ISNUMBER(INDEX(A968:H968,$P$1)),INDEX(A968:H968,$P$1),IFERROR(_xlfn.NUMBERVALUE(INDEX(A968:H968,$P$1),".",","),0)))</f>
        <v/>
      </c>
    </row>
    <row r="969">
      <c r="L969">
        <f>IF(A969="","",IF(ISNUMBER(--LEFT(A969,FIND(" - ",A969&amp;" - ")-1)),LEFT(A969,FIND(" - ",A969&amp;" - ")-1),TRIM(A969)))</f>
        <v/>
      </c>
      <c r="N969">
        <f>IF(L969="","",IF(ISNUMBER(INDEX(A969:H969,$P$1)),INDEX(A969:H969,$P$1),IFERROR(_xlfn.NUMBERVALUE(INDEX(A969:H969,$P$1),".",","),0)))</f>
        <v/>
      </c>
    </row>
    <row r="970">
      <c r="L970">
        <f>IF(A970="","",IF(ISNUMBER(--LEFT(A970,FIND(" - ",A970&amp;" - ")-1)),LEFT(A970,FIND(" - ",A970&amp;" - ")-1),TRIM(A970)))</f>
        <v/>
      </c>
      <c r="N970">
        <f>IF(L970="","",IF(ISNUMBER(INDEX(A970:H970,$P$1)),INDEX(A970:H970,$P$1),IFERROR(_xlfn.NUMBERVALUE(INDEX(A970:H970,$P$1),".",","),0)))</f>
        <v/>
      </c>
    </row>
    <row r="971">
      <c r="L971">
        <f>IF(A971="","",IF(ISNUMBER(--LEFT(A971,FIND(" - ",A971&amp;" - ")-1)),LEFT(A971,FIND(" - ",A971&amp;" - ")-1),TRIM(A971)))</f>
        <v/>
      </c>
      <c r="N971">
        <f>IF(L971="","",IF(ISNUMBER(INDEX(A971:H971,$P$1)),INDEX(A971:H971,$P$1),IFERROR(_xlfn.NUMBERVALUE(INDEX(A971:H971,$P$1),".",","),0)))</f>
        <v/>
      </c>
    </row>
    <row r="972">
      <c r="L972">
        <f>IF(A972="","",IF(ISNUMBER(--LEFT(A972,FIND(" - ",A972&amp;" - ")-1)),LEFT(A972,FIND(" - ",A972&amp;" - ")-1),TRIM(A972)))</f>
        <v/>
      </c>
      <c r="N972">
        <f>IF(L972="","",IF(ISNUMBER(INDEX(A972:H972,$P$1)),INDEX(A972:H972,$P$1),IFERROR(_xlfn.NUMBERVALUE(INDEX(A972:H972,$P$1),".",","),0)))</f>
        <v/>
      </c>
    </row>
    <row r="973">
      <c r="L973">
        <f>IF(A973="","",IF(ISNUMBER(--LEFT(A973,FIND(" - ",A973&amp;" - ")-1)),LEFT(A973,FIND(" - ",A973&amp;" - ")-1),TRIM(A973)))</f>
        <v/>
      </c>
      <c r="N973">
        <f>IF(L973="","",IF(ISNUMBER(INDEX(A973:H973,$P$1)),INDEX(A973:H973,$P$1),IFERROR(_xlfn.NUMBERVALUE(INDEX(A973:H973,$P$1),".",","),0)))</f>
        <v/>
      </c>
    </row>
    <row r="974">
      <c r="L974">
        <f>IF(A974="","",IF(ISNUMBER(--LEFT(A974,FIND(" - ",A974&amp;" - ")-1)),LEFT(A974,FIND(" - ",A974&amp;" - ")-1),TRIM(A974)))</f>
        <v/>
      </c>
      <c r="N974">
        <f>IF(L974="","",IF(ISNUMBER(INDEX(A974:H974,$P$1)),INDEX(A974:H974,$P$1),IFERROR(_xlfn.NUMBERVALUE(INDEX(A974:H974,$P$1),".",","),0)))</f>
        <v/>
      </c>
    </row>
    <row r="975">
      <c r="L975">
        <f>IF(A975="","",IF(ISNUMBER(--LEFT(A975,FIND(" - ",A975&amp;" - ")-1)),LEFT(A975,FIND(" - ",A975&amp;" - ")-1),TRIM(A975)))</f>
        <v/>
      </c>
      <c r="N975">
        <f>IF(L975="","",IF(ISNUMBER(INDEX(A975:H975,$P$1)),INDEX(A975:H975,$P$1),IFERROR(_xlfn.NUMBERVALUE(INDEX(A975:H975,$P$1),".",","),0)))</f>
        <v/>
      </c>
    </row>
    <row r="976">
      <c r="L976">
        <f>IF(A976="","",IF(ISNUMBER(--LEFT(A976,FIND(" - ",A976&amp;" - ")-1)),LEFT(A976,FIND(" - ",A976&amp;" - ")-1),TRIM(A976)))</f>
        <v/>
      </c>
      <c r="N976">
        <f>IF(L976="","",IF(ISNUMBER(INDEX(A976:H976,$P$1)),INDEX(A976:H976,$P$1),IFERROR(_xlfn.NUMBERVALUE(INDEX(A976:H976,$P$1),".",","),0)))</f>
        <v/>
      </c>
    </row>
    <row r="977">
      <c r="L977">
        <f>IF(A977="","",IF(ISNUMBER(--LEFT(A977,FIND(" - ",A977&amp;" - ")-1)),LEFT(A977,FIND(" - ",A977&amp;" - ")-1),TRIM(A977)))</f>
        <v/>
      </c>
      <c r="N977">
        <f>IF(L977="","",IF(ISNUMBER(INDEX(A977:H977,$P$1)),INDEX(A977:H977,$P$1),IFERROR(_xlfn.NUMBERVALUE(INDEX(A977:H977,$P$1),".",","),0)))</f>
        <v/>
      </c>
    </row>
    <row r="978">
      <c r="L978">
        <f>IF(A978="","",IF(ISNUMBER(--LEFT(A978,FIND(" - ",A978&amp;" - ")-1)),LEFT(A978,FIND(" - ",A978&amp;" - ")-1),TRIM(A978)))</f>
        <v/>
      </c>
      <c r="N978">
        <f>IF(L978="","",IF(ISNUMBER(INDEX(A978:H978,$P$1)),INDEX(A978:H978,$P$1),IFERROR(_xlfn.NUMBERVALUE(INDEX(A978:H978,$P$1),".",","),0)))</f>
        <v/>
      </c>
    </row>
    <row r="979">
      <c r="L979">
        <f>IF(A979="","",IF(ISNUMBER(--LEFT(A979,FIND(" - ",A979&amp;" - ")-1)),LEFT(A979,FIND(" - ",A979&amp;" - ")-1),TRIM(A979)))</f>
        <v/>
      </c>
      <c r="N979">
        <f>IF(L979="","",IF(ISNUMBER(INDEX(A979:H979,$P$1)),INDEX(A979:H979,$P$1),IFERROR(_xlfn.NUMBERVALUE(INDEX(A979:H979,$P$1),".",","),0)))</f>
        <v/>
      </c>
    </row>
    <row r="980">
      <c r="L980">
        <f>IF(A980="","",IF(ISNUMBER(--LEFT(A980,FIND(" - ",A980&amp;" - ")-1)),LEFT(A980,FIND(" - ",A980&amp;" - ")-1),TRIM(A980)))</f>
        <v/>
      </c>
      <c r="N980">
        <f>IF(L980="","",IF(ISNUMBER(INDEX(A980:H980,$P$1)),INDEX(A980:H980,$P$1),IFERROR(_xlfn.NUMBERVALUE(INDEX(A980:H980,$P$1),".",","),0)))</f>
        <v/>
      </c>
    </row>
    <row r="981">
      <c r="L981">
        <f>IF(A981="","",IF(ISNUMBER(--LEFT(A981,FIND(" - ",A981&amp;" - ")-1)),LEFT(A981,FIND(" - ",A981&amp;" - ")-1),TRIM(A981)))</f>
        <v/>
      </c>
      <c r="N981">
        <f>IF(L981="","",IF(ISNUMBER(INDEX(A981:H981,$P$1)),INDEX(A981:H981,$P$1),IFERROR(_xlfn.NUMBERVALUE(INDEX(A981:H981,$P$1),".",","),0)))</f>
        <v/>
      </c>
    </row>
    <row r="982">
      <c r="L982">
        <f>IF(A982="","",IF(ISNUMBER(--LEFT(A982,FIND(" - ",A982&amp;" - ")-1)),LEFT(A982,FIND(" - ",A982&amp;" - ")-1),TRIM(A982)))</f>
        <v/>
      </c>
      <c r="N982">
        <f>IF(L982="","",IF(ISNUMBER(INDEX(A982:H982,$P$1)),INDEX(A982:H982,$P$1),IFERROR(_xlfn.NUMBERVALUE(INDEX(A982:H982,$P$1),".",","),0)))</f>
        <v/>
      </c>
    </row>
    <row r="983">
      <c r="L983">
        <f>IF(A983="","",IF(ISNUMBER(--LEFT(A983,FIND(" - ",A983&amp;" - ")-1)),LEFT(A983,FIND(" - ",A983&amp;" - ")-1),TRIM(A983)))</f>
        <v/>
      </c>
      <c r="N983">
        <f>IF(L983="","",IF(ISNUMBER(INDEX(A983:H983,$P$1)),INDEX(A983:H983,$P$1),IFERROR(_xlfn.NUMBERVALUE(INDEX(A983:H983,$P$1),".",","),0)))</f>
        <v/>
      </c>
    </row>
    <row r="984">
      <c r="L984">
        <f>IF(A984="","",IF(ISNUMBER(--LEFT(A984,FIND(" - ",A984&amp;" - ")-1)),LEFT(A984,FIND(" - ",A984&amp;" - ")-1),TRIM(A984)))</f>
        <v/>
      </c>
      <c r="N984">
        <f>IF(L984="","",IF(ISNUMBER(INDEX(A984:H984,$P$1)),INDEX(A984:H984,$P$1),IFERROR(_xlfn.NUMBERVALUE(INDEX(A984:H984,$P$1),".",","),0)))</f>
        <v/>
      </c>
    </row>
    <row r="985">
      <c r="L985">
        <f>IF(A985="","",IF(ISNUMBER(--LEFT(A985,FIND(" - ",A985&amp;" - ")-1)),LEFT(A985,FIND(" - ",A985&amp;" - ")-1),TRIM(A985)))</f>
        <v/>
      </c>
      <c r="N985">
        <f>IF(L985="","",IF(ISNUMBER(INDEX(A985:H985,$P$1)),INDEX(A985:H985,$P$1),IFERROR(_xlfn.NUMBERVALUE(INDEX(A985:H985,$P$1),".",","),0)))</f>
        <v/>
      </c>
    </row>
    <row r="986">
      <c r="L986">
        <f>IF(A986="","",IF(ISNUMBER(--LEFT(A986,FIND(" - ",A986&amp;" - ")-1)),LEFT(A986,FIND(" - ",A986&amp;" - ")-1),TRIM(A986)))</f>
        <v/>
      </c>
      <c r="N986">
        <f>IF(L986="","",IF(ISNUMBER(INDEX(A986:H986,$P$1)),INDEX(A986:H986,$P$1),IFERROR(_xlfn.NUMBERVALUE(INDEX(A986:H986,$P$1),".",","),0)))</f>
        <v/>
      </c>
    </row>
    <row r="987">
      <c r="L987">
        <f>IF(A987="","",IF(ISNUMBER(--LEFT(A987,FIND(" - ",A987&amp;" - ")-1)),LEFT(A987,FIND(" - ",A987&amp;" - ")-1),TRIM(A987)))</f>
        <v/>
      </c>
      <c r="N987">
        <f>IF(L987="","",IF(ISNUMBER(INDEX(A987:H987,$P$1)),INDEX(A987:H987,$P$1),IFERROR(_xlfn.NUMBERVALUE(INDEX(A987:H987,$P$1),".",","),0)))</f>
        <v/>
      </c>
    </row>
    <row r="988">
      <c r="L988">
        <f>IF(A988="","",IF(ISNUMBER(--LEFT(A988,FIND(" - ",A988&amp;" - ")-1)),LEFT(A988,FIND(" - ",A988&amp;" - ")-1),TRIM(A988)))</f>
        <v/>
      </c>
      <c r="N988">
        <f>IF(L988="","",IF(ISNUMBER(INDEX(A988:H988,$P$1)),INDEX(A988:H988,$P$1),IFERROR(_xlfn.NUMBERVALUE(INDEX(A988:H988,$P$1),".",","),0)))</f>
        <v/>
      </c>
    </row>
    <row r="989">
      <c r="L989">
        <f>IF(A989="","",IF(ISNUMBER(--LEFT(A989,FIND(" - ",A989&amp;" - ")-1)),LEFT(A989,FIND(" - ",A989&amp;" - ")-1),TRIM(A989)))</f>
        <v/>
      </c>
      <c r="N989">
        <f>IF(L989="","",IF(ISNUMBER(INDEX(A989:H989,$P$1)),INDEX(A989:H989,$P$1),IFERROR(_xlfn.NUMBERVALUE(INDEX(A989:H989,$P$1),".",","),0)))</f>
        <v/>
      </c>
    </row>
    <row r="990">
      <c r="L990">
        <f>IF(A990="","",IF(ISNUMBER(--LEFT(A990,FIND(" - ",A990&amp;" - ")-1)),LEFT(A990,FIND(" - ",A990&amp;" - ")-1),TRIM(A990)))</f>
        <v/>
      </c>
      <c r="N990">
        <f>IF(L990="","",IF(ISNUMBER(INDEX(A990:H990,$P$1)),INDEX(A990:H990,$P$1),IFERROR(_xlfn.NUMBERVALUE(INDEX(A990:H990,$P$1),".",","),0)))</f>
        <v/>
      </c>
    </row>
    <row r="991">
      <c r="L991">
        <f>IF(A991="","",IF(ISNUMBER(--LEFT(A991,FIND(" - ",A991&amp;" - ")-1)),LEFT(A991,FIND(" - ",A991&amp;" - ")-1),TRIM(A991)))</f>
        <v/>
      </c>
      <c r="N991">
        <f>IF(L991="","",IF(ISNUMBER(INDEX(A991:H991,$P$1)),INDEX(A991:H991,$P$1),IFERROR(_xlfn.NUMBERVALUE(INDEX(A991:H991,$P$1),".",","),0)))</f>
        <v/>
      </c>
    </row>
    <row r="992">
      <c r="L992">
        <f>IF(A992="","",IF(ISNUMBER(--LEFT(A992,FIND(" - ",A992&amp;" - ")-1)),LEFT(A992,FIND(" - ",A992&amp;" - ")-1),TRIM(A992)))</f>
        <v/>
      </c>
      <c r="N992">
        <f>IF(L992="","",IF(ISNUMBER(INDEX(A992:H992,$P$1)),INDEX(A992:H992,$P$1),IFERROR(_xlfn.NUMBERVALUE(INDEX(A992:H992,$P$1),".",","),0)))</f>
        <v/>
      </c>
    </row>
    <row r="993">
      <c r="L993">
        <f>IF(A993="","",IF(ISNUMBER(--LEFT(A993,FIND(" - ",A993&amp;" - ")-1)),LEFT(A993,FIND(" - ",A993&amp;" - ")-1),TRIM(A993)))</f>
        <v/>
      </c>
      <c r="N993">
        <f>IF(L993="","",IF(ISNUMBER(INDEX(A993:H993,$P$1)),INDEX(A993:H993,$P$1),IFERROR(_xlfn.NUMBERVALUE(INDEX(A993:H993,$P$1),".",","),0)))</f>
        <v/>
      </c>
    </row>
    <row r="994">
      <c r="L994">
        <f>IF(A994="","",IF(ISNUMBER(--LEFT(A994,FIND(" - ",A994&amp;" - ")-1)),LEFT(A994,FIND(" - ",A994&amp;" - ")-1),TRIM(A994)))</f>
        <v/>
      </c>
      <c r="N994">
        <f>IF(L994="","",IF(ISNUMBER(INDEX(A994:H994,$P$1)),INDEX(A994:H994,$P$1),IFERROR(_xlfn.NUMBERVALUE(INDEX(A994:H994,$P$1),".",","),0)))</f>
        <v/>
      </c>
    </row>
    <row r="995">
      <c r="L995">
        <f>IF(A995="","",IF(ISNUMBER(--LEFT(A995,FIND(" - ",A995&amp;" - ")-1)),LEFT(A995,FIND(" - ",A995&amp;" - ")-1),TRIM(A995)))</f>
        <v/>
      </c>
      <c r="N995">
        <f>IF(L995="","",IF(ISNUMBER(INDEX(A995:H995,$P$1)),INDEX(A995:H995,$P$1),IFERROR(_xlfn.NUMBERVALUE(INDEX(A995:H995,$P$1),".",","),0)))</f>
        <v/>
      </c>
    </row>
    <row r="996">
      <c r="L996">
        <f>IF(A996="","",IF(ISNUMBER(--LEFT(A996,FIND(" - ",A996&amp;" - ")-1)),LEFT(A996,FIND(" - ",A996&amp;" - ")-1),TRIM(A996)))</f>
        <v/>
      </c>
      <c r="N996">
        <f>IF(L996="","",IF(ISNUMBER(INDEX(A996:H996,$P$1)),INDEX(A996:H996,$P$1),IFERROR(_xlfn.NUMBERVALUE(INDEX(A996:H996,$P$1),".",","),0)))</f>
        <v/>
      </c>
    </row>
    <row r="997">
      <c r="L997">
        <f>IF(A997="","",IF(ISNUMBER(--LEFT(A997,FIND(" - ",A997&amp;" - ")-1)),LEFT(A997,FIND(" - ",A997&amp;" - ")-1),TRIM(A997)))</f>
        <v/>
      </c>
      <c r="N997">
        <f>IF(L997="","",IF(ISNUMBER(INDEX(A997:H997,$P$1)),INDEX(A997:H997,$P$1),IFERROR(_xlfn.NUMBERVALUE(INDEX(A997:H997,$P$1),".",","),0)))</f>
        <v/>
      </c>
    </row>
    <row r="998">
      <c r="L998">
        <f>IF(A998="","",IF(ISNUMBER(--LEFT(A998,FIND(" - ",A998&amp;" - ")-1)),LEFT(A998,FIND(" - ",A998&amp;" - ")-1),TRIM(A998)))</f>
        <v/>
      </c>
      <c r="N998">
        <f>IF(L998="","",IF(ISNUMBER(INDEX(A998:H998,$P$1)),INDEX(A998:H998,$P$1),IFERROR(_xlfn.NUMBERVALUE(INDEX(A998:H998,$P$1),".",","),0)))</f>
        <v/>
      </c>
    </row>
    <row r="999">
      <c r="L999">
        <f>IF(A999="","",IF(ISNUMBER(--LEFT(A999,FIND(" - ",A999&amp;" - ")-1)),LEFT(A999,FIND(" - ",A999&amp;" - ")-1),TRIM(A999)))</f>
        <v/>
      </c>
      <c r="N999">
        <f>IF(L999="","",IF(ISNUMBER(INDEX(A999:H999,$P$1)),INDEX(A999:H999,$P$1),IFERROR(_xlfn.NUMBERVALUE(INDEX(A999:H999,$P$1),".",","),0)))</f>
        <v/>
      </c>
    </row>
    <row r="1000">
      <c r="L1000">
        <f>IF(A1000="","",IF(ISNUMBER(--LEFT(A1000,FIND(" - ",A1000&amp;" - ")-1)),LEFT(A1000,FIND(" - ",A1000&amp;" - ")-1),TRIM(A1000)))</f>
        <v/>
      </c>
      <c r="N1000">
        <f>IF(L1000="","",IF(ISNUMBER(INDEX(A1000:H1000,$P$1)),INDEX(A1000:H1000,$P$1),IFERROR(_xlfn.NUMBERVALUE(INDEX(A1000:H1000,$P$1),".",","),0)))</f>
        <v/>
      </c>
    </row>
    <row r="1001">
      <c r="L1001">
        <f>IF(A1001="","",IF(ISNUMBER(--LEFT(A1001,FIND(" - ",A1001&amp;" - ")-1)),LEFT(A1001,FIND(" - ",A1001&amp;" - ")-1),TRIM(A1001)))</f>
        <v/>
      </c>
      <c r="N1001">
        <f>IF(L1001="","",IF(ISNUMBER(INDEX(A1001:H1001,$P$1)),INDEX(A1001:H1001,$P$1),IFERROR(_xlfn.NUMBERVALUE(INDEX(A1001:H1001,$P$1),".",","),0)))</f>
        <v/>
      </c>
    </row>
    <row r="1002">
      <c r="L1002">
        <f>IF(A1002="","",IF(ISNUMBER(--LEFT(A1002,FIND(" - ",A1002&amp;" - ")-1)),LEFT(A1002,FIND(" - ",A1002&amp;" - ")-1),TRIM(A1002)))</f>
        <v/>
      </c>
      <c r="N1002">
        <f>IF(L1002="","",IF(ISNUMBER(INDEX(A1002:H1002,$P$1)),INDEX(A1002:H1002,$P$1),IFERROR(_xlfn.NUMBERVALUE(INDEX(A1002:H1002,$P$1),".",","),0)))</f>
        <v/>
      </c>
    </row>
    <row r="1003">
      <c r="L1003">
        <f>IF(A1003="","",IF(ISNUMBER(--LEFT(A1003,FIND(" - ",A1003&amp;" - ")-1)),LEFT(A1003,FIND(" - ",A1003&amp;" - ")-1),TRIM(A1003)))</f>
        <v/>
      </c>
      <c r="N1003">
        <f>IF(L1003="","",IF(ISNUMBER(INDEX(A1003:H1003,$P$1)),INDEX(A1003:H1003,$P$1),IFERROR(_xlfn.NUMBERVALUE(INDEX(A1003:H1003,$P$1),".",","),0)))</f>
        <v/>
      </c>
    </row>
    <row r="1004">
      <c r="L1004">
        <f>IF(A1004="","",IF(ISNUMBER(--LEFT(A1004,FIND(" - ",A1004&amp;" - ")-1)),LEFT(A1004,FIND(" - ",A1004&amp;" - ")-1),TRIM(A1004)))</f>
        <v/>
      </c>
      <c r="N1004">
        <f>IF(L1004="","",IF(ISNUMBER(INDEX(A1004:H1004,$P$1)),INDEX(A1004:H1004,$P$1),IFERROR(_xlfn.NUMBERVALUE(INDEX(A1004:H1004,$P$1),".",","),0)))</f>
        <v/>
      </c>
    </row>
    <row r="1005">
      <c r="L1005">
        <f>IF(A1005="","",IF(ISNUMBER(--LEFT(A1005,FIND(" - ",A1005&amp;" - ")-1)),LEFT(A1005,FIND(" - ",A1005&amp;" - ")-1),TRIM(A1005)))</f>
        <v/>
      </c>
      <c r="N1005">
        <f>IF(L1005="","",IF(ISNUMBER(INDEX(A1005:H1005,$P$1)),INDEX(A1005:H1005,$P$1),IFERROR(_xlfn.NUMBERVALUE(INDEX(A1005:H1005,$P$1),".",","),0)))</f>
        <v/>
      </c>
    </row>
    <row r="1006">
      <c r="L1006">
        <f>IF(A1006="","",IF(ISNUMBER(--LEFT(A1006,FIND(" - ",A1006&amp;" - ")-1)),LEFT(A1006,FIND(" - ",A1006&amp;" - ")-1),TRIM(A1006)))</f>
        <v/>
      </c>
      <c r="N1006">
        <f>IF(L1006="","",IF(ISNUMBER(INDEX(A1006:H1006,$P$1)),INDEX(A1006:H1006,$P$1),IFERROR(_xlfn.NUMBERVALUE(INDEX(A1006:H1006,$P$1),".",","),0)))</f>
        <v/>
      </c>
    </row>
    <row r="1007">
      <c r="L1007">
        <f>IF(A1007="","",IF(ISNUMBER(--LEFT(A1007,FIND(" - ",A1007&amp;" - ")-1)),LEFT(A1007,FIND(" - ",A1007&amp;" - ")-1),TRIM(A1007)))</f>
        <v/>
      </c>
      <c r="N1007">
        <f>IF(L1007="","",IF(ISNUMBER(INDEX(A1007:H1007,$P$1)),INDEX(A1007:H1007,$P$1),IFERROR(_xlfn.NUMBERVALUE(INDEX(A1007:H1007,$P$1),".",","),0)))</f>
        <v/>
      </c>
    </row>
    <row r="1008">
      <c r="L1008">
        <f>IF(A1008="","",IF(ISNUMBER(--LEFT(A1008,FIND(" - ",A1008&amp;" - ")-1)),LEFT(A1008,FIND(" - ",A1008&amp;" - ")-1),TRIM(A1008)))</f>
        <v/>
      </c>
      <c r="N1008">
        <f>IF(L1008="","",IF(ISNUMBER(INDEX(A1008:H1008,$P$1)),INDEX(A1008:H1008,$P$1),IFERROR(_xlfn.NUMBERVALUE(INDEX(A1008:H1008,$P$1),".",","),0)))</f>
        <v/>
      </c>
    </row>
    <row r="1009">
      <c r="L1009">
        <f>IF(A1009="","",IF(ISNUMBER(--LEFT(A1009,FIND(" - ",A1009&amp;" - ")-1)),LEFT(A1009,FIND(" - ",A1009&amp;" - ")-1),TRIM(A1009)))</f>
        <v/>
      </c>
      <c r="N1009">
        <f>IF(L1009="","",IF(ISNUMBER(INDEX(A1009:H1009,$P$1)),INDEX(A1009:H1009,$P$1),IFERROR(_xlfn.NUMBERVALUE(INDEX(A1009:H1009,$P$1),".",","),0)))</f>
        <v/>
      </c>
    </row>
    <row r="1010">
      <c r="L1010">
        <f>IF(A1010="","",IF(ISNUMBER(--LEFT(A1010,FIND(" - ",A1010&amp;" - ")-1)),LEFT(A1010,FIND(" - ",A1010&amp;" - ")-1),TRIM(A1010)))</f>
        <v/>
      </c>
      <c r="N1010">
        <f>IF(L1010="","",IF(ISNUMBER(INDEX(A1010:H1010,$P$1)),INDEX(A1010:H1010,$P$1),IFERROR(_xlfn.NUMBERVALUE(INDEX(A1010:H1010,$P$1),".",","),0)))</f>
        <v/>
      </c>
    </row>
    <row r="1011">
      <c r="L1011">
        <f>IF(A1011="","",IF(ISNUMBER(--LEFT(A1011,FIND(" - ",A1011&amp;" - ")-1)),LEFT(A1011,FIND(" - ",A1011&amp;" - ")-1),TRIM(A1011)))</f>
        <v/>
      </c>
      <c r="N1011">
        <f>IF(L1011="","",IF(ISNUMBER(INDEX(A1011:H1011,$P$1)),INDEX(A1011:H1011,$P$1),IFERROR(_xlfn.NUMBERVALUE(INDEX(A1011:H1011,$P$1),".",","),0)))</f>
        <v/>
      </c>
    </row>
    <row r="1012">
      <c r="L1012">
        <f>IF(A1012="","",IF(ISNUMBER(--LEFT(A1012,FIND(" - ",A1012&amp;" - ")-1)),LEFT(A1012,FIND(" - ",A1012&amp;" - ")-1),TRIM(A1012)))</f>
        <v/>
      </c>
      <c r="N1012">
        <f>IF(L1012="","",IF(ISNUMBER(INDEX(A1012:H1012,$P$1)),INDEX(A1012:H1012,$P$1),IFERROR(_xlfn.NUMBERVALUE(INDEX(A1012:H1012,$P$1),".",","),0)))</f>
        <v/>
      </c>
    </row>
    <row r="1013">
      <c r="L1013">
        <f>IF(A1013="","",IF(ISNUMBER(--LEFT(A1013,FIND(" - ",A1013&amp;" - ")-1)),LEFT(A1013,FIND(" - ",A1013&amp;" - ")-1),TRIM(A1013)))</f>
        <v/>
      </c>
      <c r="N1013">
        <f>IF(L1013="","",IF(ISNUMBER(INDEX(A1013:H1013,$P$1)),INDEX(A1013:H1013,$P$1),IFERROR(_xlfn.NUMBERVALUE(INDEX(A1013:H1013,$P$1),".",","),0)))</f>
        <v/>
      </c>
    </row>
    <row r="1014">
      <c r="L1014">
        <f>IF(A1014="","",IF(ISNUMBER(--LEFT(A1014,FIND(" - ",A1014&amp;" - ")-1)),LEFT(A1014,FIND(" - ",A1014&amp;" - ")-1),TRIM(A1014)))</f>
        <v/>
      </c>
      <c r="N1014">
        <f>IF(L1014="","",IF(ISNUMBER(INDEX(A1014:H1014,$P$1)),INDEX(A1014:H1014,$P$1),IFERROR(_xlfn.NUMBERVALUE(INDEX(A1014:H1014,$P$1),".",","),0)))</f>
        <v/>
      </c>
    </row>
    <row r="1015">
      <c r="L1015">
        <f>IF(A1015="","",IF(ISNUMBER(--LEFT(A1015,FIND(" - ",A1015&amp;" - ")-1)),LEFT(A1015,FIND(" - ",A1015&amp;" - ")-1),TRIM(A1015)))</f>
        <v/>
      </c>
      <c r="N1015">
        <f>IF(L1015="","",IF(ISNUMBER(INDEX(A1015:H1015,$P$1)),INDEX(A1015:H1015,$P$1),IFERROR(_xlfn.NUMBERVALUE(INDEX(A1015:H1015,$P$1),".",","),0)))</f>
        <v/>
      </c>
    </row>
    <row r="1016">
      <c r="L1016">
        <f>IF(A1016="","",IF(ISNUMBER(--LEFT(A1016,FIND(" - ",A1016&amp;" - ")-1)),LEFT(A1016,FIND(" - ",A1016&amp;" - ")-1),TRIM(A1016)))</f>
        <v/>
      </c>
      <c r="N1016">
        <f>IF(L1016="","",IF(ISNUMBER(INDEX(A1016:H1016,$P$1)),INDEX(A1016:H1016,$P$1),IFERROR(_xlfn.NUMBERVALUE(INDEX(A1016:H1016,$P$1),".",","),0)))</f>
        <v/>
      </c>
    </row>
    <row r="1017">
      <c r="L1017">
        <f>IF(A1017="","",IF(ISNUMBER(--LEFT(A1017,FIND(" - ",A1017&amp;" - ")-1)),LEFT(A1017,FIND(" - ",A1017&amp;" - ")-1),TRIM(A1017)))</f>
        <v/>
      </c>
      <c r="N1017">
        <f>IF(L1017="","",IF(ISNUMBER(INDEX(A1017:H1017,$P$1)),INDEX(A1017:H1017,$P$1),IFERROR(_xlfn.NUMBERVALUE(INDEX(A1017:H1017,$P$1),".",","),0)))</f>
        <v/>
      </c>
    </row>
    <row r="1018">
      <c r="L1018">
        <f>IF(A1018="","",IF(ISNUMBER(--LEFT(A1018,FIND(" - ",A1018&amp;" - ")-1)),LEFT(A1018,FIND(" - ",A1018&amp;" - ")-1),TRIM(A1018)))</f>
        <v/>
      </c>
      <c r="N1018">
        <f>IF(L1018="","",IF(ISNUMBER(INDEX(A1018:H1018,$P$1)),INDEX(A1018:H1018,$P$1),IFERROR(_xlfn.NUMBERVALUE(INDEX(A1018:H1018,$P$1),".",","),0)))</f>
        <v/>
      </c>
    </row>
    <row r="1019">
      <c r="L1019">
        <f>IF(A1019="","",IF(ISNUMBER(--LEFT(A1019,FIND(" - ",A1019&amp;" - ")-1)),LEFT(A1019,FIND(" - ",A1019&amp;" - ")-1),TRIM(A1019)))</f>
        <v/>
      </c>
      <c r="N1019">
        <f>IF(L1019="","",IF(ISNUMBER(INDEX(A1019:H1019,$P$1)),INDEX(A1019:H1019,$P$1),IFERROR(_xlfn.NUMBERVALUE(INDEX(A1019:H1019,$P$1),".",","),0)))</f>
        <v/>
      </c>
    </row>
    <row r="1020">
      <c r="L1020">
        <f>IF(A1020="","",IF(ISNUMBER(--LEFT(A1020,FIND(" - ",A1020&amp;" - ")-1)),LEFT(A1020,FIND(" - ",A1020&amp;" - ")-1),TRIM(A1020)))</f>
        <v/>
      </c>
      <c r="N1020">
        <f>IF(L1020="","",IF(ISNUMBER(INDEX(A1020:H1020,$P$1)),INDEX(A1020:H1020,$P$1),IFERROR(_xlfn.NUMBERVALUE(INDEX(A1020:H1020,$P$1),".",","),0)))</f>
        <v/>
      </c>
    </row>
    <row r="1021">
      <c r="L1021">
        <f>IF(A1021="","",IF(ISNUMBER(--LEFT(A1021,FIND(" - ",A1021&amp;" - ")-1)),LEFT(A1021,FIND(" - ",A1021&amp;" - ")-1),TRIM(A1021)))</f>
        <v/>
      </c>
      <c r="N1021">
        <f>IF(L1021="","",IF(ISNUMBER(INDEX(A1021:H1021,$P$1)),INDEX(A1021:H1021,$P$1),IFERROR(_xlfn.NUMBERVALUE(INDEX(A1021:H1021,$P$1),".",","),0)))</f>
        <v/>
      </c>
    </row>
    <row r="1022">
      <c r="L1022">
        <f>IF(A1022="","",IF(ISNUMBER(--LEFT(A1022,FIND(" - ",A1022&amp;" - ")-1)),LEFT(A1022,FIND(" - ",A1022&amp;" - ")-1),TRIM(A1022)))</f>
        <v/>
      </c>
      <c r="N1022">
        <f>IF(L1022="","",IF(ISNUMBER(INDEX(A1022:H1022,$P$1)),INDEX(A1022:H1022,$P$1),IFERROR(_xlfn.NUMBERVALUE(INDEX(A1022:H1022,$P$1),".",","),0)))</f>
        <v/>
      </c>
    </row>
    <row r="1023">
      <c r="L1023">
        <f>IF(A1023="","",IF(ISNUMBER(--LEFT(A1023,FIND(" - ",A1023&amp;" - ")-1)),LEFT(A1023,FIND(" - ",A1023&amp;" - ")-1),TRIM(A1023)))</f>
        <v/>
      </c>
      <c r="N1023">
        <f>IF(L1023="","",IF(ISNUMBER(INDEX(A1023:H1023,$P$1)),INDEX(A1023:H1023,$P$1),IFERROR(_xlfn.NUMBERVALUE(INDEX(A1023:H1023,$P$1),".",","),0)))</f>
        <v/>
      </c>
    </row>
    <row r="1024">
      <c r="L1024">
        <f>IF(A1024="","",IF(ISNUMBER(--LEFT(A1024,FIND(" - ",A1024&amp;" - ")-1)),LEFT(A1024,FIND(" - ",A1024&amp;" - ")-1),TRIM(A1024)))</f>
        <v/>
      </c>
      <c r="N1024">
        <f>IF(L1024="","",IF(ISNUMBER(INDEX(A1024:H1024,$P$1)),INDEX(A1024:H1024,$P$1),IFERROR(_xlfn.NUMBERVALUE(INDEX(A1024:H1024,$P$1),".",","),0)))</f>
        <v/>
      </c>
    </row>
    <row r="1025">
      <c r="L1025">
        <f>IF(A1025="","",IF(ISNUMBER(--LEFT(A1025,FIND(" - ",A1025&amp;" - ")-1)),LEFT(A1025,FIND(" - ",A1025&amp;" - ")-1),TRIM(A1025)))</f>
        <v/>
      </c>
      <c r="N1025">
        <f>IF(L1025="","",IF(ISNUMBER(INDEX(A1025:H1025,$P$1)),INDEX(A1025:H1025,$P$1),IFERROR(_xlfn.NUMBERVALUE(INDEX(A1025:H1025,$P$1),".",","),0)))</f>
        <v/>
      </c>
    </row>
    <row r="1026">
      <c r="L1026">
        <f>IF(A1026="","",IF(ISNUMBER(--LEFT(A1026,FIND(" - ",A1026&amp;" - ")-1)),LEFT(A1026,FIND(" - ",A1026&amp;" - ")-1),TRIM(A1026)))</f>
        <v/>
      </c>
      <c r="N1026">
        <f>IF(L1026="","",IF(ISNUMBER(INDEX(A1026:H1026,$P$1)),INDEX(A1026:H1026,$P$1),IFERROR(_xlfn.NUMBERVALUE(INDEX(A1026:H1026,$P$1),".",","),0)))</f>
        <v/>
      </c>
    </row>
    <row r="1027">
      <c r="L1027">
        <f>IF(A1027="","",IF(ISNUMBER(--LEFT(A1027,FIND(" - ",A1027&amp;" - ")-1)),LEFT(A1027,FIND(" - ",A1027&amp;" - ")-1),TRIM(A1027)))</f>
        <v/>
      </c>
      <c r="N1027">
        <f>IF(L1027="","",IF(ISNUMBER(INDEX(A1027:H1027,$P$1)),INDEX(A1027:H1027,$P$1),IFERROR(_xlfn.NUMBERVALUE(INDEX(A1027:H1027,$P$1),".",","),0)))</f>
        <v/>
      </c>
    </row>
    <row r="1028">
      <c r="L1028">
        <f>IF(A1028="","",IF(ISNUMBER(--LEFT(A1028,FIND(" - ",A1028&amp;" - ")-1)),LEFT(A1028,FIND(" - ",A1028&amp;" - ")-1),TRIM(A1028)))</f>
        <v/>
      </c>
      <c r="N1028">
        <f>IF(L1028="","",IF(ISNUMBER(INDEX(A1028:H1028,$P$1)),INDEX(A1028:H1028,$P$1),IFERROR(_xlfn.NUMBERVALUE(INDEX(A1028:H1028,$P$1),".",","),0)))</f>
        <v/>
      </c>
    </row>
    <row r="1029">
      <c r="L1029">
        <f>IF(A1029="","",IF(ISNUMBER(--LEFT(A1029,FIND(" - ",A1029&amp;" - ")-1)),LEFT(A1029,FIND(" - ",A1029&amp;" - ")-1),TRIM(A1029)))</f>
        <v/>
      </c>
      <c r="N1029">
        <f>IF(L1029="","",IF(ISNUMBER(INDEX(A1029:H1029,$P$1)),INDEX(A1029:H1029,$P$1),IFERROR(_xlfn.NUMBERVALUE(INDEX(A1029:H1029,$P$1),".",","),0)))</f>
        <v/>
      </c>
    </row>
    <row r="1030">
      <c r="L1030">
        <f>IF(A1030="","",IF(ISNUMBER(--LEFT(A1030,FIND(" - ",A1030&amp;" - ")-1)),LEFT(A1030,FIND(" - ",A1030&amp;" - ")-1),TRIM(A1030)))</f>
        <v/>
      </c>
      <c r="N1030">
        <f>IF(L1030="","",IF(ISNUMBER(INDEX(A1030:H1030,$P$1)),INDEX(A1030:H1030,$P$1),IFERROR(_xlfn.NUMBERVALUE(INDEX(A1030:H1030,$P$1),".",","),0)))</f>
        <v/>
      </c>
    </row>
    <row r="1031">
      <c r="L1031">
        <f>IF(A1031="","",IF(ISNUMBER(--LEFT(A1031,FIND(" - ",A1031&amp;" - ")-1)),LEFT(A1031,FIND(" - ",A1031&amp;" - ")-1),TRIM(A1031)))</f>
        <v/>
      </c>
      <c r="N1031">
        <f>IF(L1031="","",IF(ISNUMBER(INDEX(A1031:H1031,$P$1)),INDEX(A1031:H1031,$P$1),IFERROR(_xlfn.NUMBERVALUE(INDEX(A1031:H1031,$P$1),".",","),0)))</f>
        <v/>
      </c>
    </row>
    <row r="1032">
      <c r="L1032">
        <f>IF(A1032="","",IF(ISNUMBER(--LEFT(A1032,FIND(" - ",A1032&amp;" - ")-1)),LEFT(A1032,FIND(" - ",A1032&amp;" - ")-1),TRIM(A1032)))</f>
        <v/>
      </c>
      <c r="N1032">
        <f>IF(L1032="","",IF(ISNUMBER(INDEX(A1032:H1032,$P$1)),INDEX(A1032:H1032,$P$1),IFERROR(_xlfn.NUMBERVALUE(INDEX(A1032:H1032,$P$1),".",","),0)))</f>
        <v/>
      </c>
    </row>
    <row r="1033">
      <c r="L1033">
        <f>IF(A1033="","",IF(ISNUMBER(--LEFT(A1033,FIND(" - ",A1033&amp;" - ")-1)),LEFT(A1033,FIND(" - ",A1033&amp;" - ")-1),TRIM(A1033)))</f>
        <v/>
      </c>
      <c r="N1033">
        <f>IF(L1033="","",IF(ISNUMBER(INDEX(A1033:H1033,$P$1)),INDEX(A1033:H1033,$P$1),IFERROR(_xlfn.NUMBERVALUE(INDEX(A1033:H1033,$P$1),".",","),0)))</f>
        <v/>
      </c>
    </row>
    <row r="1034">
      <c r="L1034">
        <f>IF(A1034="","",IF(ISNUMBER(--LEFT(A1034,FIND(" - ",A1034&amp;" - ")-1)),LEFT(A1034,FIND(" - ",A1034&amp;" - ")-1),TRIM(A1034)))</f>
        <v/>
      </c>
      <c r="N1034">
        <f>IF(L1034="","",IF(ISNUMBER(INDEX(A1034:H1034,$P$1)),INDEX(A1034:H1034,$P$1),IFERROR(_xlfn.NUMBERVALUE(INDEX(A1034:H1034,$P$1),".",","),0)))</f>
        <v/>
      </c>
    </row>
    <row r="1035">
      <c r="L1035">
        <f>IF(A1035="","",IF(ISNUMBER(--LEFT(A1035,FIND(" - ",A1035&amp;" - ")-1)),LEFT(A1035,FIND(" - ",A1035&amp;" - ")-1),TRIM(A1035)))</f>
        <v/>
      </c>
      <c r="N1035">
        <f>IF(L1035="","",IF(ISNUMBER(INDEX(A1035:H1035,$P$1)),INDEX(A1035:H1035,$P$1),IFERROR(_xlfn.NUMBERVALUE(INDEX(A1035:H1035,$P$1),".",","),0)))</f>
        <v/>
      </c>
    </row>
    <row r="1036">
      <c r="L1036">
        <f>IF(A1036="","",IF(ISNUMBER(--LEFT(A1036,FIND(" - ",A1036&amp;" - ")-1)),LEFT(A1036,FIND(" - ",A1036&amp;" - ")-1),TRIM(A1036)))</f>
        <v/>
      </c>
      <c r="N1036">
        <f>IF(L1036="","",IF(ISNUMBER(INDEX(A1036:H1036,$P$1)),INDEX(A1036:H1036,$P$1),IFERROR(_xlfn.NUMBERVALUE(INDEX(A1036:H1036,$P$1),".",","),0)))</f>
        <v/>
      </c>
    </row>
    <row r="1037">
      <c r="L1037">
        <f>IF(A1037="","",IF(ISNUMBER(--LEFT(A1037,FIND(" - ",A1037&amp;" - ")-1)),LEFT(A1037,FIND(" - ",A1037&amp;" - ")-1),TRIM(A1037)))</f>
        <v/>
      </c>
      <c r="N1037">
        <f>IF(L1037="","",IF(ISNUMBER(INDEX(A1037:H1037,$P$1)),INDEX(A1037:H1037,$P$1),IFERROR(_xlfn.NUMBERVALUE(INDEX(A1037:H1037,$P$1),".",","),0)))</f>
        <v/>
      </c>
    </row>
    <row r="1038">
      <c r="L1038">
        <f>IF(A1038="","",IF(ISNUMBER(--LEFT(A1038,FIND(" - ",A1038&amp;" - ")-1)),LEFT(A1038,FIND(" - ",A1038&amp;" - ")-1),TRIM(A1038)))</f>
        <v/>
      </c>
      <c r="N1038">
        <f>IF(L1038="","",IF(ISNUMBER(INDEX(A1038:H1038,$P$1)),INDEX(A1038:H1038,$P$1),IFERROR(_xlfn.NUMBERVALUE(INDEX(A1038:H1038,$P$1),".",","),0)))</f>
        <v/>
      </c>
    </row>
    <row r="1039">
      <c r="L1039">
        <f>IF(A1039="","",IF(ISNUMBER(--LEFT(A1039,FIND(" - ",A1039&amp;" - ")-1)),LEFT(A1039,FIND(" - ",A1039&amp;" - ")-1),TRIM(A1039)))</f>
        <v/>
      </c>
      <c r="N1039">
        <f>IF(L1039="","",IF(ISNUMBER(INDEX(A1039:H1039,$P$1)),INDEX(A1039:H1039,$P$1),IFERROR(_xlfn.NUMBERVALUE(INDEX(A1039:H1039,$P$1),".",","),0)))</f>
        <v/>
      </c>
    </row>
    <row r="1040">
      <c r="L1040">
        <f>IF(A1040="","",IF(ISNUMBER(--LEFT(A1040,FIND(" - ",A1040&amp;" - ")-1)),LEFT(A1040,FIND(" - ",A1040&amp;" - ")-1),TRIM(A1040)))</f>
        <v/>
      </c>
      <c r="N1040">
        <f>IF(L1040="","",IF(ISNUMBER(INDEX(A1040:H1040,$P$1)),INDEX(A1040:H1040,$P$1),IFERROR(_xlfn.NUMBERVALUE(INDEX(A1040:H1040,$P$1),".",","),0)))</f>
        <v/>
      </c>
    </row>
    <row r="1041">
      <c r="L1041">
        <f>IF(A1041="","",IF(ISNUMBER(--LEFT(A1041,FIND(" - ",A1041&amp;" - ")-1)),LEFT(A1041,FIND(" - ",A1041&amp;" - ")-1),TRIM(A1041)))</f>
        <v/>
      </c>
      <c r="N1041">
        <f>IF(L1041="","",IF(ISNUMBER(INDEX(A1041:H1041,$P$1)),INDEX(A1041:H1041,$P$1),IFERROR(_xlfn.NUMBERVALUE(INDEX(A1041:H1041,$P$1),".",","),0)))</f>
        <v/>
      </c>
    </row>
    <row r="1042">
      <c r="L1042">
        <f>IF(A1042="","",IF(ISNUMBER(--LEFT(A1042,FIND(" - ",A1042&amp;" - ")-1)),LEFT(A1042,FIND(" - ",A1042&amp;" - ")-1),TRIM(A1042)))</f>
        <v/>
      </c>
      <c r="N1042">
        <f>IF(L1042="","",IF(ISNUMBER(INDEX(A1042:H1042,$P$1)),INDEX(A1042:H1042,$P$1),IFERROR(_xlfn.NUMBERVALUE(INDEX(A1042:H1042,$P$1),".",","),0)))</f>
        <v/>
      </c>
    </row>
    <row r="1043">
      <c r="L1043">
        <f>IF(A1043="","",IF(ISNUMBER(--LEFT(A1043,FIND(" - ",A1043&amp;" - ")-1)),LEFT(A1043,FIND(" - ",A1043&amp;" - ")-1),TRIM(A1043)))</f>
        <v/>
      </c>
      <c r="N1043">
        <f>IF(L1043="","",IF(ISNUMBER(INDEX(A1043:H1043,$P$1)),INDEX(A1043:H1043,$P$1),IFERROR(_xlfn.NUMBERVALUE(INDEX(A1043:H1043,$P$1),".",","),0)))</f>
        <v/>
      </c>
    </row>
    <row r="1044">
      <c r="L1044">
        <f>IF(A1044="","",IF(ISNUMBER(--LEFT(A1044,FIND(" - ",A1044&amp;" - ")-1)),LEFT(A1044,FIND(" - ",A1044&amp;" - ")-1),TRIM(A1044)))</f>
        <v/>
      </c>
      <c r="N1044">
        <f>IF(L1044="","",IF(ISNUMBER(INDEX(A1044:H1044,$P$1)),INDEX(A1044:H1044,$P$1),IFERROR(_xlfn.NUMBERVALUE(INDEX(A1044:H1044,$P$1),".",","),0)))</f>
        <v/>
      </c>
    </row>
    <row r="1045">
      <c r="L1045">
        <f>IF(A1045="","",IF(ISNUMBER(--LEFT(A1045,FIND(" - ",A1045&amp;" - ")-1)),LEFT(A1045,FIND(" - ",A1045&amp;" - ")-1),TRIM(A1045)))</f>
        <v/>
      </c>
      <c r="N1045">
        <f>IF(L1045="","",IF(ISNUMBER(INDEX(A1045:H1045,$P$1)),INDEX(A1045:H1045,$P$1),IFERROR(_xlfn.NUMBERVALUE(INDEX(A1045:H1045,$P$1),".",","),0)))</f>
        <v/>
      </c>
    </row>
    <row r="1046">
      <c r="L1046">
        <f>IF(A1046="","",IF(ISNUMBER(--LEFT(A1046,FIND(" - ",A1046&amp;" - ")-1)),LEFT(A1046,FIND(" - ",A1046&amp;" - ")-1),TRIM(A1046)))</f>
        <v/>
      </c>
      <c r="N1046">
        <f>IF(L1046="","",IF(ISNUMBER(INDEX(A1046:H1046,$P$1)),INDEX(A1046:H1046,$P$1),IFERROR(_xlfn.NUMBERVALUE(INDEX(A1046:H1046,$P$1),".",","),0)))</f>
        <v/>
      </c>
    </row>
    <row r="1047">
      <c r="L1047">
        <f>IF(A1047="","",IF(ISNUMBER(--LEFT(A1047,FIND(" - ",A1047&amp;" - ")-1)),LEFT(A1047,FIND(" - ",A1047&amp;" - ")-1),TRIM(A1047)))</f>
        <v/>
      </c>
      <c r="N1047">
        <f>IF(L1047="","",IF(ISNUMBER(INDEX(A1047:H1047,$P$1)),INDEX(A1047:H1047,$P$1),IFERROR(_xlfn.NUMBERVALUE(INDEX(A1047:H1047,$P$1),".",","),0)))</f>
        <v/>
      </c>
    </row>
    <row r="1048">
      <c r="L1048">
        <f>IF(A1048="","",IF(ISNUMBER(--LEFT(A1048,FIND(" - ",A1048&amp;" - ")-1)),LEFT(A1048,FIND(" - ",A1048&amp;" - ")-1),TRIM(A1048)))</f>
        <v/>
      </c>
      <c r="N1048">
        <f>IF(L1048="","",IF(ISNUMBER(INDEX(A1048:H1048,$P$1)),INDEX(A1048:H1048,$P$1),IFERROR(_xlfn.NUMBERVALUE(INDEX(A1048:H1048,$P$1),".",","),0)))</f>
        <v/>
      </c>
    </row>
    <row r="1049">
      <c r="L1049">
        <f>IF(A1049="","",IF(ISNUMBER(--LEFT(A1049,FIND(" - ",A1049&amp;" - ")-1)),LEFT(A1049,FIND(" - ",A1049&amp;" - ")-1),TRIM(A1049)))</f>
        <v/>
      </c>
      <c r="N1049">
        <f>IF(L1049="","",IF(ISNUMBER(INDEX(A1049:H1049,$P$1)),INDEX(A1049:H1049,$P$1),IFERROR(_xlfn.NUMBERVALUE(INDEX(A1049:H1049,$P$1),".",","),0)))</f>
        <v/>
      </c>
    </row>
    <row r="1050">
      <c r="L1050">
        <f>IF(A1050="","",IF(ISNUMBER(--LEFT(A1050,FIND(" - ",A1050&amp;" - ")-1)),LEFT(A1050,FIND(" - ",A1050&amp;" - ")-1),TRIM(A1050)))</f>
        <v/>
      </c>
      <c r="N1050">
        <f>IF(L1050="","",IF(ISNUMBER(INDEX(A1050:H1050,$P$1)),INDEX(A1050:H1050,$P$1),IFERROR(_xlfn.NUMBERVALUE(INDEX(A1050:H1050,$P$1),".",","),0)))</f>
        <v/>
      </c>
    </row>
    <row r="1051">
      <c r="L1051">
        <f>IF(A1051="","",IF(ISNUMBER(--LEFT(A1051,FIND(" - ",A1051&amp;" - ")-1)),LEFT(A1051,FIND(" - ",A1051&amp;" - ")-1),TRIM(A1051)))</f>
        <v/>
      </c>
      <c r="N1051">
        <f>IF(L1051="","",IF(ISNUMBER(INDEX(A1051:H1051,$P$1)),INDEX(A1051:H1051,$P$1),IFERROR(_xlfn.NUMBERVALUE(INDEX(A1051:H1051,$P$1),".",","),0)))</f>
        <v/>
      </c>
    </row>
    <row r="1052">
      <c r="L1052">
        <f>IF(A1052="","",IF(ISNUMBER(--LEFT(A1052,FIND(" - ",A1052&amp;" - ")-1)),LEFT(A1052,FIND(" - ",A1052&amp;" - ")-1),TRIM(A1052)))</f>
        <v/>
      </c>
      <c r="N1052">
        <f>IF(L1052="","",IF(ISNUMBER(INDEX(A1052:H1052,$P$1)),INDEX(A1052:H1052,$P$1),IFERROR(_xlfn.NUMBERVALUE(INDEX(A1052:H1052,$P$1),".",","),0)))</f>
        <v/>
      </c>
    </row>
    <row r="1053">
      <c r="L1053">
        <f>IF(A1053="","",IF(ISNUMBER(--LEFT(A1053,FIND(" - ",A1053&amp;" - ")-1)),LEFT(A1053,FIND(" - ",A1053&amp;" - ")-1),TRIM(A1053)))</f>
        <v/>
      </c>
      <c r="N1053">
        <f>IF(L1053="","",IF(ISNUMBER(INDEX(A1053:H1053,$P$1)),INDEX(A1053:H1053,$P$1),IFERROR(_xlfn.NUMBERVALUE(INDEX(A1053:H1053,$P$1),".",","),0)))</f>
        <v/>
      </c>
    </row>
    <row r="1054">
      <c r="L1054">
        <f>IF(A1054="","",IF(ISNUMBER(--LEFT(A1054,FIND(" - ",A1054&amp;" - ")-1)),LEFT(A1054,FIND(" - ",A1054&amp;" - ")-1),TRIM(A1054)))</f>
        <v/>
      </c>
      <c r="N1054">
        <f>IF(L1054="","",IF(ISNUMBER(INDEX(A1054:H1054,$P$1)),INDEX(A1054:H1054,$P$1),IFERROR(_xlfn.NUMBERVALUE(INDEX(A1054:H1054,$P$1),".",","),0)))</f>
        <v/>
      </c>
    </row>
    <row r="1055">
      <c r="L1055">
        <f>IF(A1055="","",IF(ISNUMBER(--LEFT(A1055,FIND(" - ",A1055&amp;" - ")-1)),LEFT(A1055,FIND(" - ",A1055&amp;" - ")-1),TRIM(A1055)))</f>
        <v/>
      </c>
      <c r="N1055">
        <f>IF(L1055="","",IF(ISNUMBER(INDEX(A1055:H1055,$P$1)),INDEX(A1055:H1055,$P$1),IFERROR(_xlfn.NUMBERVALUE(INDEX(A1055:H1055,$P$1),".",","),0)))</f>
        <v/>
      </c>
    </row>
    <row r="1056">
      <c r="L1056">
        <f>IF(A1056="","",IF(ISNUMBER(--LEFT(A1056,FIND(" - ",A1056&amp;" - ")-1)),LEFT(A1056,FIND(" - ",A1056&amp;" - ")-1),TRIM(A1056)))</f>
        <v/>
      </c>
      <c r="N1056">
        <f>IF(L1056="","",IF(ISNUMBER(INDEX(A1056:H1056,$P$1)),INDEX(A1056:H1056,$P$1),IFERROR(_xlfn.NUMBERVALUE(INDEX(A1056:H1056,$P$1),".",","),0)))</f>
        <v/>
      </c>
    </row>
    <row r="1057">
      <c r="L1057">
        <f>IF(A1057="","",IF(ISNUMBER(--LEFT(A1057,FIND(" - ",A1057&amp;" - ")-1)),LEFT(A1057,FIND(" - ",A1057&amp;" - ")-1),TRIM(A1057)))</f>
        <v/>
      </c>
      <c r="N1057">
        <f>IF(L1057="","",IF(ISNUMBER(INDEX(A1057:H1057,$P$1)),INDEX(A1057:H1057,$P$1),IFERROR(_xlfn.NUMBERVALUE(INDEX(A1057:H1057,$P$1),".",","),0)))</f>
        <v/>
      </c>
    </row>
    <row r="1058">
      <c r="L1058">
        <f>IF(A1058="","",IF(ISNUMBER(--LEFT(A1058,FIND(" - ",A1058&amp;" - ")-1)),LEFT(A1058,FIND(" - ",A1058&amp;" - ")-1),TRIM(A1058)))</f>
        <v/>
      </c>
      <c r="N1058">
        <f>IF(L1058="","",IF(ISNUMBER(INDEX(A1058:H1058,$P$1)),INDEX(A1058:H1058,$P$1),IFERROR(_xlfn.NUMBERVALUE(INDEX(A1058:H1058,$P$1),".",","),0)))</f>
        <v/>
      </c>
    </row>
    <row r="1059">
      <c r="L1059">
        <f>IF(A1059="","",IF(ISNUMBER(--LEFT(A1059,FIND(" - ",A1059&amp;" - ")-1)),LEFT(A1059,FIND(" - ",A1059&amp;" - ")-1),TRIM(A1059)))</f>
        <v/>
      </c>
      <c r="N1059">
        <f>IF(L1059="","",IF(ISNUMBER(INDEX(A1059:H1059,$P$1)),INDEX(A1059:H1059,$P$1),IFERROR(_xlfn.NUMBERVALUE(INDEX(A1059:H1059,$P$1),".",","),0)))</f>
        <v/>
      </c>
    </row>
    <row r="1060">
      <c r="L1060">
        <f>IF(A1060="","",IF(ISNUMBER(--LEFT(A1060,FIND(" - ",A1060&amp;" - ")-1)),LEFT(A1060,FIND(" - ",A1060&amp;" - ")-1),TRIM(A1060)))</f>
        <v/>
      </c>
      <c r="N1060">
        <f>IF(L1060="","",IF(ISNUMBER(INDEX(A1060:H1060,$P$1)),INDEX(A1060:H1060,$P$1),IFERROR(_xlfn.NUMBERVALUE(INDEX(A1060:H1060,$P$1),".",","),0)))</f>
        <v/>
      </c>
    </row>
    <row r="1061">
      <c r="L1061">
        <f>IF(A1061="","",IF(ISNUMBER(--LEFT(A1061,FIND(" - ",A1061&amp;" - ")-1)),LEFT(A1061,FIND(" - ",A1061&amp;" - ")-1),TRIM(A1061)))</f>
        <v/>
      </c>
      <c r="N1061">
        <f>IF(L1061="","",IF(ISNUMBER(INDEX(A1061:H1061,$P$1)),INDEX(A1061:H1061,$P$1),IFERROR(_xlfn.NUMBERVALUE(INDEX(A1061:H1061,$P$1),".",","),0)))</f>
        <v/>
      </c>
    </row>
    <row r="1062">
      <c r="L1062">
        <f>IF(A1062="","",IF(ISNUMBER(--LEFT(A1062,FIND(" - ",A1062&amp;" - ")-1)),LEFT(A1062,FIND(" - ",A1062&amp;" - ")-1),TRIM(A1062)))</f>
        <v/>
      </c>
      <c r="N1062">
        <f>IF(L1062="","",IF(ISNUMBER(INDEX(A1062:H1062,$P$1)),INDEX(A1062:H1062,$P$1),IFERROR(_xlfn.NUMBERVALUE(INDEX(A1062:H1062,$P$1),".",","),0)))</f>
        <v/>
      </c>
    </row>
    <row r="1063">
      <c r="L1063">
        <f>IF(A1063="","",IF(ISNUMBER(--LEFT(A1063,FIND(" - ",A1063&amp;" - ")-1)),LEFT(A1063,FIND(" - ",A1063&amp;" - ")-1),TRIM(A1063)))</f>
        <v/>
      </c>
      <c r="N1063">
        <f>IF(L1063="","",IF(ISNUMBER(INDEX(A1063:H1063,$P$1)),INDEX(A1063:H1063,$P$1),IFERROR(_xlfn.NUMBERVALUE(INDEX(A1063:H1063,$P$1),".",","),0)))</f>
        <v/>
      </c>
    </row>
    <row r="1064">
      <c r="L1064">
        <f>IF(A1064="","",IF(ISNUMBER(--LEFT(A1064,FIND(" - ",A1064&amp;" - ")-1)),LEFT(A1064,FIND(" - ",A1064&amp;" - ")-1),TRIM(A1064)))</f>
        <v/>
      </c>
      <c r="N1064">
        <f>IF(L1064="","",IF(ISNUMBER(INDEX(A1064:H1064,$P$1)),INDEX(A1064:H1064,$P$1),IFERROR(_xlfn.NUMBERVALUE(INDEX(A1064:H1064,$P$1),".",","),0)))</f>
        <v/>
      </c>
    </row>
    <row r="1065">
      <c r="L1065">
        <f>IF(A1065="","",IF(ISNUMBER(--LEFT(A1065,FIND(" - ",A1065&amp;" - ")-1)),LEFT(A1065,FIND(" - ",A1065&amp;" - ")-1),TRIM(A1065)))</f>
        <v/>
      </c>
      <c r="N1065">
        <f>IF(L1065="","",IF(ISNUMBER(INDEX(A1065:H1065,$P$1)),INDEX(A1065:H1065,$P$1),IFERROR(_xlfn.NUMBERVALUE(INDEX(A1065:H1065,$P$1),".",","),0)))</f>
        <v/>
      </c>
    </row>
    <row r="1066">
      <c r="L1066">
        <f>IF(A1066="","",IF(ISNUMBER(--LEFT(A1066,FIND(" - ",A1066&amp;" - ")-1)),LEFT(A1066,FIND(" - ",A1066&amp;" - ")-1),TRIM(A1066)))</f>
        <v/>
      </c>
      <c r="N1066">
        <f>IF(L1066="","",IF(ISNUMBER(INDEX(A1066:H1066,$P$1)),INDEX(A1066:H1066,$P$1),IFERROR(_xlfn.NUMBERVALUE(INDEX(A1066:H1066,$P$1),".",","),0)))</f>
        <v/>
      </c>
    </row>
    <row r="1067">
      <c r="L1067">
        <f>IF(A1067="","",IF(ISNUMBER(--LEFT(A1067,FIND(" - ",A1067&amp;" - ")-1)),LEFT(A1067,FIND(" - ",A1067&amp;" - ")-1),TRIM(A1067)))</f>
        <v/>
      </c>
      <c r="N1067">
        <f>IF(L1067="","",IF(ISNUMBER(INDEX(A1067:H1067,$P$1)),INDEX(A1067:H1067,$P$1),IFERROR(_xlfn.NUMBERVALUE(INDEX(A1067:H1067,$P$1),".",","),0)))</f>
        <v/>
      </c>
    </row>
    <row r="1068">
      <c r="L1068">
        <f>IF(A1068="","",IF(ISNUMBER(--LEFT(A1068,FIND(" - ",A1068&amp;" - ")-1)),LEFT(A1068,FIND(" - ",A1068&amp;" - ")-1),TRIM(A1068)))</f>
        <v/>
      </c>
      <c r="N1068">
        <f>IF(L1068="","",IF(ISNUMBER(INDEX(A1068:H1068,$P$1)),INDEX(A1068:H1068,$P$1),IFERROR(_xlfn.NUMBERVALUE(INDEX(A1068:H1068,$P$1),".",","),0)))</f>
        <v/>
      </c>
    </row>
    <row r="1069">
      <c r="L1069">
        <f>IF(A1069="","",IF(ISNUMBER(--LEFT(A1069,FIND(" - ",A1069&amp;" - ")-1)),LEFT(A1069,FIND(" - ",A1069&amp;" - ")-1),TRIM(A1069)))</f>
        <v/>
      </c>
      <c r="N1069">
        <f>IF(L1069="","",IF(ISNUMBER(INDEX(A1069:H1069,$P$1)),INDEX(A1069:H1069,$P$1),IFERROR(_xlfn.NUMBERVALUE(INDEX(A1069:H1069,$P$1),".",","),0)))</f>
        <v/>
      </c>
    </row>
    <row r="1070">
      <c r="L1070">
        <f>IF(A1070="","",IF(ISNUMBER(--LEFT(A1070,FIND(" - ",A1070&amp;" - ")-1)),LEFT(A1070,FIND(" - ",A1070&amp;" - ")-1),TRIM(A1070)))</f>
        <v/>
      </c>
      <c r="N1070">
        <f>IF(L1070="","",IF(ISNUMBER(INDEX(A1070:H1070,$P$1)),INDEX(A1070:H1070,$P$1),IFERROR(_xlfn.NUMBERVALUE(INDEX(A1070:H1070,$P$1),".",","),0)))</f>
        <v/>
      </c>
    </row>
    <row r="1071">
      <c r="L1071">
        <f>IF(A1071="","",IF(ISNUMBER(--LEFT(A1071,FIND(" - ",A1071&amp;" - ")-1)),LEFT(A1071,FIND(" - ",A1071&amp;" - ")-1),TRIM(A1071)))</f>
        <v/>
      </c>
      <c r="N1071">
        <f>IF(L1071="","",IF(ISNUMBER(INDEX(A1071:H1071,$P$1)),INDEX(A1071:H1071,$P$1),IFERROR(_xlfn.NUMBERVALUE(INDEX(A1071:H1071,$P$1),".",","),0)))</f>
        <v/>
      </c>
    </row>
    <row r="1072">
      <c r="L1072">
        <f>IF(A1072="","",IF(ISNUMBER(--LEFT(A1072,FIND(" - ",A1072&amp;" - ")-1)),LEFT(A1072,FIND(" - ",A1072&amp;" - ")-1),TRIM(A1072)))</f>
        <v/>
      </c>
      <c r="N1072">
        <f>IF(L1072="","",IF(ISNUMBER(INDEX(A1072:H1072,$P$1)),INDEX(A1072:H1072,$P$1),IFERROR(_xlfn.NUMBERVALUE(INDEX(A1072:H1072,$P$1),".",","),0)))</f>
        <v/>
      </c>
    </row>
    <row r="1073">
      <c r="L1073">
        <f>IF(A1073="","",IF(ISNUMBER(--LEFT(A1073,FIND(" - ",A1073&amp;" - ")-1)),LEFT(A1073,FIND(" - ",A1073&amp;" - ")-1),TRIM(A1073)))</f>
        <v/>
      </c>
      <c r="N1073">
        <f>IF(L1073="","",IF(ISNUMBER(INDEX(A1073:H1073,$P$1)),INDEX(A1073:H1073,$P$1),IFERROR(_xlfn.NUMBERVALUE(INDEX(A1073:H1073,$P$1),".",","),0)))</f>
        <v/>
      </c>
    </row>
    <row r="1074">
      <c r="L1074">
        <f>IF(A1074="","",IF(ISNUMBER(--LEFT(A1074,FIND(" - ",A1074&amp;" - ")-1)),LEFT(A1074,FIND(" - ",A1074&amp;" - ")-1),TRIM(A1074)))</f>
        <v/>
      </c>
      <c r="N1074">
        <f>IF(L1074="","",IF(ISNUMBER(INDEX(A1074:H1074,$P$1)),INDEX(A1074:H1074,$P$1),IFERROR(_xlfn.NUMBERVALUE(INDEX(A1074:H1074,$P$1),".",","),0)))</f>
        <v/>
      </c>
    </row>
    <row r="1075">
      <c r="L1075">
        <f>IF(A1075="","",IF(ISNUMBER(--LEFT(A1075,FIND(" - ",A1075&amp;" - ")-1)),LEFT(A1075,FIND(" - ",A1075&amp;" - ")-1),TRIM(A1075)))</f>
        <v/>
      </c>
      <c r="N1075">
        <f>IF(L1075="","",IF(ISNUMBER(INDEX(A1075:H1075,$P$1)),INDEX(A1075:H1075,$P$1),IFERROR(_xlfn.NUMBERVALUE(INDEX(A1075:H1075,$P$1),".",","),0)))</f>
        <v/>
      </c>
    </row>
    <row r="1076">
      <c r="L1076">
        <f>IF(A1076="","",IF(ISNUMBER(--LEFT(A1076,FIND(" - ",A1076&amp;" - ")-1)),LEFT(A1076,FIND(" - ",A1076&amp;" - ")-1),TRIM(A1076)))</f>
        <v/>
      </c>
      <c r="N1076">
        <f>IF(L1076="","",IF(ISNUMBER(INDEX(A1076:H1076,$P$1)),INDEX(A1076:H1076,$P$1),IFERROR(_xlfn.NUMBERVALUE(INDEX(A1076:H1076,$P$1),".",","),0)))</f>
        <v/>
      </c>
    </row>
    <row r="1077">
      <c r="L1077">
        <f>IF(A1077="","",IF(ISNUMBER(--LEFT(A1077,FIND(" - ",A1077&amp;" - ")-1)),LEFT(A1077,FIND(" - ",A1077&amp;" - ")-1),TRIM(A1077)))</f>
        <v/>
      </c>
      <c r="N1077">
        <f>IF(L1077="","",IF(ISNUMBER(INDEX(A1077:H1077,$P$1)),INDEX(A1077:H1077,$P$1),IFERROR(_xlfn.NUMBERVALUE(INDEX(A1077:H1077,$P$1),".",","),0)))</f>
        <v/>
      </c>
    </row>
    <row r="1078">
      <c r="L1078">
        <f>IF(A1078="","",IF(ISNUMBER(--LEFT(A1078,FIND(" - ",A1078&amp;" - ")-1)),LEFT(A1078,FIND(" - ",A1078&amp;" - ")-1),TRIM(A1078)))</f>
        <v/>
      </c>
      <c r="N1078">
        <f>IF(L1078="","",IF(ISNUMBER(INDEX(A1078:H1078,$P$1)),INDEX(A1078:H1078,$P$1),IFERROR(_xlfn.NUMBERVALUE(INDEX(A1078:H1078,$P$1),".",","),0)))</f>
        <v/>
      </c>
    </row>
    <row r="1079">
      <c r="L1079">
        <f>IF(A1079="","",IF(ISNUMBER(--LEFT(A1079,FIND(" - ",A1079&amp;" - ")-1)),LEFT(A1079,FIND(" - ",A1079&amp;" - ")-1),TRIM(A1079)))</f>
        <v/>
      </c>
      <c r="N1079">
        <f>IF(L1079="","",IF(ISNUMBER(INDEX(A1079:H1079,$P$1)),INDEX(A1079:H1079,$P$1),IFERROR(_xlfn.NUMBERVALUE(INDEX(A1079:H1079,$P$1),".",","),0)))</f>
        <v/>
      </c>
    </row>
    <row r="1080">
      <c r="L1080">
        <f>IF(A1080="","",IF(ISNUMBER(--LEFT(A1080,FIND(" - ",A1080&amp;" - ")-1)),LEFT(A1080,FIND(" - ",A1080&amp;" - ")-1),TRIM(A1080)))</f>
        <v/>
      </c>
      <c r="N1080">
        <f>IF(L1080="","",IF(ISNUMBER(INDEX(A1080:H1080,$P$1)),INDEX(A1080:H1080,$P$1),IFERROR(_xlfn.NUMBERVALUE(INDEX(A1080:H1080,$P$1),".",","),0)))</f>
        <v/>
      </c>
    </row>
    <row r="1081">
      <c r="L1081">
        <f>IF(A1081="","",IF(ISNUMBER(--LEFT(A1081,FIND(" - ",A1081&amp;" - ")-1)),LEFT(A1081,FIND(" - ",A1081&amp;" - ")-1),TRIM(A1081)))</f>
        <v/>
      </c>
      <c r="N1081">
        <f>IF(L1081="","",IF(ISNUMBER(INDEX(A1081:H1081,$P$1)),INDEX(A1081:H1081,$P$1),IFERROR(_xlfn.NUMBERVALUE(INDEX(A1081:H1081,$P$1),".",","),0)))</f>
        <v/>
      </c>
    </row>
    <row r="1082">
      <c r="L1082">
        <f>IF(A1082="","",IF(ISNUMBER(--LEFT(A1082,FIND(" - ",A1082&amp;" - ")-1)),LEFT(A1082,FIND(" - ",A1082&amp;" - ")-1),TRIM(A1082)))</f>
        <v/>
      </c>
      <c r="N1082">
        <f>IF(L1082="","",IF(ISNUMBER(INDEX(A1082:H1082,$P$1)),INDEX(A1082:H1082,$P$1),IFERROR(_xlfn.NUMBERVALUE(INDEX(A1082:H1082,$P$1),".",","),0)))</f>
        <v/>
      </c>
    </row>
    <row r="1083">
      <c r="L1083">
        <f>IF(A1083="","",IF(ISNUMBER(--LEFT(A1083,FIND(" - ",A1083&amp;" - ")-1)),LEFT(A1083,FIND(" - ",A1083&amp;" - ")-1),TRIM(A1083)))</f>
        <v/>
      </c>
      <c r="N1083">
        <f>IF(L1083="","",IF(ISNUMBER(INDEX(A1083:H1083,$P$1)),INDEX(A1083:H1083,$P$1),IFERROR(_xlfn.NUMBERVALUE(INDEX(A1083:H1083,$P$1),".",","),0)))</f>
        <v/>
      </c>
    </row>
    <row r="1084">
      <c r="L1084">
        <f>IF(A1084="","",IF(ISNUMBER(--LEFT(A1084,FIND(" - ",A1084&amp;" - ")-1)),LEFT(A1084,FIND(" - ",A1084&amp;" - ")-1),TRIM(A1084)))</f>
        <v/>
      </c>
      <c r="N1084">
        <f>IF(L1084="","",IF(ISNUMBER(INDEX(A1084:H1084,$P$1)),INDEX(A1084:H1084,$P$1),IFERROR(_xlfn.NUMBERVALUE(INDEX(A1084:H1084,$P$1),".",","),0)))</f>
        <v/>
      </c>
    </row>
    <row r="1085">
      <c r="L1085">
        <f>IF(A1085="","",IF(ISNUMBER(--LEFT(A1085,FIND(" - ",A1085&amp;" - ")-1)),LEFT(A1085,FIND(" - ",A1085&amp;" - ")-1),TRIM(A1085)))</f>
        <v/>
      </c>
      <c r="N1085">
        <f>IF(L1085="","",IF(ISNUMBER(INDEX(A1085:H1085,$P$1)),INDEX(A1085:H1085,$P$1),IFERROR(_xlfn.NUMBERVALUE(INDEX(A1085:H1085,$P$1),".",","),0)))</f>
        <v/>
      </c>
    </row>
    <row r="1086">
      <c r="L1086">
        <f>IF(A1086="","",IF(ISNUMBER(--LEFT(A1086,FIND(" - ",A1086&amp;" - ")-1)),LEFT(A1086,FIND(" - ",A1086&amp;" - ")-1),TRIM(A1086)))</f>
        <v/>
      </c>
      <c r="N1086">
        <f>IF(L1086="","",IF(ISNUMBER(INDEX(A1086:H1086,$P$1)),INDEX(A1086:H1086,$P$1),IFERROR(_xlfn.NUMBERVALUE(INDEX(A1086:H1086,$P$1),".",","),0)))</f>
        <v/>
      </c>
    </row>
    <row r="1087">
      <c r="L1087">
        <f>IF(A1087="","",IF(ISNUMBER(--LEFT(A1087,FIND(" - ",A1087&amp;" - ")-1)),LEFT(A1087,FIND(" - ",A1087&amp;" - ")-1),TRIM(A1087)))</f>
        <v/>
      </c>
      <c r="N1087">
        <f>IF(L1087="","",IF(ISNUMBER(INDEX(A1087:H1087,$P$1)),INDEX(A1087:H1087,$P$1),IFERROR(_xlfn.NUMBERVALUE(INDEX(A1087:H1087,$P$1),".",","),0)))</f>
        <v/>
      </c>
    </row>
    <row r="1088">
      <c r="L1088">
        <f>IF(A1088="","",IF(ISNUMBER(--LEFT(A1088,FIND(" - ",A1088&amp;" - ")-1)),LEFT(A1088,FIND(" - ",A1088&amp;" - ")-1),TRIM(A1088)))</f>
        <v/>
      </c>
      <c r="N1088">
        <f>IF(L1088="","",IF(ISNUMBER(INDEX(A1088:H1088,$P$1)),INDEX(A1088:H1088,$P$1),IFERROR(_xlfn.NUMBERVALUE(INDEX(A1088:H1088,$P$1),".",","),0)))</f>
        <v/>
      </c>
    </row>
    <row r="1089">
      <c r="L1089">
        <f>IF(A1089="","",IF(ISNUMBER(--LEFT(A1089,FIND(" - ",A1089&amp;" - ")-1)),LEFT(A1089,FIND(" - ",A1089&amp;" - ")-1),TRIM(A1089)))</f>
        <v/>
      </c>
      <c r="N1089">
        <f>IF(L1089="","",IF(ISNUMBER(INDEX(A1089:H1089,$P$1)),INDEX(A1089:H1089,$P$1),IFERROR(_xlfn.NUMBERVALUE(INDEX(A1089:H1089,$P$1),".",","),0)))</f>
        <v/>
      </c>
    </row>
    <row r="1090">
      <c r="L1090">
        <f>IF(A1090="","",IF(ISNUMBER(--LEFT(A1090,FIND(" - ",A1090&amp;" - ")-1)),LEFT(A1090,FIND(" - ",A1090&amp;" - ")-1),TRIM(A1090)))</f>
        <v/>
      </c>
      <c r="N1090">
        <f>IF(L1090="","",IF(ISNUMBER(INDEX(A1090:H1090,$P$1)),INDEX(A1090:H1090,$P$1),IFERROR(_xlfn.NUMBERVALUE(INDEX(A1090:H1090,$P$1),".",","),0)))</f>
        <v/>
      </c>
    </row>
    <row r="1091">
      <c r="L1091">
        <f>IF(A1091="","",IF(ISNUMBER(--LEFT(A1091,FIND(" - ",A1091&amp;" - ")-1)),LEFT(A1091,FIND(" - ",A1091&amp;" - ")-1),TRIM(A1091)))</f>
        <v/>
      </c>
      <c r="N1091">
        <f>IF(L1091="","",IF(ISNUMBER(INDEX(A1091:H1091,$P$1)),INDEX(A1091:H1091,$P$1),IFERROR(_xlfn.NUMBERVALUE(INDEX(A1091:H1091,$P$1),".",","),0)))</f>
        <v/>
      </c>
    </row>
    <row r="1092">
      <c r="L1092">
        <f>IF(A1092="","",IF(ISNUMBER(--LEFT(A1092,FIND(" - ",A1092&amp;" - ")-1)),LEFT(A1092,FIND(" - ",A1092&amp;" - ")-1),TRIM(A1092)))</f>
        <v/>
      </c>
      <c r="N1092">
        <f>IF(L1092="","",IF(ISNUMBER(INDEX(A1092:H1092,$P$1)),INDEX(A1092:H1092,$P$1),IFERROR(_xlfn.NUMBERVALUE(INDEX(A1092:H1092,$P$1),".",","),0)))</f>
        <v/>
      </c>
    </row>
    <row r="1093">
      <c r="L1093">
        <f>IF(A1093="","",IF(ISNUMBER(--LEFT(A1093,FIND(" - ",A1093&amp;" - ")-1)),LEFT(A1093,FIND(" - ",A1093&amp;" - ")-1),TRIM(A1093)))</f>
        <v/>
      </c>
      <c r="N1093">
        <f>IF(L1093="","",IF(ISNUMBER(INDEX(A1093:H1093,$P$1)),INDEX(A1093:H1093,$P$1),IFERROR(_xlfn.NUMBERVALUE(INDEX(A1093:H1093,$P$1),".",","),0)))</f>
        <v/>
      </c>
    </row>
    <row r="1094">
      <c r="L1094">
        <f>IF(A1094="","",IF(ISNUMBER(--LEFT(A1094,FIND(" - ",A1094&amp;" - ")-1)),LEFT(A1094,FIND(" - ",A1094&amp;" - ")-1),TRIM(A1094)))</f>
        <v/>
      </c>
      <c r="N1094">
        <f>IF(L1094="","",IF(ISNUMBER(INDEX(A1094:H1094,$P$1)),INDEX(A1094:H1094,$P$1),IFERROR(_xlfn.NUMBERVALUE(INDEX(A1094:H1094,$P$1),".",","),0)))</f>
        <v/>
      </c>
    </row>
    <row r="1095">
      <c r="L1095">
        <f>IF(A1095="","",IF(ISNUMBER(--LEFT(A1095,FIND(" - ",A1095&amp;" - ")-1)),LEFT(A1095,FIND(" - ",A1095&amp;" - ")-1),TRIM(A1095)))</f>
        <v/>
      </c>
      <c r="N1095">
        <f>IF(L1095="","",IF(ISNUMBER(INDEX(A1095:H1095,$P$1)),INDEX(A1095:H1095,$P$1),IFERROR(_xlfn.NUMBERVALUE(INDEX(A1095:H1095,$P$1),".",","),0)))</f>
        <v/>
      </c>
    </row>
    <row r="1096">
      <c r="L1096">
        <f>IF(A1096="","",IF(ISNUMBER(--LEFT(A1096,FIND(" - ",A1096&amp;" - ")-1)),LEFT(A1096,FIND(" - ",A1096&amp;" - ")-1),TRIM(A1096)))</f>
        <v/>
      </c>
      <c r="N1096">
        <f>IF(L1096="","",IF(ISNUMBER(INDEX(A1096:H1096,$P$1)),INDEX(A1096:H1096,$P$1),IFERROR(_xlfn.NUMBERVALUE(INDEX(A1096:H1096,$P$1),".",","),0)))</f>
        <v/>
      </c>
    </row>
    <row r="1097">
      <c r="L1097">
        <f>IF(A1097="","",IF(ISNUMBER(--LEFT(A1097,FIND(" - ",A1097&amp;" - ")-1)),LEFT(A1097,FIND(" - ",A1097&amp;" - ")-1),TRIM(A1097)))</f>
        <v/>
      </c>
      <c r="N1097">
        <f>IF(L1097="","",IF(ISNUMBER(INDEX(A1097:H1097,$P$1)),INDEX(A1097:H1097,$P$1),IFERROR(_xlfn.NUMBERVALUE(INDEX(A1097:H1097,$P$1),".",","),0)))</f>
        <v/>
      </c>
    </row>
    <row r="1098">
      <c r="L1098">
        <f>IF(A1098="","",IF(ISNUMBER(--LEFT(A1098,FIND(" - ",A1098&amp;" - ")-1)),LEFT(A1098,FIND(" - ",A1098&amp;" - ")-1),TRIM(A1098)))</f>
        <v/>
      </c>
      <c r="N1098">
        <f>IF(L1098="","",IF(ISNUMBER(INDEX(A1098:H1098,$P$1)),INDEX(A1098:H1098,$P$1),IFERROR(_xlfn.NUMBERVALUE(INDEX(A1098:H1098,$P$1),".",","),0)))</f>
        <v/>
      </c>
    </row>
    <row r="1099">
      <c r="L1099">
        <f>IF(A1099="","",IF(ISNUMBER(--LEFT(A1099,FIND(" - ",A1099&amp;" - ")-1)),LEFT(A1099,FIND(" - ",A1099&amp;" - ")-1),TRIM(A1099)))</f>
        <v/>
      </c>
      <c r="N1099">
        <f>IF(L1099="","",IF(ISNUMBER(INDEX(A1099:H1099,$P$1)),INDEX(A1099:H1099,$P$1),IFERROR(_xlfn.NUMBERVALUE(INDEX(A1099:H1099,$P$1),".",","),0)))</f>
        <v/>
      </c>
    </row>
    <row r="1100">
      <c r="L1100">
        <f>IF(A1100="","",IF(ISNUMBER(--LEFT(A1100,FIND(" - ",A1100&amp;" - ")-1)),LEFT(A1100,FIND(" - ",A1100&amp;" - ")-1),TRIM(A1100)))</f>
        <v/>
      </c>
      <c r="N1100">
        <f>IF(L1100="","",IF(ISNUMBER(INDEX(A1100:H1100,$P$1)),INDEX(A1100:H1100,$P$1),IFERROR(_xlfn.NUMBERVALUE(INDEX(A1100:H1100,$P$1),".",","),0)))</f>
        <v/>
      </c>
    </row>
    <row r="1101">
      <c r="L1101">
        <f>IF(A1101="","",IF(ISNUMBER(--LEFT(A1101,FIND(" - ",A1101&amp;" - ")-1)),LEFT(A1101,FIND(" - ",A1101&amp;" - ")-1),TRIM(A1101)))</f>
        <v/>
      </c>
      <c r="N1101">
        <f>IF(L1101="","",IF(ISNUMBER(INDEX(A1101:H1101,$P$1)),INDEX(A1101:H1101,$P$1),IFERROR(_xlfn.NUMBERVALUE(INDEX(A1101:H1101,$P$1),".",","),0)))</f>
        <v/>
      </c>
    </row>
    <row r="1102">
      <c r="L1102">
        <f>IF(A1102="","",IF(ISNUMBER(--LEFT(A1102,FIND(" - ",A1102&amp;" - ")-1)),LEFT(A1102,FIND(" - ",A1102&amp;" - ")-1),TRIM(A1102)))</f>
        <v/>
      </c>
      <c r="N1102">
        <f>IF(L1102="","",IF(ISNUMBER(INDEX(A1102:H1102,$P$1)),INDEX(A1102:H1102,$P$1),IFERROR(_xlfn.NUMBERVALUE(INDEX(A1102:H1102,$P$1),".",","),0)))</f>
        <v/>
      </c>
    </row>
    <row r="1103">
      <c r="L1103">
        <f>IF(A1103="","",IF(ISNUMBER(--LEFT(A1103,FIND(" - ",A1103&amp;" - ")-1)),LEFT(A1103,FIND(" - ",A1103&amp;" - ")-1),TRIM(A1103)))</f>
        <v/>
      </c>
      <c r="N1103">
        <f>IF(L1103="","",IF(ISNUMBER(INDEX(A1103:H1103,$P$1)),INDEX(A1103:H1103,$P$1),IFERROR(_xlfn.NUMBERVALUE(INDEX(A1103:H1103,$P$1),".",","),0)))</f>
        <v/>
      </c>
    </row>
    <row r="1104">
      <c r="L1104">
        <f>IF(A1104="","",IF(ISNUMBER(--LEFT(A1104,FIND(" - ",A1104&amp;" - ")-1)),LEFT(A1104,FIND(" - ",A1104&amp;" - ")-1),TRIM(A1104)))</f>
        <v/>
      </c>
      <c r="N1104">
        <f>IF(L1104="","",IF(ISNUMBER(INDEX(A1104:H1104,$P$1)),INDEX(A1104:H1104,$P$1),IFERROR(_xlfn.NUMBERVALUE(INDEX(A1104:H1104,$P$1),".",","),0)))</f>
        <v/>
      </c>
    </row>
    <row r="1105">
      <c r="L1105">
        <f>IF(A1105="","",IF(ISNUMBER(--LEFT(A1105,FIND(" - ",A1105&amp;" - ")-1)),LEFT(A1105,FIND(" - ",A1105&amp;" - ")-1),TRIM(A1105)))</f>
        <v/>
      </c>
      <c r="N1105">
        <f>IF(L1105="","",IF(ISNUMBER(INDEX(A1105:H1105,$P$1)),INDEX(A1105:H1105,$P$1),IFERROR(_xlfn.NUMBERVALUE(INDEX(A1105:H1105,$P$1),".",","),0)))</f>
        <v/>
      </c>
    </row>
    <row r="1106">
      <c r="L1106">
        <f>IF(A1106="","",IF(ISNUMBER(--LEFT(A1106,FIND(" - ",A1106&amp;" - ")-1)),LEFT(A1106,FIND(" - ",A1106&amp;" - ")-1),TRIM(A1106)))</f>
        <v/>
      </c>
      <c r="N1106">
        <f>IF(L1106="","",IF(ISNUMBER(INDEX(A1106:H1106,$P$1)),INDEX(A1106:H1106,$P$1),IFERROR(_xlfn.NUMBERVALUE(INDEX(A1106:H1106,$P$1),".",","),0)))</f>
        <v/>
      </c>
    </row>
    <row r="1107">
      <c r="L1107">
        <f>IF(A1107="","",IF(ISNUMBER(--LEFT(A1107,FIND(" - ",A1107&amp;" - ")-1)),LEFT(A1107,FIND(" - ",A1107&amp;" - ")-1),TRIM(A1107)))</f>
        <v/>
      </c>
      <c r="N1107">
        <f>IF(L1107="","",IF(ISNUMBER(INDEX(A1107:H1107,$P$1)),INDEX(A1107:H1107,$P$1),IFERROR(_xlfn.NUMBERVALUE(INDEX(A1107:H1107,$P$1),".",","),0)))</f>
        <v/>
      </c>
    </row>
    <row r="1108">
      <c r="L1108">
        <f>IF(A1108="","",IF(ISNUMBER(--LEFT(A1108,FIND(" - ",A1108&amp;" - ")-1)),LEFT(A1108,FIND(" - ",A1108&amp;" - ")-1),TRIM(A1108)))</f>
        <v/>
      </c>
      <c r="N1108">
        <f>IF(L1108="","",IF(ISNUMBER(INDEX(A1108:H1108,$P$1)),INDEX(A1108:H1108,$P$1),IFERROR(_xlfn.NUMBERVALUE(INDEX(A1108:H1108,$P$1),".",","),0)))</f>
        <v/>
      </c>
    </row>
    <row r="1109">
      <c r="L1109">
        <f>IF(A1109="","",IF(ISNUMBER(--LEFT(A1109,FIND(" - ",A1109&amp;" - ")-1)),LEFT(A1109,FIND(" - ",A1109&amp;" - ")-1),TRIM(A1109)))</f>
        <v/>
      </c>
      <c r="N1109">
        <f>IF(L1109="","",IF(ISNUMBER(INDEX(A1109:H1109,$P$1)),INDEX(A1109:H1109,$P$1),IFERROR(_xlfn.NUMBERVALUE(INDEX(A1109:H1109,$P$1),".",","),0)))</f>
        <v/>
      </c>
    </row>
    <row r="1110">
      <c r="L1110">
        <f>IF(A1110="","",IF(ISNUMBER(--LEFT(A1110,FIND(" - ",A1110&amp;" - ")-1)),LEFT(A1110,FIND(" - ",A1110&amp;" - ")-1),TRIM(A1110)))</f>
        <v/>
      </c>
      <c r="N1110">
        <f>IF(L1110="","",IF(ISNUMBER(INDEX(A1110:H1110,$P$1)),INDEX(A1110:H1110,$P$1),IFERROR(_xlfn.NUMBERVALUE(INDEX(A1110:H1110,$P$1),".",","),0)))</f>
        <v/>
      </c>
    </row>
    <row r="1111">
      <c r="L1111">
        <f>IF(A1111="","",IF(ISNUMBER(--LEFT(A1111,FIND(" - ",A1111&amp;" - ")-1)),LEFT(A1111,FIND(" - ",A1111&amp;" - ")-1),TRIM(A1111)))</f>
        <v/>
      </c>
      <c r="N1111">
        <f>IF(L1111="","",IF(ISNUMBER(INDEX(A1111:H1111,$P$1)),INDEX(A1111:H1111,$P$1),IFERROR(_xlfn.NUMBERVALUE(INDEX(A1111:H1111,$P$1),".",","),0)))</f>
        <v/>
      </c>
    </row>
    <row r="1112">
      <c r="L1112">
        <f>IF(A1112="","",IF(ISNUMBER(--LEFT(A1112,FIND(" - ",A1112&amp;" - ")-1)),LEFT(A1112,FIND(" - ",A1112&amp;" - ")-1),TRIM(A1112)))</f>
        <v/>
      </c>
      <c r="N1112">
        <f>IF(L1112="","",IF(ISNUMBER(INDEX(A1112:H1112,$P$1)),INDEX(A1112:H1112,$P$1),IFERROR(_xlfn.NUMBERVALUE(INDEX(A1112:H1112,$P$1),".",","),0)))</f>
        <v/>
      </c>
    </row>
    <row r="1113">
      <c r="L1113">
        <f>IF(A1113="","",IF(ISNUMBER(--LEFT(A1113,FIND(" - ",A1113&amp;" - ")-1)),LEFT(A1113,FIND(" - ",A1113&amp;" - ")-1),TRIM(A1113)))</f>
        <v/>
      </c>
      <c r="N1113">
        <f>IF(L1113="","",IF(ISNUMBER(INDEX(A1113:H1113,$P$1)),INDEX(A1113:H1113,$P$1),IFERROR(_xlfn.NUMBERVALUE(INDEX(A1113:H1113,$P$1),".",","),0)))</f>
        <v/>
      </c>
    </row>
    <row r="1114">
      <c r="L1114">
        <f>IF(A1114="","",IF(ISNUMBER(--LEFT(A1114,FIND(" - ",A1114&amp;" - ")-1)),LEFT(A1114,FIND(" - ",A1114&amp;" - ")-1),TRIM(A1114)))</f>
        <v/>
      </c>
      <c r="N1114">
        <f>IF(L1114="","",IF(ISNUMBER(INDEX(A1114:H1114,$P$1)),INDEX(A1114:H1114,$P$1),IFERROR(_xlfn.NUMBERVALUE(INDEX(A1114:H1114,$P$1),".",","),0)))</f>
        <v/>
      </c>
    </row>
    <row r="1115">
      <c r="L1115">
        <f>IF(A1115="","",IF(ISNUMBER(--LEFT(A1115,FIND(" - ",A1115&amp;" - ")-1)),LEFT(A1115,FIND(" - ",A1115&amp;" - ")-1),TRIM(A1115)))</f>
        <v/>
      </c>
      <c r="N1115">
        <f>IF(L1115="","",IF(ISNUMBER(INDEX(A1115:H1115,$P$1)),INDEX(A1115:H1115,$P$1),IFERROR(_xlfn.NUMBERVALUE(INDEX(A1115:H1115,$P$1),".",","),0)))</f>
        <v/>
      </c>
    </row>
    <row r="1116">
      <c r="L1116">
        <f>IF(A1116="","",IF(ISNUMBER(--LEFT(A1116,FIND(" - ",A1116&amp;" - ")-1)),LEFT(A1116,FIND(" - ",A1116&amp;" - ")-1),TRIM(A1116)))</f>
        <v/>
      </c>
      <c r="N1116">
        <f>IF(L1116="","",IF(ISNUMBER(INDEX(A1116:H1116,$P$1)),INDEX(A1116:H1116,$P$1),IFERROR(_xlfn.NUMBERVALUE(INDEX(A1116:H1116,$P$1),".",","),0)))</f>
        <v/>
      </c>
    </row>
    <row r="1117">
      <c r="L1117">
        <f>IF(A1117="","",IF(ISNUMBER(--LEFT(A1117,FIND(" - ",A1117&amp;" - ")-1)),LEFT(A1117,FIND(" - ",A1117&amp;" - ")-1),TRIM(A1117)))</f>
        <v/>
      </c>
      <c r="N1117">
        <f>IF(L1117="","",IF(ISNUMBER(INDEX(A1117:H1117,$P$1)),INDEX(A1117:H1117,$P$1),IFERROR(_xlfn.NUMBERVALUE(INDEX(A1117:H1117,$P$1),".",","),0)))</f>
        <v/>
      </c>
    </row>
    <row r="1118">
      <c r="L1118">
        <f>IF(A1118="","",IF(ISNUMBER(--LEFT(A1118,FIND(" - ",A1118&amp;" - ")-1)),LEFT(A1118,FIND(" - ",A1118&amp;" - ")-1),TRIM(A1118)))</f>
        <v/>
      </c>
      <c r="N1118">
        <f>IF(L1118="","",IF(ISNUMBER(INDEX(A1118:H1118,$P$1)),INDEX(A1118:H1118,$P$1),IFERROR(_xlfn.NUMBERVALUE(INDEX(A1118:H1118,$P$1),".",","),0)))</f>
        <v/>
      </c>
    </row>
    <row r="1119">
      <c r="L1119">
        <f>IF(A1119="","",IF(ISNUMBER(--LEFT(A1119,FIND(" - ",A1119&amp;" - ")-1)),LEFT(A1119,FIND(" - ",A1119&amp;" - ")-1),TRIM(A1119)))</f>
        <v/>
      </c>
      <c r="N1119">
        <f>IF(L1119="","",IF(ISNUMBER(INDEX(A1119:H1119,$P$1)),INDEX(A1119:H1119,$P$1),IFERROR(_xlfn.NUMBERVALUE(INDEX(A1119:H1119,$P$1),".",","),0)))</f>
        <v/>
      </c>
    </row>
    <row r="1120">
      <c r="L1120">
        <f>IF(A1120="","",IF(ISNUMBER(--LEFT(A1120,FIND(" - ",A1120&amp;" - ")-1)),LEFT(A1120,FIND(" - ",A1120&amp;" - ")-1),TRIM(A1120)))</f>
        <v/>
      </c>
      <c r="N1120">
        <f>IF(L1120="","",IF(ISNUMBER(INDEX(A1120:H1120,$P$1)),INDEX(A1120:H1120,$P$1),IFERROR(_xlfn.NUMBERVALUE(INDEX(A1120:H1120,$P$1),".",","),0)))</f>
        <v/>
      </c>
    </row>
    <row r="1121">
      <c r="L1121">
        <f>IF(A1121="","",IF(ISNUMBER(--LEFT(A1121,FIND(" - ",A1121&amp;" - ")-1)),LEFT(A1121,FIND(" - ",A1121&amp;" - ")-1),TRIM(A1121)))</f>
        <v/>
      </c>
      <c r="N1121">
        <f>IF(L1121="","",IF(ISNUMBER(INDEX(A1121:H1121,$P$1)),INDEX(A1121:H1121,$P$1),IFERROR(_xlfn.NUMBERVALUE(INDEX(A1121:H1121,$P$1),".",","),0)))</f>
        <v/>
      </c>
    </row>
    <row r="1122">
      <c r="L1122">
        <f>IF(A1122="","",IF(ISNUMBER(--LEFT(A1122,FIND(" - ",A1122&amp;" - ")-1)),LEFT(A1122,FIND(" - ",A1122&amp;" - ")-1),TRIM(A1122)))</f>
        <v/>
      </c>
      <c r="N1122">
        <f>IF(L1122="","",IF(ISNUMBER(INDEX(A1122:H1122,$P$1)),INDEX(A1122:H1122,$P$1),IFERROR(_xlfn.NUMBERVALUE(INDEX(A1122:H1122,$P$1),".",","),0)))</f>
        <v/>
      </c>
    </row>
    <row r="1123">
      <c r="L1123">
        <f>IF(A1123="","",IF(ISNUMBER(--LEFT(A1123,FIND(" - ",A1123&amp;" - ")-1)),LEFT(A1123,FIND(" - ",A1123&amp;" - ")-1),TRIM(A1123)))</f>
        <v/>
      </c>
      <c r="N1123">
        <f>IF(L1123="","",IF(ISNUMBER(INDEX(A1123:H1123,$P$1)),INDEX(A1123:H1123,$P$1),IFERROR(_xlfn.NUMBERVALUE(INDEX(A1123:H1123,$P$1),".",","),0)))</f>
        <v/>
      </c>
    </row>
    <row r="1124">
      <c r="L1124">
        <f>IF(A1124="","",IF(ISNUMBER(--LEFT(A1124,FIND(" - ",A1124&amp;" - ")-1)),LEFT(A1124,FIND(" - ",A1124&amp;" - ")-1),TRIM(A1124)))</f>
        <v/>
      </c>
      <c r="N1124">
        <f>IF(L1124="","",IF(ISNUMBER(INDEX(A1124:H1124,$P$1)),INDEX(A1124:H1124,$P$1),IFERROR(_xlfn.NUMBERVALUE(INDEX(A1124:H1124,$P$1),".",","),0)))</f>
        <v/>
      </c>
    </row>
    <row r="1125">
      <c r="L1125">
        <f>IF(A1125="","",IF(ISNUMBER(--LEFT(A1125,FIND(" - ",A1125&amp;" - ")-1)),LEFT(A1125,FIND(" - ",A1125&amp;" - ")-1),TRIM(A1125)))</f>
        <v/>
      </c>
      <c r="N1125">
        <f>IF(L1125="","",IF(ISNUMBER(INDEX(A1125:H1125,$P$1)),INDEX(A1125:H1125,$P$1),IFERROR(_xlfn.NUMBERVALUE(INDEX(A1125:H1125,$P$1),".",","),0)))</f>
        <v/>
      </c>
    </row>
    <row r="1126">
      <c r="L1126">
        <f>IF(A1126="","",IF(ISNUMBER(--LEFT(A1126,FIND(" - ",A1126&amp;" - ")-1)),LEFT(A1126,FIND(" - ",A1126&amp;" - ")-1),TRIM(A1126)))</f>
        <v/>
      </c>
      <c r="N1126">
        <f>IF(L1126="","",IF(ISNUMBER(INDEX(A1126:H1126,$P$1)),INDEX(A1126:H1126,$P$1),IFERROR(_xlfn.NUMBERVALUE(INDEX(A1126:H1126,$P$1),".",","),0)))</f>
        <v/>
      </c>
    </row>
    <row r="1127">
      <c r="L1127">
        <f>IF(A1127="","",IF(ISNUMBER(--LEFT(A1127,FIND(" - ",A1127&amp;" - ")-1)),LEFT(A1127,FIND(" - ",A1127&amp;" - ")-1),TRIM(A1127)))</f>
        <v/>
      </c>
      <c r="N1127">
        <f>IF(L1127="","",IF(ISNUMBER(INDEX(A1127:H1127,$P$1)),INDEX(A1127:H1127,$P$1),IFERROR(_xlfn.NUMBERVALUE(INDEX(A1127:H1127,$P$1),".",","),0)))</f>
        <v/>
      </c>
    </row>
    <row r="1128">
      <c r="L1128">
        <f>IF(A1128="","",IF(ISNUMBER(--LEFT(A1128,FIND(" - ",A1128&amp;" - ")-1)),LEFT(A1128,FIND(" - ",A1128&amp;" - ")-1),TRIM(A1128)))</f>
        <v/>
      </c>
      <c r="N1128">
        <f>IF(L1128="","",IF(ISNUMBER(INDEX(A1128:H1128,$P$1)),INDEX(A1128:H1128,$P$1),IFERROR(_xlfn.NUMBERVALUE(INDEX(A1128:H1128,$P$1),".",","),0)))</f>
        <v/>
      </c>
    </row>
    <row r="1129">
      <c r="L1129">
        <f>IF(A1129="","",IF(ISNUMBER(--LEFT(A1129,FIND(" - ",A1129&amp;" - ")-1)),LEFT(A1129,FIND(" - ",A1129&amp;" - ")-1),TRIM(A1129)))</f>
        <v/>
      </c>
      <c r="N1129">
        <f>IF(L1129="","",IF(ISNUMBER(INDEX(A1129:H1129,$P$1)),INDEX(A1129:H1129,$P$1),IFERROR(_xlfn.NUMBERVALUE(INDEX(A1129:H1129,$P$1),".",","),0)))</f>
        <v/>
      </c>
    </row>
    <row r="1130">
      <c r="L1130">
        <f>IF(A1130="","",IF(ISNUMBER(--LEFT(A1130,FIND(" - ",A1130&amp;" - ")-1)),LEFT(A1130,FIND(" - ",A1130&amp;" - ")-1),TRIM(A1130)))</f>
        <v/>
      </c>
      <c r="N1130">
        <f>IF(L1130="","",IF(ISNUMBER(INDEX(A1130:H1130,$P$1)),INDEX(A1130:H1130,$P$1),IFERROR(_xlfn.NUMBERVALUE(INDEX(A1130:H1130,$P$1),".",","),0)))</f>
        <v/>
      </c>
    </row>
    <row r="1131">
      <c r="L1131">
        <f>IF(A1131="","",IF(ISNUMBER(--LEFT(A1131,FIND(" - ",A1131&amp;" - ")-1)),LEFT(A1131,FIND(" - ",A1131&amp;" - ")-1),TRIM(A1131)))</f>
        <v/>
      </c>
      <c r="N1131">
        <f>IF(L1131="","",IF(ISNUMBER(INDEX(A1131:H1131,$P$1)),INDEX(A1131:H1131,$P$1),IFERROR(_xlfn.NUMBERVALUE(INDEX(A1131:H1131,$P$1),".",","),0)))</f>
        <v/>
      </c>
    </row>
    <row r="1132">
      <c r="L1132">
        <f>IF(A1132="","",IF(ISNUMBER(--LEFT(A1132,FIND(" - ",A1132&amp;" - ")-1)),LEFT(A1132,FIND(" - ",A1132&amp;" - ")-1),TRIM(A1132)))</f>
        <v/>
      </c>
      <c r="N1132">
        <f>IF(L1132="","",IF(ISNUMBER(INDEX(A1132:H1132,$P$1)),INDEX(A1132:H1132,$P$1),IFERROR(_xlfn.NUMBERVALUE(INDEX(A1132:H1132,$P$1),".",","),0)))</f>
        <v/>
      </c>
    </row>
    <row r="1133">
      <c r="L1133">
        <f>IF(A1133="","",IF(ISNUMBER(--LEFT(A1133,FIND(" - ",A1133&amp;" - ")-1)),LEFT(A1133,FIND(" - ",A1133&amp;" - ")-1),TRIM(A1133)))</f>
        <v/>
      </c>
      <c r="N1133">
        <f>IF(L1133="","",IF(ISNUMBER(INDEX(A1133:H1133,$P$1)),INDEX(A1133:H1133,$P$1),IFERROR(_xlfn.NUMBERVALUE(INDEX(A1133:H1133,$P$1),".",","),0)))</f>
        <v/>
      </c>
    </row>
    <row r="1134">
      <c r="L1134">
        <f>IF(A1134="","",IF(ISNUMBER(--LEFT(A1134,FIND(" - ",A1134&amp;" - ")-1)),LEFT(A1134,FIND(" - ",A1134&amp;" - ")-1),TRIM(A1134)))</f>
        <v/>
      </c>
      <c r="N1134">
        <f>IF(L1134="","",IF(ISNUMBER(INDEX(A1134:H1134,$P$1)),INDEX(A1134:H1134,$P$1),IFERROR(_xlfn.NUMBERVALUE(INDEX(A1134:H1134,$P$1),".",","),0)))</f>
        <v/>
      </c>
    </row>
    <row r="1135">
      <c r="L1135">
        <f>IF(A1135="","",IF(ISNUMBER(--LEFT(A1135,FIND(" - ",A1135&amp;" - ")-1)),LEFT(A1135,FIND(" - ",A1135&amp;" - ")-1),TRIM(A1135)))</f>
        <v/>
      </c>
      <c r="N1135">
        <f>IF(L1135="","",IF(ISNUMBER(INDEX(A1135:H1135,$P$1)),INDEX(A1135:H1135,$P$1),IFERROR(_xlfn.NUMBERVALUE(INDEX(A1135:H1135,$P$1),".",","),0)))</f>
        <v/>
      </c>
    </row>
    <row r="1136">
      <c r="L1136">
        <f>IF(A1136="","",IF(ISNUMBER(--LEFT(A1136,FIND(" - ",A1136&amp;" - ")-1)),LEFT(A1136,FIND(" - ",A1136&amp;" - ")-1),TRIM(A1136)))</f>
        <v/>
      </c>
      <c r="N1136">
        <f>IF(L1136="","",IF(ISNUMBER(INDEX(A1136:H1136,$P$1)),INDEX(A1136:H1136,$P$1),IFERROR(_xlfn.NUMBERVALUE(INDEX(A1136:H1136,$P$1),".",","),0)))</f>
        <v/>
      </c>
    </row>
    <row r="1137">
      <c r="L1137">
        <f>IF(A1137="","",IF(ISNUMBER(--LEFT(A1137,FIND(" - ",A1137&amp;" - ")-1)),LEFT(A1137,FIND(" - ",A1137&amp;" - ")-1),TRIM(A1137)))</f>
        <v/>
      </c>
      <c r="N1137">
        <f>IF(L1137="","",IF(ISNUMBER(INDEX(A1137:H1137,$P$1)),INDEX(A1137:H1137,$P$1),IFERROR(_xlfn.NUMBERVALUE(INDEX(A1137:H1137,$P$1),".",","),0)))</f>
        <v/>
      </c>
    </row>
    <row r="1138">
      <c r="L1138">
        <f>IF(A1138="","",IF(ISNUMBER(--LEFT(A1138,FIND(" - ",A1138&amp;" - ")-1)),LEFT(A1138,FIND(" - ",A1138&amp;" - ")-1),TRIM(A1138)))</f>
        <v/>
      </c>
      <c r="N1138">
        <f>IF(L1138="","",IF(ISNUMBER(INDEX(A1138:H1138,$P$1)),INDEX(A1138:H1138,$P$1),IFERROR(_xlfn.NUMBERVALUE(INDEX(A1138:H1138,$P$1),".",","),0)))</f>
        <v/>
      </c>
    </row>
    <row r="1139">
      <c r="L1139">
        <f>IF(A1139="","",IF(ISNUMBER(--LEFT(A1139,FIND(" - ",A1139&amp;" - ")-1)),LEFT(A1139,FIND(" - ",A1139&amp;" - ")-1),TRIM(A1139)))</f>
        <v/>
      </c>
      <c r="N1139">
        <f>IF(L1139="","",IF(ISNUMBER(INDEX(A1139:H1139,$P$1)),INDEX(A1139:H1139,$P$1),IFERROR(_xlfn.NUMBERVALUE(INDEX(A1139:H1139,$P$1),".",","),0)))</f>
        <v/>
      </c>
    </row>
    <row r="1140">
      <c r="L1140">
        <f>IF(A1140="","",IF(ISNUMBER(--LEFT(A1140,FIND(" - ",A1140&amp;" - ")-1)),LEFT(A1140,FIND(" - ",A1140&amp;" - ")-1),TRIM(A1140)))</f>
        <v/>
      </c>
      <c r="N1140">
        <f>IF(L1140="","",IF(ISNUMBER(INDEX(A1140:H1140,$P$1)),INDEX(A1140:H1140,$P$1),IFERROR(_xlfn.NUMBERVALUE(INDEX(A1140:H1140,$P$1),".",","),0)))</f>
        <v/>
      </c>
    </row>
    <row r="1141">
      <c r="L1141">
        <f>IF(A1141="","",IF(ISNUMBER(--LEFT(A1141,FIND(" - ",A1141&amp;" - ")-1)),LEFT(A1141,FIND(" - ",A1141&amp;" - ")-1),TRIM(A1141)))</f>
        <v/>
      </c>
      <c r="N1141">
        <f>IF(L1141="","",IF(ISNUMBER(INDEX(A1141:H1141,$P$1)),INDEX(A1141:H1141,$P$1),IFERROR(_xlfn.NUMBERVALUE(INDEX(A1141:H1141,$P$1),".",","),0)))</f>
        <v/>
      </c>
    </row>
    <row r="1142">
      <c r="L1142">
        <f>IF(A1142="","",IF(ISNUMBER(--LEFT(A1142,FIND(" - ",A1142&amp;" - ")-1)),LEFT(A1142,FIND(" - ",A1142&amp;" - ")-1),TRIM(A1142)))</f>
        <v/>
      </c>
      <c r="N1142">
        <f>IF(L1142="","",IF(ISNUMBER(INDEX(A1142:H1142,$P$1)),INDEX(A1142:H1142,$P$1),IFERROR(_xlfn.NUMBERVALUE(INDEX(A1142:H1142,$P$1),".",","),0)))</f>
        <v/>
      </c>
    </row>
    <row r="1143">
      <c r="L1143">
        <f>IF(A1143="","",IF(ISNUMBER(--LEFT(A1143,FIND(" - ",A1143&amp;" - ")-1)),LEFT(A1143,FIND(" - ",A1143&amp;" - ")-1),TRIM(A1143)))</f>
        <v/>
      </c>
      <c r="N1143">
        <f>IF(L1143="","",IF(ISNUMBER(INDEX(A1143:H1143,$P$1)),INDEX(A1143:H1143,$P$1),IFERROR(_xlfn.NUMBERVALUE(INDEX(A1143:H1143,$P$1),".",","),0)))</f>
        <v/>
      </c>
    </row>
    <row r="1144">
      <c r="L1144">
        <f>IF(A1144="","",IF(ISNUMBER(--LEFT(A1144,FIND(" - ",A1144&amp;" - ")-1)),LEFT(A1144,FIND(" - ",A1144&amp;" - ")-1),TRIM(A1144)))</f>
        <v/>
      </c>
      <c r="N1144">
        <f>IF(L1144="","",IF(ISNUMBER(INDEX(A1144:H1144,$P$1)),INDEX(A1144:H1144,$P$1),IFERROR(_xlfn.NUMBERVALUE(INDEX(A1144:H1144,$P$1),".",","),0)))</f>
        <v/>
      </c>
    </row>
    <row r="1145">
      <c r="L1145">
        <f>IF(A1145="","",IF(ISNUMBER(--LEFT(A1145,FIND(" - ",A1145&amp;" - ")-1)),LEFT(A1145,FIND(" - ",A1145&amp;" - ")-1),TRIM(A1145)))</f>
        <v/>
      </c>
      <c r="N1145">
        <f>IF(L1145="","",IF(ISNUMBER(INDEX(A1145:H1145,$P$1)),INDEX(A1145:H1145,$P$1),IFERROR(_xlfn.NUMBERVALUE(INDEX(A1145:H1145,$P$1),".",","),0)))</f>
        <v/>
      </c>
    </row>
    <row r="1146">
      <c r="L1146">
        <f>IF(A1146="","",IF(ISNUMBER(--LEFT(A1146,FIND(" - ",A1146&amp;" - ")-1)),LEFT(A1146,FIND(" - ",A1146&amp;" - ")-1),TRIM(A1146)))</f>
        <v/>
      </c>
      <c r="N1146">
        <f>IF(L1146="","",IF(ISNUMBER(INDEX(A1146:H1146,$P$1)),INDEX(A1146:H1146,$P$1),IFERROR(_xlfn.NUMBERVALUE(INDEX(A1146:H1146,$P$1),".",","),0)))</f>
        <v/>
      </c>
    </row>
    <row r="1147">
      <c r="L1147">
        <f>IF(A1147="","",IF(ISNUMBER(--LEFT(A1147,FIND(" - ",A1147&amp;" - ")-1)),LEFT(A1147,FIND(" - ",A1147&amp;" - ")-1),TRIM(A1147)))</f>
        <v/>
      </c>
      <c r="N1147">
        <f>IF(L1147="","",IF(ISNUMBER(INDEX(A1147:H1147,$P$1)),INDEX(A1147:H1147,$P$1),IFERROR(_xlfn.NUMBERVALUE(INDEX(A1147:H1147,$P$1),".",","),0)))</f>
        <v/>
      </c>
    </row>
    <row r="1148">
      <c r="L1148">
        <f>IF(A1148="","",IF(ISNUMBER(--LEFT(A1148,FIND(" - ",A1148&amp;" - ")-1)),LEFT(A1148,FIND(" - ",A1148&amp;" - ")-1),TRIM(A1148)))</f>
        <v/>
      </c>
      <c r="N1148">
        <f>IF(L1148="","",IF(ISNUMBER(INDEX(A1148:H1148,$P$1)),INDEX(A1148:H1148,$P$1),IFERROR(_xlfn.NUMBERVALUE(INDEX(A1148:H1148,$P$1),".",","),0)))</f>
        <v/>
      </c>
    </row>
    <row r="1149">
      <c r="L1149">
        <f>IF(A1149="","",IF(ISNUMBER(--LEFT(A1149,FIND(" - ",A1149&amp;" - ")-1)),LEFT(A1149,FIND(" - ",A1149&amp;" - ")-1),TRIM(A1149)))</f>
        <v/>
      </c>
      <c r="N1149">
        <f>IF(L1149="","",IF(ISNUMBER(INDEX(A1149:H1149,$P$1)),INDEX(A1149:H1149,$P$1),IFERROR(_xlfn.NUMBERVALUE(INDEX(A1149:H1149,$P$1),".",","),0)))</f>
        <v/>
      </c>
    </row>
    <row r="1150">
      <c r="L1150">
        <f>IF(A1150="","",IF(ISNUMBER(--LEFT(A1150,FIND(" - ",A1150&amp;" - ")-1)),LEFT(A1150,FIND(" - ",A1150&amp;" - ")-1),TRIM(A1150)))</f>
        <v/>
      </c>
      <c r="N1150">
        <f>IF(L1150="","",IF(ISNUMBER(INDEX(A1150:H1150,$P$1)),INDEX(A1150:H1150,$P$1),IFERROR(_xlfn.NUMBERVALUE(INDEX(A1150:H1150,$P$1),".",","),0)))</f>
        <v/>
      </c>
    </row>
    <row r="1151">
      <c r="L1151">
        <f>IF(A1151="","",IF(ISNUMBER(--LEFT(A1151,FIND(" - ",A1151&amp;" - ")-1)),LEFT(A1151,FIND(" - ",A1151&amp;" - ")-1),TRIM(A1151)))</f>
        <v/>
      </c>
      <c r="N1151">
        <f>IF(L1151="","",IF(ISNUMBER(INDEX(A1151:H1151,$P$1)),INDEX(A1151:H1151,$P$1),IFERROR(_xlfn.NUMBERVALUE(INDEX(A1151:H1151,$P$1),".",","),0)))</f>
        <v/>
      </c>
    </row>
    <row r="1152">
      <c r="L1152">
        <f>IF(A1152="","",IF(ISNUMBER(--LEFT(A1152,FIND(" - ",A1152&amp;" - ")-1)),LEFT(A1152,FIND(" - ",A1152&amp;" - ")-1),TRIM(A1152)))</f>
        <v/>
      </c>
      <c r="N1152">
        <f>IF(L1152="","",IF(ISNUMBER(INDEX(A1152:H1152,$P$1)),INDEX(A1152:H1152,$P$1),IFERROR(_xlfn.NUMBERVALUE(INDEX(A1152:H1152,$P$1),".",","),0)))</f>
        <v/>
      </c>
    </row>
    <row r="1153">
      <c r="L1153">
        <f>IF(A1153="","",IF(ISNUMBER(--LEFT(A1153,FIND(" - ",A1153&amp;" - ")-1)),LEFT(A1153,FIND(" - ",A1153&amp;" - ")-1),TRIM(A1153)))</f>
        <v/>
      </c>
      <c r="N1153">
        <f>IF(L1153="","",IF(ISNUMBER(INDEX(A1153:H1153,$P$1)),INDEX(A1153:H1153,$P$1),IFERROR(_xlfn.NUMBERVALUE(INDEX(A1153:H1153,$P$1),".",","),0)))</f>
        <v/>
      </c>
    </row>
    <row r="1154">
      <c r="L1154">
        <f>IF(A1154="","",IF(ISNUMBER(--LEFT(A1154,FIND(" - ",A1154&amp;" - ")-1)),LEFT(A1154,FIND(" - ",A1154&amp;" - ")-1),TRIM(A1154)))</f>
        <v/>
      </c>
      <c r="N1154">
        <f>IF(L1154="","",IF(ISNUMBER(INDEX(A1154:H1154,$P$1)),INDEX(A1154:H1154,$P$1),IFERROR(_xlfn.NUMBERVALUE(INDEX(A1154:H1154,$P$1),".",","),0)))</f>
        <v/>
      </c>
    </row>
    <row r="1155">
      <c r="L1155">
        <f>IF(A1155="","",IF(ISNUMBER(--LEFT(A1155,FIND(" - ",A1155&amp;" - ")-1)),LEFT(A1155,FIND(" - ",A1155&amp;" - ")-1),TRIM(A1155)))</f>
        <v/>
      </c>
      <c r="N1155">
        <f>IF(L1155="","",IF(ISNUMBER(INDEX(A1155:H1155,$P$1)),INDEX(A1155:H1155,$P$1),IFERROR(_xlfn.NUMBERVALUE(INDEX(A1155:H1155,$P$1),".",","),0)))</f>
        <v/>
      </c>
    </row>
    <row r="1156">
      <c r="L1156">
        <f>IF(A1156="","",IF(ISNUMBER(--LEFT(A1156,FIND(" - ",A1156&amp;" - ")-1)),LEFT(A1156,FIND(" - ",A1156&amp;" - ")-1),TRIM(A1156)))</f>
        <v/>
      </c>
      <c r="N1156">
        <f>IF(L1156="","",IF(ISNUMBER(INDEX(A1156:H1156,$P$1)),INDEX(A1156:H1156,$P$1),IFERROR(_xlfn.NUMBERVALUE(INDEX(A1156:H1156,$P$1),".",","),0)))</f>
        <v/>
      </c>
    </row>
    <row r="1157">
      <c r="L1157">
        <f>IF(A1157="","",IF(ISNUMBER(--LEFT(A1157,FIND(" - ",A1157&amp;" - ")-1)),LEFT(A1157,FIND(" - ",A1157&amp;" - ")-1),TRIM(A1157)))</f>
        <v/>
      </c>
      <c r="N1157">
        <f>IF(L1157="","",IF(ISNUMBER(INDEX(A1157:H1157,$P$1)),INDEX(A1157:H1157,$P$1),IFERROR(_xlfn.NUMBERVALUE(INDEX(A1157:H1157,$P$1),".",","),0)))</f>
        <v/>
      </c>
    </row>
    <row r="1158">
      <c r="L1158">
        <f>IF(A1158="","",IF(ISNUMBER(--LEFT(A1158,FIND(" - ",A1158&amp;" - ")-1)),LEFT(A1158,FIND(" - ",A1158&amp;" - ")-1),TRIM(A1158)))</f>
        <v/>
      </c>
      <c r="N1158">
        <f>IF(L1158="","",IF(ISNUMBER(INDEX(A1158:H1158,$P$1)),INDEX(A1158:H1158,$P$1),IFERROR(_xlfn.NUMBERVALUE(INDEX(A1158:H1158,$P$1),".",","),0)))</f>
        <v/>
      </c>
    </row>
    <row r="1159">
      <c r="L1159">
        <f>IF(A1159="","",IF(ISNUMBER(--LEFT(A1159,FIND(" - ",A1159&amp;" - ")-1)),LEFT(A1159,FIND(" - ",A1159&amp;" - ")-1),TRIM(A1159)))</f>
        <v/>
      </c>
      <c r="N1159">
        <f>IF(L1159="","",IF(ISNUMBER(INDEX(A1159:H1159,$P$1)),INDEX(A1159:H1159,$P$1),IFERROR(_xlfn.NUMBERVALUE(INDEX(A1159:H1159,$P$1),".",","),0)))</f>
        <v/>
      </c>
    </row>
    <row r="1160">
      <c r="L1160">
        <f>IF(A1160="","",IF(ISNUMBER(--LEFT(A1160,FIND(" - ",A1160&amp;" - ")-1)),LEFT(A1160,FIND(" - ",A1160&amp;" - ")-1),TRIM(A1160)))</f>
        <v/>
      </c>
      <c r="N1160">
        <f>IF(L1160="","",IF(ISNUMBER(INDEX(A1160:H1160,$P$1)),INDEX(A1160:H1160,$P$1),IFERROR(_xlfn.NUMBERVALUE(INDEX(A1160:H1160,$P$1),".",","),0)))</f>
        <v/>
      </c>
    </row>
    <row r="1161">
      <c r="L1161">
        <f>IF(A1161="","",IF(ISNUMBER(--LEFT(A1161,FIND(" - ",A1161&amp;" - ")-1)),LEFT(A1161,FIND(" - ",A1161&amp;" - ")-1),TRIM(A1161)))</f>
        <v/>
      </c>
      <c r="N1161">
        <f>IF(L1161="","",IF(ISNUMBER(INDEX(A1161:H1161,$P$1)),INDEX(A1161:H1161,$P$1),IFERROR(_xlfn.NUMBERVALUE(INDEX(A1161:H1161,$P$1),".",","),0)))</f>
        <v/>
      </c>
    </row>
    <row r="1162">
      <c r="L1162">
        <f>IF(A1162="","",IF(ISNUMBER(--LEFT(A1162,FIND(" - ",A1162&amp;" - ")-1)),LEFT(A1162,FIND(" - ",A1162&amp;" - ")-1),TRIM(A1162)))</f>
        <v/>
      </c>
      <c r="N1162">
        <f>IF(L1162="","",IF(ISNUMBER(INDEX(A1162:H1162,$P$1)),INDEX(A1162:H1162,$P$1),IFERROR(_xlfn.NUMBERVALUE(INDEX(A1162:H1162,$P$1),".",","),0)))</f>
        <v/>
      </c>
    </row>
    <row r="1163">
      <c r="L1163">
        <f>IF(A1163="","",IF(ISNUMBER(--LEFT(A1163,FIND(" - ",A1163&amp;" - ")-1)),LEFT(A1163,FIND(" - ",A1163&amp;" - ")-1),TRIM(A1163)))</f>
        <v/>
      </c>
      <c r="N1163">
        <f>IF(L1163="","",IF(ISNUMBER(INDEX(A1163:H1163,$P$1)),INDEX(A1163:H1163,$P$1),IFERROR(_xlfn.NUMBERVALUE(INDEX(A1163:H1163,$P$1),".",","),0)))</f>
        <v/>
      </c>
    </row>
    <row r="1164">
      <c r="L1164">
        <f>IF(A1164="","",IF(ISNUMBER(--LEFT(A1164,FIND(" - ",A1164&amp;" - ")-1)),LEFT(A1164,FIND(" - ",A1164&amp;" - ")-1),TRIM(A1164)))</f>
        <v/>
      </c>
      <c r="N1164">
        <f>IF(L1164="","",IF(ISNUMBER(INDEX(A1164:H1164,$P$1)),INDEX(A1164:H1164,$P$1),IFERROR(_xlfn.NUMBERVALUE(INDEX(A1164:H1164,$P$1),".",","),0)))</f>
        <v/>
      </c>
    </row>
    <row r="1165">
      <c r="L1165">
        <f>IF(A1165="","",IF(ISNUMBER(--LEFT(A1165,FIND(" - ",A1165&amp;" - ")-1)),LEFT(A1165,FIND(" - ",A1165&amp;" - ")-1),TRIM(A1165)))</f>
        <v/>
      </c>
      <c r="N1165">
        <f>IF(L1165="","",IF(ISNUMBER(INDEX(A1165:H1165,$P$1)),INDEX(A1165:H1165,$P$1),IFERROR(_xlfn.NUMBERVALUE(INDEX(A1165:H1165,$P$1),".",","),0)))</f>
        <v/>
      </c>
    </row>
    <row r="1166">
      <c r="L1166">
        <f>IF(A1166="","",IF(ISNUMBER(--LEFT(A1166,FIND(" - ",A1166&amp;" - ")-1)),LEFT(A1166,FIND(" - ",A1166&amp;" - ")-1),TRIM(A1166)))</f>
        <v/>
      </c>
      <c r="N1166">
        <f>IF(L1166="","",IF(ISNUMBER(INDEX(A1166:H1166,$P$1)),INDEX(A1166:H1166,$P$1),IFERROR(_xlfn.NUMBERVALUE(INDEX(A1166:H1166,$P$1),".",","),0)))</f>
        <v/>
      </c>
    </row>
    <row r="1167">
      <c r="L1167">
        <f>IF(A1167="","",IF(ISNUMBER(--LEFT(A1167,FIND(" - ",A1167&amp;" - ")-1)),LEFT(A1167,FIND(" - ",A1167&amp;" - ")-1),TRIM(A1167)))</f>
        <v/>
      </c>
      <c r="N1167">
        <f>IF(L1167="","",IF(ISNUMBER(INDEX(A1167:H1167,$P$1)),INDEX(A1167:H1167,$P$1),IFERROR(_xlfn.NUMBERVALUE(INDEX(A1167:H1167,$P$1),".",","),0)))</f>
        <v/>
      </c>
    </row>
    <row r="1168">
      <c r="L1168">
        <f>IF(A1168="","",IF(ISNUMBER(--LEFT(A1168,FIND(" - ",A1168&amp;" - ")-1)),LEFT(A1168,FIND(" - ",A1168&amp;" - ")-1),TRIM(A1168)))</f>
        <v/>
      </c>
      <c r="N1168">
        <f>IF(L1168="","",IF(ISNUMBER(INDEX(A1168:H1168,$P$1)),INDEX(A1168:H1168,$P$1),IFERROR(_xlfn.NUMBERVALUE(INDEX(A1168:H1168,$P$1),".",","),0)))</f>
        <v/>
      </c>
    </row>
    <row r="1169">
      <c r="L1169">
        <f>IF(A1169="","",IF(ISNUMBER(--LEFT(A1169,FIND(" - ",A1169&amp;" - ")-1)),LEFT(A1169,FIND(" - ",A1169&amp;" - ")-1),TRIM(A1169)))</f>
        <v/>
      </c>
      <c r="N1169">
        <f>IF(L1169="","",IF(ISNUMBER(INDEX(A1169:H1169,$P$1)),INDEX(A1169:H1169,$P$1),IFERROR(_xlfn.NUMBERVALUE(INDEX(A1169:H1169,$P$1),".",","),0)))</f>
        <v/>
      </c>
    </row>
    <row r="1170">
      <c r="L1170">
        <f>IF(A1170="","",IF(ISNUMBER(--LEFT(A1170,FIND(" - ",A1170&amp;" - ")-1)),LEFT(A1170,FIND(" - ",A1170&amp;" - ")-1),TRIM(A1170)))</f>
        <v/>
      </c>
      <c r="N1170">
        <f>IF(L1170="","",IF(ISNUMBER(INDEX(A1170:H1170,$P$1)),INDEX(A1170:H1170,$P$1),IFERROR(_xlfn.NUMBERVALUE(INDEX(A1170:H1170,$P$1),".",","),0)))</f>
        <v/>
      </c>
    </row>
    <row r="1171">
      <c r="L1171">
        <f>IF(A1171="","",IF(ISNUMBER(--LEFT(A1171,FIND(" - ",A1171&amp;" - ")-1)),LEFT(A1171,FIND(" - ",A1171&amp;" - ")-1),TRIM(A1171)))</f>
        <v/>
      </c>
      <c r="N1171">
        <f>IF(L1171="","",IF(ISNUMBER(INDEX(A1171:H1171,$P$1)),INDEX(A1171:H1171,$P$1),IFERROR(_xlfn.NUMBERVALUE(INDEX(A1171:H1171,$P$1),".",","),0)))</f>
        <v/>
      </c>
    </row>
    <row r="1172">
      <c r="L1172">
        <f>IF(A1172="","",IF(ISNUMBER(--LEFT(A1172,FIND(" - ",A1172&amp;" - ")-1)),LEFT(A1172,FIND(" - ",A1172&amp;" - ")-1),TRIM(A1172)))</f>
        <v/>
      </c>
      <c r="N1172">
        <f>IF(L1172="","",IF(ISNUMBER(INDEX(A1172:H1172,$P$1)),INDEX(A1172:H1172,$P$1),IFERROR(_xlfn.NUMBERVALUE(INDEX(A1172:H1172,$P$1),".",","),0)))</f>
        <v/>
      </c>
    </row>
    <row r="1173">
      <c r="L1173">
        <f>IF(A1173="","",IF(ISNUMBER(--LEFT(A1173,FIND(" - ",A1173&amp;" - ")-1)),LEFT(A1173,FIND(" - ",A1173&amp;" - ")-1),TRIM(A1173)))</f>
        <v/>
      </c>
      <c r="N1173">
        <f>IF(L1173="","",IF(ISNUMBER(INDEX(A1173:H1173,$P$1)),INDEX(A1173:H1173,$P$1),IFERROR(_xlfn.NUMBERVALUE(INDEX(A1173:H1173,$P$1),".",","),0)))</f>
        <v/>
      </c>
    </row>
    <row r="1174">
      <c r="L1174">
        <f>IF(A1174="","",IF(ISNUMBER(--LEFT(A1174,FIND(" - ",A1174&amp;" - ")-1)),LEFT(A1174,FIND(" - ",A1174&amp;" - ")-1),TRIM(A1174)))</f>
        <v/>
      </c>
      <c r="N1174">
        <f>IF(L1174="","",IF(ISNUMBER(INDEX(A1174:H1174,$P$1)),INDEX(A1174:H1174,$P$1),IFERROR(_xlfn.NUMBERVALUE(INDEX(A1174:H1174,$P$1),".",","),0)))</f>
        <v/>
      </c>
    </row>
    <row r="1175">
      <c r="L1175">
        <f>IF(A1175="","",IF(ISNUMBER(--LEFT(A1175,FIND(" - ",A1175&amp;" - ")-1)),LEFT(A1175,FIND(" - ",A1175&amp;" - ")-1),TRIM(A1175)))</f>
        <v/>
      </c>
      <c r="N1175">
        <f>IF(L1175="","",IF(ISNUMBER(INDEX(A1175:H1175,$P$1)),INDEX(A1175:H1175,$P$1),IFERROR(_xlfn.NUMBERVALUE(INDEX(A1175:H1175,$P$1),".",","),0)))</f>
        <v/>
      </c>
    </row>
    <row r="1176">
      <c r="L1176">
        <f>IF(A1176="","",IF(ISNUMBER(--LEFT(A1176,FIND(" - ",A1176&amp;" - ")-1)),LEFT(A1176,FIND(" - ",A1176&amp;" - ")-1),TRIM(A1176)))</f>
        <v/>
      </c>
      <c r="N1176">
        <f>IF(L1176="","",IF(ISNUMBER(INDEX(A1176:H1176,$P$1)),INDEX(A1176:H1176,$P$1),IFERROR(_xlfn.NUMBERVALUE(INDEX(A1176:H1176,$P$1),".",","),0)))</f>
        <v/>
      </c>
    </row>
    <row r="1177">
      <c r="L1177">
        <f>IF(A1177="","",IF(ISNUMBER(--LEFT(A1177,FIND(" - ",A1177&amp;" - ")-1)),LEFT(A1177,FIND(" - ",A1177&amp;" - ")-1),TRIM(A1177)))</f>
        <v/>
      </c>
      <c r="N1177">
        <f>IF(L1177="","",IF(ISNUMBER(INDEX(A1177:H1177,$P$1)),INDEX(A1177:H1177,$P$1),IFERROR(_xlfn.NUMBERVALUE(INDEX(A1177:H1177,$P$1),".",","),0)))</f>
        <v/>
      </c>
    </row>
    <row r="1178">
      <c r="L1178">
        <f>IF(A1178="","",IF(ISNUMBER(--LEFT(A1178,FIND(" - ",A1178&amp;" - ")-1)),LEFT(A1178,FIND(" - ",A1178&amp;" - ")-1),TRIM(A1178)))</f>
        <v/>
      </c>
      <c r="N1178">
        <f>IF(L1178="","",IF(ISNUMBER(INDEX(A1178:H1178,$P$1)),INDEX(A1178:H1178,$P$1),IFERROR(_xlfn.NUMBERVALUE(INDEX(A1178:H1178,$P$1),".",","),0)))</f>
        <v/>
      </c>
    </row>
    <row r="1179">
      <c r="L1179">
        <f>IF(A1179="","",IF(ISNUMBER(--LEFT(A1179,FIND(" - ",A1179&amp;" - ")-1)),LEFT(A1179,FIND(" - ",A1179&amp;" - ")-1),TRIM(A1179)))</f>
        <v/>
      </c>
      <c r="N1179">
        <f>IF(L1179="","",IF(ISNUMBER(INDEX(A1179:H1179,$P$1)),INDEX(A1179:H1179,$P$1),IFERROR(_xlfn.NUMBERVALUE(INDEX(A1179:H1179,$P$1),".",","),0)))</f>
        <v/>
      </c>
    </row>
    <row r="1180">
      <c r="L1180">
        <f>IF(A1180="","",IF(ISNUMBER(--LEFT(A1180,FIND(" - ",A1180&amp;" - ")-1)),LEFT(A1180,FIND(" - ",A1180&amp;" - ")-1),TRIM(A1180)))</f>
        <v/>
      </c>
      <c r="N1180">
        <f>IF(L1180="","",IF(ISNUMBER(INDEX(A1180:H1180,$P$1)),INDEX(A1180:H1180,$P$1),IFERROR(_xlfn.NUMBERVALUE(INDEX(A1180:H1180,$P$1),".",","),0)))</f>
        <v/>
      </c>
    </row>
    <row r="1181">
      <c r="L1181">
        <f>IF(A1181="","",IF(ISNUMBER(--LEFT(A1181,FIND(" - ",A1181&amp;" - ")-1)),LEFT(A1181,FIND(" - ",A1181&amp;" - ")-1),TRIM(A1181)))</f>
        <v/>
      </c>
      <c r="N1181">
        <f>IF(L1181="","",IF(ISNUMBER(INDEX(A1181:H1181,$P$1)),INDEX(A1181:H1181,$P$1),IFERROR(_xlfn.NUMBERVALUE(INDEX(A1181:H1181,$P$1),".",","),0)))</f>
        <v/>
      </c>
    </row>
    <row r="1182">
      <c r="L1182">
        <f>IF(A1182="","",IF(ISNUMBER(--LEFT(A1182,FIND(" - ",A1182&amp;" - ")-1)),LEFT(A1182,FIND(" - ",A1182&amp;" - ")-1),TRIM(A1182)))</f>
        <v/>
      </c>
      <c r="N1182">
        <f>IF(L1182="","",IF(ISNUMBER(INDEX(A1182:H1182,$P$1)),INDEX(A1182:H1182,$P$1),IFERROR(_xlfn.NUMBERVALUE(INDEX(A1182:H1182,$P$1),".",","),0)))</f>
        <v/>
      </c>
    </row>
    <row r="1183">
      <c r="L1183">
        <f>IF(A1183="","",IF(ISNUMBER(--LEFT(A1183,FIND(" - ",A1183&amp;" - ")-1)),LEFT(A1183,FIND(" - ",A1183&amp;" - ")-1),TRIM(A1183)))</f>
        <v/>
      </c>
      <c r="N1183">
        <f>IF(L1183="","",IF(ISNUMBER(INDEX(A1183:H1183,$P$1)),INDEX(A1183:H1183,$P$1),IFERROR(_xlfn.NUMBERVALUE(INDEX(A1183:H1183,$P$1),".",","),0)))</f>
        <v/>
      </c>
    </row>
    <row r="1184">
      <c r="L1184">
        <f>IF(A1184="","",IF(ISNUMBER(--LEFT(A1184,FIND(" - ",A1184&amp;" - ")-1)),LEFT(A1184,FIND(" - ",A1184&amp;" - ")-1),TRIM(A1184)))</f>
        <v/>
      </c>
      <c r="N1184">
        <f>IF(L1184="","",IF(ISNUMBER(INDEX(A1184:H1184,$P$1)),INDEX(A1184:H1184,$P$1),IFERROR(_xlfn.NUMBERVALUE(INDEX(A1184:H1184,$P$1),".",","),0)))</f>
        <v/>
      </c>
    </row>
    <row r="1185">
      <c r="L1185">
        <f>IF(A1185="","",IF(ISNUMBER(--LEFT(A1185,FIND(" - ",A1185&amp;" - ")-1)),LEFT(A1185,FIND(" - ",A1185&amp;" - ")-1),TRIM(A1185)))</f>
        <v/>
      </c>
      <c r="N1185">
        <f>IF(L1185="","",IF(ISNUMBER(INDEX(A1185:H1185,$P$1)),INDEX(A1185:H1185,$P$1),IFERROR(_xlfn.NUMBERVALUE(INDEX(A1185:H1185,$P$1),".",","),0)))</f>
        <v/>
      </c>
    </row>
    <row r="1186">
      <c r="L1186">
        <f>IF(A1186="","",IF(ISNUMBER(--LEFT(A1186,FIND(" - ",A1186&amp;" - ")-1)),LEFT(A1186,FIND(" - ",A1186&amp;" - ")-1),TRIM(A1186)))</f>
        <v/>
      </c>
      <c r="N1186">
        <f>IF(L1186="","",IF(ISNUMBER(INDEX(A1186:H1186,$P$1)),INDEX(A1186:H1186,$P$1),IFERROR(_xlfn.NUMBERVALUE(INDEX(A1186:H1186,$P$1),".",","),0)))</f>
        <v/>
      </c>
    </row>
    <row r="1187">
      <c r="L1187">
        <f>IF(A1187="","",IF(ISNUMBER(--LEFT(A1187,FIND(" - ",A1187&amp;" - ")-1)),LEFT(A1187,FIND(" - ",A1187&amp;" - ")-1),TRIM(A1187)))</f>
        <v/>
      </c>
      <c r="N1187">
        <f>IF(L1187="","",IF(ISNUMBER(INDEX(A1187:H1187,$P$1)),INDEX(A1187:H1187,$P$1),IFERROR(_xlfn.NUMBERVALUE(INDEX(A1187:H1187,$P$1),".",","),0)))</f>
        <v/>
      </c>
    </row>
    <row r="1188">
      <c r="L1188">
        <f>IF(A1188="","",IF(ISNUMBER(--LEFT(A1188,FIND(" - ",A1188&amp;" - ")-1)),LEFT(A1188,FIND(" - ",A1188&amp;" - ")-1),TRIM(A1188)))</f>
        <v/>
      </c>
      <c r="N1188">
        <f>IF(L1188="","",IF(ISNUMBER(INDEX(A1188:H1188,$P$1)),INDEX(A1188:H1188,$P$1),IFERROR(_xlfn.NUMBERVALUE(INDEX(A1188:H1188,$P$1),".",","),0)))</f>
        <v/>
      </c>
    </row>
    <row r="1189">
      <c r="L1189">
        <f>IF(A1189="","",IF(ISNUMBER(--LEFT(A1189,FIND(" - ",A1189&amp;" - ")-1)),LEFT(A1189,FIND(" - ",A1189&amp;" - ")-1),TRIM(A1189)))</f>
        <v/>
      </c>
      <c r="N1189">
        <f>IF(L1189="","",IF(ISNUMBER(INDEX(A1189:H1189,$P$1)),INDEX(A1189:H1189,$P$1),IFERROR(_xlfn.NUMBERVALUE(INDEX(A1189:H1189,$P$1),".",","),0)))</f>
        <v/>
      </c>
    </row>
    <row r="1190">
      <c r="L1190">
        <f>IF(A1190="","",IF(ISNUMBER(--LEFT(A1190,FIND(" - ",A1190&amp;" - ")-1)),LEFT(A1190,FIND(" - ",A1190&amp;" - ")-1),TRIM(A1190)))</f>
        <v/>
      </c>
      <c r="N1190">
        <f>IF(L1190="","",IF(ISNUMBER(INDEX(A1190:H1190,$P$1)),INDEX(A1190:H1190,$P$1),IFERROR(_xlfn.NUMBERVALUE(INDEX(A1190:H1190,$P$1),".",","),0)))</f>
        <v/>
      </c>
    </row>
    <row r="1191">
      <c r="L1191">
        <f>IF(A1191="","",IF(ISNUMBER(--LEFT(A1191,FIND(" - ",A1191&amp;" - ")-1)),LEFT(A1191,FIND(" - ",A1191&amp;" - ")-1),TRIM(A1191)))</f>
        <v/>
      </c>
      <c r="N1191">
        <f>IF(L1191="","",IF(ISNUMBER(INDEX(A1191:H1191,$P$1)),INDEX(A1191:H1191,$P$1),IFERROR(_xlfn.NUMBERVALUE(INDEX(A1191:H1191,$P$1),".",","),0)))</f>
        <v/>
      </c>
    </row>
    <row r="1192">
      <c r="L1192">
        <f>IF(A1192="","",IF(ISNUMBER(--LEFT(A1192,FIND(" - ",A1192&amp;" - ")-1)),LEFT(A1192,FIND(" - ",A1192&amp;" - ")-1),TRIM(A1192)))</f>
        <v/>
      </c>
      <c r="N1192">
        <f>IF(L1192="","",IF(ISNUMBER(INDEX(A1192:H1192,$P$1)),INDEX(A1192:H1192,$P$1),IFERROR(_xlfn.NUMBERVALUE(INDEX(A1192:H1192,$P$1),".",","),0)))</f>
        <v/>
      </c>
    </row>
    <row r="1193">
      <c r="L1193">
        <f>IF(A1193="","",IF(ISNUMBER(--LEFT(A1193,FIND(" - ",A1193&amp;" - ")-1)),LEFT(A1193,FIND(" - ",A1193&amp;" - ")-1),TRIM(A1193)))</f>
        <v/>
      </c>
      <c r="N1193">
        <f>IF(L1193="","",IF(ISNUMBER(INDEX(A1193:H1193,$P$1)),INDEX(A1193:H1193,$P$1),IFERROR(_xlfn.NUMBERVALUE(INDEX(A1193:H1193,$P$1),".",","),0)))</f>
        <v/>
      </c>
    </row>
    <row r="1194">
      <c r="L1194">
        <f>IF(A1194="","",IF(ISNUMBER(--LEFT(A1194,FIND(" - ",A1194&amp;" - ")-1)),LEFT(A1194,FIND(" - ",A1194&amp;" - ")-1),TRIM(A1194)))</f>
        <v/>
      </c>
      <c r="N1194">
        <f>IF(L1194="","",IF(ISNUMBER(INDEX(A1194:H1194,$P$1)),INDEX(A1194:H1194,$P$1),IFERROR(_xlfn.NUMBERVALUE(INDEX(A1194:H1194,$P$1),".",","),0)))</f>
        <v/>
      </c>
    </row>
    <row r="1195">
      <c r="L1195">
        <f>IF(A1195="","",IF(ISNUMBER(--LEFT(A1195,FIND(" - ",A1195&amp;" - ")-1)),LEFT(A1195,FIND(" - ",A1195&amp;" - ")-1),TRIM(A1195)))</f>
        <v/>
      </c>
      <c r="N1195">
        <f>IF(L1195="","",IF(ISNUMBER(INDEX(A1195:H1195,$P$1)),INDEX(A1195:H1195,$P$1),IFERROR(_xlfn.NUMBERVALUE(INDEX(A1195:H1195,$P$1),".",","),0)))</f>
        <v/>
      </c>
    </row>
    <row r="1196">
      <c r="L1196">
        <f>IF(A1196="","",IF(ISNUMBER(--LEFT(A1196,FIND(" - ",A1196&amp;" - ")-1)),LEFT(A1196,FIND(" - ",A1196&amp;" - ")-1),TRIM(A1196)))</f>
        <v/>
      </c>
      <c r="N1196">
        <f>IF(L1196="","",IF(ISNUMBER(INDEX(A1196:H1196,$P$1)),INDEX(A1196:H1196,$P$1),IFERROR(_xlfn.NUMBERVALUE(INDEX(A1196:H1196,$P$1),".",","),0)))</f>
        <v/>
      </c>
    </row>
    <row r="1197">
      <c r="L1197">
        <f>IF(A1197="","",IF(ISNUMBER(--LEFT(A1197,FIND(" - ",A1197&amp;" - ")-1)),LEFT(A1197,FIND(" - ",A1197&amp;" - ")-1),TRIM(A1197)))</f>
        <v/>
      </c>
      <c r="N1197">
        <f>IF(L1197="","",IF(ISNUMBER(INDEX(A1197:H1197,$P$1)),INDEX(A1197:H1197,$P$1),IFERROR(_xlfn.NUMBERVALUE(INDEX(A1197:H1197,$P$1),".",","),0)))</f>
        <v/>
      </c>
    </row>
    <row r="1198">
      <c r="L1198">
        <f>IF(A1198="","",IF(ISNUMBER(--LEFT(A1198,FIND(" - ",A1198&amp;" - ")-1)),LEFT(A1198,FIND(" - ",A1198&amp;" - ")-1),TRIM(A1198)))</f>
        <v/>
      </c>
      <c r="N1198">
        <f>IF(L1198="","",IF(ISNUMBER(INDEX(A1198:H1198,$P$1)),INDEX(A1198:H1198,$P$1),IFERROR(_xlfn.NUMBERVALUE(INDEX(A1198:H1198,$P$1),".",","),0)))</f>
        <v/>
      </c>
    </row>
    <row r="1199">
      <c r="L1199">
        <f>IF(A1199="","",IF(ISNUMBER(--LEFT(A1199,FIND(" - ",A1199&amp;" - ")-1)),LEFT(A1199,FIND(" - ",A1199&amp;" - ")-1),TRIM(A1199)))</f>
        <v/>
      </c>
      <c r="N1199">
        <f>IF(L1199="","",IF(ISNUMBER(INDEX(A1199:H1199,$P$1)),INDEX(A1199:H1199,$P$1),IFERROR(_xlfn.NUMBERVALUE(INDEX(A1199:H1199,$P$1),".",","),0)))</f>
        <v/>
      </c>
    </row>
    <row r="1200">
      <c r="L1200">
        <f>IF(A1200="","",IF(ISNUMBER(--LEFT(A1200,FIND(" - ",A1200&amp;" - ")-1)),LEFT(A1200,FIND(" - ",A1200&amp;" - ")-1),TRIM(A1200)))</f>
        <v/>
      </c>
      <c r="N1200">
        <f>IF(L1200="","",IF(ISNUMBER(INDEX(A1200:H1200,$P$1)),INDEX(A1200:H1200,$P$1),IFERROR(_xlfn.NUMBERVALUE(INDEX(A1200:H1200,$P$1),".",","),0)))</f>
        <v/>
      </c>
    </row>
    <row r="1201">
      <c r="L1201">
        <f>IF(A1201="","",IF(ISNUMBER(--LEFT(A1201,FIND(" - ",A1201&amp;" - ")-1)),LEFT(A1201,FIND(" - ",A1201&amp;" - ")-1),TRIM(A1201)))</f>
        <v/>
      </c>
      <c r="N1201">
        <f>IF(L1201="","",IF(ISNUMBER(INDEX(A1201:H1201,$P$1)),INDEX(A1201:H1201,$P$1),IFERROR(_xlfn.NUMBERVALUE(INDEX(A1201:H1201,$P$1),".",","),0)))</f>
        <v/>
      </c>
    </row>
    <row r="1202">
      <c r="L1202">
        <f>IF(A1202="","",IF(ISNUMBER(--LEFT(A1202,FIND(" - ",A1202&amp;" - ")-1)),LEFT(A1202,FIND(" - ",A1202&amp;" - ")-1),TRIM(A1202)))</f>
        <v/>
      </c>
      <c r="N1202">
        <f>IF(L1202="","",IF(ISNUMBER(INDEX(A1202:H1202,$P$1)),INDEX(A1202:H1202,$P$1),IFERROR(_xlfn.NUMBERVALUE(INDEX(A1202:H1202,$P$1),".",","),0)))</f>
        <v/>
      </c>
    </row>
    <row r="1203">
      <c r="L1203">
        <f>IF(A1203="","",IF(ISNUMBER(--LEFT(A1203,FIND(" - ",A1203&amp;" - ")-1)),LEFT(A1203,FIND(" - ",A1203&amp;" - ")-1),TRIM(A1203)))</f>
        <v/>
      </c>
      <c r="N1203">
        <f>IF(L1203="","",IF(ISNUMBER(INDEX(A1203:H1203,$P$1)),INDEX(A1203:H1203,$P$1),IFERROR(_xlfn.NUMBERVALUE(INDEX(A1203:H1203,$P$1),".",","),0)))</f>
        <v/>
      </c>
    </row>
    <row r="1204">
      <c r="L1204">
        <f>IF(A1204="","",IF(ISNUMBER(--LEFT(A1204,FIND(" - ",A1204&amp;" - ")-1)),LEFT(A1204,FIND(" - ",A1204&amp;" - ")-1),TRIM(A1204)))</f>
        <v/>
      </c>
      <c r="N1204">
        <f>IF(L1204="","",IF(ISNUMBER(INDEX(A1204:H1204,$P$1)),INDEX(A1204:H1204,$P$1),IFERROR(_xlfn.NUMBERVALUE(INDEX(A1204:H1204,$P$1),".",","),0)))</f>
        <v/>
      </c>
    </row>
    <row r="1205">
      <c r="L1205">
        <f>IF(A1205="","",IF(ISNUMBER(--LEFT(A1205,FIND(" - ",A1205&amp;" - ")-1)),LEFT(A1205,FIND(" - ",A1205&amp;" - ")-1),TRIM(A1205)))</f>
        <v/>
      </c>
      <c r="N1205">
        <f>IF(L1205="","",IF(ISNUMBER(INDEX(A1205:H1205,$P$1)),INDEX(A1205:H1205,$P$1),IFERROR(_xlfn.NUMBERVALUE(INDEX(A1205:H1205,$P$1),".",","),0)))</f>
        <v/>
      </c>
    </row>
    <row r="1206">
      <c r="L1206">
        <f>IF(A1206="","",IF(ISNUMBER(--LEFT(A1206,FIND(" - ",A1206&amp;" - ")-1)),LEFT(A1206,FIND(" - ",A1206&amp;" - ")-1),TRIM(A1206)))</f>
        <v/>
      </c>
      <c r="N1206">
        <f>IF(L1206="","",IF(ISNUMBER(INDEX(A1206:H1206,$P$1)),INDEX(A1206:H1206,$P$1),IFERROR(_xlfn.NUMBERVALUE(INDEX(A1206:H1206,$P$1),".",","),0)))</f>
        <v/>
      </c>
    </row>
    <row r="1207">
      <c r="L1207">
        <f>IF(A1207="","",IF(ISNUMBER(--LEFT(A1207,FIND(" - ",A1207&amp;" - ")-1)),LEFT(A1207,FIND(" - ",A1207&amp;" - ")-1),TRIM(A1207)))</f>
        <v/>
      </c>
      <c r="N1207">
        <f>IF(L1207="","",IF(ISNUMBER(INDEX(A1207:H1207,$P$1)),INDEX(A1207:H1207,$P$1),IFERROR(_xlfn.NUMBERVALUE(INDEX(A1207:H1207,$P$1),".",","),0)))</f>
        <v/>
      </c>
    </row>
    <row r="1208">
      <c r="L1208">
        <f>IF(A1208="","",IF(ISNUMBER(--LEFT(A1208,FIND(" - ",A1208&amp;" - ")-1)),LEFT(A1208,FIND(" - ",A1208&amp;" - ")-1),TRIM(A1208)))</f>
        <v/>
      </c>
      <c r="N1208">
        <f>IF(L1208="","",IF(ISNUMBER(INDEX(A1208:H1208,$P$1)),INDEX(A1208:H1208,$P$1),IFERROR(_xlfn.NUMBERVALUE(INDEX(A1208:H1208,$P$1),".",","),0)))</f>
        <v/>
      </c>
    </row>
    <row r="1209">
      <c r="L1209">
        <f>IF(A1209="","",IF(ISNUMBER(--LEFT(A1209,FIND(" - ",A1209&amp;" - ")-1)),LEFT(A1209,FIND(" - ",A1209&amp;" - ")-1),TRIM(A1209)))</f>
        <v/>
      </c>
      <c r="N1209">
        <f>IF(L1209="","",IF(ISNUMBER(INDEX(A1209:H1209,$P$1)),INDEX(A1209:H1209,$P$1),IFERROR(_xlfn.NUMBERVALUE(INDEX(A1209:H1209,$P$1),".",","),0)))</f>
        <v/>
      </c>
    </row>
    <row r="1210">
      <c r="L1210">
        <f>IF(A1210="","",IF(ISNUMBER(--LEFT(A1210,FIND(" - ",A1210&amp;" - ")-1)),LEFT(A1210,FIND(" - ",A1210&amp;" - ")-1),TRIM(A1210)))</f>
        <v/>
      </c>
      <c r="N1210">
        <f>IF(L1210="","",IF(ISNUMBER(INDEX(A1210:H1210,$P$1)),INDEX(A1210:H1210,$P$1),IFERROR(_xlfn.NUMBERVALUE(INDEX(A1210:H1210,$P$1),".",","),0)))</f>
        <v/>
      </c>
    </row>
    <row r="1211">
      <c r="L1211">
        <f>IF(A1211="","",IF(ISNUMBER(--LEFT(A1211,FIND(" - ",A1211&amp;" - ")-1)),LEFT(A1211,FIND(" - ",A1211&amp;" - ")-1),TRIM(A1211)))</f>
        <v/>
      </c>
      <c r="N1211">
        <f>IF(L1211="","",IF(ISNUMBER(INDEX(A1211:H1211,$P$1)),INDEX(A1211:H1211,$P$1),IFERROR(_xlfn.NUMBERVALUE(INDEX(A1211:H1211,$P$1),".",","),0)))</f>
        <v/>
      </c>
    </row>
    <row r="1212">
      <c r="L1212">
        <f>IF(A1212="","",IF(ISNUMBER(--LEFT(A1212,FIND(" - ",A1212&amp;" - ")-1)),LEFT(A1212,FIND(" - ",A1212&amp;" - ")-1),TRIM(A1212)))</f>
        <v/>
      </c>
      <c r="N1212">
        <f>IF(L1212="","",IF(ISNUMBER(INDEX(A1212:H1212,$P$1)),INDEX(A1212:H1212,$P$1),IFERROR(_xlfn.NUMBERVALUE(INDEX(A1212:H1212,$P$1),".",","),0)))</f>
        <v/>
      </c>
    </row>
    <row r="1213">
      <c r="L1213">
        <f>IF(A1213="","",IF(ISNUMBER(--LEFT(A1213,FIND(" - ",A1213&amp;" - ")-1)),LEFT(A1213,FIND(" - ",A1213&amp;" - ")-1),TRIM(A1213)))</f>
        <v/>
      </c>
      <c r="N1213">
        <f>IF(L1213="","",IF(ISNUMBER(INDEX(A1213:H1213,$P$1)),INDEX(A1213:H1213,$P$1),IFERROR(_xlfn.NUMBERVALUE(INDEX(A1213:H1213,$P$1),".",","),0)))</f>
        <v/>
      </c>
    </row>
    <row r="1214">
      <c r="L1214">
        <f>IF(A1214="","",IF(ISNUMBER(--LEFT(A1214,FIND(" - ",A1214&amp;" - ")-1)),LEFT(A1214,FIND(" - ",A1214&amp;" - ")-1),TRIM(A1214)))</f>
        <v/>
      </c>
      <c r="N1214">
        <f>IF(L1214="","",IF(ISNUMBER(INDEX(A1214:H1214,$P$1)),INDEX(A1214:H1214,$P$1),IFERROR(_xlfn.NUMBERVALUE(INDEX(A1214:H1214,$P$1),".",","),0)))</f>
        <v/>
      </c>
    </row>
    <row r="1215">
      <c r="L1215">
        <f>IF(A1215="","",IF(ISNUMBER(--LEFT(A1215,FIND(" - ",A1215&amp;" - ")-1)),LEFT(A1215,FIND(" - ",A1215&amp;" - ")-1),TRIM(A1215)))</f>
        <v/>
      </c>
      <c r="N1215">
        <f>IF(L1215="","",IF(ISNUMBER(INDEX(A1215:H1215,$P$1)),INDEX(A1215:H1215,$P$1),IFERROR(_xlfn.NUMBERVALUE(INDEX(A1215:H1215,$P$1),".",","),0)))</f>
        <v/>
      </c>
    </row>
    <row r="1216">
      <c r="L1216">
        <f>IF(A1216="","",IF(ISNUMBER(--LEFT(A1216,FIND(" - ",A1216&amp;" - ")-1)),LEFT(A1216,FIND(" - ",A1216&amp;" - ")-1),TRIM(A1216)))</f>
        <v/>
      </c>
      <c r="N1216">
        <f>IF(L1216="","",IF(ISNUMBER(INDEX(A1216:H1216,$P$1)),INDEX(A1216:H1216,$P$1),IFERROR(_xlfn.NUMBERVALUE(INDEX(A1216:H1216,$P$1),".",","),0)))</f>
        <v/>
      </c>
    </row>
    <row r="1217">
      <c r="L1217">
        <f>IF(A1217="","",IF(ISNUMBER(--LEFT(A1217,FIND(" - ",A1217&amp;" - ")-1)),LEFT(A1217,FIND(" - ",A1217&amp;" - ")-1),TRIM(A1217)))</f>
        <v/>
      </c>
      <c r="N1217">
        <f>IF(L1217="","",IF(ISNUMBER(INDEX(A1217:H1217,$P$1)),INDEX(A1217:H1217,$P$1),IFERROR(_xlfn.NUMBERVALUE(INDEX(A1217:H1217,$P$1),".",","),0)))</f>
        <v/>
      </c>
    </row>
    <row r="1218">
      <c r="L1218">
        <f>IF(A1218="","",IF(ISNUMBER(--LEFT(A1218,FIND(" - ",A1218&amp;" - ")-1)),LEFT(A1218,FIND(" - ",A1218&amp;" - ")-1),TRIM(A1218)))</f>
        <v/>
      </c>
      <c r="N1218">
        <f>IF(L1218="","",IF(ISNUMBER(INDEX(A1218:H1218,$P$1)),INDEX(A1218:H1218,$P$1),IFERROR(_xlfn.NUMBERVALUE(INDEX(A1218:H1218,$P$1),".",","),0)))</f>
        <v/>
      </c>
    </row>
    <row r="1219">
      <c r="L1219">
        <f>IF(A1219="","",IF(ISNUMBER(--LEFT(A1219,FIND(" - ",A1219&amp;" - ")-1)),LEFT(A1219,FIND(" - ",A1219&amp;" - ")-1),TRIM(A1219)))</f>
        <v/>
      </c>
      <c r="N1219">
        <f>IF(L1219="","",IF(ISNUMBER(INDEX(A1219:H1219,$P$1)),INDEX(A1219:H1219,$P$1),IFERROR(_xlfn.NUMBERVALUE(INDEX(A1219:H1219,$P$1),".",","),0)))</f>
        <v/>
      </c>
    </row>
    <row r="1220">
      <c r="L1220">
        <f>IF(A1220="","",IF(ISNUMBER(--LEFT(A1220,FIND(" - ",A1220&amp;" - ")-1)),LEFT(A1220,FIND(" - ",A1220&amp;" - ")-1),TRIM(A1220)))</f>
        <v/>
      </c>
      <c r="N1220">
        <f>IF(L1220="","",IF(ISNUMBER(INDEX(A1220:H1220,$P$1)),INDEX(A1220:H1220,$P$1),IFERROR(_xlfn.NUMBERVALUE(INDEX(A1220:H1220,$P$1),".",","),0)))</f>
        <v/>
      </c>
    </row>
    <row r="1221">
      <c r="L1221">
        <f>IF(A1221="","",IF(ISNUMBER(--LEFT(A1221,FIND(" - ",A1221&amp;" - ")-1)),LEFT(A1221,FIND(" - ",A1221&amp;" - ")-1),TRIM(A1221)))</f>
        <v/>
      </c>
      <c r="N1221">
        <f>IF(L1221="","",IF(ISNUMBER(INDEX(A1221:H1221,$P$1)),INDEX(A1221:H1221,$P$1),IFERROR(_xlfn.NUMBERVALUE(INDEX(A1221:H1221,$P$1),".",","),0)))</f>
        <v/>
      </c>
    </row>
    <row r="1222">
      <c r="L1222">
        <f>IF(A1222="","",IF(ISNUMBER(--LEFT(A1222,FIND(" - ",A1222&amp;" - ")-1)),LEFT(A1222,FIND(" - ",A1222&amp;" - ")-1),TRIM(A1222)))</f>
        <v/>
      </c>
      <c r="N1222">
        <f>IF(L1222="","",IF(ISNUMBER(INDEX(A1222:H1222,$P$1)),INDEX(A1222:H1222,$P$1),IFERROR(_xlfn.NUMBERVALUE(INDEX(A1222:H1222,$P$1),".",","),0)))</f>
        <v/>
      </c>
    </row>
    <row r="1223">
      <c r="L1223">
        <f>IF(A1223="","",IF(ISNUMBER(--LEFT(A1223,FIND(" - ",A1223&amp;" - ")-1)),LEFT(A1223,FIND(" - ",A1223&amp;" - ")-1),TRIM(A1223)))</f>
        <v/>
      </c>
      <c r="N1223">
        <f>IF(L1223="","",IF(ISNUMBER(INDEX(A1223:H1223,$P$1)),INDEX(A1223:H1223,$P$1),IFERROR(_xlfn.NUMBERVALUE(INDEX(A1223:H1223,$P$1),".",","),0)))</f>
        <v/>
      </c>
    </row>
    <row r="1224">
      <c r="L1224">
        <f>IF(A1224="","",IF(ISNUMBER(--LEFT(A1224,FIND(" - ",A1224&amp;" - ")-1)),LEFT(A1224,FIND(" - ",A1224&amp;" - ")-1),TRIM(A1224)))</f>
        <v/>
      </c>
      <c r="N1224">
        <f>IF(L1224="","",IF(ISNUMBER(INDEX(A1224:H1224,$P$1)),INDEX(A1224:H1224,$P$1),IFERROR(_xlfn.NUMBERVALUE(INDEX(A1224:H1224,$P$1),".",","),0)))</f>
        <v/>
      </c>
    </row>
    <row r="1225">
      <c r="L1225">
        <f>IF(A1225="","",IF(ISNUMBER(--LEFT(A1225,FIND(" - ",A1225&amp;" - ")-1)),LEFT(A1225,FIND(" - ",A1225&amp;" - ")-1),TRIM(A1225)))</f>
        <v/>
      </c>
      <c r="N1225">
        <f>IF(L1225="","",IF(ISNUMBER(INDEX(A1225:H1225,$P$1)),INDEX(A1225:H1225,$P$1),IFERROR(_xlfn.NUMBERVALUE(INDEX(A1225:H1225,$P$1),".",","),0)))</f>
        <v/>
      </c>
    </row>
    <row r="1226">
      <c r="L1226">
        <f>IF(A1226="","",IF(ISNUMBER(--LEFT(A1226,FIND(" - ",A1226&amp;" - ")-1)),LEFT(A1226,FIND(" - ",A1226&amp;" - ")-1),TRIM(A1226)))</f>
        <v/>
      </c>
      <c r="N1226">
        <f>IF(L1226="","",IF(ISNUMBER(INDEX(A1226:H1226,$P$1)),INDEX(A1226:H1226,$P$1),IFERROR(_xlfn.NUMBERVALUE(INDEX(A1226:H1226,$P$1),".",","),0)))</f>
        <v/>
      </c>
    </row>
    <row r="1227">
      <c r="L1227">
        <f>IF(A1227="","",IF(ISNUMBER(--LEFT(A1227,FIND(" - ",A1227&amp;" - ")-1)),LEFT(A1227,FIND(" - ",A1227&amp;" - ")-1),TRIM(A1227)))</f>
        <v/>
      </c>
      <c r="N1227">
        <f>IF(L1227="","",IF(ISNUMBER(INDEX(A1227:H1227,$P$1)),INDEX(A1227:H1227,$P$1),IFERROR(_xlfn.NUMBERVALUE(INDEX(A1227:H1227,$P$1),".",","),0)))</f>
        <v/>
      </c>
    </row>
    <row r="1228">
      <c r="L1228">
        <f>IF(A1228="","",IF(ISNUMBER(--LEFT(A1228,FIND(" - ",A1228&amp;" - ")-1)),LEFT(A1228,FIND(" - ",A1228&amp;" - ")-1),TRIM(A1228)))</f>
        <v/>
      </c>
      <c r="N1228">
        <f>IF(L1228="","",IF(ISNUMBER(INDEX(A1228:H1228,$P$1)),INDEX(A1228:H1228,$P$1),IFERROR(_xlfn.NUMBERVALUE(INDEX(A1228:H1228,$P$1),".",","),0)))</f>
        <v/>
      </c>
    </row>
    <row r="1229">
      <c r="L1229">
        <f>IF(A1229="","",IF(ISNUMBER(--LEFT(A1229,FIND(" - ",A1229&amp;" - ")-1)),LEFT(A1229,FIND(" - ",A1229&amp;" - ")-1),TRIM(A1229)))</f>
        <v/>
      </c>
      <c r="N1229">
        <f>IF(L1229="","",IF(ISNUMBER(INDEX(A1229:H1229,$P$1)),INDEX(A1229:H1229,$P$1),IFERROR(_xlfn.NUMBERVALUE(INDEX(A1229:H1229,$P$1),".",","),0)))</f>
        <v/>
      </c>
    </row>
    <row r="1230">
      <c r="L1230">
        <f>IF(A1230="","",IF(ISNUMBER(--LEFT(A1230,FIND(" - ",A1230&amp;" - ")-1)),LEFT(A1230,FIND(" - ",A1230&amp;" - ")-1),TRIM(A1230)))</f>
        <v/>
      </c>
      <c r="N1230">
        <f>IF(L1230="","",IF(ISNUMBER(INDEX(A1230:H1230,$P$1)),INDEX(A1230:H1230,$P$1),IFERROR(_xlfn.NUMBERVALUE(INDEX(A1230:H1230,$P$1),".",","),0)))</f>
        <v/>
      </c>
    </row>
    <row r="1231">
      <c r="L1231">
        <f>IF(A1231="","",IF(ISNUMBER(--LEFT(A1231,FIND(" - ",A1231&amp;" - ")-1)),LEFT(A1231,FIND(" - ",A1231&amp;" - ")-1),TRIM(A1231)))</f>
        <v/>
      </c>
      <c r="N1231">
        <f>IF(L1231="","",IF(ISNUMBER(INDEX(A1231:H1231,$P$1)),INDEX(A1231:H1231,$P$1),IFERROR(_xlfn.NUMBERVALUE(INDEX(A1231:H1231,$P$1),".",","),0)))</f>
        <v/>
      </c>
    </row>
    <row r="1232">
      <c r="L1232">
        <f>IF(A1232="","",IF(ISNUMBER(--LEFT(A1232,FIND(" - ",A1232&amp;" - ")-1)),LEFT(A1232,FIND(" - ",A1232&amp;" - ")-1),TRIM(A1232)))</f>
        <v/>
      </c>
      <c r="N1232">
        <f>IF(L1232="","",IF(ISNUMBER(INDEX(A1232:H1232,$P$1)),INDEX(A1232:H1232,$P$1),IFERROR(_xlfn.NUMBERVALUE(INDEX(A1232:H1232,$P$1),".",","),0)))</f>
        <v/>
      </c>
    </row>
    <row r="1233">
      <c r="L1233">
        <f>IF(A1233="","",IF(ISNUMBER(--LEFT(A1233,FIND(" - ",A1233&amp;" - ")-1)),LEFT(A1233,FIND(" - ",A1233&amp;" - ")-1),TRIM(A1233)))</f>
        <v/>
      </c>
      <c r="N1233">
        <f>IF(L1233="","",IF(ISNUMBER(INDEX(A1233:H1233,$P$1)),INDEX(A1233:H1233,$P$1),IFERROR(_xlfn.NUMBERVALUE(INDEX(A1233:H1233,$P$1),".",","),0)))</f>
        <v/>
      </c>
    </row>
    <row r="1234">
      <c r="L1234">
        <f>IF(A1234="","",IF(ISNUMBER(--LEFT(A1234,FIND(" - ",A1234&amp;" - ")-1)),LEFT(A1234,FIND(" - ",A1234&amp;" - ")-1),TRIM(A1234)))</f>
        <v/>
      </c>
      <c r="N1234">
        <f>IF(L1234="","",IF(ISNUMBER(INDEX(A1234:H1234,$P$1)),INDEX(A1234:H1234,$P$1),IFERROR(_xlfn.NUMBERVALUE(INDEX(A1234:H1234,$P$1),".",","),0)))</f>
        <v/>
      </c>
    </row>
    <row r="1235">
      <c r="L1235">
        <f>IF(A1235="","",IF(ISNUMBER(--LEFT(A1235,FIND(" - ",A1235&amp;" - ")-1)),LEFT(A1235,FIND(" - ",A1235&amp;" - ")-1),TRIM(A1235)))</f>
        <v/>
      </c>
      <c r="N1235">
        <f>IF(L1235="","",IF(ISNUMBER(INDEX(A1235:H1235,$P$1)),INDEX(A1235:H1235,$P$1),IFERROR(_xlfn.NUMBERVALUE(INDEX(A1235:H1235,$P$1),".",","),0)))</f>
        <v/>
      </c>
    </row>
    <row r="1236">
      <c r="L1236">
        <f>IF(A1236="","",IF(ISNUMBER(--LEFT(A1236,FIND(" - ",A1236&amp;" - ")-1)),LEFT(A1236,FIND(" - ",A1236&amp;" - ")-1),TRIM(A1236)))</f>
        <v/>
      </c>
      <c r="N1236">
        <f>IF(L1236="","",IF(ISNUMBER(INDEX(A1236:H1236,$P$1)),INDEX(A1236:H1236,$P$1),IFERROR(_xlfn.NUMBERVALUE(INDEX(A1236:H1236,$P$1),".",","),0)))</f>
        <v/>
      </c>
    </row>
    <row r="1237">
      <c r="L1237">
        <f>IF(A1237="","",IF(ISNUMBER(--LEFT(A1237,FIND(" - ",A1237&amp;" - ")-1)),LEFT(A1237,FIND(" - ",A1237&amp;" - ")-1),TRIM(A1237)))</f>
        <v/>
      </c>
      <c r="N1237">
        <f>IF(L1237="","",IF(ISNUMBER(INDEX(A1237:H1237,$P$1)),INDEX(A1237:H1237,$P$1),IFERROR(_xlfn.NUMBERVALUE(INDEX(A1237:H1237,$P$1),".",","),0)))</f>
        <v/>
      </c>
    </row>
    <row r="1238">
      <c r="L1238">
        <f>IF(A1238="","",IF(ISNUMBER(--LEFT(A1238,FIND(" - ",A1238&amp;" - ")-1)),LEFT(A1238,FIND(" - ",A1238&amp;" - ")-1),TRIM(A1238)))</f>
        <v/>
      </c>
      <c r="N1238">
        <f>IF(L1238="","",IF(ISNUMBER(INDEX(A1238:H1238,$P$1)),INDEX(A1238:H1238,$P$1),IFERROR(_xlfn.NUMBERVALUE(INDEX(A1238:H1238,$P$1),".",","),0)))</f>
        <v/>
      </c>
    </row>
    <row r="1239">
      <c r="L1239">
        <f>IF(A1239="","",IF(ISNUMBER(--LEFT(A1239,FIND(" - ",A1239&amp;" - ")-1)),LEFT(A1239,FIND(" - ",A1239&amp;" - ")-1),TRIM(A1239)))</f>
        <v/>
      </c>
      <c r="N1239">
        <f>IF(L1239="","",IF(ISNUMBER(INDEX(A1239:H1239,$P$1)),INDEX(A1239:H1239,$P$1),IFERROR(_xlfn.NUMBERVALUE(INDEX(A1239:H1239,$P$1),".",","),0)))</f>
        <v/>
      </c>
    </row>
    <row r="1240">
      <c r="L1240">
        <f>IF(A1240="","",IF(ISNUMBER(--LEFT(A1240,FIND(" - ",A1240&amp;" - ")-1)),LEFT(A1240,FIND(" - ",A1240&amp;" - ")-1),TRIM(A1240)))</f>
        <v/>
      </c>
      <c r="N1240">
        <f>IF(L1240="","",IF(ISNUMBER(INDEX(A1240:H1240,$P$1)),INDEX(A1240:H1240,$P$1),IFERROR(_xlfn.NUMBERVALUE(INDEX(A1240:H1240,$P$1),".",","),0)))</f>
        <v/>
      </c>
    </row>
    <row r="1241">
      <c r="L1241">
        <f>IF(A1241="","",IF(ISNUMBER(--LEFT(A1241,FIND(" - ",A1241&amp;" - ")-1)),LEFT(A1241,FIND(" - ",A1241&amp;" - ")-1),TRIM(A1241)))</f>
        <v/>
      </c>
      <c r="N1241">
        <f>IF(L1241="","",IF(ISNUMBER(INDEX(A1241:H1241,$P$1)),INDEX(A1241:H1241,$P$1),IFERROR(_xlfn.NUMBERVALUE(INDEX(A1241:H1241,$P$1),".",","),0)))</f>
        <v/>
      </c>
    </row>
    <row r="1242">
      <c r="L1242">
        <f>IF(A1242="","",IF(ISNUMBER(--LEFT(A1242,FIND(" - ",A1242&amp;" - ")-1)),LEFT(A1242,FIND(" - ",A1242&amp;" - ")-1),TRIM(A1242)))</f>
        <v/>
      </c>
      <c r="N1242">
        <f>IF(L1242="","",IF(ISNUMBER(INDEX(A1242:H1242,$P$1)),INDEX(A1242:H1242,$P$1),IFERROR(_xlfn.NUMBERVALUE(INDEX(A1242:H1242,$P$1),".",","),0)))</f>
        <v/>
      </c>
    </row>
    <row r="1243">
      <c r="L1243">
        <f>IF(A1243="","",IF(ISNUMBER(--LEFT(A1243,FIND(" - ",A1243&amp;" - ")-1)),LEFT(A1243,FIND(" - ",A1243&amp;" - ")-1),TRIM(A1243)))</f>
        <v/>
      </c>
      <c r="N1243">
        <f>IF(L1243="","",IF(ISNUMBER(INDEX(A1243:H1243,$P$1)),INDEX(A1243:H1243,$P$1),IFERROR(_xlfn.NUMBERVALUE(INDEX(A1243:H1243,$P$1),".",","),0)))</f>
        <v/>
      </c>
    </row>
    <row r="1244">
      <c r="L1244">
        <f>IF(A1244="","",IF(ISNUMBER(--LEFT(A1244,FIND(" - ",A1244&amp;" - ")-1)),LEFT(A1244,FIND(" - ",A1244&amp;" - ")-1),TRIM(A1244)))</f>
        <v/>
      </c>
      <c r="N1244">
        <f>IF(L1244="","",IF(ISNUMBER(INDEX(A1244:H1244,$P$1)),INDEX(A1244:H1244,$P$1),IFERROR(_xlfn.NUMBERVALUE(INDEX(A1244:H1244,$P$1),".",","),0)))</f>
        <v/>
      </c>
    </row>
    <row r="1245">
      <c r="L1245">
        <f>IF(A1245="","",IF(ISNUMBER(--LEFT(A1245,FIND(" - ",A1245&amp;" - ")-1)),LEFT(A1245,FIND(" - ",A1245&amp;" - ")-1),TRIM(A1245)))</f>
        <v/>
      </c>
      <c r="N1245">
        <f>IF(L1245="","",IF(ISNUMBER(INDEX(A1245:H1245,$P$1)),INDEX(A1245:H1245,$P$1),IFERROR(_xlfn.NUMBERVALUE(INDEX(A1245:H1245,$P$1),".",","),0)))</f>
        <v/>
      </c>
    </row>
    <row r="1246">
      <c r="L1246">
        <f>IF(A1246="","",IF(ISNUMBER(--LEFT(A1246,FIND(" - ",A1246&amp;" - ")-1)),LEFT(A1246,FIND(" - ",A1246&amp;" - ")-1),TRIM(A1246)))</f>
        <v/>
      </c>
      <c r="N1246">
        <f>IF(L1246="","",IF(ISNUMBER(INDEX(A1246:H1246,$P$1)),INDEX(A1246:H1246,$P$1),IFERROR(_xlfn.NUMBERVALUE(INDEX(A1246:H1246,$P$1),".",","),0)))</f>
        <v/>
      </c>
    </row>
    <row r="1247">
      <c r="L1247">
        <f>IF(A1247="","",IF(ISNUMBER(--LEFT(A1247,FIND(" - ",A1247&amp;" - ")-1)),LEFT(A1247,FIND(" - ",A1247&amp;" - ")-1),TRIM(A1247)))</f>
        <v/>
      </c>
      <c r="N1247">
        <f>IF(L1247="","",IF(ISNUMBER(INDEX(A1247:H1247,$P$1)),INDEX(A1247:H1247,$P$1),IFERROR(_xlfn.NUMBERVALUE(INDEX(A1247:H1247,$P$1),".",","),0)))</f>
        <v/>
      </c>
    </row>
    <row r="1248">
      <c r="L1248">
        <f>IF(A1248="","",IF(ISNUMBER(--LEFT(A1248,FIND(" - ",A1248&amp;" - ")-1)),LEFT(A1248,FIND(" - ",A1248&amp;" - ")-1),TRIM(A1248)))</f>
        <v/>
      </c>
      <c r="N1248">
        <f>IF(L1248="","",IF(ISNUMBER(INDEX(A1248:H1248,$P$1)),INDEX(A1248:H1248,$P$1),IFERROR(_xlfn.NUMBERVALUE(INDEX(A1248:H1248,$P$1),".",","),0)))</f>
        <v/>
      </c>
    </row>
    <row r="1249">
      <c r="L1249">
        <f>IF(A1249="","",IF(ISNUMBER(--LEFT(A1249,FIND(" - ",A1249&amp;" - ")-1)),LEFT(A1249,FIND(" - ",A1249&amp;" - ")-1),TRIM(A1249)))</f>
        <v/>
      </c>
      <c r="N1249">
        <f>IF(L1249="","",IF(ISNUMBER(INDEX(A1249:H1249,$P$1)),INDEX(A1249:H1249,$P$1),IFERROR(_xlfn.NUMBERVALUE(INDEX(A1249:H1249,$P$1),".",","),0)))</f>
        <v/>
      </c>
    </row>
    <row r="1250">
      <c r="L1250">
        <f>IF(A1250="","",IF(ISNUMBER(--LEFT(A1250,FIND(" - ",A1250&amp;" - ")-1)),LEFT(A1250,FIND(" - ",A1250&amp;" - ")-1),TRIM(A1250)))</f>
        <v/>
      </c>
      <c r="N1250">
        <f>IF(L1250="","",IF(ISNUMBER(INDEX(A1250:H1250,$P$1)),INDEX(A1250:H1250,$P$1),IFERROR(_xlfn.NUMBERVALUE(INDEX(A1250:H1250,$P$1),".",","),0)))</f>
        <v/>
      </c>
    </row>
    <row r="1251">
      <c r="L1251">
        <f>IF(A1251="","",IF(ISNUMBER(--LEFT(A1251,FIND(" - ",A1251&amp;" - ")-1)),LEFT(A1251,FIND(" - ",A1251&amp;" - ")-1),TRIM(A1251)))</f>
        <v/>
      </c>
      <c r="N1251">
        <f>IF(L1251="","",IF(ISNUMBER(INDEX(A1251:H1251,$P$1)),INDEX(A1251:H1251,$P$1),IFERROR(_xlfn.NUMBERVALUE(INDEX(A1251:H1251,$P$1),".",","),0)))</f>
        <v/>
      </c>
    </row>
    <row r="1252">
      <c r="L1252">
        <f>IF(A1252="","",IF(ISNUMBER(--LEFT(A1252,FIND(" - ",A1252&amp;" - ")-1)),LEFT(A1252,FIND(" - ",A1252&amp;" - ")-1),TRIM(A1252)))</f>
        <v/>
      </c>
      <c r="N1252">
        <f>IF(L1252="","",IF(ISNUMBER(INDEX(A1252:H1252,$P$1)),INDEX(A1252:H1252,$P$1),IFERROR(_xlfn.NUMBERVALUE(INDEX(A1252:H1252,$P$1),".",","),0)))</f>
        <v/>
      </c>
    </row>
    <row r="1253">
      <c r="L1253">
        <f>IF(A1253="","",IF(ISNUMBER(--LEFT(A1253,FIND(" - ",A1253&amp;" - ")-1)),LEFT(A1253,FIND(" - ",A1253&amp;" - ")-1),TRIM(A1253)))</f>
        <v/>
      </c>
      <c r="N1253">
        <f>IF(L1253="","",IF(ISNUMBER(INDEX(A1253:H1253,$P$1)),INDEX(A1253:H1253,$P$1),IFERROR(_xlfn.NUMBERVALUE(INDEX(A1253:H1253,$P$1),".",","),0)))</f>
        <v/>
      </c>
    </row>
    <row r="1254">
      <c r="L1254">
        <f>IF(A1254="","",IF(ISNUMBER(--LEFT(A1254,FIND(" - ",A1254&amp;" - ")-1)),LEFT(A1254,FIND(" - ",A1254&amp;" - ")-1),TRIM(A1254)))</f>
        <v/>
      </c>
      <c r="N1254">
        <f>IF(L1254="","",IF(ISNUMBER(INDEX(A1254:H1254,$P$1)),INDEX(A1254:H1254,$P$1),IFERROR(_xlfn.NUMBERVALUE(INDEX(A1254:H1254,$P$1),".",","),0)))</f>
        <v/>
      </c>
    </row>
    <row r="1255">
      <c r="L1255">
        <f>IF(A1255="","",IF(ISNUMBER(--LEFT(A1255,FIND(" - ",A1255&amp;" - ")-1)),LEFT(A1255,FIND(" - ",A1255&amp;" - ")-1),TRIM(A1255)))</f>
        <v/>
      </c>
      <c r="N1255">
        <f>IF(L1255="","",IF(ISNUMBER(INDEX(A1255:H1255,$P$1)),INDEX(A1255:H1255,$P$1),IFERROR(_xlfn.NUMBERVALUE(INDEX(A1255:H1255,$P$1),".",","),0)))</f>
        <v/>
      </c>
    </row>
    <row r="1256">
      <c r="L1256">
        <f>IF(A1256="","",IF(ISNUMBER(--LEFT(A1256,FIND(" - ",A1256&amp;" - ")-1)),LEFT(A1256,FIND(" - ",A1256&amp;" - ")-1),TRIM(A1256)))</f>
        <v/>
      </c>
      <c r="N1256">
        <f>IF(L1256="","",IF(ISNUMBER(INDEX(A1256:H1256,$P$1)),INDEX(A1256:H1256,$P$1),IFERROR(_xlfn.NUMBERVALUE(INDEX(A1256:H1256,$P$1),".",","),0)))</f>
        <v/>
      </c>
    </row>
    <row r="1257">
      <c r="L1257">
        <f>IF(A1257="","",IF(ISNUMBER(--LEFT(A1257,FIND(" - ",A1257&amp;" - ")-1)),LEFT(A1257,FIND(" - ",A1257&amp;" - ")-1),TRIM(A1257)))</f>
        <v/>
      </c>
      <c r="N1257">
        <f>IF(L1257="","",IF(ISNUMBER(INDEX(A1257:H1257,$P$1)),INDEX(A1257:H1257,$P$1),IFERROR(_xlfn.NUMBERVALUE(INDEX(A1257:H1257,$P$1),".",","),0)))</f>
        <v/>
      </c>
    </row>
    <row r="1258">
      <c r="L1258">
        <f>IF(A1258="","",IF(ISNUMBER(--LEFT(A1258,FIND(" - ",A1258&amp;" - ")-1)),LEFT(A1258,FIND(" - ",A1258&amp;" - ")-1),TRIM(A1258)))</f>
        <v/>
      </c>
      <c r="N1258">
        <f>IF(L1258="","",IF(ISNUMBER(INDEX(A1258:H1258,$P$1)),INDEX(A1258:H1258,$P$1),IFERROR(_xlfn.NUMBERVALUE(INDEX(A1258:H1258,$P$1),".",","),0)))</f>
        <v/>
      </c>
    </row>
    <row r="1259">
      <c r="L1259">
        <f>IF(A1259="","",IF(ISNUMBER(--LEFT(A1259,FIND(" - ",A1259&amp;" - ")-1)),LEFT(A1259,FIND(" - ",A1259&amp;" - ")-1),TRIM(A1259)))</f>
        <v/>
      </c>
      <c r="N1259">
        <f>IF(L1259="","",IF(ISNUMBER(INDEX(A1259:H1259,$P$1)),INDEX(A1259:H1259,$P$1),IFERROR(_xlfn.NUMBERVALUE(INDEX(A1259:H1259,$P$1),".",","),0)))</f>
        <v/>
      </c>
    </row>
    <row r="1260">
      <c r="L1260">
        <f>IF(A1260="","",IF(ISNUMBER(--LEFT(A1260,FIND(" - ",A1260&amp;" - ")-1)),LEFT(A1260,FIND(" - ",A1260&amp;" - ")-1),TRIM(A1260)))</f>
        <v/>
      </c>
      <c r="N1260">
        <f>IF(L1260="","",IF(ISNUMBER(INDEX(A1260:H1260,$P$1)),INDEX(A1260:H1260,$P$1),IFERROR(_xlfn.NUMBERVALUE(INDEX(A1260:H1260,$P$1),".",","),0)))</f>
        <v/>
      </c>
    </row>
    <row r="1261">
      <c r="L1261">
        <f>IF(A1261="","",IF(ISNUMBER(--LEFT(A1261,FIND(" - ",A1261&amp;" - ")-1)),LEFT(A1261,FIND(" - ",A1261&amp;" - ")-1),TRIM(A1261)))</f>
        <v/>
      </c>
      <c r="N1261">
        <f>IF(L1261="","",IF(ISNUMBER(INDEX(A1261:H1261,$P$1)),INDEX(A1261:H1261,$P$1),IFERROR(_xlfn.NUMBERVALUE(INDEX(A1261:H1261,$P$1),".",","),0)))</f>
        <v/>
      </c>
    </row>
    <row r="1262">
      <c r="L1262">
        <f>IF(A1262="","",IF(ISNUMBER(--LEFT(A1262,FIND(" - ",A1262&amp;" - ")-1)),LEFT(A1262,FIND(" - ",A1262&amp;" - ")-1),TRIM(A1262)))</f>
        <v/>
      </c>
      <c r="N1262">
        <f>IF(L1262="","",IF(ISNUMBER(INDEX(A1262:H1262,$P$1)),INDEX(A1262:H1262,$P$1),IFERROR(_xlfn.NUMBERVALUE(INDEX(A1262:H1262,$P$1),".",","),0)))</f>
        <v/>
      </c>
    </row>
    <row r="1263">
      <c r="L1263">
        <f>IF(A1263="","",IF(ISNUMBER(--LEFT(A1263,FIND(" - ",A1263&amp;" - ")-1)),LEFT(A1263,FIND(" - ",A1263&amp;" - ")-1),TRIM(A1263)))</f>
        <v/>
      </c>
      <c r="N1263">
        <f>IF(L1263="","",IF(ISNUMBER(INDEX(A1263:H1263,$P$1)),INDEX(A1263:H1263,$P$1),IFERROR(_xlfn.NUMBERVALUE(INDEX(A1263:H1263,$P$1),".",","),0)))</f>
        <v/>
      </c>
    </row>
    <row r="1264">
      <c r="L1264">
        <f>IF(A1264="","",IF(ISNUMBER(--LEFT(A1264,FIND(" - ",A1264&amp;" - ")-1)),LEFT(A1264,FIND(" - ",A1264&amp;" - ")-1),TRIM(A1264)))</f>
        <v/>
      </c>
      <c r="N1264">
        <f>IF(L1264="","",IF(ISNUMBER(INDEX(A1264:H1264,$P$1)),INDEX(A1264:H1264,$P$1),IFERROR(_xlfn.NUMBERVALUE(INDEX(A1264:H1264,$P$1),".",","),0)))</f>
        <v/>
      </c>
    </row>
    <row r="1265">
      <c r="L1265">
        <f>IF(A1265="","",IF(ISNUMBER(--LEFT(A1265,FIND(" - ",A1265&amp;" - ")-1)),LEFT(A1265,FIND(" - ",A1265&amp;" - ")-1),TRIM(A1265)))</f>
        <v/>
      </c>
      <c r="N1265">
        <f>IF(L1265="","",IF(ISNUMBER(INDEX(A1265:H1265,$P$1)),INDEX(A1265:H1265,$P$1),IFERROR(_xlfn.NUMBERVALUE(INDEX(A1265:H1265,$P$1),".",","),0)))</f>
        <v/>
      </c>
    </row>
    <row r="1266">
      <c r="L1266">
        <f>IF(A1266="","",IF(ISNUMBER(--LEFT(A1266,FIND(" - ",A1266&amp;" - ")-1)),LEFT(A1266,FIND(" - ",A1266&amp;" - ")-1),TRIM(A1266)))</f>
        <v/>
      </c>
      <c r="N1266">
        <f>IF(L1266="","",IF(ISNUMBER(INDEX(A1266:H1266,$P$1)),INDEX(A1266:H1266,$P$1),IFERROR(_xlfn.NUMBERVALUE(INDEX(A1266:H1266,$P$1),".",","),0)))</f>
        <v/>
      </c>
    </row>
    <row r="1267">
      <c r="L1267">
        <f>IF(A1267="","",IF(ISNUMBER(--LEFT(A1267,FIND(" - ",A1267&amp;" - ")-1)),LEFT(A1267,FIND(" - ",A1267&amp;" - ")-1),TRIM(A1267)))</f>
        <v/>
      </c>
      <c r="N1267">
        <f>IF(L1267="","",IF(ISNUMBER(INDEX(A1267:H1267,$P$1)),INDEX(A1267:H1267,$P$1),IFERROR(_xlfn.NUMBERVALUE(INDEX(A1267:H1267,$P$1),".",","),0)))</f>
        <v/>
      </c>
    </row>
    <row r="1268">
      <c r="L1268">
        <f>IF(A1268="","",IF(ISNUMBER(--LEFT(A1268,FIND(" - ",A1268&amp;" - ")-1)),LEFT(A1268,FIND(" - ",A1268&amp;" - ")-1),TRIM(A1268)))</f>
        <v/>
      </c>
      <c r="N1268">
        <f>IF(L1268="","",IF(ISNUMBER(INDEX(A1268:H1268,$P$1)),INDEX(A1268:H1268,$P$1),IFERROR(_xlfn.NUMBERVALUE(INDEX(A1268:H1268,$P$1),".",","),0)))</f>
        <v/>
      </c>
    </row>
    <row r="1269">
      <c r="L1269">
        <f>IF(A1269="","",IF(ISNUMBER(--LEFT(A1269,FIND(" - ",A1269&amp;" - ")-1)),LEFT(A1269,FIND(" - ",A1269&amp;" - ")-1),TRIM(A1269)))</f>
        <v/>
      </c>
      <c r="N1269">
        <f>IF(L1269="","",IF(ISNUMBER(INDEX(A1269:H1269,$P$1)),INDEX(A1269:H1269,$P$1),IFERROR(_xlfn.NUMBERVALUE(INDEX(A1269:H1269,$P$1),".",","),0)))</f>
        <v/>
      </c>
    </row>
    <row r="1270">
      <c r="L1270">
        <f>IF(A1270="","",IF(ISNUMBER(--LEFT(A1270,FIND(" - ",A1270&amp;" - ")-1)),LEFT(A1270,FIND(" - ",A1270&amp;" - ")-1),TRIM(A1270)))</f>
        <v/>
      </c>
      <c r="N1270">
        <f>IF(L1270="","",IF(ISNUMBER(INDEX(A1270:H1270,$P$1)),INDEX(A1270:H1270,$P$1),IFERROR(_xlfn.NUMBERVALUE(INDEX(A1270:H1270,$P$1),".",","),0)))</f>
        <v/>
      </c>
    </row>
    <row r="1271">
      <c r="L1271">
        <f>IF(A1271="","",IF(ISNUMBER(--LEFT(A1271,FIND(" - ",A1271&amp;" - ")-1)),LEFT(A1271,FIND(" - ",A1271&amp;" - ")-1),TRIM(A1271)))</f>
        <v/>
      </c>
      <c r="N1271">
        <f>IF(L1271="","",IF(ISNUMBER(INDEX(A1271:H1271,$P$1)),INDEX(A1271:H1271,$P$1),IFERROR(_xlfn.NUMBERVALUE(INDEX(A1271:H1271,$P$1),".",","),0)))</f>
        <v/>
      </c>
    </row>
    <row r="1272">
      <c r="L1272">
        <f>IF(A1272="","",IF(ISNUMBER(--LEFT(A1272,FIND(" - ",A1272&amp;" - ")-1)),LEFT(A1272,FIND(" - ",A1272&amp;" - ")-1),TRIM(A1272)))</f>
        <v/>
      </c>
      <c r="N1272">
        <f>IF(L1272="","",IF(ISNUMBER(INDEX(A1272:H1272,$P$1)),INDEX(A1272:H1272,$P$1),IFERROR(_xlfn.NUMBERVALUE(INDEX(A1272:H1272,$P$1),".",","),0)))</f>
        <v/>
      </c>
    </row>
    <row r="1273">
      <c r="L1273">
        <f>IF(A1273="","",IF(ISNUMBER(--LEFT(A1273,FIND(" - ",A1273&amp;" - ")-1)),LEFT(A1273,FIND(" - ",A1273&amp;" - ")-1),TRIM(A1273)))</f>
        <v/>
      </c>
      <c r="N1273">
        <f>IF(L1273="","",IF(ISNUMBER(INDEX(A1273:H1273,$P$1)),INDEX(A1273:H1273,$P$1),IFERROR(_xlfn.NUMBERVALUE(INDEX(A1273:H1273,$P$1),".",","),0)))</f>
        <v/>
      </c>
    </row>
    <row r="1274">
      <c r="L1274">
        <f>IF(A1274="","",IF(ISNUMBER(--LEFT(A1274,FIND(" - ",A1274&amp;" - ")-1)),LEFT(A1274,FIND(" - ",A1274&amp;" - ")-1),TRIM(A1274)))</f>
        <v/>
      </c>
      <c r="N1274">
        <f>IF(L1274="","",IF(ISNUMBER(INDEX(A1274:H1274,$P$1)),INDEX(A1274:H1274,$P$1),IFERROR(_xlfn.NUMBERVALUE(INDEX(A1274:H1274,$P$1),".",","),0)))</f>
        <v/>
      </c>
    </row>
    <row r="1275">
      <c r="L1275">
        <f>IF(A1275="","",IF(ISNUMBER(--LEFT(A1275,FIND(" - ",A1275&amp;" - ")-1)),LEFT(A1275,FIND(" - ",A1275&amp;" - ")-1),TRIM(A1275)))</f>
        <v/>
      </c>
      <c r="N1275">
        <f>IF(L1275="","",IF(ISNUMBER(INDEX(A1275:H1275,$P$1)),INDEX(A1275:H1275,$P$1),IFERROR(_xlfn.NUMBERVALUE(INDEX(A1275:H1275,$P$1),".",","),0)))</f>
        <v/>
      </c>
    </row>
    <row r="1276">
      <c r="L1276">
        <f>IF(A1276="","",IF(ISNUMBER(--LEFT(A1276,FIND(" - ",A1276&amp;" - ")-1)),LEFT(A1276,FIND(" - ",A1276&amp;" - ")-1),TRIM(A1276)))</f>
        <v/>
      </c>
      <c r="N1276">
        <f>IF(L1276="","",IF(ISNUMBER(INDEX(A1276:H1276,$P$1)),INDEX(A1276:H1276,$P$1),IFERROR(_xlfn.NUMBERVALUE(INDEX(A1276:H1276,$P$1),".",","),0)))</f>
        <v/>
      </c>
    </row>
    <row r="1277">
      <c r="L1277">
        <f>IF(A1277="","",IF(ISNUMBER(--LEFT(A1277,FIND(" - ",A1277&amp;" - ")-1)),LEFT(A1277,FIND(" - ",A1277&amp;" - ")-1),TRIM(A1277)))</f>
        <v/>
      </c>
      <c r="N1277">
        <f>IF(L1277="","",IF(ISNUMBER(INDEX(A1277:H1277,$P$1)),INDEX(A1277:H1277,$P$1),IFERROR(_xlfn.NUMBERVALUE(INDEX(A1277:H1277,$P$1),".",","),0)))</f>
        <v/>
      </c>
    </row>
    <row r="1278">
      <c r="L1278">
        <f>IF(A1278="","",IF(ISNUMBER(--LEFT(A1278,FIND(" - ",A1278&amp;" - ")-1)),LEFT(A1278,FIND(" - ",A1278&amp;" - ")-1),TRIM(A1278)))</f>
        <v/>
      </c>
      <c r="N1278">
        <f>IF(L1278="","",IF(ISNUMBER(INDEX(A1278:H1278,$P$1)),INDEX(A1278:H1278,$P$1),IFERROR(_xlfn.NUMBERVALUE(INDEX(A1278:H1278,$P$1),".",","),0)))</f>
        <v/>
      </c>
    </row>
    <row r="1279">
      <c r="L1279">
        <f>IF(A1279="","",IF(ISNUMBER(--LEFT(A1279,FIND(" - ",A1279&amp;" - ")-1)),LEFT(A1279,FIND(" - ",A1279&amp;" - ")-1),TRIM(A1279)))</f>
        <v/>
      </c>
      <c r="N1279">
        <f>IF(L1279="","",IF(ISNUMBER(INDEX(A1279:H1279,$P$1)),INDEX(A1279:H1279,$P$1),IFERROR(_xlfn.NUMBERVALUE(INDEX(A1279:H1279,$P$1),".",","),0)))</f>
        <v/>
      </c>
    </row>
    <row r="1280">
      <c r="L1280">
        <f>IF(A1280="","",IF(ISNUMBER(--LEFT(A1280,FIND(" - ",A1280&amp;" - ")-1)),LEFT(A1280,FIND(" - ",A1280&amp;" - ")-1),TRIM(A1280)))</f>
        <v/>
      </c>
      <c r="N1280">
        <f>IF(L1280="","",IF(ISNUMBER(INDEX(A1280:H1280,$P$1)),INDEX(A1280:H1280,$P$1),IFERROR(_xlfn.NUMBERVALUE(INDEX(A1280:H1280,$P$1),".",","),0)))</f>
        <v/>
      </c>
    </row>
    <row r="1281">
      <c r="L1281">
        <f>IF(A1281="","",IF(ISNUMBER(--LEFT(A1281,FIND(" - ",A1281&amp;" - ")-1)),LEFT(A1281,FIND(" - ",A1281&amp;" - ")-1),TRIM(A1281)))</f>
        <v/>
      </c>
      <c r="N1281">
        <f>IF(L1281="","",IF(ISNUMBER(INDEX(A1281:H1281,$P$1)),INDEX(A1281:H1281,$P$1),IFERROR(_xlfn.NUMBERVALUE(INDEX(A1281:H1281,$P$1),".",","),0)))</f>
        <v/>
      </c>
    </row>
    <row r="1282">
      <c r="L1282">
        <f>IF(A1282="","",IF(ISNUMBER(--LEFT(A1282,FIND(" - ",A1282&amp;" - ")-1)),LEFT(A1282,FIND(" - ",A1282&amp;" - ")-1),TRIM(A1282)))</f>
        <v/>
      </c>
      <c r="N1282">
        <f>IF(L1282="","",IF(ISNUMBER(INDEX(A1282:H1282,$P$1)),INDEX(A1282:H1282,$P$1),IFERROR(_xlfn.NUMBERVALUE(INDEX(A1282:H1282,$P$1),".",","),0)))</f>
        <v/>
      </c>
    </row>
    <row r="1283">
      <c r="L1283">
        <f>IF(A1283="","",IF(ISNUMBER(--LEFT(A1283,FIND(" - ",A1283&amp;" - ")-1)),LEFT(A1283,FIND(" - ",A1283&amp;" - ")-1),TRIM(A1283)))</f>
        <v/>
      </c>
      <c r="N1283">
        <f>IF(L1283="","",IF(ISNUMBER(INDEX(A1283:H1283,$P$1)),INDEX(A1283:H1283,$P$1),IFERROR(_xlfn.NUMBERVALUE(INDEX(A1283:H1283,$P$1),".",","),0)))</f>
        <v/>
      </c>
    </row>
    <row r="1284">
      <c r="L1284">
        <f>IF(A1284="","",IF(ISNUMBER(--LEFT(A1284,FIND(" - ",A1284&amp;" - ")-1)),LEFT(A1284,FIND(" - ",A1284&amp;" - ")-1),TRIM(A1284)))</f>
        <v/>
      </c>
      <c r="N1284">
        <f>IF(L1284="","",IF(ISNUMBER(INDEX(A1284:H1284,$P$1)),INDEX(A1284:H1284,$P$1),IFERROR(_xlfn.NUMBERVALUE(INDEX(A1284:H1284,$P$1),".",","),0)))</f>
        <v/>
      </c>
    </row>
    <row r="1285">
      <c r="L1285">
        <f>IF(A1285="","",IF(ISNUMBER(--LEFT(A1285,FIND(" - ",A1285&amp;" - ")-1)),LEFT(A1285,FIND(" - ",A1285&amp;" - ")-1),TRIM(A1285)))</f>
        <v/>
      </c>
      <c r="N1285">
        <f>IF(L1285="","",IF(ISNUMBER(INDEX(A1285:H1285,$P$1)),INDEX(A1285:H1285,$P$1),IFERROR(_xlfn.NUMBERVALUE(INDEX(A1285:H1285,$P$1),".",","),0)))</f>
        <v/>
      </c>
    </row>
    <row r="1286">
      <c r="L1286">
        <f>IF(A1286="","",IF(ISNUMBER(--LEFT(A1286,FIND(" - ",A1286&amp;" - ")-1)),LEFT(A1286,FIND(" - ",A1286&amp;" - ")-1),TRIM(A1286)))</f>
        <v/>
      </c>
      <c r="N1286">
        <f>IF(L1286="","",IF(ISNUMBER(INDEX(A1286:H1286,$P$1)),INDEX(A1286:H1286,$P$1),IFERROR(_xlfn.NUMBERVALUE(INDEX(A1286:H1286,$P$1),".",","),0)))</f>
        <v/>
      </c>
    </row>
    <row r="1287">
      <c r="L1287">
        <f>IF(A1287="","",IF(ISNUMBER(--LEFT(A1287,FIND(" - ",A1287&amp;" - ")-1)),LEFT(A1287,FIND(" - ",A1287&amp;" - ")-1),TRIM(A1287)))</f>
        <v/>
      </c>
      <c r="N1287">
        <f>IF(L1287="","",IF(ISNUMBER(INDEX(A1287:H1287,$P$1)),INDEX(A1287:H1287,$P$1),IFERROR(_xlfn.NUMBERVALUE(INDEX(A1287:H1287,$P$1),".",","),0)))</f>
        <v/>
      </c>
    </row>
    <row r="1288">
      <c r="L1288">
        <f>IF(A1288="","",IF(ISNUMBER(--LEFT(A1288,FIND(" - ",A1288&amp;" - ")-1)),LEFT(A1288,FIND(" - ",A1288&amp;" - ")-1),TRIM(A1288)))</f>
        <v/>
      </c>
      <c r="N1288">
        <f>IF(L1288="","",IF(ISNUMBER(INDEX(A1288:H1288,$P$1)),INDEX(A1288:H1288,$P$1),IFERROR(_xlfn.NUMBERVALUE(INDEX(A1288:H1288,$P$1),".",","),0)))</f>
        <v/>
      </c>
    </row>
    <row r="1289">
      <c r="L1289">
        <f>IF(A1289="","",IF(ISNUMBER(--LEFT(A1289,FIND(" - ",A1289&amp;" - ")-1)),LEFT(A1289,FIND(" - ",A1289&amp;" - ")-1),TRIM(A1289)))</f>
        <v/>
      </c>
      <c r="N1289">
        <f>IF(L1289="","",IF(ISNUMBER(INDEX(A1289:H1289,$P$1)),INDEX(A1289:H1289,$P$1),IFERROR(_xlfn.NUMBERVALUE(INDEX(A1289:H1289,$P$1),".",","),0)))</f>
        <v/>
      </c>
    </row>
    <row r="1290">
      <c r="L1290">
        <f>IF(A1290="","",IF(ISNUMBER(--LEFT(A1290,FIND(" - ",A1290&amp;" - ")-1)),LEFT(A1290,FIND(" - ",A1290&amp;" - ")-1),TRIM(A1290)))</f>
        <v/>
      </c>
      <c r="N1290">
        <f>IF(L1290="","",IF(ISNUMBER(INDEX(A1290:H1290,$P$1)),INDEX(A1290:H1290,$P$1),IFERROR(_xlfn.NUMBERVALUE(INDEX(A1290:H1290,$P$1),".",","),0)))</f>
        <v/>
      </c>
    </row>
    <row r="1291">
      <c r="L1291">
        <f>IF(A1291="","",IF(ISNUMBER(--LEFT(A1291,FIND(" - ",A1291&amp;" - ")-1)),LEFT(A1291,FIND(" - ",A1291&amp;" - ")-1),TRIM(A1291)))</f>
        <v/>
      </c>
      <c r="N1291">
        <f>IF(L1291="","",IF(ISNUMBER(INDEX(A1291:H1291,$P$1)),INDEX(A1291:H1291,$P$1),IFERROR(_xlfn.NUMBERVALUE(INDEX(A1291:H1291,$P$1),".",","),0)))</f>
        <v/>
      </c>
    </row>
    <row r="1292">
      <c r="L1292">
        <f>IF(A1292="","",IF(ISNUMBER(--LEFT(A1292,FIND(" - ",A1292&amp;" - ")-1)),LEFT(A1292,FIND(" - ",A1292&amp;" - ")-1),TRIM(A1292)))</f>
        <v/>
      </c>
      <c r="N1292">
        <f>IF(L1292="","",IF(ISNUMBER(INDEX(A1292:H1292,$P$1)),INDEX(A1292:H1292,$P$1),IFERROR(_xlfn.NUMBERVALUE(INDEX(A1292:H1292,$P$1),".",","),0)))</f>
        <v/>
      </c>
    </row>
    <row r="1293">
      <c r="L1293">
        <f>IF(A1293="","",IF(ISNUMBER(--LEFT(A1293,FIND(" - ",A1293&amp;" - ")-1)),LEFT(A1293,FIND(" - ",A1293&amp;" - ")-1),TRIM(A1293)))</f>
        <v/>
      </c>
      <c r="N1293">
        <f>IF(L1293="","",IF(ISNUMBER(INDEX(A1293:H1293,$P$1)),INDEX(A1293:H1293,$P$1),IFERROR(_xlfn.NUMBERVALUE(INDEX(A1293:H1293,$P$1),".",","),0)))</f>
        <v/>
      </c>
    </row>
    <row r="1294">
      <c r="L1294">
        <f>IF(A1294="","",IF(ISNUMBER(--LEFT(A1294,FIND(" - ",A1294&amp;" - ")-1)),LEFT(A1294,FIND(" - ",A1294&amp;" - ")-1),TRIM(A1294)))</f>
        <v/>
      </c>
      <c r="N1294">
        <f>IF(L1294="","",IF(ISNUMBER(INDEX(A1294:H1294,$P$1)),INDEX(A1294:H1294,$P$1),IFERROR(_xlfn.NUMBERVALUE(INDEX(A1294:H1294,$P$1),".",","),0)))</f>
        <v/>
      </c>
    </row>
    <row r="1295">
      <c r="L1295">
        <f>IF(A1295="","",IF(ISNUMBER(--LEFT(A1295,FIND(" - ",A1295&amp;" - ")-1)),LEFT(A1295,FIND(" - ",A1295&amp;" - ")-1),TRIM(A1295)))</f>
        <v/>
      </c>
      <c r="N1295">
        <f>IF(L1295="","",IF(ISNUMBER(INDEX(A1295:H1295,$P$1)),INDEX(A1295:H1295,$P$1),IFERROR(_xlfn.NUMBERVALUE(INDEX(A1295:H1295,$P$1),".",","),0)))</f>
        <v/>
      </c>
    </row>
    <row r="1296">
      <c r="L1296">
        <f>IF(A1296="","",IF(ISNUMBER(--LEFT(A1296,FIND(" - ",A1296&amp;" - ")-1)),LEFT(A1296,FIND(" - ",A1296&amp;" - ")-1),TRIM(A1296)))</f>
        <v/>
      </c>
      <c r="N1296">
        <f>IF(L1296="","",IF(ISNUMBER(INDEX(A1296:H1296,$P$1)),INDEX(A1296:H1296,$P$1),IFERROR(_xlfn.NUMBERVALUE(INDEX(A1296:H1296,$P$1),".",","),0)))</f>
        <v/>
      </c>
    </row>
    <row r="1297">
      <c r="L1297">
        <f>IF(A1297="","",IF(ISNUMBER(--LEFT(A1297,FIND(" - ",A1297&amp;" - ")-1)),LEFT(A1297,FIND(" - ",A1297&amp;" - ")-1),TRIM(A1297)))</f>
        <v/>
      </c>
      <c r="N1297">
        <f>IF(L1297="","",IF(ISNUMBER(INDEX(A1297:H1297,$P$1)),INDEX(A1297:H1297,$P$1),IFERROR(_xlfn.NUMBERVALUE(INDEX(A1297:H1297,$P$1),".",","),0)))</f>
        <v/>
      </c>
    </row>
    <row r="1298">
      <c r="L1298">
        <f>IF(A1298="","",IF(ISNUMBER(--LEFT(A1298,FIND(" - ",A1298&amp;" - ")-1)),LEFT(A1298,FIND(" - ",A1298&amp;" - ")-1),TRIM(A1298)))</f>
        <v/>
      </c>
      <c r="N1298">
        <f>IF(L1298="","",IF(ISNUMBER(INDEX(A1298:H1298,$P$1)),INDEX(A1298:H1298,$P$1),IFERROR(_xlfn.NUMBERVALUE(INDEX(A1298:H1298,$P$1),".",","),0)))</f>
        <v/>
      </c>
    </row>
    <row r="1299">
      <c r="L1299">
        <f>IF(A1299="","",IF(ISNUMBER(--LEFT(A1299,FIND(" - ",A1299&amp;" - ")-1)),LEFT(A1299,FIND(" - ",A1299&amp;" - ")-1),TRIM(A1299)))</f>
        <v/>
      </c>
      <c r="N1299">
        <f>IF(L1299="","",IF(ISNUMBER(INDEX(A1299:H1299,$P$1)),INDEX(A1299:H1299,$P$1),IFERROR(_xlfn.NUMBERVALUE(INDEX(A1299:H1299,$P$1),".",","),0)))</f>
        <v/>
      </c>
    </row>
    <row r="1300">
      <c r="L1300">
        <f>IF(A1300="","",IF(ISNUMBER(--LEFT(A1300,FIND(" - ",A1300&amp;" - ")-1)),LEFT(A1300,FIND(" - ",A1300&amp;" - ")-1),TRIM(A1300)))</f>
        <v/>
      </c>
      <c r="N1300">
        <f>IF(L1300="","",IF(ISNUMBER(INDEX(A1300:H1300,$P$1)),INDEX(A1300:H1300,$P$1),IFERROR(_xlfn.NUMBERVALUE(INDEX(A1300:H1300,$P$1),".",","),0)))</f>
        <v/>
      </c>
    </row>
    <row r="1301">
      <c r="L1301">
        <f>IF(A1301="","",IF(ISNUMBER(--LEFT(A1301,FIND(" - ",A1301&amp;" - ")-1)),LEFT(A1301,FIND(" - ",A1301&amp;" - ")-1),TRIM(A1301)))</f>
        <v/>
      </c>
      <c r="N1301">
        <f>IF(L1301="","",IF(ISNUMBER(INDEX(A1301:H1301,$P$1)),INDEX(A1301:H1301,$P$1),IFERROR(_xlfn.NUMBERVALUE(INDEX(A1301:H1301,$P$1),".",","),0)))</f>
        <v/>
      </c>
    </row>
    <row r="1302">
      <c r="L1302">
        <f>IF(A1302="","",IF(ISNUMBER(--LEFT(A1302,FIND(" - ",A1302&amp;" - ")-1)),LEFT(A1302,FIND(" - ",A1302&amp;" - ")-1),TRIM(A1302)))</f>
        <v/>
      </c>
      <c r="N1302">
        <f>IF(L1302="","",IF(ISNUMBER(INDEX(A1302:H1302,$P$1)),INDEX(A1302:H1302,$P$1),IFERROR(_xlfn.NUMBERVALUE(INDEX(A1302:H1302,$P$1),".",","),0)))</f>
        <v/>
      </c>
    </row>
    <row r="1303">
      <c r="L1303">
        <f>IF(A1303="","",IF(ISNUMBER(--LEFT(A1303,FIND(" - ",A1303&amp;" - ")-1)),LEFT(A1303,FIND(" - ",A1303&amp;" - ")-1),TRIM(A1303)))</f>
        <v/>
      </c>
      <c r="N1303">
        <f>IF(L1303="","",IF(ISNUMBER(INDEX(A1303:H1303,$P$1)),INDEX(A1303:H1303,$P$1),IFERROR(_xlfn.NUMBERVALUE(INDEX(A1303:H1303,$P$1),".",","),0)))</f>
        <v/>
      </c>
    </row>
    <row r="1304">
      <c r="L1304">
        <f>IF(A1304="","",IF(ISNUMBER(--LEFT(A1304,FIND(" - ",A1304&amp;" - ")-1)),LEFT(A1304,FIND(" - ",A1304&amp;" - ")-1),TRIM(A1304)))</f>
        <v/>
      </c>
      <c r="N1304">
        <f>IF(L1304="","",IF(ISNUMBER(INDEX(A1304:H1304,$P$1)),INDEX(A1304:H1304,$P$1),IFERROR(_xlfn.NUMBERVALUE(INDEX(A1304:H1304,$P$1),".",","),0)))</f>
        <v/>
      </c>
    </row>
    <row r="1305">
      <c r="L1305">
        <f>IF(A1305="","",IF(ISNUMBER(--LEFT(A1305,FIND(" - ",A1305&amp;" - ")-1)),LEFT(A1305,FIND(" - ",A1305&amp;" - ")-1),TRIM(A1305)))</f>
        <v/>
      </c>
      <c r="N1305">
        <f>IF(L1305="","",IF(ISNUMBER(INDEX(A1305:H1305,$P$1)),INDEX(A1305:H1305,$P$1),IFERROR(_xlfn.NUMBERVALUE(INDEX(A1305:H1305,$P$1),".",","),0)))</f>
        <v/>
      </c>
    </row>
    <row r="1306">
      <c r="L1306">
        <f>IF(A1306="","",IF(ISNUMBER(--LEFT(A1306,FIND(" - ",A1306&amp;" - ")-1)),LEFT(A1306,FIND(" - ",A1306&amp;" - ")-1),TRIM(A1306)))</f>
        <v/>
      </c>
      <c r="N1306">
        <f>IF(L1306="","",IF(ISNUMBER(INDEX(A1306:H1306,$P$1)),INDEX(A1306:H1306,$P$1),IFERROR(_xlfn.NUMBERVALUE(INDEX(A1306:H1306,$P$1),".",","),0)))</f>
        <v/>
      </c>
    </row>
    <row r="1307">
      <c r="L1307">
        <f>IF(A1307="","",IF(ISNUMBER(--LEFT(A1307,FIND(" - ",A1307&amp;" - ")-1)),LEFT(A1307,FIND(" - ",A1307&amp;" - ")-1),TRIM(A1307)))</f>
        <v/>
      </c>
      <c r="N1307">
        <f>IF(L1307="","",IF(ISNUMBER(INDEX(A1307:H1307,$P$1)),INDEX(A1307:H1307,$P$1),IFERROR(_xlfn.NUMBERVALUE(INDEX(A1307:H1307,$P$1),".",","),0)))</f>
        <v/>
      </c>
    </row>
    <row r="1308">
      <c r="L1308">
        <f>IF(A1308="","",IF(ISNUMBER(--LEFT(A1308,FIND(" - ",A1308&amp;" - ")-1)),LEFT(A1308,FIND(" - ",A1308&amp;" - ")-1),TRIM(A1308)))</f>
        <v/>
      </c>
      <c r="N1308">
        <f>IF(L1308="","",IF(ISNUMBER(INDEX(A1308:H1308,$P$1)),INDEX(A1308:H1308,$P$1),IFERROR(_xlfn.NUMBERVALUE(INDEX(A1308:H1308,$P$1),".",","),0)))</f>
        <v/>
      </c>
    </row>
    <row r="1309">
      <c r="L1309">
        <f>IF(A1309="","",IF(ISNUMBER(--LEFT(A1309,FIND(" - ",A1309&amp;" - ")-1)),LEFT(A1309,FIND(" - ",A1309&amp;" - ")-1),TRIM(A1309)))</f>
        <v/>
      </c>
      <c r="N1309">
        <f>IF(L1309="","",IF(ISNUMBER(INDEX(A1309:H1309,$P$1)),INDEX(A1309:H1309,$P$1),IFERROR(_xlfn.NUMBERVALUE(INDEX(A1309:H1309,$P$1),".",","),0)))</f>
        <v/>
      </c>
    </row>
    <row r="1310">
      <c r="L1310">
        <f>IF(A1310="","",IF(ISNUMBER(--LEFT(A1310,FIND(" - ",A1310&amp;" - ")-1)),LEFT(A1310,FIND(" - ",A1310&amp;" - ")-1),TRIM(A1310)))</f>
        <v/>
      </c>
      <c r="N1310">
        <f>IF(L1310="","",IF(ISNUMBER(INDEX(A1310:H1310,$P$1)),INDEX(A1310:H1310,$P$1),IFERROR(_xlfn.NUMBERVALUE(INDEX(A1310:H1310,$P$1),".",","),0)))</f>
        <v/>
      </c>
    </row>
    <row r="1311">
      <c r="L1311">
        <f>IF(A1311="","",IF(ISNUMBER(--LEFT(A1311,FIND(" - ",A1311&amp;" - ")-1)),LEFT(A1311,FIND(" - ",A1311&amp;" - ")-1),TRIM(A1311)))</f>
        <v/>
      </c>
      <c r="N1311">
        <f>IF(L1311="","",IF(ISNUMBER(INDEX(A1311:H1311,$P$1)),INDEX(A1311:H1311,$P$1),IFERROR(_xlfn.NUMBERVALUE(INDEX(A1311:H1311,$P$1),".",","),0)))</f>
        <v/>
      </c>
    </row>
    <row r="1312">
      <c r="L1312">
        <f>IF(A1312="","",IF(ISNUMBER(--LEFT(A1312,FIND(" - ",A1312&amp;" - ")-1)),LEFT(A1312,FIND(" - ",A1312&amp;" - ")-1),TRIM(A1312)))</f>
        <v/>
      </c>
      <c r="N1312">
        <f>IF(L1312="","",IF(ISNUMBER(INDEX(A1312:H1312,$P$1)),INDEX(A1312:H1312,$P$1),IFERROR(_xlfn.NUMBERVALUE(INDEX(A1312:H1312,$P$1),".",","),0)))</f>
        <v/>
      </c>
    </row>
    <row r="1313">
      <c r="L1313">
        <f>IF(A1313="","",IF(ISNUMBER(--LEFT(A1313,FIND(" - ",A1313&amp;" - ")-1)),LEFT(A1313,FIND(" - ",A1313&amp;" - ")-1),TRIM(A1313)))</f>
        <v/>
      </c>
      <c r="N1313">
        <f>IF(L1313="","",IF(ISNUMBER(INDEX(A1313:H1313,$P$1)),INDEX(A1313:H1313,$P$1),IFERROR(_xlfn.NUMBERVALUE(INDEX(A1313:H1313,$P$1),".",","),0)))</f>
        <v/>
      </c>
    </row>
    <row r="1314">
      <c r="L1314">
        <f>IF(A1314="","",IF(ISNUMBER(--LEFT(A1314,FIND(" - ",A1314&amp;" - ")-1)),LEFT(A1314,FIND(" - ",A1314&amp;" - ")-1),TRIM(A1314)))</f>
        <v/>
      </c>
      <c r="N1314">
        <f>IF(L1314="","",IF(ISNUMBER(INDEX(A1314:H1314,$P$1)),INDEX(A1314:H1314,$P$1),IFERROR(_xlfn.NUMBERVALUE(INDEX(A1314:H1314,$P$1),".",","),0)))</f>
        <v/>
      </c>
    </row>
    <row r="1315">
      <c r="L1315">
        <f>IF(A1315="","",IF(ISNUMBER(--LEFT(A1315,FIND(" - ",A1315&amp;" - ")-1)),LEFT(A1315,FIND(" - ",A1315&amp;" - ")-1),TRIM(A1315)))</f>
        <v/>
      </c>
      <c r="N1315">
        <f>IF(L1315="","",IF(ISNUMBER(INDEX(A1315:H1315,$P$1)),INDEX(A1315:H1315,$P$1),IFERROR(_xlfn.NUMBERVALUE(INDEX(A1315:H1315,$P$1),".",","),0)))</f>
        <v/>
      </c>
    </row>
    <row r="1316">
      <c r="L1316">
        <f>IF(A1316="","",IF(ISNUMBER(--LEFT(A1316,FIND(" - ",A1316&amp;" - ")-1)),LEFT(A1316,FIND(" - ",A1316&amp;" - ")-1),TRIM(A1316)))</f>
        <v/>
      </c>
      <c r="N1316">
        <f>IF(L1316="","",IF(ISNUMBER(INDEX(A1316:H1316,$P$1)),INDEX(A1316:H1316,$P$1),IFERROR(_xlfn.NUMBERVALUE(INDEX(A1316:H1316,$P$1),".",","),0)))</f>
        <v/>
      </c>
    </row>
    <row r="1317">
      <c r="L1317">
        <f>IF(A1317="","",IF(ISNUMBER(--LEFT(A1317,FIND(" - ",A1317&amp;" - ")-1)),LEFT(A1317,FIND(" - ",A1317&amp;" - ")-1),TRIM(A1317)))</f>
        <v/>
      </c>
      <c r="N1317">
        <f>IF(L1317="","",IF(ISNUMBER(INDEX(A1317:H1317,$P$1)),INDEX(A1317:H1317,$P$1),IFERROR(_xlfn.NUMBERVALUE(INDEX(A1317:H1317,$P$1),".",","),0)))</f>
        <v/>
      </c>
    </row>
    <row r="1318">
      <c r="L1318">
        <f>IF(A1318="","",IF(ISNUMBER(--LEFT(A1318,FIND(" - ",A1318&amp;" - ")-1)),LEFT(A1318,FIND(" - ",A1318&amp;" - ")-1),TRIM(A1318)))</f>
        <v/>
      </c>
      <c r="N1318">
        <f>IF(L1318="","",IF(ISNUMBER(INDEX(A1318:H1318,$P$1)),INDEX(A1318:H1318,$P$1),IFERROR(_xlfn.NUMBERVALUE(INDEX(A1318:H1318,$P$1),".",","),0)))</f>
        <v/>
      </c>
    </row>
    <row r="1319">
      <c r="L1319">
        <f>IF(A1319="","",IF(ISNUMBER(--LEFT(A1319,FIND(" - ",A1319&amp;" - ")-1)),LEFT(A1319,FIND(" - ",A1319&amp;" - ")-1),TRIM(A1319)))</f>
        <v/>
      </c>
      <c r="N1319">
        <f>IF(L1319="","",IF(ISNUMBER(INDEX(A1319:H1319,$P$1)),INDEX(A1319:H1319,$P$1),IFERROR(_xlfn.NUMBERVALUE(INDEX(A1319:H1319,$P$1),".",","),0)))</f>
        <v/>
      </c>
    </row>
    <row r="1320">
      <c r="L1320">
        <f>IF(A1320="","",IF(ISNUMBER(--LEFT(A1320,FIND(" - ",A1320&amp;" - ")-1)),LEFT(A1320,FIND(" - ",A1320&amp;" - ")-1),TRIM(A1320)))</f>
        <v/>
      </c>
      <c r="N1320">
        <f>IF(L1320="","",IF(ISNUMBER(INDEX(A1320:H1320,$P$1)),INDEX(A1320:H1320,$P$1),IFERROR(_xlfn.NUMBERVALUE(INDEX(A1320:H1320,$P$1),".",","),0)))</f>
        <v/>
      </c>
    </row>
    <row r="1321">
      <c r="L1321">
        <f>IF(A1321="","",IF(ISNUMBER(--LEFT(A1321,FIND(" - ",A1321&amp;" - ")-1)),LEFT(A1321,FIND(" - ",A1321&amp;" - ")-1),TRIM(A1321)))</f>
        <v/>
      </c>
      <c r="N1321">
        <f>IF(L1321="","",IF(ISNUMBER(INDEX(A1321:H1321,$P$1)),INDEX(A1321:H1321,$P$1),IFERROR(_xlfn.NUMBERVALUE(INDEX(A1321:H1321,$P$1),".",","),0)))</f>
        <v/>
      </c>
    </row>
    <row r="1322">
      <c r="L1322">
        <f>IF(A1322="","",IF(ISNUMBER(--LEFT(A1322,FIND(" - ",A1322&amp;" - ")-1)),LEFT(A1322,FIND(" - ",A1322&amp;" - ")-1),TRIM(A1322)))</f>
        <v/>
      </c>
      <c r="N1322">
        <f>IF(L1322="","",IF(ISNUMBER(INDEX(A1322:H1322,$P$1)),INDEX(A1322:H1322,$P$1),IFERROR(_xlfn.NUMBERVALUE(INDEX(A1322:H1322,$P$1),".",","),0)))</f>
        <v/>
      </c>
    </row>
    <row r="1323">
      <c r="L1323">
        <f>IF(A1323="","",IF(ISNUMBER(--LEFT(A1323,FIND(" - ",A1323&amp;" - ")-1)),LEFT(A1323,FIND(" - ",A1323&amp;" - ")-1),TRIM(A1323)))</f>
        <v/>
      </c>
      <c r="N1323">
        <f>IF(L1323="","",IF(ISNUMBER(INDEX(A1323:H1323,$P$1)),INDEX(A1323:H1323,$P$1),IFERROR(_xlfn.NUMBERVALUE(INDEX(A1323:H1323,$P$1),".",","),0)))</f>
        <v/>
      </c>
    </row>
    <row r="1324">
      <c r="L1324">
        <f>IF(A1324="","",IF(ISNUMBER(--LEFT(A1324,FIND(" - ",A1324&amp;" - ")-1)),LEFT(A1324,FIND(" - ",A1324&amp;" - ")-1),TRIM(A1324)))</f>
        <v/>
      </c>
      <c r="N1324">
        <f>IF(L1324="","",IF(ISNUMBER(INDEX(A1324:H1324,$P$1)),INDEX(A1324:H1324,$P$1),IFERROR(_xlfn.NUMBERVALUE(INDEX(A1324:H1324,$P$1),".",","),0)))</f>
        <v/>
      </c>
    </row>
    <row r="1325">
      <c r="L1325">
        <f>IF(A1325="","",IF(ISNUMBER(--LEFT(A1325,FIND(" - ",A1325&amp;" - ")-1)),LEFT(A1325,FIND(" - ",A1325&amp;" - ")-1),TRIM(A1325)))</f>
        <v/>
      </c>
      <c r="N1325">
        <f>IF(L1325="","",IF(ISNUMBER(INDEX(A1325:H1325,$P$1)),INDEX(A1325:H1325,$P$1),IFERROR(_xlfn.NUMBERVALUE(INDEX(A1325:H1325,$P$1),".",","),0)))</f>
        <v/>
      </c>
    </row>
    <row r="1326">
      <c r="L1326">
        <f>IF(A1326="","",IF(ISNUMBER(--LEFT(A1326,FIND(" - ",A1326&amp;" - ")-1)),LEFT(A1326,FIND(" - ",A1326&amp;" - ")-1),TRIM(A1326)))</f>
        <v/>
      </c>
      <c r="N1326">
        <f>IF(L1326="","",IF(ISNUMBER(INDEX(A1326:H1326,$P$1)),INDEX(A1326:H1326,$P$1),IFERROR(_xlfn.NUMBERVALUE(INDEX(A1326:H1326,$P$1),".",","),0)))</f>
        <v/>
      </c>
    </row>
    <row r="1327">
      <c r="L1327">
        <f>IF(A1327="","",IF(ISNUMBER(--LEFT(A1327,FIND(" - ",A1327&amp;" - ")-1)),LEFT(A1327,FIND(" - ",A1327&amp;" - ")-1),TRIM(A1327)))</f>
        <v/>
      </c>
      <c r="N1327">
        <f>IF(L1327="","",IF(ISNUMBER(INDEX(A1327:H1327,$P$1)),INDEX(A1327:H1327,$P$1),IFERROR(_xlfn.NUMBERVALUE(INDEX(A1327:H1327,$P$1),".",","),0)))</f>
        <v/>
      </c>
    </row>
    <row r="1328">
      <c r="L1328">
        <f>IF(A1328="","",IF(ISNUMBER(--LEFT(A1328,FIND(" - ",A1328&amp;" - ")-1)),LEFT(A1328,FIND(" - ",A1328&amp;" - ")-1),TRIM(A1328)))</f>
        <v/>
      </c>
      <c r="N1328">
        <f>IF(L1328="","",IF(ISNUMBER(INDEX(A1328:H1328,$P$1)),INDEX(A1328:H1328,$P$1),IFERROR(_xlfn.NUMBERVALUE(INDEX(A1328:H1328,$P$1),".",","),0)))</f>
        <v/>
      </c>
    </row>
    <row r="1329">
      <c r="L1329">
        <f>IF(A1329="","",IF(ISNUMBER(--LEFT(A1329,FIND(" - ",A1329&amp;" - ")-1)),LEFT(A1329,FIND(" - ",A1329&amp;" - ")-1),TRIM(A1329)))</f>
        <v/>
      </c>
      <c r="N1329">
        <f>IF(L1329="","",IF(ISNUMBER(INDEX(A1329:H1329,$P$1)),INDEX(A1329:H1329,$P$1),IFERROR(_xlfn.NUMBERVALUE(INDEX(A1329:H1329,$P$1),".",","),0)))</f>
        <v/>
      </c>
    </row>
    <row r="1330">
      <c r="L1330">
        <f>IF(A1330="","",IF(ISNUMBER(--LEFT(A1330,FIND(" - ",A1330&amp;" - ")-1)),LEFT(A1330,FIND(" - ",A1330&amp;" - ")-1),TRIM(A1330)))</f>
        <v/>
      </c>
      <c r="N1330">
        <f>IF(L1330="","",IF(ISNUMBER(INDEX(A1330:H1330,$P$1)),INDEX(A1330:H1330,$P$1),IFERROR(_xlfn.NUMBERVALUE(INDEX(A1330:H1330,$P$1),".",","),0)))</f>
        <v/>
      </c>
    </row>
    <row r="1331">
      <c r="L1331">
        <f>IF(A1331="","",IF(ISNUMBER(--LEFT(A1331,FIND(" - ",A1331&amp;" - ")-1)),LEFT(A1331,FIND(" - ",A1331&amp;" - ")-1),TRIM(A1331)))</f>
        <v/>
      </c>
      <c r="N1331">
        <f>IF(L1331="","",IF(ISNUMBER(INDEX(A1331:H1331,$P$1)),INDEX(A1331:H1331,$P$1),IFERROR(_xlfn.NUMBERVALUE(INDEX(A1331:H1331,$P$1),".",","),0)))</f>
        <v/>
      </c>
    </row>
    <row r="1332">
      <c r="L1332">
        <f>IF(A1332="","",IF(ISNUMBER(--LEFT(A1332,FIND(" - ",A1332&amp;" - ")-1)),LEFT(A1332,FIND(" - ",A1332&amp;" - ")-1),TRIM(A1332)))</f>
        <v/>
      </c>
      <c r="N1332">
        <f>IF(L1332="","",IF(ISNUMBER(INDEX(A1332:H1332,$P$1)),INDEX(A1332:H1332,$P$1),IFERROR(_xlfn.NUMBERVALUE(INDEX(A1332:H1332,$P$1),".",","),0)))</f>
        <v/>
      </c>
    </row>
    <row r="1333">
      <c r="L1333">
        <f>IF(A1333="","",IF(ISNUMBER(--LEFT(A1333,FIND(" - ",A1333&amp;" - ")-1)),LEFT(A1333,FIND(" - ",A1333&amp;" - ")-1),TRIM(A1333)))</f>
        <v/>
      </c>
      <c r="N1333">
        <f>IF(L1333="","",IF(ISNUMBER(INDEX(A1333:H1333,$P$1)),INDEX(A1333:H1333,$P$1),IFERROR(_xlfn.NUMBERVALUE(INDEX(A1333:H1333,$P$1),".",","),0)))</f>
        <v/>
      </c>
    </row>
    <row r="1334">
      <c r="L1334">
        <f>IF(A1334="","",IF(ISNUMBER(--LEFT(A1334,FIND(" - ",A1334&amp;" - ")-1)),LEFT(A1334,FIND(" - ",A1334&amp;" - ")-1),TRIM(A1334)))</f>
        <v/>
      </c>
      <c r="N1334">
        <f>IF(L1334="","",IF(ISNUMBER(INDEX(A1334:H1334,$P$1)),INDEX(A1334:H1334,$P$1),IFERROR(_xlfn.NUMBERVALUE(INDEX(A1334:H1334,$P$1),".",","),0)))</f>
        <v/>
      </c>
    </row>
    <row r="1335">
      <c r="L1335">
        <f>IF(A1335="","",IF(ISNUMBER(--LEFT(A1335,FIND(" - ",A1335&amp;" - ")-1)),LEFT(A1335,FIND(" - ",A1335&amp;" - ")-1),TRIM(A1335)))</f>
        <v/>
      </c>
      <c r="N1335">
        <f>IF(L1335="","",IF(ISNUMBER(INDEX(A1335:H1335,$P$1)),INDEX(A1335:H1335,$P$1),IFERROR(_xlfn.NUMBERVALUE(INDEX(A1335:H1335,$P$1),".",","),0)))</f>
        <v/>
      </c>
    </row>
    <row r="1336">
      <c r="L1336">
        <f>IF(A1336="","",IF(ISNUMBER(--LEFT(A1336,FIND(" - ",A1336&amp;" - ")-1)),LEFT(A1336,FIND(" - ",A1336&amp;" - ")-1),TRIM(A1336)))</f>
        <v/>
      </c>
      <c r="N1336">
        <f>IF(L1336="","",IF(ISNUMBER(INDEX(A1336:H1336,$P$1)),INDEX(A1336:H1336,$P$1),IFERROR(_xlfn.NUMBERVALUE(INDEX(A1336:H1336,$P$1),".",","),0)))</f>
        <v/>
      </c>
    </row>
    <row r="1337">
      <c r="L1337">
        <f>IF(A1337="","",IF(ISNUMBER(--LEFT(A1337,FIND(" - ",A1337&amp;" - ")-1)),LEFT(A1337,FIND(" - ",A1337&amp;" - ")-1),TRIM(A1337)))</f>
        <v/>
      </c>
      <c r="N1337">
        <f>IF(L1337="","",IF(ISNUMBER(INDEX(A1337:H1337,$P$1)),INDEX(A1337:H1337,$P$1),IFERROR(_xlfn.NUMBERVALUE(INDEX(A1337:H1337,$P$1),".",","),0)))</f>
        <v/>
      </c>
    </row>
    <row r="1338">
      <c r="L1338">
        <f>IF(A1338="","",IF(ISNUMBER(--LEFT(A1338,FIND(" - ",A1338&amp;" - ")-1)),LEFT(A1338,FIND(" - ",A1338&amp;" - ")-1),TRIM(A1338)))</f>
        <v/>
      </c>
      <c r="N1338">
        <f>IF(L1338="","",IF(ISNUMBER(INDEX(A1338:H1338,$P$1)),INDEX(A1338:H1338,$P$1),IFERROR(_xlfn.NUMBERVALUE(INDEX(A1338:H1338,$P$1),".",","),0)))</f>
        <v/>
      </c>
    </row>
    <row r="1339">
      <c r="L1339">
        <f>IF(A1339="","",IF(ISNUMBER(--LEFT(A1339,FIND(" - ",A1339&amp;" - ")-1)),LEFT(A1339,FIND(" - ",A1339&amp;" - ")-1),TRIM(A1339)))</f>
        <v/>
      </c>
      <c r="N1339">
        <f>IF(L1339="","",IF(ISNUMBER(INDEX(A1339:H1339,$P$1)),INDEX(A1339:H1339,$P$1),IFERROR(_xlfn.NUMBERVALUE(INDEX(A1339:H1339,$P$1),".",","),0)))</f>
        <v/>
      </c>
    </row>
    <row r="1340">
      <c r="L1340">
        <f>IF(A1340="","",IF(ISNUMBER(--LEFT(A1340,FIND(" - ",A1340&amp;" - ")-1)),LEFT(A1340,FIND(" - ",A1340&amp;" - ")-1),TRIM(A1340)))</f>
        <v/>
      </c>
      <c r="N1340">
        <f>IF(L1340="","",IF(ISNUMBER(INDEX(A1340:H1340,$P$1)),INDEX(A1340:H1340,$P$1),IFERROR(_xlfn.NUMBERVALUE(INDEX(A1340:H1340,$P$1),".",","),0)))</f>
        <v/>
      </c>
    </row>
    <row r="1341">
      <c r="L1341">
        <f>IF(A1341="","",IF(ISNUMBER(--LEFT(A1341,FIND(" - ",A1341&amp;" - ")-1)),LEFT(A1341,FIND(" - ",A1341&amp;" - ")-1),TRIM(A1341)))</f>
        <v/>
      </c>
      <c r="N1341">
        <f>IF(L1341="","",IF(ISNUMBER(INDEX(A1341:H1341,$P$1)),INDEX(A1341:H1341,$P$1),IFERROR(_xlfn.NUMBERVALUE(INDEX(A1341:H1341,$P$1),".",","),0)))</f>
        <v/>
      </c>
    </row>
    <row r="1342">
      <c r="L1342">
        <f>IF(A1342="","",IF(ISNUMBER(--LEFT(A1342,FIND(" - ",A1342&amp;" - ")-1)),LEFT(A1342,FIND(" - ",A1342&amp;" - ")-1),TRIM(A1342)))</f>
        <v/>
      </c>
      <c r="N1342">
        <f>IF(L1342="","",IF(ISNUMBER(INDEX(A1342:H1342,$P$1)),INDEX(A1342:H1342,$P$1),IFERROR(_xlfn.NUMBERVALUE(INDEX(A1342:H1342,$P$1),".",","),0)))</f>
        <v/>
      </c>
    </row>
    <row r="1343">
      <c r="L1343">
        <f>IF(A1343="","",IF(ISNUMBER(--LEFT(A1343,FIND(" - ",A1343&amp;" - ")-1)),LEFT(A1343,FIND(" - ",A1343&amp;" - ")-1),TRIM(A1343)))</f>
        <v/>
      </c>
      <c r="N1343">
        <f>IF(L1343="","",IF(ISNUMBER(INDEX(A1343:H1343,$P$1)),INDEX(A1343:H1343,$P$1),IFERROR(_xlfn.NUMBERVALUE(INDEX(A1343:H1343,$P$1),".",","),0)))</f>
        <v/>
      </c>
    </row>
    <row r="1344">
      <c r="L1344">
        <f>IF(A1344="","",IF(ISNUMBER(--LEFT(A1344,FIND(" - ",A1344&amp;" - ")-1)),LEFT(A1344,FIND(" - ",A1344&amp;" - ")-1),TRIM(A1344)))</f>
        <v/>
      </c>
      <c r="N1344">
        <f>IF(L1344="","",IF(ISNUMBER(INDEX(A1344:H1344,$P$1)),INDEX(A1344:H1344,$P$1),IFERROR(_xlfn.NUMBERVALUE(INDEX(A1344:H1344,$P$1),".",","),0)))</f>
        <v/>
      </c>
    </row>
    <row r="1345">
      <c r="L1345">
        <f>IF(A1345="","",IF(ISNUMBER(--LEFT(A1345,FIND(" - ",A1345&amp;" - ")-1)),LEFT(A1345,FIND(" - ",A1345&amp;" - ")-1),TRIM(A1345)))</f>
        <v/>
      </c>
      <c r="N1345">
        <f>IF(L1345="","",IF(ISNUMBER(INDEX(A1345:H1345,$P$1)),INDEX(A1345:H1345,$P$1),IFERROR(_xlfn.NUMBERVALUE(INDEX(A1345:H1345,$P$1),".",","),0)))</f>
        <v/>
      </c>
    </row>
    <row r="1346">
      <c r="L1346">
        <f>IF(A1346="","",IF(ISNUMBER(--LEFT(A1346,FIND(" - ",A1346&amp;" - ")-1)),LEFT(A1346,FIND(" - ",A1346&amp;" - ")-1),TRIM(A1346)))</f>
        <v/>
      </c>
      <c r="N1346">
        <f>IF(L1346="","",IF(ISNUMBER(INDEX(A1346:H1346,$P$1)),INDEX(A1346:H1346,$P$1),IFERROR(_xlfn.NUMBERVALUE(INDEX(A1346:H1346,$P$1),".",","),0)))</f>
        <v/>
      </c>
    </row>
    <row r="1347">
      <c r="L1347">
        <f>IF(A1347="","",IF(ISNUMBER(--LEFT(A1347,FIND(" - ",A1347&amp;" - ")-1)),LEFT(A1347,FIND(" - ",A1347&amp;" - ")-1),TRIM(A1347)))</f>
        <v/>
      </c>
      <c r="N1347">
        <f>IF(L1347="","",IF(ISNUMBER(INDEX(A1347:H1347,$P$1)),INDEX(A1347:H1347,$P$1),IFERROR(_xlfn.NUMBERVALUE(INDEX(A1347:H1347,$P$1),".",","),0)))</f>
        <v/>
      </c>
    </row>
    <row r="1348">
      <c r="L1348">
        <f>IF(A1348="","",IF(ISNUMBER(--LEFT(A1348,FIND(" - ",A1348&amp;" - ")-1)),LEFT(A1348,FIND(" - ",A1348&amp;" - ")-1),TRIM(A1348)))</f>
        <v/>
      </c>
      <c r="N1348">
        <f>IF(L1348="","",IF(ISNUMBER(INDEX(A1348:H1348,$P$1)),INDEX(A1348:H1348,$P$1),IFERROR(_xlfn.NUMBERVALUE(INDEX(A1348:H1348,$P$1),".",","),0)))</f>
        <v/>
      </c>
    </row>
    <row r="1349">
      <c r="L1349">
        <f>IF(A1349="","",IF(ISNUMBER(--LEFT(A1349,FIND(" - ",A1349&amp;" - ")-1)),LEFT(A1349,FIND(" - ",A1349&amp;" - ")-1),TRIM(A1349)))</f>
        <v/>
      </c>
      <c r="N1349">
        <f>IF(L1349="","",IF(ISNUMBER(INDEX(A1349:H1349,$P$1)),INDEX(A1349:H1349,$P$1),IFERROR(_xlfn.NUMBERVALUE(INDEX(A1349:H1349,$P$1),".",","),0)))</f>
        <v/>
      </c>
    </row>
    <row r="1350">
      <c r="L1350">
        <f>IF(A1350="","",IF(ISNUMBER(--LEFT(A1350,FIND(" - ",A1350&amp;" - ")-1)),LEFT(A1350,FIND(" - ",A1350&amp;" - ")-1),TRIM(A1350)))</f>
        <v/>
      </c>
      <c r="N1350">
        <f>IF(L1350="","",IF(ISNUMBER(INDEX(A1350:H1350,$P$1)),INDEX(A1350:H1350,$P$1),IFERROR(_xlfn.NUMBERVALUE(INDEX(A1350:H1350,$P$1),".",","),0)))</f>
        <v/>
      </c>
    </row>
    <row r="1351">
      <c r="L1351">
        <f>IF(A1351="","",IF(ISNUMBER(--LEFT(A1351,FIND(" - ",A1351&amp;" - ")-1)),LEFT(A1351,FIND(" - ",A1351&amp;" - ")-1),TRIM(A1351)))</f>
        <v/>
      </c>
      <c r="N1351">
        <f>IF(L1351="","",IF(ISNUMBER(INDEX(A1351:H1351,$P$1)),INDEX(A1351:H1351,$P$1),IFERROR(_xlfn.NUMBERVALUE(INDEX(A1351:H1351,$P$1),".",","),0)))</f>
        <v/>
      </c>
    </row>
    <row r="1352">
      <c r="L1352">
        <f>IF(A1352="","",IF(ISNUMBER(--LEFT(A1352,FIND(" - ",A1352&amp;" - ")-1)),LEFT(A1352,FIND(" - ",A1352&amp;" - ")-1),TRIM(A1352)))</f>
        <v/>
      </c>
      <c r="N1352">
        <f>IF(L1352="","",IF(ISNUMBER(INDEX(A1352:H1352,$P$1)),INDEX(A1352:H1352,$P$1),IFERROR(_xlfn.NUMBERVALUE(INDEX(A1352:H1352,$P$1),".",","),0)))</f>
        <v/>
      </c>
    </row>
    <row r="1353">
      <c r="L1353">
        <f>IF(A1353="","",IF(ISNUMBER(--LEFT(A1353,FIND(" - ",A1353&amp;" - ")-1)),LEFT(A1353,FIND(" - ",A1353&amp;" - ")-1),TRIM(A1353)))</f>
        <v/>
      </c>
      <c r="N1353">
        <f>IF(L1353="","",IF(ISNUMBER(INDEX(A1353:H1353,$P$1)),INDEX(A1353:H1353,$P$1),IFERROR(_xlfn.NUMBERVALUE(INDEX(A1353:H1353,$P$1),".",","),0)))</f>
        <v/>
      </c>
    </row>
    <row r="1354">
      <c r="L1354">
        <f>IF(A1354="","",IF(ISNUMBER(--LEFT(A1354,FIND(" - ",A1354&amp;" - ")-1)),LEFT(A1354,FIND(" - ",A1354&amp;" - ")-1),TRIM(A1354)))</f>
        <v/>
      </c>
      <c r="N1354">
        <f>IF(L1354="","",IF(ISNUMBER(INDEX(A1354:H1354,$P$1)),INDEX(A1354:H1354,$P$1),IFERROR(_xlfn.NUMBERVALUE(INDEX(A1354:H1354,$P$1),".",","),0)))</f>
        <v/>
      </c>
    </row>
    <row r="1355">
      <c r="L1355">
        <f>IF(A1355="","",IF(ISNUMBER(--LEFT(A1355,FIND(" - ",A1355&amp;" - ")-1)),LEFT(A1355,FIND(" - ",A1355&amp;" - ")-1),TRIM(A1355)))</f>
        <v/>
      </c>
      <c r="N1355">
        <f>IF(L1355="","",IF(ISNUMBER(INDEX(A1355:H1355,$P$1)),INDEX(A1355:H1355,$P$1),IFERROR(_xlfn.NUMBERVALUE(INDEX(A1355:H1355,$P$1),".",","),0)))</f>
        <v/>
      </c>
    </row>
    <row r="1356">
      <c r="L1356">
        <f>IF(A1356="","",IF(ISNUMBER(--LEFT(A1356,FIND(" - ",A1356&amp;" - ")-1)),LEFT(A1356,FIND(" - ",A1356&amp;" - ")-1),TRIM(A1356)))</f>
        <v/>
      </c>
      <c r="N1356">
        <f>IF(L1356="","",IF(ISNUMBER(INDEX(A1356:H1356,$P$1)),INDEX(A1356:H1356,$P$1),IFERROR(_xlfn.NUMBERVALUE(INDEX(A1356:H1356,$P$1),".",","),0)))</f>
        <v/>
      </c>
    </row>
    <row r="1357">
      <c r="L1357">
        <f>IF(A1357="","",IF(ISNUMBER(--LEFT(A1357,FIND(" - ",A1357&amp;" - ")-1)),LEFT(A1357,FIND(" - ",A1357&amp;" - ")-1),TRIM(A1357)))</f>
        <v/>
      </c>
      <c r="N1357">
        <f>IF(L1357="","",IF(ISNUMBER(INDEX(A1357:H1357,$P$1)),INDEX(A1357:H1357,$P$1),IFERROR(_xlfn.NUMBERVALUE(INDEX(A1357:H1357,$P$1),".",","),0)))</f>
        <v/>
      </c>
    </row>
    <row r="1358">
      <c r="L1358">
        <f>IF(A1358="","",IF(ISNUMBER(--LEFT(A1358,FIND(" - ",A1358&amp;" - ")-1)),LEFT(A1358,FIND(" - ",A1358&amp;" - ")-1),TRIM(A1358)))</f>
        <v/>
      </c>
      <c r="N1358">
        <f>IF(L1358="","",IF(ISNUMBER(INDEX(A1358:H1358,$P$1)),INDEX(A1358:H1358,$P$1),IFERROR(_xlfn.NUMBERVALUE(INDEX(A1358:H1358,$P$1),".",","),0)))</f>
        <v/>
      </c>
    </row>
    <row r="1359">
      <c r="L1359">
        <f>IF(A1359="","",IF(ISNUMBER(--LEFT(A1359,FIND(" - ",A1359&amp;" - ")-1)),LEFT(A1359,FIND(" - ",A1359&amp;" - ")-1),TRIM(A1359)))</f>
        <v/>
      </c>
      <c r="N1359">
        <f>IF(L1359="","",IF(ISNUMBER(INDEX(A1359:H1359,$P$1)),INDEX(A1359:H1359,$P$1),IFERROR(_xlfn.NUMBERVALUE(INDEX(A1359:H1359,$P$1),".",","),0)))</f>
        <v/>
      </c>
    </row>
    <row r="1360">
      <c r="L1360">
        <f>IF(A1360="","",IF(ISNUMBER(--LEFT(A1360,FIND(" - ",A1360&amp;" - ")-1)),LEFT(A1360,FIND(" - ",A1360&amp;" - ")-1),TRIM(A1360)))</f>
        <v/>
      </c>
      <c r="N1360">
        <f>IF(L1360="","",IF(ISNUMBER(INDEX(A1360:H1360,$P$1)),INDEX(A1360:H1360,$P$1),IFERROR(_xlfn.NUMBERVALUE(INDEX(A1360:H1360,$P$1),".",","),0)))</f>
        <v/>
      </c>
    </row>
    <row r="1361">
      <c r="L1361">
        <f>IF(A1361="","",IF(ISNUMBER(--LEFT(A1361,FIND(" - ",A1361&amp;" - ")-1)),LEFT(A1361,FIND(" - ",A1361&amp;" - ")-1),TRIM(A1361)))</f>
        <v/>
      </c>
      <c r="N1361">
        <f>IF(L1361="","",IF(ISNUMBER(INDEX(A1361:H1361,$P$1)),INDEX(A1361:H1361,$P$1),IFERROR(_xlfn.NUMBERVALUE(INDEX(A1361:H1361,$P$1),".",","),0)))</f>
        <v/>
      </c>
    </row>
    <row r="1362">
      <c r="L1362">
        <f>IF(A1362="","",IF(ISNUMBER(--LEFT(A1362,FIND(" - ",A1362&amp;" - ")-1)),LEFT(A1362,FIND(" - ",A1362&amp;" - ")-1),TRIM(A1362)))</f>
        <v/>
      </c>
      <c r="N1362">
        <f>IF(L1362="","",IF(ISNUMBER(INDEX(A1362:H1362,$P$1)),INDEX(A1362:H1362,$P$1),IFERROR(_xlfn.NUMBERVALUE(INDEX(A1362:H1362,$P$1),".",","),0)))</f>
        <v/>
      </c>
    </row>
    <row r="1363">
      <c r="L1363">
        <f>IF(A1363="","",IF(ISNUMBER(--LEFT(A1363,FIND(" - ",A1363&amp;" - ")-1)),LEFT(A1363,FIND(" - ",A1363&amp;" - ")-1),TRIM(A1363)))</f>
        <v/>
      </c>
      <c r="N1363">
        <f>IF(L1363="","",IF(ISNUMBER(INDEX(A1363:H1363,$P$1)),INDEX(A1363:H1363,$P$1),IFERROR(_xlfn.NUMBERVALUE(INDEX(A1363:H1363,$P$1),".",","),0)))</f>
        <v/>
      </c>
    </row>
    <row r="1364">
      <c r="L1364">
        <f>IF(A1364="","",IF(ISNUMBER(--LEFT(A1364,FIND(" - ",A1364&amp;" - ")-1)),LEFT(A1364,FIND(" - ",A1364&amp;" - ")-1),TRIM(A1364)))</f>
        <v/>
      </c>
      <c r="N1364">
        <f>IF(L1364="","",IF(ISNUMBER(INDEX(A1364:H1364,$P$1)),INDEX(A1364:H1364,$P$1),IFERROR(_xlfn.NUMBERVALUE(INDEX(A1364:H1364,$P$1),".",","),0)))</f>
        <v/>
      </c>
    </row>
    <row r="1365">
      <c r="L1365">
        <f>IF(A1365="","",IF(ISNUMBER(--LEFT(A1365,FIND(" - ",A1365&amp;" - ")-1)),LEFT(A1365,FIND(" - ",A1365&amp;" - ")-1),TRIM(A1365)))</f>
        <v/>
      </c>
      <c r="N1365">
        <f>IF(L1365="","",IF(ISNUMBER(INDEX(A1365:H1365,$P$1)),INDEX(A1365:H1365,$P$1),IFERROR(_xlfn.NUMBERVALUE(INDEX(A1365:H1365,$P$1),".",","),0)))</f>
        <v/>
      </c>
    </row>
    <row r="1366">
      <c r="L1366">
        <f>IF(A1366="","",IF(ISNUMBER(--LEFT(A1366,FIND(" - ",A1366&amp;" - ")-1)),LEFT(A1366,FIND(" - ",A1366&amp;" - ")-1),TRIM(A1366)))</f>
        <v/>
      </c>
      <c r="N1366">
        <f>IF(L1366="","",IF(ISNUMBER(INDEX(A1366:H1366,$P$1)),INDEX(A1366:H1366,$P$1),IFERROR(_xlfn.NUMBERVALUE(INDEX(A1366:H1366,$P$1),".",","),0)))</f>
        <v/>
      </c>
    </row>
    <row r="1367">
      <c r="L1367">
        <f>IF(A1367="","",IF(ISNUMBER(--LEFT(A1367,FIND(" - ",A1367&amp;" - ")-1)),LEFT(A1367,FIND(" - ",A1367&amp;" - ")-1),TRIM(A1367)))</f>
        <v/>
      </c>
      <c r="N1367">
        <f>IF(L1367="","",IF(ISNUMBER(INDEX(A1367:H1367,$P$1)),INDEX(A1367:H1367,$P$1),IFERROR(_xlfn.NUMBERVALUE(INDEX(A1367:H1367,$P$1),".",","),0)))</f>
        <v/>
      </c>
    </row>
    <row r="1368">
      <c r="L1368">
        <f>IF(A1368="","",IF(ISNUMBER(--LEFT(A1368,FIND(" - ",A1368&amp;" - ")-1)),LEFT(A1368,FIND(" - ",A1368&amp;" - ")-1),TRIM(A1368)))</f>
        <v/>
      </c>
      <c r="N1368">
        <f>IF(L1368="","",IF(ISNUMBER(INDEX(A1368:H1368,$P$1)),INDEX(A1368:H1368,$P$1),IFERROR(_xlfn.NUMBERVALUE(INDEX(A1368:H1368,$P$1),".",","),0)))</f>
        <v/>
      </c>
    </row>
    <row r="1369">
      <c r="L1369">
        <f>IF(A1369="","",IF(ISNUMBER(--LEFT(A1369,FIND(" - ",A1369&amp;" - ")-1)),LEFT(A1369,FIND(" - ",A1369&amp;" - ")-1),TRIM(A1369)))</f>
        <v/>
      </c>
      <c r="N1369">
        <f>IF(L1369="","",IF(ISNUMBER(INDEX(A1369:H1369,$P$1)),INDEX(A1369:H1369,$P$1),IFERROR(_xlfn.NUMBERVALUE(INDEX(A1369:H1369,$P$1),".",","),0)))</f>
        <v/>
      </c>
    </row>
    <row r="1370">
      <c r="L1370">
        <f>IF(A1370="","",IF(ISNUMBER(--LEFT(A1370,FIND(" - ",A1370&amp;" - ")-1)),LEFT(A1370,FIND(" - ",A1370&amp;" - ")-1),TRIM(A1370)))</f>
        <v/>
      </c>
      <c r="N1370">
        <f>IF(L1370="","",IF(ISNUMBER(INDEX(A1370:H1370,$P$1)),INDEX(A1370:H1370,$P$1),IFERROR(_xlfn.NUMBERVALUE(INDEX(A1370:H1370,$P$1),".",","),0)))</f>
        <v/>
      </c>
    </row>
    <row r="1371">
      <c r="L1371">
        <f>IF(A1371="","",IF(ISNUMBER(--LEFT(A1371,FIND(" - ",A1371&amp;" - ")-1)),LEFT(A1371,FIND(" - ",A1371&amp;" - ")-1),TRIM(A1371)))</f>
        <v/>
      </c>
      <c r="N1371">
        <f>IF(L1371="","",IF(ISNUMBER(INDEX(A1371:H1371,$P$1)),INDEX(A1371:H1371,$P$1),IFERROR(_xlfn.NUMBERVALUE(INDEX(A1371:H1371,$P$1),".",","),0)))</f>
        <v/>
      </c>
    </row>
    <row r="1372">
      <c r="L1372">
        <f>IF(A1372="","",IF(ISNUMBER(--LEFT(A1372,FIND(" - ",A1372&amp;" - ")-1)),LEFT(A1372,FIND(" - ",A1372&amp;" - ")-1),TRIM(A1372)))</f>
        <v/>
      </c>
      <c r="N1372">
        <f>IF(L1372="","",IF(ISNUMBER(INDEX(A1372:H1372,$P$1)),INDEX(A1372:H1372,$P$1),IFERROR(_xlfn.NUMBERVALUE(INDEX(A1372:H1372,$P$1),".",","),0)))</f>
        <v/>
      </c>
    </row>
    <row r="1373">
      <c r="L1373">
        <f>IF(A1373="","",IF(ISNUMBER(--LEFT(A1373,FIND(" - ",A1373&amp;" - ")-1)),LEFT(A1373,FIND(" - ",A1373&amp;" - ")-1),TRIM(A1373)))</f>
        <v/>
      </c>
      <c r="N1373">
        <f>IF(L1373="","",IF(ISNUMBER(INDEX(A1373:H1373,$P$1)),INDEX(A1373:H1373,$P$1),IFERROR(_xlfn.NUMBERVALUE(INDEX(A1373:H1373,$P$1),".",","),0)))</f>
        <v/>
      </c>
    </row>
    <row r="1374">
      <c r="L1374">
        <f>IF(A1374="","",IF(ISNUMBER(--LEFT(A1374,FIND(" - ",A1374&amp;" - ")-1)),LEFT(A1374,FIND(" - ",A1374&amp;" - ")-1),TRIM(A1374)))</f>
        <v/>
      </c>
      <c r="N1374">
        <f>IF(L1374="","",IF(ISNUMBER(INDEX(A1374:H1374,$P$1)),INDEX(A1374:H1374,$P$1),IFERROR(_xlfn.NUMBERVALUE(INDEX(A1374:H1374,$P$1),".",","),0)))</f>
        <v/>
      </c>
    </row>
    <row r="1375">
      <c r="L1375">
        <f>IF(A1375="","",IF(ISNUMBER(--LEFT(A1375,FIND(" - ",A1375&amp;" - ")-1)),LEFT(A1375,FIND(" - ",A1375&amp;" - ")-1),TRIM(A1375)))</f>
        <v/>
      </c>
      <c r="N1375">
        <f>IF(L1375="","",IF(ISNUMBER(INDEX(A1375:H1375,$P$1)),INDEX(A1375:H1375,$P$1),IFERROR(_xlfn.NUMBERVALUE(INDEX(A1375:H1375,$P$1),".",","),0)))</f>
        <v/>
      </c>
    </row>
    <row r="1376">
      <c r="L1376">
        <f>IF(A1376="","",IF(ISNUMBER(--LEFT(A1376,FIND(" - ",A1376&amp;" - ")-1)),LEFT(A1376,FIND(" - ",A1376&amp;" - ")-1),TRIM(A1376)))</f>
        <v/>
      </c>
      <c r="N1376">
        <f>IF(L1376="","",IF(ISNUMBER(INDEX(A1376:H1376,$P$1)),INDEX(A1376:H1376,$P$1),IFERROR(_xlfn.NUMBERVALUE(INDEX(A1376:H1376,$P$1),".",","),0)))</f>
        <v/>
      </c>
    </row>
    <row r="1377">
      <c r="L1377">
        <f>IF(A1377="","",IF(ISNUMBER(--LEFT(A1377,FIND(" - ",A1377&amp;" - ")-1)),LEFT(A1377,FIND(" - ",A1377&amp;" - ")-1),TRIM(A1377)))</f>
        <v/>
      </c>
      <c r="N1377">
        <f>IF(L1377="","",IF(ISNUMBER(INDEX(A1377:H1377,$P$1)),INDEX(A1377:H1377,$P$1),IFERROR(_xlfn.NUMBERVALUE(INDEX(A1377:H1377,$P$1),".",","),0)))</f>
        <v/>
      </c>
    </row>
    <row r="1378">
      <c r="L1378">
        <f>IF(A1378="","",IF(ISNUMBER(--LEFT(A1378,FIND(" - ",A1378&amp;" - ")-1)),LEFT(A1378,FIND(" - ",A1378&amp;" - ")-1),TRIM(A1378)))</f>
        <v/>
      </c>
      <c r="N1378">
        <f>IF(L1378="","",IF(ISNUMBER(INDEX(A1378:H1378,$P$1)),INDEX(A1378:H1378,$P$1),IFERROR(_xlfn.NUMBERVALUE(INDEX(A1378:H1378,$P$1),".",","),0)))</f>
        <v/>
      </c>
    </row>
    <row r="1379">
      <c r="L1379">
        <f>IF(A1379="","",IF(ISNUMBER(--LEFT(A1379,FIND(" - ",A1379&amp;" - ")-1)),LEFT(A1379,FIND(" - ",A1379&amp;" - ")-1),TRIM(A1379)))</f>
        <v/>
      </c>
      <c r="N1379">
        <f>IF(L1379="","",IF(ISNUMBER(INDEX(A1379:H1379,$P$1)),INDEX(A1379:H1379,$P$1),IFERROR(_xlfn.NUMBERVALUE(INDEX(A1379:H1379,$P$1),".",","),0)))</f>
        <v/>
      </c>
    </row>
    <row r="1380">
      <c r="L1380">
        <f>IF(A1380="","",IF(ISNUMBER(--LEFT(A1380,FIND(" - ",A1380&amp;" - ")-1)),LEFT(A1380,FIND(" - ",A1380&amp;" - ")-1),TRIM(A1380)))</f>
        <v/>
      </c>
      <c r="N1380">
        <f>IF(L1380="","",IF(ISNUMBER(INDEX(A1380:H1380,$P$1)),INDEX(A1380:H1380,$P$1),IFERROR(_xlfn.NUMBERVALUE(INDEX(A1380:H1380,$P$1),".",","),0)))</f>
        <v/>
      </c>
    </row>
    <row r="1381">
      <c r="L1381">
        <f>IF(A1381="","",IF(ISNUMBER(--LEFT(A1381,FIND(" - ",A1381&amp;" - ")-1)),LEFT(A1381,FIND(" - ",A1381&amp;" - ")-1),TRIM(A1381)))</f>
        <v/>
      </c>
      <c r="N1381">
        <f>IF(L1381="","",IF(ISNUMBER(INDEX(A1381:H1381,$P$1)),INDEX(A1381:H1381,$P$1),IFERROR(_xlfn.NUMBERVALUE(INDEX(A1381:H1381,$P$1),".",","),0)))</f>
        <v/>
      </c>
    </row>
    <row r="1382">
      <c r="L1382">
        <f>IF(A1382="","",IF(ISNUMBER(--LEFT(A1382,FIND(" - ",A1382&amp;" - ")-1)),LEFT(A1382,FIND(" - ",A1382&amp;" - ")-1),TRIM(A1382)))</f>
        <v/>
      </c>
      <c r="N1382">
        <f>IF(L1382="","",IF(ISNUMBER(INDEX(A1382:H1382,$P$1)),INDEX(A1382:H1382,$P$1),IFERROR(_xlfn.NUMBERVALUE(INDEX(A1382:H1382,$P$1),".",","),0)))</f>
        <v/>
      </c>
    </row>
    <row r="1383">
      <c r="L1383">
        <f>IF(A1383="","",IF(ISNUMBER(--LEFT(A1383,FIND(" - ",A1383&amp;" - ")-1)),LEFT(A1383,FIND(" - ",A1383&amp;" - ")-1),TRIM(A1383)))</f>
        <v/>
      </c>
      <c r="N1383">
        <f>IF(L1383="","",IF(ISNUMBER(INDEX(A1383:H1383,$P$1)),INDEX(A1383:H1383,$P$1),IFERROR(_xlfn.NUMBERVALUE(INDEX(A1383:H1383,$P$1),".",","),0)))</f>
        <v/>
      </c>
    </row>
    <row r="1384">
      <c r="L1384">
        <f>IF(A1384="","",IF(ISNUMBER(--LEFT(A1384,FIND(" - ",A1384&amp;" - ")-1)),LEFT(A1384,FIND(" - ",A1384&amp;" - ")-1),TRIM(A1384)))</f>
        <v/>
      </c>
      <c r="N1384">
        <f>IF(L1384="","",IF(ISNUMBER(INDEX(A1384:H1384,$P$1)),INDEX(A1384:H1384,$P$1),IFERROR(_xlfn.NUMBERVALUE(INDEX(A1384:H1384,$P$1),".",","),0)))</f>
        <v/>
      </c>
    </row>
    <row r="1385">
      <c r="L1385">
        <f>IF(A1385="","",IF(ISNUMBER(--LEFT(A1385,FIND(" - ",A1385&amp;" - ")-1)),LEFT(A1385,FIND(" - ",A1385&amp;" - ")-1),TRIM(A1385)))</f>
        <v/>
      </c>
      <c r="N1385">
        <f>IF(L1385="","",IF(ISNUMBER(INDEX(A1385:H1385,$P$1)),INDEX(A1385:H1385,$P$1),IFERROR(_xlfn.NUMBERVALUE(INDEX(A1385:H1385,$P$1),".",","),0)))</f>
        <v/>
      </c>
    </row>
    <row r="1386">
      <c r="L1386">
        <f>IF(A1386="","",IF(ISNUMBER(--LEFT(A1386,FIND(" - ",A1386&amp;" - ")-1)),LEFT(A1386,FIND(" - ",A1386&amp;" - ")-1),TRIM(A1386)))</f>
        <v/>
      </c>
      <c r="N1386">
        <f>IF(L1386="","",IF(ISNUMBER(INDEX(A1386:H1386,$P$1)),INDEX(A1386:H1386,$P$1),IFERROR(_xlfn.NUMBERVALUE(INDEX(A1386:H1386,$P$1),".",","),0)))</f>
        <v/>
      </c>
    </row>
    <row r="1387">
      <c r="L1387">
        <f>IF(A1387="","",IF(ISNUMBER(--LEFT(A1387,FIND(" - ",A1387&amp;" - ")-1)),LEFT(A1387,FIND(" - ",A1387&amp;" - ")-1),TRIM(A1387)))</f>
        <v/>
      </c>
      <c r="N1387">
        <f>IF(L1387="","",IF(ISNUMBER(INDEX(A1387:H1387,$P$1)),INDEX(A1387:H1387,$P$1),IFERROR(_xlfn.NUMBERVALUE(INDEX(A1387:H1387,$P$1),".",","),0)))</f>
        <v/>
      </c>
    </row>
    <row r="1388">
      <c r="L1388">
        <f>IF(A1388="","",IF(ISNUMBER(--LEFT(A1388,FIND(" - ",A1388&amp;" - ")-1)),LEFT(A1388,FIND(" - ",A1388&amp;" - ")-1),TRIM(A1388)))</f>
        <v/>
      </c>
      <c r="N1388">
        <f>IF(L1388="","",IF(ISNUMBER(INDEX(A1388:H1388,$P$1)),INDEX(A1388:H1388,$P$1),IFERROR(_xlfn.NUMBERVALUE(INDEX(A1388:H1388,$P$1),".",","),0)))</f>
        <v/>
      </c>
    </row>
    <row r="1389">
      <c r="L1389">
        <f>IF(A1389="","",IF(ISNUMBER(--LEFT(A1389,FIND(" - ",A1389&amp;" - ")-1)),LEFT(A1389,FIND(" - ",A1389&amp;" - ")-1),TRIM(A1389)))</f>
        <v/>
      </c>
      <c r="N1389">
        <f>IF(L1389="","",IF(ISNUMBER(INDEX(A1389:H1389,$P$1)),INDEX(A1389:H1389,$P$1),IFERROR(_xlfn.NUMBERVALUE(INDEX(A1389:H1389,$P$1),".",","),0)))</f>
        <v/>
      </c>
    </row>
    <row r="1390">
      <c r="L1390">
        <f>IF(A1390="","",IF(ISNUMBER(--LEFT(A1390,FIND(" - ",A1390&amp;" - ")-1)),LEFT(A1390,FIND(" - ",A1390&amp;" - ")-1),TRIM(A1390)))</f>
        <v/>
      </c>
      <c r="N1390">
        <f>IF(L1390="","",IF(ISNUMBER(INDEX(A1390:H1390,$P$1)),INDEX(A1390:H1390,$P$1),IFERROR(_xlfn.NUMBERVALUE(INDEX(A1390:H1390,$P$1),".",","),0)))</f>
        <v/>
      </c>
    </row>
    <row r="1391">
      <c r="L1391">
        <f>IF(A1391="","",IF(ISNUMBER(--LEFT(A1391,FIND(" - ",A1391&amp;" - ")-1)),LEFT(A1391,FIND(" - ",A1391&amp;" - ")-1),TRIM(A1391)))</f>
        <v/>
      </c>
      <c r="N1391">
        <f>IF(L1391="","",IF(ISNUMBER(INDEX(A1391:H1391,$P$1)),INDEX(A1391:H1391,$P$1),IFERROR(_xlfn.NUMBERVALUE(INDEX(A1391:H1391,$P$1),".",","),0)))</f>
        <v/>
      </c>
    </row>
    <row r="1392">
      <c r="L1392">
        <f>IF(A1392="","",IF(ISNUMBER(--LEFT(A1392,FIND(" - ",A1392&amp;" - ")-1)),LEFT(A1392,FIND(" - ",A1392&amp;" - ")-1),TRIM(A1392)))</f>
        <v/>
      </c>
      <c r="N1392">
        <f>IF(L1392="","",IF(ISNUMBER(INDEX(A1392:H1392,$P$1)),INDEX(A1392:H1392,$P$1),IFERROR(_xlfn.NUMBERVALUE(INDEX(A1392:H1392,$P$1),".",","),0)))</f>
        <v/>
      </c>
    </row>
    <row r="1393">
      <c r="L1393">
        <f>IF(A1393="","",IF(ISNUMBER(--LEFT(A1393,FIND(" - ",A1393&amp;" - ")-1)),LEFT(A1393,FIND(" - ",A1393&amp;" - ")-1),TRIM(A1393)))</f>
        <v/>
      </c>
      <c r="N1393">
        <f>IF(L1393="","",IF(ISNUMBER(INDEX(A1393:H1393,$P$1)),INDEX(A1393:H1393,$P$1),IFERROR(_xlfn.NUMBERVALUE(INDEX(A1393:H1393,$P$1),".",","),0)))</f>
        <v/>
      </c>
    </row>
    <row r="1394">
      <c r="L1394">
        <f>IF(A1394="","",IF(ISNUMBER(--LEFT(A1394,FIND(" - ",A1394&amp;" - ")-1)),LEFT(A1394,FIND(" - ",A1394&amp;" - ")-1),TRIM(A1394)))</f>
        <v/>
      </c>
      <c r="N1394">
        <f>IF(L1394="","",IF(ISNUMBER(INDEX(A1394:H1394,$P$1)),INDEX(A1394:H1394,$P$1),IFERROR(_xlfn.NUMBERVALUE(INDEX(A1394:H1394,$P$1),".",","),0)))</f>
        <v/>
      </c>
    </row>
    <row r="1395">
      <c r="L1395">
        <f>IF(A1395="","",IF(ISNUMBER(--LEFT(A1395,FIND(" - ",A1395&amp;" - ")-1)),LEFT(A1395,FIND(" - ",A1395&amp;" - ")-1),TRIM(A1395)))</f>
        <v/>
      </c>
      <c r="N1395">
        <f>IF(L1395="","",IF(ISNUMBER(INDEX(A1395:H1395,$P$1)),INDEX(A1395:H1395,$P$1),IFERROR(_xlfn.NUMBERVALUE(INDEX(A1395:H1395,$P$1),".",","),0)))</f>
        <v/>
      </c>
    </row>
    <row r="1396">
      <c r="L1396">
        <f>IF(A1396="","",IF(ISNUMBER(--LEFT(A1396,FIND(" - ",A1396&amp;" - ")-1)),LEFT(A1396,FIND(" - ",A1396&amp;" - ")-1),TRIM(A1396)))</f>
        <v/>
      </c>
      <c r="N1396">
        <f>IF(L1396="","",IF(ISNUMBER(INDEX(A1396:H1396,$P$1)),INDEX(A1396:H1396,$P$1),IFERROR(_xlfn.NUMBERVALUE(INDEX(A1396:H1396,$P$1),".",","),0)))</f>
        <v/>
      </c>
    </row>
    <row r="1397">
      <c r="L1397">
        <f>IF(A1397="","",IF(ISNUMBER(--LEFT(A1397,FIND(" - ",A1397&amp;" - ")-1)),LEFT(A1397,FIND(" - ",A1397&amp;" - ")-1),TRIM(A1397)))</f>
        <v/>
      </c>
      <c r="N1397">
        <f>IF(L1397="","",IF(ISNUMBER(INDEX(A1397:H1397,$P$1)),INDEX(A1397:H1397,$P$1),IFERROR(_xlfn.NUMBERVALUE(INDEX(A1397:H1397,$P$1),".",","),0)))</f>
        <v/>
      </c>
    </row>
    <row r="1398">
      <c r="L1398">
        <f>IF(A1398="","",IF(ISNUMBER(--LEFT(A1398,FIND(" - ",A1398&amp;" - ")-1)),LEFT(A1398,FIND(" - ",A1398&amp;" - ")-1),TRIM(A1398)))</f>
        <v/>
      </c>
      <c r="N1398">
        <f>IF(L1398="","",IF(ISNUMBER(INDEX(A1398:H1398,$P$1)),INDEX(A1398:H1398,$P$1),IFERROR(_xlfn.NUMBERVALUE(INDEX(A1398:H1398,$P$1),".",","),0)))</f>
        <v/>
      </c>
    </row>
    <row r="1399">
      <c r="L1399">
        <f>IF(A1399="","",IF(ISNUMBER(--LEFT(A1399,FIND(" - ",A1399&amp;" - ")-1)),LEFT(A1399,FIND(" - ",A1399&amp;" - ")-1),TRIM(A1399)))</f>
        <v/>
      </c>
      <c r="N1399">
        <f>IF(L1399="","",IF(ISNUMBER(INDEX(A1399:H1399,$P$1)),INDEX(A1399:H1399,$P$1),IFERROR(_xlfn.NUMBERVALUE(INDEX(A1399:H1399,$P$1),".",","),0)))</f>
        <v/>
      </c>
    </row>
    <row r="1400">
      <c r="L1400">
        <f>IF(A1400="","",IF(ISNUMBER(--LEFT(A1400,FIND(" - ",A1400&amp;" - ")-1)),LEFT(A1400,FIND(" - ",A1400&amp;" - ")-1),TRIM(A1400)))</f>
        <v/>
      </c>
      <c r="N1400">
        <f>IF(L1400="","",IF(ISNUMBER(INDEX(A1400:H1400,$P$1)),INDEX(A1400:H1400,$P$1),IFERROR(_xlfn.NUMBERVALUE(INDEX(A1400:H1400,$P$1),".",","),0)))</f>
        <v/>
      </c>
    </row>
    <row r="1401">
      <c r="L1401">
        <f>IF(A1401="","",IF(ISNUMBER(--LEFT(A1401,FIND(" - ",A1401&amp;" - ")-1)),LEFT(A1401,FIND(" - ",A1401&amp;" - ")-1),TRIM(A1401)))</f>
        <v/>
      </c>
      <c r="N1401">
        <f>IF(L1401="","",IF(ISNUMBER(INDEX(A1401:H1401,$P$1)),INDEX(A1401:H1401,$P$1),IFERROR(_xlfn.NUMBERVALUE(INDEX(A1401:H1401,$P$1),".",","),0)))</f>
        <v/>
      </c>
    </row>
    <row r="1402">
      <c r="L1402">
        <f>IF(A1402="","",IF(ISNUMBER(--LEFT(A1402,FIND(" - ",A1402&amp;" - ")-1)),LEFT(A1402,FIND(" - ",A1402&amp;" - ")-1),TRIM(A1402)))</f>
        <v/>
      </c>
      <c r="N1402">
        <f>IF(L1402="","",IF(ISNUMBER(INDEX(A1402:H1402,$P$1)),INDEX(A1402:H1402,$P$1),IFERROR(_xlfn.NUMBERVALUE(INDEX(A1402:H1402,$P$1),".",","),0)))</f>
        <v/>
      </c>
    </row>
    <row r="1403">
      <c r="L1403">
        <f>IF(A1403="","",IF(ISNUMBER(--LEFT(A1403,FIND(" - ",A1403&amp;" - ")-1)),LEFT(A1403,FIND(" - ",A1403&amp;" - ")-1),TRIM(A1403)))</f>
        <v/>
      </c>
      <c r="N1403">
        <f>IF(L1403="","",IF(ISNUMBER(INDEX(A1403:H1403,$P$1)),INDEX(A1403:H1403,$P$1),IFERROR(_xlfn.NUMBERVALUE(INDEX(A1403:H1403,$P$1),".",","),0)))</f>
        <v/>
      </c>
    </row>
    <row r="1404">
      <c r="L1404">
        <f>IF(A1404="","",IF(ISNUMBER(--LEFT(A1404,FIND(" - ",A1404&amp;" - ")-1)),LEFT(A1404,FIND(" - ",A1404&amp;" - ")-1),TRIM(A1404)))</f>
        <v/>
      </c>
      <c r="N1404">
        <f>IF(L1404="","",IF(ISNUMBER(INDEX(A1404:H1404,$P$1)),INDEX(A1404:H1404,$P$1),IFERROR(_xlfn.NUMBERVALUE(INDEX(A1404:H1404,$P$1),".",","),0)))</f>
        <v/>
      </c>
    </row>
    <row r="1405">
      <c r="L1405">
        <f>IF(A1405="","",IF(ISNUMBER(--LEFT(A1405,FIND(" - ",A1405&amp;" - ")-1)),LEFT(A1405,FIND(" - ",A1405&amp;" - ")-1),TRIM(A1405)))</f>
        <v/>
      </c>
      <c r="N1405">
        <f>IF(L1405="","",IF(ISNUMBER(INDEX(A1405:H1405,$P$1)),INDEX(A1405:H1405,$P$1),IFERROR(_xlfn.NUMBERVALUE(INDEX(A1405:H1405,$P$1),".",","),0)))</f>
        <v/>
      </c>
    </row>
    <row r="1406">
      <c r="L1406">
        <f>IF(A1406="","",IF(ISNUMBER(--LEFT(A1406,FIND(" - ",A1406&amp;" - ")-1)),LEFT(A1406,FIND(" - ",A1406&amp;" - ")-1),TRIM(A1406)))</f>
        <v/>
      </c>
      <c r="N1406">
        <f>IF(L1406="","",IF(ISNUMBER(INDEX(A1406:H1406,$P$1)),INDEX(A1406:H1406,$P$1),IFERROR(_xlfn.NUMBERVALUE(INDEX(A1406:H1406,$P$1),".",","),0)))</f>
        <v/>
      </c>
    </row>
    <row r="1407">
      <c r="L1407">
        <f>IF(A1407="","",IF(ISNUMBER(--LEFT(A1407,FIND(" - ",A1407&amp;" - ")-1)),LEFT(A1407,FIND(" - ",A1407&amp;" - ")-1),TRIM(A1407)))</f>
        <v/>
      </c>
      <c r="N1407">
        <f>IF(L1407="","",IF(ISNUMBER(INDEX(A1407:H1407,$P$1)),INDEX(A1407:H1407,$P$1),IFERROR(_xlfn.NUMBERVALUE(INDEX(A1407:H1407,$P$1),".",","),0)))</f>
        <v/>
      </c>
    </row>
    <row r="1408">
      <c r="L1408">
        <f>IF(A1408="","",IF(ISNUMBER(--LEFT(A1408,FIND(" - ",A1408&amp;" - ")-1)),LEFT(A1408,FIND(" - ",A1408&amp;" - ")-1),TRIM(A1408)))</f>
        <v/>
      </c>
      <c r="N1408">
        <f>IF(L1408="","",IF(ISNUMBER(INDEX(A1408:H1408,$P$1)),INDEX(A1408:H1408,$P$1),IFERROR(_xlfn.NUMBERVALUE(INDEX(A1408:H1408,$P$1),".",","),0)))</f>
        <v/>
      </c>
    </row>
    <row r="1409">
      <c r="L1409">
        <f>IF(A1409="","",IF(ISNUMBER(--LEFT(A1409,FIND(" - ",A1409&amp;" - ")-1)),LEFT(A1409,FIND(" - ",A1409&amp;" - ")-1),TRIM(A1409)))</f>
        <v/>
      </c>
      <c r="N1409">
        <f>IF(L1409="","",IF(ISNUMBER(INDEX(A1409:H1409,$P$1)),INDEX(A1409:H1409,$P$1),IFERROR(_xlfn.NUMBERVALUE(INDEX(A1409:H1409,$P$1),".",","),0)))</f>
        <v/>
      </c>
    </row>
    <row r="1410">
      <c r="L1410">
        <f>IF(A1410="","",IF(ISNUMBER(--LEFT(A1410,FIND(" - ",A1410&amp;" - ")-1)),LEFT(A1410,FIND(" - ",A1410&amp;" - ")-1),TRIM(A1410)))</f>
        <v/>
      </c>
      <c r="N1410">
        <f>IF(L1410="","",IF(ISNUMBER(INDEX(A1410:H1410,$P$1)),INDEX(A1410:H1410,$P$1),IFERROR(_xlfn.NUMBERVALUE(INDEX(A1410:H1410,$P$1),".",","),0)))</f>
        <v/>
      </c>
    </row>
    <row r="1411">
      <c r="L1411">
        <f>IF(A1411="","",IF(ISNUMBER(--LEFT(A1411,FIND(" - ",A1411&amp;" - ")-1)),LEFT(A1411,FIND(" - ",A1411&amp;" - ")-1),TRIM(A1411)))</f>
        <v/>
      </c>
      <c r="N1411">
        <f>IF(L1411="","",IF(ISNUMBER(INDEX(A1411:H1411,$P$1)),INDEX(A1411:H1411,$P$1),IFERROR(_xlfn.NUMBERVALUE(INDEX(A1411:H1411,$P$1),".",","),0)))</f>
        <v/>
      </c>
    </row>
    <row r="1412">
      <c r="L1412">
        <f>IF(A1412="","",IF(ISNUMBER(--LEFT(A1412,FIND(" - ",A1412&amp;" - ")-1)),LEFT(A1412,FIND(" - ",A1412&amp;" - ")-1),TRIM(A1412)))</f>
        <v/>
      </c>
      <c r="N1412">
        <f>IF(L1412="","",IF(ISNUMBER(INDEX(A1412:H1412,$P$1)),INDEX(A1412:H1412,$P$1),IFERROR(_xlfn.NUMBERVALUE(INDEX(A1412:H1412,$P$1),".",","),0)))</f>
        <v/>
      </c>
    </row>
    <row r="1413">
      <c r="L1413">
        <f>IF(A1413="","",IF(ISNUMBER(--LEFT(A1413,FIND(" - ",A1413&amp;" - ")-1)),LEFT(A1413,FIND(" - ",A1413&amp;" - ")-1),TRIM(A1413)))</f>
        <v/>
      </c>
      <c r="N1413">
        <f>IF(L1413="","",IF(ISNUMBER(INDEX(A1413:H1413,$P$1)),INDEX(A1413:H1413,$P$1),IFERROR(_xlfn.NUMBERVALUE(INDEX(A1413:H1413,$P$1),".",","),0)))</f>
        <v/>
      </c>
    </row>
    <row r="1414">
      <c r="L1414">
        <f>IF(A1414="","",IF(ISNUMBER(--LEFT(A1414,FIND(" - ",A1414&amp;" - ")-1)),LEFT(A1414,FIND(" - ",A1414&amp;" - ")-1),TRIM(A1414)))</f>
        <v/>
      </c>
      <c r="N1414">
        <f>IF(L1414="","",IF(ISNUMBER(INDEX(A1414:H1414,$P$1)),INDEX(A1414:H1414,$P$1),IFERROR(_xlfn.NUMBERVALUE(INDEX(A1414:H1414,$P$1),".",","),0)))</f>
        <v/>
      </c>
    </row>
    <row r="1415">
      <c r="L1415">
        <f>IF(A1415="","",IF(ISNUMBER(--LEFT(A1415,FIND(" - ",A1415&amp;" - ")-1)),LEFT(A1415,FIND(" - ",A1415&amp;" - ")-1),TRIM(A1415)))</f>
        <v/>
      </c>
      <c r="N1415">
        <f>IF(L1415="","",IF(ISNUMBER(INDEX(A1415:H1415,$P$1)),INDEX(A1415:H1415,$P$1),IFERROR(_xlfn.NUMBERVALUE(INDEX(A1415:H1415,$P$1),".",","),0)))</f>
        <v/>
      </c>
    </row>
    <row r="1416">
      <c r="L1416">
        <f>IF(A1416="","",IF(ISNUMBER(--LEFT(A1416,FIND(" - ",A1416&amp;" - ")-1)),LEFT(A1416,FIND(" - ",A1416&amp;" - ")-1),TRIM(A1416)))</f>
        <v/>
      </c>
      <c r="N1416">
        <f>IF(L1416="","",IF(ISNUMBER(INDEX(A1416:H1416,$P$1)),INDEX(A1416:H1416,$P$1),IFERROR(_xlfn.NUMBERVALUE(INDEX(A1416:H1416,$P$1),".",","),0)))</f>
        <v/>
      </c>
    </row>
    <row r="1417">
      <c r="L1417">
        <f>IF(A1417="","",IF(ISNUMBER(--LEFT(A1417,FIND(" - ",A1417&amp;" - ")-1)),LEFT(A1417,FIND(" - ",A1417&amp;" - ")-1),TRIM(A1417)))</f>
        <v/>
      </c>
      <c r="N1417">
        <f>IF(L1417="","",IF(ISNUMBER(INDEX(A1417:H1417,$P$1)),INDEX(A1417:H1417,$P$1),IFERROR(_xlfn.NUMBERVALUE(INDEX(A1417:H1417,$P$1),".",","),0)))</f>
        <v/>
      </c>
    </row>
    <row r="1418">
      <c r="L1418">
        <f>IF(A1418="","",IF(ISNUMBER(--LEFT(A1418,FIND(" - ",A1418&amp;" - ")-1)),LEFT(A1418,FIND(" - ",A1418&amp;" - ")-1),TRIM(A1418)))</f>
        <v/>
      </c>
      <c r="N1418">
        <f>IF(L1418="","",IF(ISNUMBER(INDEX(A1418:H1418,$P$1)),INDEX(A1418:H1418,$P$1),IFERROR(_xlfn.NUMBERVALUE(INDEX(A1418:H1418,$P$1),".",","),0)))</f>
        <v/>
      </c>
    </row>
    <row r="1419">
      <c r="L1419">
        <f>IF(A1419="","",IF(ISNUMBER(--LEFT(A1419,FIND(" - ",A1419&amp;" - ")-1)),LEFT(A1419,FIND(" - ",A1419&amp;" - ")-1),TRIM(A1419)))</f>
        <v/>
      </c>
      <c r="N1419">
        <f>IF(L1419="","",IF(ISNUMBER(INDEX(A1419:H1419,$P$1)),INDEX(A1419:H1419,$P$1),IFERROR(_xlfn.NUMBERVALUE(INDEX(A1419:H1419,$P$1),".",","),0)))</f>
        <v/>
      </c>
    </row>
    <row r="1420">
      <c r="L1420">
        <f>IF(A1420="","",IF(ISNUMBER(--LEFT(A1420,FIND(" - ",A1420&amp;" - ")-1)),LEFT(A1420,FIND(" - ",A1420&amp;" - ")-1),TRIM(A1420)))</f>
        <v/>
      </c>
      <c r="N1420">
        <f>IF(L1420="","",IF(ISNUMBER(INDEX(A1420:H1420,$P$1)),INDEX(A1420:H1420,$P$1),IFERROR(_xlfn.NUMBERVALUE(INDEX(A1420:H1420,$P$1),".",","),0)))</f>
        <v/>
      </c>
    </row>
    <row r="1421">
      <c r="L1421">
        <f>IF(A1421="","",IF(ISNUMBER(--LEFT(A1421,FIND(" - ",A1421&amp;" - ")-1)),LEFT(A1421,FIND(" - ",A1421&amp;" - ")-1),TRIM(A1421)))</f>
        <v/>
      </c>
      <c r="N1421">
        <f>IF(L1421="","",IF(ISNUMBER(INDEX(A1421:H1421,$P$1)),INDEX(A1421:H1421,$P$1),IFERROR(_xlfn.NUMBERVALUE(INDEX(A1421:H1421,$P$1),".",","),0)))</f>
        <v/>
      </c>
    </row>
    <row r="1422">
      <c r="L1422">
        <f>IF(A1422="","",IF(ISNUMBER(--LEFT(A1422,FIND(" - ",A1422&amp;" - ")-1)),LEFT(A1422,FIND(" - ",A1422&amp;" - ")-1),TRIM(A1422)))</f>
        <v/>
      </c>
      <c r="N1422">
        <f>IF(L1422="","",IF(ISNUMBER(INDEX(A1422:H1422,$P$1)),INDEX(A1422:H1422,$P$1),IFERROR(_xlfn.NUMBERVALUE(INDEX(A1422:H1422,$P$1),".",","),0)))</f>
        <v/>
      </c>
    </row>
    <row r="1423">
      <c r="L1423">
        <f>IF(A1423="","",IF(ISNUMBER(--LEFT(A1423,FIND(" - ",A1423&amp;" - ")-1)),LEFT(A1423,FIND(" - ",A1423&amp;" - ")-1),TRIM(A1423)))</f>
        <v/>
      </c>
      <c r="N1423">
        <f>IF(L1423="","",IF(ISNUMBER(INDEX(A1423:H1423,$P$1)),INDEX(A1423:H1423,$P$1),IFERROR(_xlfn.NUMBERVALUE(INDEX(A1423:H1423,$P$1),".",","),0)))</f>
        <v/>
      </c>
    </row>
    <row r="1424">
      <c r="L1424">
        <f>IF(A1424="","",IF(ISNUMBER(--LEFT(A1424,FIND(" - ",A1424&amp;" - ")-1)),LEFT(A1424,FIND(" - ",A1424&amp;" - ")-1),TRIM(A1424)))</f>
        <v/>
      </c>
      <c r="N1424">
        <f>IF(L1424="","",IF(ISNUMBER(INDEX(A1424:H1424,$P$1)),INDEX(A1424:H1424,$P$1),IFERROR(_xlfn.NUMBERVALUE(INDEX(A1424:H1424,$P$1),".",","),0)))</f>
        <v/>
      </c>
    </row>
    <row r="1425">
      <c r="L1425">
        <f>IF(A1425="","",IF(ISNUMBER(--LEFT(A1425,FIND(" - ",A1425&amp;" - ")-1)),LEFT(A1425,FIND(" - ",A1425&amp;" - ")-1),TRIM(A1425)))</f>
        <v/>
      </c>
      <c r="N1425">
        <f>IF(L1425="","",IF(ISNUMBER(INDEX(A1425:H1425,$P$1)),INDEX(A1425:H1425,$P$1),IFERROR(_xlfn.NUMBERVALUE(INDEX(A1425:H1425,$P$1),".",","),0)))</f>
        <v/>
      </c>
    </row>
    <row r="1426">
      <c r="L1426">
        <f>IF(A1426="","",IF(ISNUMBER(--LEFT(A1426,FIND(" - ",A1426&amp;" - ")-1)),LEFT(A1426,FIND(" - ",A1426&amp;" - ")-1),TRIM(A1426)))</f>
        <v/>
      </c>
      <c r="N1426">
        <f>IF(L1426="","",IF(ISNUMBER(INDEX(A1426:H1426,$P$1)),INDEX(A1426:H1426,$P$1),IFERROR(_xlfn.NUMBERVALUE(INDEX(A1426:H1426,$P$1),".",","),0)))</f>
        <v/>
      </c>
    </row>
    <row r="1427">
      <c r="L1427">
        <f>IF(A1427="","",IF(ISNUMBER(--LEFT(A1427,FIND(" - ",A1427&amp;" - ")-1)),LEFT(A1427,FIND(" - ",A1427&amp;" - ")-1),TRIM(A1427)))</f>
        <v/>
      </c>
      <c r="N1427">
        <f>IF(L1427="","",IF(ISNUMBER(INDEX(A1427:H1427,$P$1)),INDEX(A1427:H1427,$P$1),IFERROR(_xlfn.NUMBERVALUE(INDEX(A1427:H1427,$P$1),".",","),0)))</f>
        <v/>
      </c>
    </row>
    <row r="1428">
      <c r="L1428">
        <f>IF(A1428="","",IF(ISNUMBER(--LEFT(A1428,FIND(" - ",A1428&amp;" - ")-1)),LEFT(A1428,FIND(" - ",A1428&amp;" - ")-1),TRIM(A1428)))</f>
        <v/>
      </c>
      <c r="N1428">
        <f>IF(L1428="","",IF(ISNUMBER(INDEX(A1428:H1428,$P$1)),INDEX(A1428:H1428,$P$1),IFERROR(_xlfn.NUMBERVALUE(INDEX(A1428:H1428,$P$1),".",","),0)))</f>
        <v/>
      </c>
    </row>
    <row r="1429">
      <c r="L1429">
        <f>IF(A1429="","",IF(ISNUMBER(--LEFT(A1429,FIND(" - ",A1429&amp;" - ")-1)),LEFT(A1429,FIND(" - ",A1429&amp;" - ")-1),TRIM(A1429)))</f>
        <v/>
      </c>
      <c r="N1429">
        <f>IF(L1429="","",IF(ISNUMBER(INDEX(A1429:H1429,$P$1)),INDEX(A1429:H1429,$P$1),IFERROR(_xlfn.NUMBERVALUE(INDEX(A1429:H1429,$P$1),".",","),0)))</f>
        <v/>
      </c>
    </row>
    <row r="1430">
      <c r="L1430">
        <f>IF(A1430="","",IF(ISNUMBER(--LEFT(A1430,FIND(" - ",A1430&amp;" - ")-1)),LEFT(A1430,FIND(" - ",A1430&amp;" - ")-1),TRIM(A1430)))</f>
        <v/>
      </c>
      <c r="N1430">
        <f>IF(L1430="","",IF(ISNUMBER(INDEX(A1430:H1430,$P$1)),INDEX(A1430:H1430,$P$1),IFERROR(_xlfn.NUMBERVALUE(INDEX(A1430:H1430,$P$1),".",","),0)))</f>
        <v/>
      </c>
    </row>
    <row r="1431">
      <c r="L1431">
        <f>IF(A1431="","",IF(ISNUMBER(--LEFT(A1431,FIND(" - ",A1431&amp;" - ")-1)),LEFT(A1431,FIND(" - ",A1431&amp;" - ")-1),TRIM(A1431)))</f>
        <v/>
      </c>
      <c r="N1431">
        <f>IF(L1431="","",IF(ISNUMBER(INDEX(A1431:H1431,$P$1)),INDEX(A1431:H1431,$P$1),IFERROR(_xlfn.NUMBERVALUE(INDEX(A1431:H1431,$P$1),".",","),0)))</f>
        <v/>
      </c>
    </row>
    <row r="1432">
      <c r="L1432">
        <f>IF(A1432="","",IF(ISNUMBER(--LEFT(A1432,FIND(" - ",A1432&amp;" - ")-1)),LEFT(A1432,FIND(" - ",A1432&amp;" - ")-1),TRIM(A1432)))</f>
        <v/>
      </c>
      <c r="N1432">
        <f>IF(L1432="","",IF(ISNUMBER(INDEX(A1432:H1432,$P$1)),INDEX(A1432:H1432,$P$1),IFERROR(_xlfn.NUMBERVALUE(INDEX(A1432:H1432,$P$1),".",","),0)))</f>
        <v/>
      </c>
    </row>
    <row r="1433">
      <c r="L1433">
        <f>IF(A1433="","",IF(ISNUMBER(--LEFT(A1433,FIND(" - ",A1433&amp;" - ")-1)),LEFT(A1433,FIND(" - ",A1433&amp;" - ")-1),TRIM(A1433)))</f>
        <v/>
      </c>
      <c r="N1433">
        <f>IF(L1433="","",IF(ISNUMBER(INDEX(A1433:H1433,$P$1)),INDEX(A1433:H1433,$P$1),IFERROR(_xlfn.NUMBERVALUE(INDEX(A1433:H1433,$P$1),".",","),0)))</f>
        <v/>
      </c>
    </row>
    <row r="1434">
      <c r="L1434">
        <f>IF(A1434="","",IF(ISNUMBER(--LEFT(A1434,FIND(" - ",A1434&amp;" - ")-1)),LEFT(A1434,FIND(" - ",A1434&amp;" - ")-1),TRIM(A1434)))</f>
        <v/>
      </c>
      <c r="N1434">
        <f>IF(L1434="","",IF(ISNUMBER(INDEX(A1434:H1434,$P$1)),INDEX(A1434:H1434,$P$1),IFERROR(_xlfn.NUMBERVALUE(INDEX(A1434:H1434,$P$1),".",","),0)))</f>
        <v/>
      </c>
    </row>
    <row r="1435">
      <c r="L1435">
        <f>IF(A1435="","",IF(ISNUMBER(--LEFT(A1435,FIND(" - ",A1435&amp;" - ")-1)),LEFT(A1435,FIND(" - ",A1435&amp;" - ")-1),TRIM(A1435)))</f>
        <v/>
      </c>
      <c r="N1435">
        <f>IF(L1435="","",IF(ISNUMBER(INDEX(A1435:H1435,$P$1)),INDEX(A1435:H1435,$P$1),IFERROR(_xlfn.NUMBERVALUE(INDEX(A1435:H1435,$P$1),".",","),0)))</f>
        <v/>
      </c>
    </row>
    <row r="1436">
      <c r="L1436">
        <f>IF(A1436="","",IF(ISNUMBER(--LEFT(A1436,FIND(" - ",A1436&amp;" - ")-1)),LEFT(A1436,FIND(" - ",A1436&amp;" - ")-1),TRIM(A1436)))</f>
        <v/>
      </c>
      <c r="N1436">
        <f>IF(L1436="","",IF(ISNUMBER(INDEX(A1436:H1436,$P$1)),INDEX(A1436:H1436,$P$1),IFERROR(_xlfn.NUMBERVALUE(INDEX(A1436:H1436,$P$1),".",","),0)))</f>
        <v/>
      </c>
    </row>
    <row r="1437">
      <c r="L1437">
        <f>IF(A1437="","",IF(ISNUMBER(--LEFT(A1437,FIND(" - ",A1437&amp;" - ")-1)),LEFT(A1437,FIND(" - ",A1437&amp;" - ")-1),TRIM(A1437)))</f>
        <v/>
      </c>
      <c r="N1437">
        <f>IF(L1437="","",IF(ISNUMBER(INDEX(A1437:H1437,$P$1)),INDEX(A1437:H1437,$P$1),IFERROR(_xlfn.NUMBERVALUE(INDEX(A1437:H1437,$P$1),".",","),0)))</f>
        <v/>
      </c>
    </row>
    <row r="1438">
      <c r="L1438">
        <f>IF(A1438="","",IF(ISNUMBER(--LEFT(A1438,FIND(" - ",A1438&amp;" - ")-1)),LEFT(A1438,FIND(" - ",A1438&amp;" - ")-1),TRIM(A1438)))</f>
        <v/>
      </c>
      <c r="N1438">
        <f>IF(L1438="","",IF(ISNUMBER(INDEX(A1438:H1438,$P$1)),INDEX(A1438:H1438,$P$1),IFERROR(_xlfn.NUMBERVALUE(INDEX(A1438:H1438,$P$1),".",","),0)))</f>
        <v/>
      </c>
    </row>
    <row r="1439">
      <c r="L1439">
        <f>IF(A1439="","",IF(ISNUMBER(--LEFT(A1439,FIND(" - ",A1439&amp;" - ")-1)),LEFT(A1439,FIND(" - ",A1439&amp;" - ")-1),TRIM(A1439)))</f>
        <v/>
      </c>
      <c r="N1439">
        <f>IF(L1439="","",IF(ISNUMBER(INDEX(A1439:H1439,$P$1)),INDEX(A1439:H1439,$P$1),IFERROR(_xlfn.NUMBERVALUE(INDEX(A1439:H1439,$P$1),".",","),0)))</f>
        <v/>
      </c>
    </row>
    <row r="1440">
      <c r="L1440">
        <f>IF(A1440="","",IF(ISNUMBER(--LEFT(A1440,FIND(" - ",A1440&amp;" - ")-1)),LEFT(A1440,FIND(" - ",A1440&amp;" - ")-1),TRIM(A1440)))</f>
        <v/>
      </c>
      <c r="N1440">
        <f>IF(L1440="","",IF(ISNUMBER(INDEX(A1440:H1440,$P$1)),INDEX(A1440:H1440,$P$1),IFERROR(_xlfn.NUMBERVALUE(INDEX(A1440:H1440,$P$1),".",","),0)))</f>
        <v/>
      </c>
    </row>
    <row r="1441">
      <c r="L1441">
        <f>IF(A1441="","",IF(ISNUMBER(--LEFT(A1441,FIND(" - ",A1441&amp;" - ")-1)),LEFT(A1441,FIND(" - ",A1441&amp;" - ")-1),TRIM(A1441)))</f>
        <v/>
      </c>
      <c r="N1441">
        <f>IF(L1441="","",IF(ISNUMBER(INDEX(A1441:H1441,$P$1)),INDEX(A1441:H1441,$P$1),IFERROR(_xlfn.NUMBERVALUE(INDEX(A1441:H1441,$P$1),".",","),0)))</f>
        <v/>
      </c>
    </row>
    <row r="1442">
      <c r="L1442">
        <f>IF(A1442="","",IF(ISNUMBER(--LEFT(A1442,FIND(" - ",A1442&amp;" - ")-1)),LEFT(A1442,FIND(" - ",A1442&amp;" - ")-1),TRIM(A1442)))</f>
        <v/>
      </c>
      <c r="N1442">
        <f>IF(L1442="","",IF(ISNUMBER(INDEX(A1442:H1442,$P$1)),INDEX(A1442:H1442,$P$1),IFERROR(_xlfn.NUMBERVALUE(INDEX(A1442:H1442,$P$1),".",","),0)))</f>
        <v/>
      </c>
    </row>
    <row r="1443">
      <c r="L1443">
        <f>IF(A1443="","",IF(ISNUMBER(--LEFT(A1443,FIND(" - ",A1443&amp;" - ")-1)),LEFT(A1443,FIND(" - ",A1443&amp;" - ")-1),TRIM(A1443)))</f>
        <v/>
      </c>
      <c r="N1443">
        <f>IF(L1443="","",IF(ISNUMBER(INDEX(A1443:H1443,$P$1)),INDEX(A1443:H1443,$P$1),IFERROR(_xlfn.NUMBERVALUE(INDEX(A1443:H1443,$P$1),".",","),0)))</f>
        <v/>
      </c>
    </row>
    <row r="1444">
      <c r="L1444">
        <f>IF(A1444="","",IF(ISNUMBER(--LEFT(A1444,FIND(" - ",A1444&amp;" - ")-1)),LEFT(A1444,FIND(" - ",A1444&amp;" - ")-1),TRIM(A1444)))</f>
        <v/>
      </c>
      <c r="N1444">
        <f>IF(L1444="","",IF(ISNUMBER(INDEX(A1444:H1444,$P$1)),INDEX(A1444:H1444,$P$1),IFERROR(_xlfn.NUMBERVALUE(INDEX(A1444:H1444,$P$1),".",","),0)))</f>
        <v/>
      </c>
    </row>
    <row r="1445">
      <c r="L1445">
        <f>IF(A1445="","",IF(ISNUMBER(--LEFT(A1445,FIND(" - ",A1445&amp;" - ")-1)),LEFT(A1445,FIND(" - ",A1445&amp;" - ")-1),TRIM(A1445)))</f>
        <v/>
      </c>
      <c r="N1445">
        <f>IF(L1445="","",IF(ISNUMBER(INDEX(A1445:H1445,$P$1)),INDEX(A1445:H1445,$P$1),IFERROR(_xlfn.NUMBERVALUE(INDEX(A1445:H1445,$P$1),".",","),0)))</f>
        <v/>
      </c>
    </row>
    <row r="1446">
      <c r="L1446">
        <f>IF(A1446="","",IF(ISNUMBER(--LEFT(A1446,FIND(" - ",A1446&amp;" - ")-1)),LEFT(A1446,FIND(" - ",A1446&amp;" - ")-1),TRIM(A1446)))</f>
        <v/>
      </c>
      <c r="N1446">
        <f>IF(L1446="","",IF(ISNUMBER(INDEX(A1446:H1446,$P$1)),INDEX(A1446:H1446,$P$1),IFERROR(_xlfn.NUMBERVALUE(INDEX(A1446:H1446,$P$1),".",","),0)))</f>
        <v/>
      </c>
    </row>
    <row r="1447">
      <c r="L1447">
        <f>IF(A1447="","",IF(ISNUMBER(--LEFT(A1447,FIND(" - ",A1447&amp;" - ")-1)),LEFT(A1447,FIND(" - ",A1447&amp;" - ")-1),TRIM(A1447)))</f>
        <v/>
      </c>
      <c r="N1447">
        <f>IF(L1447="","",IF(ISNUMBER(INDEX(A1447:H1447,$P$1)),INDEX(A1447:H1447,$P$1),IFERROR(_xlfn.NUMBERVALUE(INDEX(A1447:H1447,$P$1),".",","),0)))</f>
        <v/>
      </c>
    </row>
    <row r="1448">
      <c r="L1448">
        <f>IF(A1448="","",IF(ISNUMBER(--LEFT(A1448,FIND(" - ",A1448&amp;" - ")-1)),LEFT(A1448,FIND(" - ",A1448&amp;" - ")-1),TRIM(A1448)))</f>
        <v/>
      </c>
      <c r="N1448">
        <f>IF(L1448="","",IF(ISNUMBER(INDEX(A1448:H1448,$P$1)),INDEX(A1448:H1448,$P$1),IFERROR(_xlfn.NUMBERVALUE(INDEX(A1448:H1448,$P$1),".",","),0)))</f>
        <v/>
      </c>
    </row>
    <row r="1449">
      <c r="L1449">
        <f>IF(A1449="","",IF(ISNUMBER(--LEFT(A1449,FIND(" - ",A1449&amp;" - ")-1)),LEFT(A1449,FIND(" - ",A1449&amp;" - ")-1),TRIM(A1449)))</f>
        <v/>
      </c>
      <c r="N1449">
        <f>IF(L1449="","",IF(ISNUMBER(INDEX(A1449:H1449,$P$1)),INDEX(A1449:H1449,$P$1),IFERROR(_xlfn.NUMBERVALUE(INDEX(A1449:H1449,$P$1),".",","),0)))</f>
        <v/>
      </c>
    </row>
    <row r="1450">
      <c r="L1450">
        <f>IF(A1450="","",IF(ISNUMBER(--LEFT(A1450,FIND(" - ",A1450&amp;" - ")-1)),LEFT(A1450,FIND(" - ",A1450&amp;" - ")-1),TRIM(A1450)))</f>
        <v/>
      </c>
      <c r="N1450">
        <f>IF(L1450="","",IF(ISNUMBER(INDEX(A1450:H1450,$P$1)),INDEX(A1450:H1450,$P$1),IFERROR(_xlfn.NUMBERVALUE(INDEX(A1450:H1450,$P$1),".",","),0)))</f>
        <v/>
      </c>
    </row>
    <row r="1451">
      <c r="L1451">
        <f>IF(A1451="","",IF(ISNUMBER(--LEFT(A1451,FIND(" - ",A1451&amp;" - ")-1)),LEFT(A1451,FIND(" - ",A1451&amp;" - ")-1),TRIM(A1451)))</f>
        <v/>
      </c>
      <c r="N1451">
        <f>IF(L1451="","",IF(ISNUMBER(INDEX(A1451:H1451,$P$1)),INDEX(A1451:H1451,$P$1),IFERROR(_xlfn.NUMBERVALUE(INDEX(A1451:H1451,$P$1),".",","),0)))</f>
        <v/>
      </c>
    </row>
    <row r="1452">
      <c r="L1452">
        <f>IF(A1452="","",IF(ISNUMBER(--LEFT(A1452,FIND(" - ",A1452&amp;" - ")-1)),LEFT(A1452,FIND(" - ",A1452&amp;" - ")-1),TRIM(A1452)))</f>
        <v/>
      </c>
      <c r="N1452">
        <f>IF(L1452="","",IF(ISNUMBER(INDEX(A1452:H1452,$P$1)),INDEX(A1452:H1452,$P$1),IFERROR(_xlfn.NUMBERVALUE(INDEX(A1452:H1452,$P$1),".",","),0)))</f>
        <v/>
      </c>
    </row>
    <row r="1453">
      <c r="L1453">
        <f>IF(A1453="","",IF(ISNUMBER(--LEFT(A1453,FIND(" - ",A1453&amp;" - ")-1)),LEFT(A1453,FIND(" - ",A1453&amp;" - ")-1),TRIM(A1453)))</f>
        <v/>
      </c>
      <c r="N1453">
        <f>IF(L1453="","",IF(ISNUMBER(INDEX(A1453:H1453,$P$1)),INDEX(A1453:H1453,$P$1),IFERROR(_xlfn.NUMBERVALUE(INDEX(A1453:H1453,$P$1),".",","),0)))</f>
        <v/>
      </c>
    </row>
    <row r="1454">
      <c r="L1454">
        <f>IF(A1454="","",IF(ISNUMBER(--LEFT(A1454,FIND(" - ",A1454&amp;" - ")-1)),LEFT(A1454,FIND(" - ",A1454&amp;" - ")-1),TRIM(A1454)))</f>
        <v/>
      </c>
      <c r="N1454">
        <f>IF(L1454="","",IF(ISNUMBER(INDEX(A1454:H1454,$P$1)),INDEX(A1454:H1454,$P$1),IFERROR(_xlfn.NUMBERVALUE(INDEX(A1454:H1454,$P$1),".",","),0)))</f>
        <v/>
      </c>
    </row>
    <row r="1455">
      <c r="L1455">
        <f>IF(A1455="","",IF(ISNUMBER(--LEFT(A1455,FIND(" - ",A1455&amp;" - ")-1)),LEFT(A1455,FIND(" - ",A1455&amp;" - ")-1),TRIM(A1455)))</f>
        <v/>
      </c>
      <c r="N1455">
        <f>IF(L1455="","",IF(ISNUMBER(INDEX(A1455:H1455,$P$1)),INDEX(A1455:H1455,$P$1),IFERROR(_xlfn.NUMBERVALUE(INDEX(A1455:H1455,$P$1),".",","),0)))</f>
        <v/>
      </c>
    </row>
    <row r="1456">
      <c r="L1456">
        <f>IF(A1456="","",IF(ISNUMBER(--LEFT(A1456,FIND(" - ",A1456&amp;" - ")-1)),LEFT(A1456,FIND(" - ",A1456&amp;" - ")-1),TRIM(A1456)))</f>
        <v/>
      </c>
      <c r="N1456">
        <f>IF(L1456="","",IF(ISNUMBER(INDEX(A1456:H1456,$P$1)),INDEX(A1456:H1456,$P$1),IFERROR(_xlfn.NUMBERVALUE(INDEX(A1456:H1456,$P$1),".",","),0)))</f>
        <v/>
      </c>
    </row>
    <row r="1457">
      <c r="L1457">
        <f>IF(A1457="","",IF(ISNUMBER(--LEFT(A1457,FIND(" - ",A1457&amp;" - ")-1)),LEFT(A1457,FIND(" - ",A1457&amp;" - ")-1),TRIM(A1457)))</f>
        <v/>
      </c>
      <c r="N1457">
        <f>IF(L1457="","",IF(ISNUMBER(INDEX(A1457:H1457,$P$1)),INDEX(A1457:H1457,$P$1),IFERROR(_xlfn.NUMBERVALUE(INDEX(A1457:H1457,$P$1),".",","),0)))</f>
        <v/>
      </c>
    </row>
    <row r="1458">
      <c r="L1458">
        <f>IF(A1458="","",IF(ISNUMBER(--LEFT(A1458,FIND(" - ",A1458&amp;" - ")-1)),LEFT(A1458,FIND(" - ",A1458&amp;" - ")-1),TRIM(A1458)))</f>
        <v/>
      </c>
      <c r="N1458">
        <f>IF(L1458="","",IF(ISNUMBER(INDEX(A1458:H1458,$P$1)),INDEX(A1458:H1458,$P$1),IFERROR(_xlfn.NUMBERVALUE(INDEX(A1458:H1458,$P$1),".",","),0)))</f>
        <v/>
      </c>
    </row>
    <row r="1459">
      <c r="L1459">
        <f>IF(A1459="","",IF(ISNUMBER(--LEFT(A1459,FIND(" - ",A1459&amp;" - ")-1)),LEFT(A1459,FIND(" - ",A1459&amp;" - ")-1),TRIM(A1459)))</f>
        <v/>
      </c>
      <c r="N1459">
        <f>IF(L1459="","",IF(ISNUMBER(INDEX(A1459:H1459,$P$1)),INDEX(A1459:H1459,$P$1),IFERROR(_xlfn.NUMBERVALUE(INDEX(A1459:H1459,$P$1),".",","),0)))</f>
        <v/>
      </c>
    </row>
    <row r="1460">
      <c r="L1460">
        <f>IF(A1460="","",IF(ISNUMBER(--LEFT(A1460,FIND(" - ",A1460&amp;" - ")-1)),LEFT(A1460,FIND(" - ",A1460&amp;" - ")-1),TRIM(A1460)))</f>
        <v/>
      </c>
      <c r="N1460">
        <f>IF(L1460="","",IF(ISNUMBER(INDEX(A1460:H1460,$P$1)),INDEX(A1460:H1460,$P$1),IFERROR(_xlfn.NUMBERVALUE(INDEX(A1460:H1460,$P$1),".",","),0)))</f>
        <v/>
      </c>
    </row>
    <row r="1461">
      <c r="L1461">
        <f>IF(A1461="","",IF(ISNUMBER(--LEFT(A1461,FIND(" - ",A1461&amp;" - ")-1)),LEFT(A1461,FIND(" - ",A1461&amp;" - ")-1),TRIM(A1461)))</f>
        <v/>
      </c>
      <c r="N1461">
        <f>IF(L1461="","",IF(ISNUMBER(INDEX(A1461:H1461,$P$1)),INDEX(A1461:H1461,$P$1),IFERROR(_xlfn.NUMBERVALUE(INDEX(A1461:H1461,$P$1),".",","),0)))</f>
        <v/>
      </c>
    </row>
    <row r="1462">
      <c r="L1462">
        <f>IF(A1462="","",IF(ISNUMBER(--LEFT(A1462,FIND(" - ",A1462&amp;" - ")-1)),LEFT(A1462,FIND(" - ",A1462&amp;" - ")-1),TRIM(A1462)))</f>
        <v/>
      </c>
      <c r="N1462">
        <f>IF(L1462="","",IF(ISNUMBER(INDEX(A1462:H1462,$P$1)),INDEX(A1462:H1462,$P$1),IFERROR(_xlfn.NUMBERVALUE(INDEX(A1462:H1462,$P$1),".",","),0)))</f>
        <v/>
      </c>
    </row>
    <row r="1463">
      <c r="L1463">
        <f>IF(A1463="","",IF(ISNUMBER(--LEFT(A1463,FIND(" - ",A1463&amp;" - ")-1)),LEFT(A1463,FIND(" - ",A1463&amp;" - ")-1),TRIM(A1463)))</f>
        <v/>
      </c>
      <c r="N1463">
        <f>IF(L1463="","",IF(ISNUMBER(INDEX(A1463:H1463,$P$1)),INDEX(A1463:H1463,$P$1),IFERROR(_xlfn.NUMBERVALUE(INDEX(A1463:H1463,$P$1),".",","),0)))</f>
        <v/>
      </c>
    </row>
    <row r="1464">
      <c r="L1464">
        <f>IF(A1464="","",IF(ISNUMBER(--LEFT(A1464,FIND(" - ",A1464&amp;" - ")-1)),LEFT(A1464,FIND(" - ",A1464&amp;" - ")-1),TRIM(A1464)))</f>
        <v/>
      </c>
      <c r="N1464">
        <f>IF(L1464="","",IF(ISNUMBER(INDEX(A1464:H1464,$P$1)),INDEX(A1464:H1464,$P$1),IFERROR(_xlfn.NUMBERVALUE(INDEX(A1464:H1464,$P$1),".",","),0)))</f>
        <v/>
      </c>
    </row>
    <row r="1465">
      <c r="L1465">
        <f>IF(A1465="","",IF(ISNUMBER(--LEFT(A1465,FIND(" - ",A1465&amp;" - ")-1)),LEFT(A1465,FIND(" - ",A1465&amp;" - ")-1),TRIM(A1465)))</f>
        <v/>
      </c>
      <c r="N1465">
        <f>IF(L1465="","",IF(ISNUMBER(INDEX(A1465:H1465,$P$1)),INDEX(A1465:H1465,$P$1),IFERROR(_xlfn.NUMBERVALUE(INDEX(A1465:H1465,$P$1),".",","),0)))</f>
        <v/>
      </c>
    </row>
    <row r="1466">
      <c r="L1466">
        <f>IF(A1466="","",IF(ISNUMBER(--LEFT(A1466,FIND(" - ",A1466&amp;" - ")-1)),LEFT(A1466,FIND(" - ",A1466&amp;" - ")-1),TRIM(A1466)))</f>
        <v/>
      </c>
      <c r="N1466">
        <f>IF(L1466="","",IF(ISNUMBER(INDEX(A1466:H1466,$P$1)),INDEX(A1466:H1466,$P$1),IFERROR(_xlfn.NUMBERVALUE(INDEX(A1466:H1466,$P$1),".",","),0)))</f>
        <v/>
      </c>
    </row>
    <row r="1467">
      <c r="L1467">
        <f>IF(A1467="","",IF(ISNUMBER(--LEFT(A1467,FIND(" - ",A1467&amp;" - ")-1)),LEFT(A1467,FIND(" - ",A1467&amp;" - ")-1),TRIM(A1467)))</f>
        <v/>
      </c>
      <c r="N1467">
        <f>IF(L1467="","",IF(ISNUMBER(INDEX(A1467:H1467,$P$1)),INDEX(A1467:H1467,$P$1),IFERROR(_xlfn.NUMBERVALUE(INDEX(A1467:H1467,$P$1),".",","),0)))</f>
        <v/>
      </c>
    </row>
    <row r="1468">
      <c r="L1468">
        <f>IF(A1468="","",IF(ISNUMBER(--LEFT(A1468,FIND(" - ",A1468&amp;" - ")-1)),LEFT(A1468,FIND(" - ",A1468&amp;" - ")-1),TRIM(A1468)))</f>
        <v/>
      </c>
      <c r="N1468">
        <f>IF(L1468="","",IF(ISNUMBER(INDEX(A1468:H1468,$P$1)),INDEX(A1468:H1468,$P$1),IFERROR(_xlfn.NUMBERVALUE(INDEX(A1468:H1468,$P$1),".",","),0)))</f>
        <v/>
      </c>
    </row>
    <row r="1469">
      <c r="L1469">
        <f>IF(A1469="","",IF(ISNUMBER(--LEFT(A1469,FIND(" - ",A1469&amp;" - ")-1)),LEFT(A1469,FIND(" - ",A1469&amp;" - ")-1),TRIM(A1469)))</f>
        <v/>
      </c>
      <c r="N1469">
        <f>IF(L1469="","",IF(ISNUMBER(INDEX(A1469:H1469,$P$1)),INDEX(A1469:H1469,$P$1),IFERROR(_xlfn.NUMBERVALUE(INDEX(A1469:H1469,$P$1),".",","),0)))</f>
        <v/>
      </c>
    </row>
    <row r="1470">
      <c r="L1470">
        <f>IF(A1470="","",IF(ISNUMBER(--LEFT(A1470,FIND(" - ",A1470&amp;" - ")-1)),LEFT(A1470,FIND(" - ",A1470&amp;" - ")-1),TRIM(A1470)))</f>
        <v/>
      </c>
      <c r="N1470">
        <f>IF(L1470="","",IF(ISNUMBER(INDEX(A1470:H1470,$P$1)),INDEX(A1470:H1470,$P$1),IFERROR(_xlfn.NUMBERVALUE(INDEX(A1470:H1470,$P$1),".",","),0)))</f>
        <v/>
      </c>
    </row>
    <row r="1471">
      <c r="L1471">
        <f>IF(A1471="","",IF(ISNUMBER(--LEFT(A1471,FIND(" - ",A1471&amp;" - ")-1)),LEFT(A1471,FIND(" - ",A1471&amp;" - ")-1),TRIM(A1471)))</f>
        <v/>
      </c>
      <c r="N1471">
        <f>IF(L1471="","",IF(ISNUMBER(INDEX(A1471:H1471,$P$1)),INDEX(A1471:H1471,$P$1),IFERROR(_xlfn.NUMBERVALUE(INDEX(A1471:H1471,$P$1),".",","),0)))</f>
        <v/>
      </c>
    </row>
    <row r="1472">
      <c r="L1472">
        <f>IF(A1472="","",IF(ISNUMBER(--LEFT(A1472,FIND(" - ",A1472&amp;" - ")-1)),LEFT(A1472,FIND(" - ",A1472&amp;" - ")-1),TRIM(A1472)))</f>
        <v/>
      </c>
      <c r="N1472">
        <f>IF(L1472="","",IF(ISNUMBER(INDEX(A1472:H1472,$P$1)),INDEX(A1472:H1472,$P$1),IFERROR(_xlfn.NUMBERVALUE(INDEX(A1472:H1472,$P$1),".",","),0)))</f>
        <v/>
      </c>
    </row>
    <row r="1473">
      <c r="L1473">
        <f>IF(A1473="","",IF(ISNUMBER(--LEFT(A1473,FIND(" - ",A1473&amp;" - ")-1)),LEFT(A1473,FIND(" - ",A1473&amp;" - ")-1),TRIM(A1473)))</f>
        <v/>
      </c>
      <c r="N1473">
        <f>IF(L1473="","",IF(ISNUMBER(INDEX(A1473:H1473,$P$1)),INDEX(A1473:H1473,$P$1),IFERROR(_xlfn.NUMBERVALUE(INDEX(A1473:H1473,$P$1),".",","),0)))</f>
        <v/>
      </c>
    </row>
    <row r="1474">
      <c r="L1474">
        <f>IF(A1474="","",IF(ISNUMBER(--LEFT(A1474,FIND(" - ",A1474&amp;" - ")-1)),LEFT(A1474,FIND(" - ",A1474&amp;" - ")-1),TRIM(A1474)))</f>
        <v/>
      </c>
      <c r="N1474">
        <f>IF(L1474="","",IF(ISNUMBER(INDEX(A1474:H1474,$P$1)),INDEX(A1474:H1474,$P$1),IFERROR(_xlfn.NUMBERVALUE(INDEX(A1474:H1474,$P$1),".",","),0)))</f>
        <v/>
      </c>
    </row>
    <row r="1475">
      <c r="L1475">
        <f>IF(A1475="","",IF(ISNUMBER(--LEFT(A1475,FIND(" - ",A1475&amp;" - ")-1)),LEFT(A1475,FIND(" - ",A1475&amp;" - ")-1),TRIM(A1475)))</f>
        <v/>
      </c>
      <c r="N1475">
        <f>IF(L1475="","",IF(ISNUMBER(INDEX(A1475:H1475,$P$1)),INDEX(A1475:H1475,$P$1),IFERROR(_xlfn.NUMBERVALUE(INDEX(A1475:H1475,$P$1),".",","),0)))</f>
        <v/>
      </c>
    </row>
    <row r="1476">
      <c r="L1476">
        <f>IF(A1476="","",IF(ISNUMBER(--LEFT(A1476,FIND(" - ",A1476&amp;" - ")-1)),LEFT(A1476,FIND(" - ",A1476&amp;" - ")-1),TRIM(A1476)))</f>
        <v/>
      </c>
      <c r="N1476">
        <f>IF(L1476="","",IF(ISNUMBER(INDEX(A1476:H1476,$P$1)),INDEX(A1476:H1476,$P$1),IFERROR(_xlfn.NUMBERVALUE(INDEX(A1476:H1476,$P$1),".",","),0)))</f>
        <v/>
      </c>
    </row>
    <row r="1477">
      <c r="L1477">
        <f>IF(A1477="","",IF(ISNUMBER(--LEFT(A1477,FIND(" - ",A1477&amp;" - ")-1)),LEFT(A1477,FIND(" - ",A1477&amp;" - ")-1),TRIM(A1477)))</f>
        <v/>
      </c>
      <c r="N1477">
        <f>IF(L1477="","",IF(ISNUMBER(INDEX(A1477:H1477,$P$1)),INDEX(A1477:H1477,$P$1),IFERROR(_xlfn.NUMBERVALUE(INDEX(A1477:H1477,$P$1),".",","),0)))</f>
        <v/>
      </c>
    </row>
    <row r="1478">
      <c r="L1478">
        <f>IF(A1478="","",IF(ISNUMBER(--LEFT(A1478,FIND(" - ",A1478&amp;" - ")-1)),LEFT(A1478,FIND(" - ",A1478&amp;" - ")-1),TRIM(A1478)))</f>
        <v/>
      </c>
      <c r="N1478">
        <f>IF(L1478="","",IF(ISNUMBER(INDEX(A1478:H1478,$P$1)),INDEX(A1478:H1478,$P$1),IFERROR(_xlfn.NUMBERVALUE(INDEX(A1478:H1478,$P$1),".",","),0)))</f>
        <v/>
      </c>
    </row>
    <row r="1479">
      <c r="L1479">
        <f>IF(A1479="","",IF(ISNUMBER(--LEFT(A1479,FIND(" - ",A1479&amp;" - ")-1)),LEFT(A1479,FIND(" - ",A1479&amp;" - ")-1),TRIM(A1479)))</f>
        <v/>
      </c>
      <c r="N1479">
        <f>IF(L1479="","",IF(ISNUMBER(INDEX(A1479:H1479,$P$1)),INDEX(A1479:H1479,$P$1),IFERROR(_xlfn.NUMBERVALUE(INDEX(A1479:H1479,$P$1),".",","),0)))</f>
        <v/>
      </c>
    </row>
    <row r="1480">
      <c r="L1480">
        <f>IF(A1480="","",IF(ISNUMBER(--LEFT(A1480,FIND(" - ",A1480&amp;" - ")-1)),LEFT(A1480,FIND(" - ",A1480&amp;" - ")-1),TRIM(A1480)))</f>
        <v/>
      </c>
      <c r="N1480">
        <f>IF(L1480="","",IF(ISNUMBER(INDEX(A1480:H1480,$P$1)),INDEX(A1480:H1480,$P$1),IFERROR(_xlfn.NUMBERVALUE(INDEX(A1480:H1480,$P$1),".",","),0)))</f>
        <v/>
      </c>
    </row>
    <row r="1481">
      <c r="L1481">
        <f>IF(A1481="","",IF(ISNUMBER(--LEFT(A1481,FIND(" - ",A1481&amp;" - ")-1)),LEFT(A1481,FIND(" - ",A1481&amp;" - ")-1),TRIM(A1481)))</f>
        <v/>
      </c>
      <c r="N1481">
        <f>IF(L1481="","",IF(ISNUMBER(INDEX(A1481:H1481,$P$1)),INDEX(A1481:H1481,$P$1),IFERROR(_xlfn.NUMBERVALUE(INDEX(A1481:H1481,$P$1),".",","),0)))</f>
        <v/>
      </c>
    </row>
    <row r="1482">
      <c r="L1482">
        <f>IF(A1482="","",IF(ISNUMBER(--LEFT(A1482,FIND(" - ",A1482&amp;" - ")-1)),LEFT(A1482,FIND(" - ",A1482&amp;" - ")-1),TRIM(A1482)))</f>
        <v/>
      </c>
      <c r="N1482">
        <f>IF(L1482="","",IF(ISNUMBER(INDEX(A1482:H1482,$P$1)),INDEX(A1482:H1482,$P$1),IFERROR(_xlfn.NUMBERVALUE(INDEX(A1482:H1482,$P$1),".",","),0)))</f>
        <v/>
      </c>
    </row>
    <row r="1483">
      <c r="L1483">
        <f>IF(A1483="","",IF(ISNUMBER(--LEFT(A1483,FIND(" - ",A1483&amp;" - ")-1)),LEFT(A1483,FIND(" - ",A1483&amp;" - ")-1),TRIM(A1483)))</f>
        <v/>
      </c>
      <c r="N1483">
        <f>IF(L1483="","",IF(ISNUMBER(INDEX(A1483:H1483,$P$1)),INDEX(A1483:H1483,$P$1),IFERROR(_xlfn.NUMBERVALUE(INDEX(A1483:H1483,$P$1),".",","),0)))</f>
        <v/>
      </c>
    </row>
    <row r="1484">
      <c r="L1484">
        <f>IF(A1484="","",IF(ISNUMBER(--LEFT(A1484,FIND(" - ",A1484&amp;" - ")-1)),LEFT(A1484,FIND(" - ",A1484&amp;" - ")-1),TRIM(A1484)))</f>
        <v/>
      </c>
      <c r="N1484">
        <f>IF(L1484="","",IF(ISNUMBER(INDEX(A1484:H1484,$P$1)),INDEX(A1484:H1484,$P$1),IFERROR(_xlfn.NUMBERVALUE(INDEX(A1484:H1484,$P$1),".",","),0)))</f>
        <v/>
      </c>
    </row>
    <row r="1485">
      <c r="L1485">
        <f>IF(A1485="","",IF(ISNUMBER(--LEFT(A1485,FIND(" - ",A1485&amp;" - ")-1)),LEFT(A1485,FIND(" - ",A1485&amp;" - ")-1),TRIM(A1485)))</f>
        <v/>
      </c>
      <c r="N1485">
        <f>IF(L1485="","",IF(ISNUMBER(INDEX(A1485:H1485,$P$1)),INDEX(A1485:H1485,$P$1),IFERROR(_xlfn.NUMBERVALUE(INDEX(A1485:H1485,$P$1),".",","),0)))</f>
        <v/>
      </c>
    </row>
    <row r="1486">
      <c r="L1486">
        <f>IF(A1486="","",IF(ISNUMBER(--LEFT(A1486,FIND(" - ",A1486&amp;" - ")-1)),LEFT(A1486,FIND(" - ",A1486&amp;" - ")-1),TRIM(A1486)))</f>
        <v/>
      </c>
      <c r="N1486">
        <f>IF(L1486="","",IF(ISNUMBER(INDEX(A1486:H1486,$P$1)),INDEX(A1486:H1486,$P$1),IFERROR(_xlfn.NUMBERVALUE(INDEX(A1486:H1486,$P$1),".",","),0)))</f>
        <v/>
      </c>
    </row>
    <row r="1487">
      <c r="L1487">
        <f>IF(A1487="","",IF(ISNUMBER(--LEFT(A1487,FIND(" - ",A1487&amp;" - ")-1)),LEFT(A1487,FIND(" - ",A1487&amp;" - ")-1),TRIM(A1487)))</f>
        <v/>
      </c>
      <c r="N1487">
        <f>IF(L1487="","",IF(ISNUMBER(INDEX(A1487:H1487,$P$1)),INDEX(A1487:H1487,$P$1),IFERROR(_xlfn.NUMBERVALUE(INDEX(A1487:H1487,$P$1),".",","),0)))</f>
        <v/>
      </c>
    </row>
    <row r="1488">
      <c r="L1488">
        <f>IF(A1488="","",IF(ISNUMBER(--LEFT(A1488,FIND(" - ",A1488&amp;" - ")-1)),LEFT(A1488,FIND(" - ",A1488&amp;" - ")-1),TRIM(A1488)))</f>
        <v/>
      </c>
      <c r="N1488">
        <f>IF(L1488="","",IF(ISNUMBER(INDEX(A1488:H1488,$P$1)),INDEX(A1488:H1488,$P$1),IFERROR(_xlfn.NUMBERVALUE(INDEX(A1488:H1488,$P$1),".",","),0)))</f>
        <v/>
      </c>
    </row>
    <row r="1489">
      <c r="L1489">
        <f>IF(A1489="","",IF(ISNUMBER(--LEFT(A1489,FIND(" - ",A1489&amp;" - ")-1)),LEFT(A1489,FIND(" - ",A1489&amp;" - ")-1),TRIM(A1489)))</f>
        <v/>
      </c>
      <c r="N1489">
        <f>IF(L1489="","",IF(ISNUMBER(INDEX(A1489:H1489,$P$1)),INDEX(A1489:H1489,$P$1),IFERROR(_xlfn.NUMBERVALUE(INDEX(A1489:H1489,$P$1),".",","),0)))</f>
        <v/>
      </c>
    </row>
    <row r="1490">
      <c r="L1490">
        <f>IF(A1490="","",IF(ISNUMBER(--LEFT(A1490,FIND(" - ",A1490&amp;" - ")-1)),LEFT(A1490,FIND(" - ",A1490&amp;" - ")-1),TRIM(A1490)))</f>
        <v/>
      </c>
      <c r="N1490">
        <f>IF(L1490="","",IF(ISNUMBER(INDEX(A1490:H1490,$P$1)),INDEX(A1490:H1490,$P$1),IFERROR(_xlfn.NUMBERVALUE(INDEX(A1490:H1490,$P$1),".",","),0)))</f>
        <v/>
      </c>
    </row>
    <row r="1491">
      <c r="L1491">
        <f>IF(A1491="","",IF(ISNUMBER(--LEFT(A1491,FIND(" - ",A1491&amp;" - ")-1)),LEFT(A1491,FIND(" - ",A1491&amp;" - ")-1),TRIM(A1491)))</f>
        <v/>
      </c>
      <c r="N1491">
        <f>IF(L1491="","",IF(ISNUMBER(INDEX(A1491:H1491,$P$1)),INDEX(A1491:H1491,$P$1),IFERROR(_xlfn.NUMBERVALUE(INDEX(A1491:H1491,$P$1),".",","),0)))</f>
        <v/>
      </c>
    </row>
    <row r="1492">
      <c r="L1492">
        <f>IF(A1492="","",IF(ISNUMBER(--LEFT(A1492,FIND(" - ",A1492&amp;" - ")-1)),LEFT(A1492,FIND(" - ",A1492&amp;" - ")-1),TRIM(A1492)))</f>
        <v/>
      </c>
      <c r="N1492">
        <f>IF(L1492="","",IF(ISNUMBER(INDEX(A1492:H1492,$P$1)),INDEX(A1492:H1492,$P$1),IFERROR(_xlfn.NUMBERVALUE(INDEX(A1492:H1492,$P$1),".",","),0)))</f>
        <v/>
      </c>
    </row>
    <row r="1493">
      <c r="L1493">
        <f>IF(A1493="","",IF(ISNUMBER(--LEFT(A1493,FIND(" - ",A1493&amp;" - ")-1)),LEFT(A1493,FIND(" - ",A1493&amp;" - ")-1),TRIM(A1493)))</f>
        <v/>
      </c>
      <c r="N1493">
        <f>IF(L1493="","",IF(ISNUMBER(INDEX(A1493:H1493,$P$1)),INDEX(A1493:H1493,$P$1),IFERROR(_xlfn.NUMBERVALUE(INDEX(A1493:H1493,$P$1),".",","),0)))</f>
        <v/>
      </c>
    </row>
    <row r="1494">
      <c r="L1494">
        <f>IF(A1494="","",IF(ISNUMBER(--LEFT(A1494,FIND(" - ",A1494&amp;" - ")-1)),LEFT(A1494,FIND(" - ",A1494&amp;" - ")-1),TRIM(A1494)))</f>
        <v/>
      </c>
      <c r="N1494">
        <f>IF(L1494="","",IF(ISNUMBER(INDEX(A1494:H1494,$P$1)),INDEX(A1494:H1494,$P$1),IFERROR(_xlfn.NUMBERVALUE(INDEX(A1494:H1494,$P$1),".",","),0)))</f>
        <v/>
      </c>
    </row>
    <row r="1495">
      <c r="L1495">
        <f>IF(A1495="","",IF(ISNUMBER(--LEFT(A1495,FIND(" - ",A1495&amp;" - ")-1)),LEFT(A1495,FIND(" - ",A1495&amp;" - ")-1),TRIM(A1495)))</f>
        <v/>
      </c>
      <c r="N1495">
        <f>IF(L1495="","",IF(ISNUMBER(INDEX(A1495:H1495,$P$1)),INDEX(A1495:H1495,$P$1),IFERROR(_xlfn.NUMBERVALUE(INDEX(A1495:H1495,$P$1),".",","),0)))</f>
        <v/>
      </c>
    </row>
    <row r="1496">
      <c r="L1496">
        <f>IF(A1496="","",IF(ISNUMBER(--LEFT(A1496,FIND(" - ",A1496&amp;" - ")-1)),LEFT(A1496,FIND(" - ",A1496&amp;" - ")-1),TRIM(A1496)))</f>
        <v/>
      </c>
      <c r="N1496">
        <f>IF(L1496="","",IF(ISNUMBER(INDEX(A1496:H1496,$P$1)),INDEX(A1496:H1496,$P$1),IFERROR(_xlfn.NUMBERVALUE(INDEX(A1496:H1496,$P$1),".",","),0)))</f>
        <v/>
      </c>
    </row>
    <row r="1497">
      <c r="L1497">
        <f>IF(A1497="","",IF(ISNUMBER(--LEFT(A1497,FIND(" - ",A1497&amp;" - ")-1)),LEFT(A1497,FIND(" - ",A1497&amp;" - ")-1),TRIM(A1497)))</f>
        <v/>
      </c>
      <c r="N1497">
        <f>IF(L1497="","",IF(ISNUMBER(INDEX(A1497:H1497,$P$1)),INDEX(A1497:H1497,$P$1),IFERROR(_xlfn.NUMBERVALUE(INDEX(A1497:H1497,$P$1),".",","),0)))</f>
        <v/>
      </c>
    </row>
    <row r="1498">
      <c r="L1498">
        <f>IF(A1498="","",IF(ISNUMBER(--LEFT(A1498,FIND(" - ",A1498&amp;" - ")-1)),LEFT(A1498,FIND(" - ",A1498&amp;" - ")-1),TRIM(A1498)))</f>
        <v/>
      </c>
      <c r="N1498">
        <f>IF(L1498="","",IF(ISNUMBER(INDEX(A1498:H1498,$P$1)),INDEX(A1498:H1498,$P$1),IFERROR(_xlfn.NUMBERVALUE(INDEX(A1498:H1498,$P$1),".",","),0)))</f>
        <v/>
      </c>
    </row>
    <row r="1499">
      <c r="L1499">
        <f>IF(A1499="","",IF(ISNUMBER(--LEFT(A1499,FIND(" - ",A1499&amp;" - ")-1)),LEFT(A1499,FIND(" - ",A1499&amp;" - ")-1),TRIM(A1499)))</f>
        <v/>
      </c>
      <c r="N1499">
        <f>IF(L1499="","",IF(ISNUMBER(INDEX(A1499:H1499,$P$1)),INDEX(A1499:H1499,$P$1),IFERROR(_xlfn.NUMBERVALUE(INDEX(A1499:H1499,$P$1),".",","),0)))</f>
        <v/>
      </c>
    </row>
    <row r="1500">
      <c r="L1500">
        <f>IF(A1500="","",IF(ISNUMBER(--LEFT(A1500,FIND(" - ",A1500&amp;" - ")-1)),LEFT(A1500,FIND(" - ",A1500&amp;" - ")-1),TRIM(A1500)))</f>
        <v/>
      </c>
      <c r="N1500">
        <f>IF(L1500="","",IF(ISNUMBER(INDEX(A1500:H1500,$P$1)),INDEX(A1500:H1500,$P$1),IFERROR(_xlfn.NUMBERVALUE(INDEX(A1500:H1500,$P$1),".",","),0)))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J1:Q1500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J1" s="71" t="inlineStr">
        <is>
          <t>◀ DÁN VÀO Ô A1 (cột A–H). Cột K–O là công thức, đừng xóa.</t>
        </is>
      </c>
      <c r="L1">
        <f>IF(A1="","",IF(ISNUMBER(--LEFT(A1,FIND(" - ",A1&amp;" - ")-1)),LEFT(A1,FIND(" - ",A1&amp;" - ")-1),TRIM(A1)))</f>
        <v/>
      </c>
      <c r="N1">
        <f>IF(L1="","",IF(ISNUMBER(INDEX(A1:H1,$P$1)),INDEX(A1:H1,$P$1),IFERROR(_xlfn.NUMBERVALUE(INDEX(A1:H1,$P$1),".",","),0)))</f>
        <v/>
      </c>
      <c r="P1">
        <f>IFERROR(MATCH("DOANH THU*",A1:H1,0),IFERROR(MATCH("DOANH THU*",A2:H2,0),IFERROR(MATCH("DOANH THU*",A3:H3,0),3)))</f>
        <v/>
      </c>
      <c r="Q1" t="inlineStr">
        <is>
          <t>← cột DOANH THU</t>
        </is>
      </c>
    </row>
    <row r="2">
      <c r="J2" s="58" t="inlineStr">
        <is>
          <t>Trang Doanh thu hợp nhất · DT quy đổi · Realtime · tab Nhân viên · bôi đen cả bảng · dán</t>
        </is>
      </c>
      <c r="L2">
        <f>IF(A2="","",IF(ISNUMBER(--LEFT(A2,FIND(" - ",A2&amp;" - ")-1)),LEFT(A2,FIND(" - ",A2&amp;" - ")-1),TRIM(A2)))</f>
        <v/>
      </c>
      <c r="N2">
        <f>IF(L2="","",IF(ISNUMBER(INDEX(A2:H2,$P$1)),INDEX(A2:H2,$P$1),IFERROR(_xlfn.NUMBERVALUE(INDEX(A2:H2,$P$1),".",","),0)))</f>
        <v/>
      </c>
    </row>
    <row r="3">
      <c r="J3" s="72" t="inlineStr">
        <is>
          <t>Giống bảng lũy kế</t>
        </is>
      </c>
      <c r="L3">
        <f>IF(A3="","",IF(ISNUMBER(--LEFT(A3,FIND(" - ",A3&amp;" - ")-1)),LEFT(A3,FIND(" - ",A3&amp;" - ")-1),TRIM(A3)))</f>
        <v/>
      </c>
      <c r="N3">
        <f>IF(L3="","",IF(ISNUMBER(INDEX(A3:H3,$P$1)),INDEX(A3:H3,$P$1),IFERROR(_xlfn.NUMBERVALUE(INDEX(A3:H3,$P$1),".",","),0)))</f>
        <v/>
      </c>
    </row>
    <row r="4">
      <c r="L4">
        <f>IF(A4="","",IF(ISNUMBER(--LEFT(A4,FIND(" - ",A4&amp;" - ")-1)),LEFT(A4,FIND(" - ",A4&amp;" - ")-1),TRIM(A4)))</f>
        <v/>
      </c>
      <c r="N4">
        <f>IF(L4="","",IF(ISNUMBER(INDEX(A4:H4,$P$1)),INDEX(A4:H4,$P$1),IFERROR(_xlfn.NUMBERVALUE(INDEX(A4:H4,$P$1),".",","),0)))</f>
        <v/>
      </c>
    </row>
    <row r="5">
      <c r="L5">
        <f>IF(A5="","",IF(ISNUMBER(--LEFT(A5,FIND(" - ",A5&amp;" - ")-1)),LEFT(A5,FIND(" - ",A5&amp;" - ")-1),TRIM(A5)))</f>
        <v/>
      </c>
      <c r="N5">
        <f>IF(L5="","",IF(ISNUMBER(INDEX(A5:H5,$P$1)),INDEX(A5:H5,$P$1),IFERROR(_xlfn.NUMBERVALUE(INDEX(A5:H5,$P$1),".",","),0)))</f>
        <v/>
      </c>
    </row>
    <row r="6">
      <c r="L6">
        <f>IF(A6="","",IF(ISNUMBER(--LEFT(A6,FIND(" - ",A6&amp;" - ")-1)),LEFT(A6,FIND(" - ",A6&amp;" - ")-1),TRIM(A6)))</f>
        <v/>
      </c>
      <c r="N6">
        <f>IF(L6="","",IF(ISNUMBER(INDEX(A6:H6,$P$1)),INDEX(A6:H6,$P$1),IFERROR(_xlfn.NUMBERVALUE(INDEX(A6:H6,$P$1),".",","),0)))</f>
        <v/>
      </c>
    </row>
    <row r="7">
      <c r="L7">
        <f>IF(A7="","",IF(ISNUMBER(--LEFT(A7,FIND(" - ",A7&amp;" - ")-1)),LEFT(A7,FIND(" - ",A7&amp;" - ")-1),TRIM(A7)))</f>
        <v/>
      </c>
      <c r="N7">
        <f>IF(L7="","",IF(ISNUMBER(INDEX(A7:H7,$P$1)),INDEX(A7:H7,$P$1),IFERROR(_xlfn.NUMBERVALUE(INDEX(A7:H7,$P$1),".",","),0)))</f>
        <v/>
      </c>
    </row>
    <row r="8">
      <c r="L8">
        <f>IF(A8="","",IF(ISNUMBER(--LEFT(A8,FIND(" - ",A8&amp;" - ")-1)),LEFT(A8,FIND(" - ",A8&amp;" - ")-1),TRIM(A8)))</f>
        <v/>
      </c>
      <c r="N8">
        <f>IF(L8="","",IF(ISNUMBER(INDEX(A8:H8,$P$1)),INDEX(A8:H8,$P$1),IFERROR(_xlfn.NUMBERVALUE(INDEX(A8:H8,$P$1),".",","),0)))</f>
        <v/>
      </c>
    </row>
    <row r="9">
      <c r="L9">
        <f>IF(A9="","",IF(ISNUMBER(--LEFT(A9,FIND(" - ",A9&amp;" - ")-1)),LEFT(A9,FIND(" - ",A9&amp;" - ")-1),TRIM(A9)))</f>
        <v/>
      </c>
      <c r="N9">
        <f>IF(L9="","",IF(ISNUMBER(INDEX(A9:H9,$P$1)),INDEX(A9:H9,$P$1),IFERROR(_xlfn.NUMBERVALUE(INDEX(A9:H9,$P$1),".",","),0)))</f>
        <v/>
      </c>
    </row>
    <row r="10">
      <c r="L10">
        <f>IF(A10="","",IF(ISNUMBER(--LEFT(A10,FIND(" - ",A10&amp;" - ")-1)),LEFT(A10,FIND(" - ",A10&amp;" - ")-1),TRIM(A10)))</f>
        <v/>
      </c>
      <c r="N10">
        <f>IF(L10="","",IF(ISNUMBER(INDEX(A10:H10,$P$1)),INDEX(A10:H10,$P$1),IFERROR(_xlfn.NUMBERVALUE(INDEX(A10:H10,$P$1),".",","),0)))</f>
        <v/>
      </c>
    </row>
    <row r="11">
      <c r="L11">
        <f>IF(A11="","",IF(ISNUMBER(--LEFT(A11,FIND(" - ",A11&amp;" - ")-1)),LEFT(A11,FIND(" - ",A11&amp;" - ")-1),TRIM(A11)))</f>
        <v/>
      </c>
      <c r="N11">
        <f>IF(L11="","",IF(ISNUMBER(INDEX(A11:H11,$P$1)),INDEX(A11:H11,$P$1),IFERROR(_xlfn.NUMBERVALUE(INDEX(A11:H11,$P$1),".",","),0)))</f>
        <v/>
      </c>
    </row>
    <row r="12">
      <c r="L12">
        <f>IF(A12="","",IF(ISNUMBER(--LEFT(A12,FIND(" - ",A12&amp;" - ")-1)),LEFT(A12,FIND(" - ",A12&amp;" - ")-1),TRIM(A12)))</f>
        <v/>
      </c>
      <c r="N12">
        <f>IF(L12="","",IF(ISNUMBER(INDEX(A12:H12,$P$1)),INDEX(A12:H12,$P$1),IFERROR(_xlfn.NUMBERVALUE(INDEX(A12:H12,$P$1),".",","),0)))</f>
        <v/>
      </c>
    </row>
    <row r="13">
      <c r="L13">
        <f>IF(A13="","",IF(ISNUMBER(--LEFT(A13,FIND(" - ",A13&amp;" - ")-1)),LEFT(A13,FIND(" - ",A13&amp;" - ")-1),TRIM(A13)))</f>
        <v/>
      </c>
      <c r="N13">
        <f>IF(L13="","",IF(ISNUMBER(INDEX(A13:H13,$P$1)),INDEX(A13:H13,$P$1),IFERROR(_xlfn.NUMBERVALUE(INDEX(A13:H13,$P$1),".",","),0)))</f>
        <v/>
      </c>
    </row>
    <row r="14">
      <c r="L14">
        <f>IF(A14="","",IF(ISNUMBER(--LEFT(A14,FIND(" - ",A14&amp;" - ")-1)),LEFT(A14,FIND(" - ",A14&amp;" - ")-1),TRIM(A14)))</f>
        <v/>
      </c>
      <c r="N14">
        <f>IF(L14="","",IF(ISNUMBER(INDEX(A14:H14,$P$1)),INDEX(A14:H14,$P$1),IFERROR(_xlfn.NUMBERVALUE(INDEX(A14:H14,$P$1),".",","),0)))</f>
        <v/>
      </c>
    </row>
    <row r="15">
      <c r="L15">
        <f>IF(A15="","",IF(ISNUMBER(--LEFT(A15,FIND(" - ",A15&amp;" - ")-1)),LEFT(A15,FIND(" - ",A15&amp;" - ")-1),TRIM(A15)))</f>
        <v/>
      </c>
      <c r="N15">
        <f>IF(L15="","",IF(ISNUMBER(INDEX(A15:H15,$P$1)),INDEX(A15:H15,$P$1),IFERROR(_xlfn.NUMBERVALUE(INDEX(A15:H15,$P$1),".",","),0)))</f>
        <v/>
      </c>
    </row>
    <row r="16">
      <c r="L16">
        <f>IF(A16="","",IF(ISNUMBER(--LEFT(A16,FIND(" - ",A16&amp;" - ")-1)),LEFT(A16,FIND(" - ",A16&amp;" - ")-1),TRIM(A16)))</f>
        <v/>
      </c>
      <c r="N16">
        <f>IF(L16="","",IF(ISNUMBER(INDEX(A16:H16,$P$1)),INDEX(A16:H16,$P$1),IFERROR(_xlfn.NUMBERVALUE(INDEX(A16:H16,$P$1),".",","),0)))</f>
        <v/>
      </c>
    </row>
    <row r="17">
      <c r="L17">
        <f>IF(A17="","",IF(ISNUMBER(--LEFT(A17,FIND(" - ",A17&amp;" - ")-1)),LEFT(A17,FIND(" - ",A17&amp;" - ")-1),TRIM(A17)))</f>
        <v/>
      </c>
      <c r="N17">
        <f>IF(L17="","",IF(ISNUMBER(INDEX(A17:H17,$P$1)),INDEX(A17:H17,$P$1),IFERROR(_xlfn.NUMBERVALUE(INDEX(A17:H17,$P$1),".",","),0)))</f>
        <v/>
      </c>
    </row>
    <row r="18">
      <c r="L18">
        <f>IF(A18="","",IF(ISNUMBER(--LEFT(A18,FIND(" - ",A18&amp;" - ")-1)),LEFT(A18,FIND(" - ",A18&amp;" - ")-1),TRIM(A18)))</f>
        <v/>
      </c>
      <c r="N18">
        <f>IF(L18="","",IF(ISNUMBER(INDEX(A18:H18,$P$1)),INDEX(A18:H18,$P$1),IFERROR(_xlfn.NUMBERVALUE(INDEX(A18:H18,$P$1),".",","),0)))</f>
        <v/>
      </c>
    </row>
    <row r="19">
      <c r="L19">
        <f>IF(A19="","",IF(ISNUMBER(--LEFT(A19,FIND(" - ",A19&amp;" - ")-1)),LEFT(A19,FIND(" - ",A19&amp;" - ")-1),TRIM(A19)))</f>
        <v/>
      </c>
      <c r="N19">
        <f>IF(L19="","",IF(ISNUMBER(INDEX(A19:H19,$P$1)),INDEX(A19:H19,$P$1),IFERROR(_xlfn.NUMBERVALUE(INDEX(A19:H19,$P$1),".",","),0)))</f>
        <v/>
      </c>
    </row>
    <row r="20">
      <c r="L20">
        <f>IF(A20="","",IF(ISNUMBER(--LEFT(A20,FIND(" - ",A20&amp;" - ")-1)),LEFT(A20,FIND(" - ",A20&amp;" - ")-1),TRIM(A20)))</f>
        <v/>
      </c>
      <c r="N20">
        <f>IF(L20="","",IF(ISNUMBER(INDEX(A20:H20,$P$1)),INDEX(A20:H20,$P$1),IFERROR(_xlfn.NUMBERVALUE(INDEX(A20:H20,$P$1),".",","),0)))</f>
        <v/>
      </c>
    </row>
    <row r="21">
      <c r="L21">
        <f>IF(A21="","",IF(ISNUMBER(--LEFT(A21,FIND(" - ",A21&amp;" - ")-1)),LEFT(A21,FIND(" - ",A21&amp;" - ")-1),TRIM(A21)))</f>
        <v/>
      </c>
      <c r="N21">
        <f>IF(L21="","",IF(ISNUMBER(INDEX(A21:H21,$P$1)),INDEX(A21:H21,$P$1),IFERROR(_xlfn.NUMBERVALUE(INDEX(A21:H21,$P$1),".",","),0)))</f>
        <v/>
      </c>
    </row>
    <row r="22">
      <c r="L22">
        <f>IF(A22="","",IF(ISNUMBER(--LEFT(A22,FIND(" - ",A22&amp;" - ")-1)),LEFT(A22,FIND(" - ",A22&amp;" - ")-1),TRIM(A22)))</f>
        <v/>
      </c>
      <c r="N22">
        <f>IF(L22="","",IF(ISNUMBER(INDEX(A22:H22,$P$1)),INDEX(A22:H22,$P$1),IFERROR(_xlfn.NUMBERVALUE(INDEX(A22:H22,$P$1),".",","),0)))</f>
        <v/>
      </c>
    </row>
    <row r="23">
      <c r="L23">
        <f>IF(A23="","",IF(ISNUMBER(--LEFT(A23,FIND(" - ",A23&amp;" - ")-1)),LEFT(A23,FIND(" - ",A23&amp;" - ")-1),TRIM(A23)))</f>
        <v/>
      </c>
      <c r="N23">
        <f>IF(L23="","",IF(ISNUMBER(INDEX(A23:H23,$P$1)),INDEX(A23:H23,$P$1),IFERROR(_xlfn.NUMBERVALUE(INDEX(A23:H23,$P$1),".",","),0)))</f>
        <v/>
      </c>
    </row>
    <row r="24">
      <c r="L24">
        <f>IF(A24="","",IF(ISNUMBER(--LEFT(A24,FIND(" - ",A24&amp;" - ")-1)),LEFT(A24,FIND(" - ",A24&amp;" - ")-1),TRIM(A24)))</f>
        <v/>
      </c>
      <c r="N24">
        <f>IF(L24="","",IF(ISNUMBER(INDEX(A24:H24,$P$1)),INDEX(A24:H24,$P$1),IFERROR(_xlfn.NUMBERVALUE(INDEX(A24:H24,$P$1),".",","),0)))</f>
        <v/>
      </c>
    </row>
    <row r="25">
      <c r="L25">
        <f>IF(A25="","",IF(ISNUMBER(--LEFT(A25,FIND(" - ",A25&amp;" - ")-1)),LEFT(A25,FIND(" - ",A25&amp;" - ")-1),TRIM(A25)))</f>
        <v/>
      </c>
      <c r="N25">
        <f>IF(L25="","",IF(ISNUMBER(INDEX(A25:H25,$P$1)),INDEX(A25:H25,$P$1),IFERROR(_xlfn.NUMBERVALUE(INDEX(A25:H25,$P$1),".",","),0)))</f>
        <v/>
      </c>
    </row>
    <row r="26">
      <c r="L26">
        <f>IF(A26="","",IF(ISNUMBER(--LEFT(A26,FIND(" - ",A26&amp;" - ")-1)),LEFT(A26,FIND(" - ",A26&amp;" - ")-1),TRIM(A26)))</f>
        <v/>
      </c>
      <c r="N26">
        <f>IF(L26="","",IF(ISNUMBER(INDEX(A26:H26,$P$1)),INDEX(A26:H26,$P$1),IFERROR(_xlfn.NUMBERVALUE(INDEX(A26:H26,$P$1),".",","),0)))</f>
        <v/>
      </c>
    </row>
    <row r="27">
      <c r="L27">
        <f>IF(A27="","",IF(ISNUMBER(--LEFT(A27,FIND(" - ",A27&amp;" - ")-1)),LEFT(A27,FIND(" - ",A27&amp;" - ")-1),TRIM(A27)))</f>
        <v/>
      </c>
      <c r="N27">
        <f>IF(L27="","",IF(ISNUMBER(INDEX(A27:H27,$P$1)),INDEX(A27:H27,$P$1),IFERROR(_xlfn.NUMBERVALUE(INDEX(A27:H27,$P$1),".",","),0)))</f>
        <v/>
      </c>
    </row>
    <row r="28">
      <c r="L28">
        <f>IF(A28="","",IF(ISNUMBER(--LEFT(A28,FIND(" - ",A28&amp;" - ")-1)),LEFT(A28,FIND(" - ",A28&amp;" - ")-1),TRIM(A28)))</f>
        <v/>
      </c>
      <c r="N28">
        <f>IF(L28="","",IF(ISNUMBER(INDEX(A28:H28,$P$1)),INDEX(A28:H28,$P$1),IFERROR(_xlfn.NUMBERVALUE(INDEX(A28:H28,$P$1),".",","),0)))</f>
        <v/>
      </c>
    </row>
    <row r="29">
      <c r="L29">
        <f>IF(A29="","",IF(ISNUMBER(--LEFT(A29,FIND(" - ",A29&amp;" - ")-1)),LEFT(A29,FIND(" - ",A29&amp;" - ")-1),TRIM(A29)))</f>
        <v/>
      </c>
      <c r="N29">
        <f>IF(L29="","",IF(ISNUMBER(INDEX(A29:H29,$P$1)),INDEX(A29:H29,$P$1),IFERROR(_xlfn.NUMBERVALUE(INDEX(A29:H29,$P$1),".",","),0)))</f>
        <v/>
      </c>
    </row>
    <row r="30">
      <c r="L30">
        <f>IF(A30="","",IF(ISNUMBER(--LEFT(A30,FIND(" - ",A30&amp;" - ")-1)),LEFT(A30,FIND(" - ",A30&amp;" - ")-1),TRIM(A30)))</f>
        <v/>
      </c>
      <c r="N30">
        <f>IF(L30="","",IF(ISNUMBER(INDEX(A30:H30,$P$1)),INDEX(A30:H30,$P$1),IFERROR(_xlfn.NUMBERVALUE(INDEX(A30:H30,$P$1),".",","),0)))</f>
        <v/>
      </c>
    </row>
    <row r="31">
      <c r="L31">
        <f>IF(A31="","",IF(ISNUMBER(--LEFT(A31,FIND(" - ",A31&amp;" - ")-1)),LEFT(A31,FIND(" - ",A31&amp;" - ")-1),TRIM(A31)))</f>
        <v/>
      </c>
      <c r="N31">
        <f>IF(L31="","",IF(ISNUMBER(INDEX(A31:H31,$P$1)),INDEX(A31:H31,$P$1),IFERROR(_xlfn.NUMBERVALUE(INDEX(A31:H31,$P$1),".",","),0)))</f>
        <v/>
      </c>
    </row>
    <row r="32">
      <c r="L32">
        <f>IF(A32="","",IF(ISNUMBER(--LEFT(A32,FIND(" - ",A32&amp;" - ")-1)),LEFT(A32,FIND(" - ",A32&amp;" - ")-1),TRIM(A32)))</f>
        <v/>
      </c>
      <c r="N32">
        <f>IF(L32="","",IF(ISNUMBER(INDEX(A32:H32,$P$1)),INDEX(A32:H32,$P$1),IFERROR(_xlfn.NUMBERVALUE(INDEX(A32:H32,$P$1),".",","),0)))</f>
        <v/>
      </c>
    </row>
    <row r="33">
      <c r="L33">
        <f>IF(A33="","",IF(ISNUMBER(--LEFT(A33,FIND(" - ",A33&amp;" - ")-1)),LEFT(A33,FIND(" - ",A33&amp;" - ")-1),TRIM(A33)))</f>
        <v/>
      </c>
      <c r="N33">
        <f>IF(L33="","",IF(ISNUMBER(INDEX(A33:H33,$P$1)),INDEX(A33:H33,$P$1),IFERROR(_xlfn.NUMBERVALUE(INDEX(A33:H33,$P$1),".",","),0)))</f>
        <v/>
      </c>
    </row>
    <row r="34">
      <c r="L34">
        <f>IF(A34="","",IF(ISNUMBER(--LEFT(A34,FIND(" - ",A34&amp;" - ")-1)),LEFT(A34,FIND(" - ",A34&amp;" - ")-1),TRIM(A34)))</f>
        <v/>
      </c>
      <c r="N34">
        <f>IF(L34="","",IF(ISNUMBER(INDEX(A34:H34,$P$1)),INDEX(A34:H34,$P$1),IFERROR(_xlfn.NUMBERVALUE(INDEX(A34:H34,$P$1),".",","),0)))</f>
        <v/>
      </c>
    </row>
    <row r="35">
      <c r="L35">
        <f>IF(A35="","",IF(ISNUMBER(--LEFT(A35,FIND(" - ",A35&amp;" - ")-1)),LEFT(A35,FIND(" - ",A35&amp;" - ")-1),TRIM(A35)))</f>
        <v/>
      </c>
      <c r="N35">
        <f>IF(L35="","",IF(ISNUMBER(INDEX(A35:H35,$P$1)),INDEX(A35:H35,$P$1),IFERROR(_xlfn.NUMBERVALUE(INDEX(A35:H35,$P$1),".",","),0)))</f>
        <v/>
      </c>
    </row>
    <row r="36">
      <c r="L36">
        <f>IF(A36="","",IF(ISNUMBER(--LEFT(A36,FIND(" - ",A36&amp;" - ")-1)),LEFT(A36,FIND(" - ",A36&amp;" - ")-1),TRIM(A36)))</f>
        <v/>
      </c>
      <c r="N36">
        <f>IF(L36="","",IF(ISNUMBER(INDEX(A36:H36,$P$1)),INDEX(A36:H36,$P$1),IFERROR(_xlfn.NUMBERVALUE(INDEX(A36:H36,$P$1),".",","),0)))</f>
        <v/>
      </c>
    </row>
    <row r="37">
      <c r="L37">
        <f>IF(A37="","",IF(ISNUMBER(--LEFT(A37,FIND(" - ",A37&amp;" - ")-1)),LEFT(A37,FIND(" - ",A37&amp;" - ")-1),TRIM(A37)))</f>
        <v/>
      </c>
      <c r="N37">
        <f>IF(L37="","",IF(ISNUMBER(INDEX(A37:H37,$P$1)),INDEX(A37:H37,$P$1),IFERROR(_xlfn.NUMBERVALUE(INDEX(A37:H37,$P$1),".",","),0)))</f>
        <v/>
      </c>
    </row>
    <row r="38">
      <c r="L38">
        <f>IF(A38="","",IF(ISNUMBER(--LEFT(A38,FIND(" - ",A38&amp;" - ")-1)),LEFT(A38,FIND(" - ",A38&amp;" - ")-1),TRIM(A38)))</f>
        <v/>
      </c>
      <c r="N38">
        <f>IF(L38="","",IF(ISNUMBER(INDEX(A38:H38,$P$1)),INDEX(A38:H38,$P$1),IFERROR(_xlfn.NUMBERVALUE(INDEX(A38:H38,$P$1),".",","),0)))</f>
        <v/>
      </c>
    </row>
    <row r="39">
      <c r="L39">
        <f>IF(A39="","",IF(ISNUMBER(--LEFT(A39,FIND(" - ",A39&amp;" - ")-1)),LEFT(A39,FIND(" - ",A39&amp;" - ")-1),TRIM(A39)))</f>
        <v/>
      </c>
      <c r="N39">
        <f>IF(L39="","",IF(ISNUMBER(INDEX(A39:H39,$P$1)),INDEX(A39:H39,$P$1),IFERROR(_xlfn.NUMBERVALUE(INDEX(A39:H39,$P$1),".",","),0)))</f>
        <v/>
      </c>
    </row>
    <row r="40">
      <c r="L40">
        <f>IF(A40="","",IF(ISNUMBER(--LEFT(A40,FIND(" - ",A40&amp;" - ")-1)),LEFT(A40,FIND(" - ",A40&amp;" - ")-1),TRIM(A40)))</f>
        <v/>
      </c>
      <c r="N40">
        <f>IF(L40="","",IF(ISNUMBER(INDEX(A40:H40,$P$1)),INDEX(A40:H40,$P$1),IFERROR(_xlfn.NUMBERVALUE(INDEX(A40:H40,$P$1),".",","),0)))</f>
        <v/>
      </c>
    </row>
    <row r="41">
      <c r="L41">
        <f>IF(A41="","",IF(ISNUMBER(--LEFT(A41,FIND(" - ",A41&amp;" - ")-1)),LEFT(A41,FIND(" - ",A41&amp;" - ")-1),TRIM(A41)))</f>
        <v/>
      </c>
      <c r="N41">
        <f>IF(L41="","",IF(ISNUMBER(INDEX(A41:H41,$P$1)),INDEX(A41:H41,$P$1),IFERROR(_xlfn.NUMBERVALUE(INDEX(A41:H41,$P$1),".",","),0)))</f>
        <v/>
      </c>
    </row>
    <row r="42">
      <c r="L42">
        <f>IF(A42="","",IF(ISNUMBER(--LEFT(A42,FIND(" - ",A42&amp;" - ")-1)),LEFT(A42,FIND(" - ",A42&amp;" - ")-1),TRIM(A42)))</f>
        <v/>
      </c>
      <c r="N42">
        <f>IF(L42="","",IF(ISNUMBER(INDEX(A42:H42,$P$1)),INDEX(A42:H42,$P$1),IFERROR(_xlfn.NUMBERVALUE(INDEX(A42:H42,$P$1),".",","),0)))</f>
        <v/>
      </c>
    </row>
    <row r="43">
      <c r="L43">
        <f>IF(A43="","",IF(ISNUMBER(--LEFT(A43,FIND(" - ",A43&amp;" - ")-1)),LEFT(A43,FIND(" - ",A43&amp;" - ")-1),TRIM(A43)))</f>
        <v/>
      </c>
      <c r="N43">
        <f>IF(L43="","",IF(ISNUMBER(INDEX(A43:H43,$P$1)),INDEX(A43:H43,$P$1),IFERROR(_xlfn.NUMBERVALUE(INDEX(A43:H43,$P$1),".",","),0)))</f>
        <v/>
      </c>
    </row>
    <row r="44">
      <c r="L44">
        <f>IF(A44="","",IF(ISNUMBER(--LEFT(A44,FIND(" - ",A44&amp;" - ")-1)),LEFT(A44,FIND(" - ",A44&amp;" - ")-1),TRIM(A44)))</f>
        <v/>
      </c>
      <c r="N44">
        <f>IF(L44="","",IF(ISNUMBER(INDEX(A44:H44,$P$1)),INDEX(A44:H44,$P$1),IFERROR(_xlfn.NUMBERVALUE(INDEX(A44:H44,$P$1),".",","),0)))</f>
        <v/>
      </c>
    </row>
    <row r="45">
      <c r="L45">
        <f>IF(A45="","",IF(ISNUMBER(--LEFT(A45,FIND(" - ",A45&amp;" - ")-1)),LEFT(A45,FIND(" - ",A45&amp;" - ")-1),TRIM(A45)))</f>
        <v/>
      </c>
      <c r="N45">
        <f>IF(L45="","",IF(ISNUMBER(INDEX(A45:H45,$P$1)),INDEX(A45:H45,$P$1),IFERROR(_xlfn.NUMBERVALUE(INDEX(A45:H45,$P$1),".",","),0)))</f>
        <v/>
      </c>
    </row>
    <row r="46">
      <c r="L46">
        <f>IF(A46="","",IF(ISNUMBER(--LEFT(A46,FIND(" - ",A46&amp;" - ")-1)),LEFT(A46,FIND(" - ",A46&amp;" - ")-1),TRIM(A46)))</f>
        <v/>
      </c>
      <c r="N46">
        <f>IF(L46="","",IF(ISNUMBER(INDEX(A46:H46,$P$1)),INDEX(A46:H46,$P$1),IFERROR(_xlfn.NUMBERVALUE(INDEX(A46:H46,$P$1),".",","),0)))</f>
        <v/>
      </c>
    </row>
    <row r="47">
      <c r="L47">
        <f>IF(A47="","",IF(ISNUMBER(--LEFT(A47,FIND(" - ",A47&amp;" - ")-1)),LEFT(A47,FIND(" - ",A47&amp;" - ")-1),TRIM(A47)))</f>
        <v/>
      </c>
      <c r="N47">
        <f>IF(L47="","",IF(ISNUMBER(INDEX(A47:H47,$P$1)),INDEX(A47:H47,$P$1),IFERROR(_xlfn.NUMBERVALUE(INDEX(A47:H47,$P$1),".",","),0)))</f>
        <v/>
      </c>
    </row>
    <row r="48">
      <c r="L48">
        <f>IF(A48="","",IF(ISNUMBER(--LEFT(A48,FIND(" - ",A48&amp;" - ")-1)),LEFT(A48,FIND(" - ",A48&amp;" - ")-1),TRIM(A48)))</f>
        <v/>
      </c>
      <c r="N48">
        <f>IF(L48="","",IF(ISNUMBER(INDEX(A48:H48,$P$1)),INDEX(A48:H48,$P$1),IFERROR(_xlfn.NUMBERVALUE(INDEX(A48:H48,$P$1),".",","),0)))</f>
        <v/>
      </c>
    </row>
    <row r="49">
      <c r="L49">
        <f>IF(A49="","",IF(ISNUMBER(--LEFT(A49,FIND(" - ",A49&amp;" - ")-1)),LEFT(A49,FIND(" - ",A49&amp;" - ")-1),TRIM(A49)))</f>
        <v/>
      </c>
      <c r="N49">
        <f>IF(L49="","",IF(ISNUMBER(INDEX(A49:H49,$P$1)),INDEX(A49:H49,$P$1),IFERROR(_xlfn.NUMBERVALUE(INDEX(A49:H49,$P$1),".",","),0)))</f>
        <v/>
      </c>
    </row>
    <row r="50">
      <c r="L50">
        <f>IF(A50="","",IF(ISNUMBER(--LEFT(A50,FIND(" - ",A50&amp;" - ")-1)),LEFT(A50,FIND(" - ",A50&amp;" - ")-1),TRIM(A50)))</f>
        <v/>
      </c>
      <c r="N50">
        <f>IF(L50="","",IF(ISNUMBER(INDEX(A50:H50,$P$1)),INDEX(A50:H50,$P$1),IFERROR(_xlfn.NUMBERVALUE(INDEX(A50:H50,$P$1),".",","),0)))</f>
        <v/>
      </c>
    </row>
    <row r="51">
      <c r="L51">
        <f>IF(A51="","",IF(ISNUMBER(--LEFT(A51,FIND(" - ",A51&amp;" - ")-1)),LEFT(A51,FIND(" - ",A51&amp;" - ")-1),TRIM(A51)))</f>
        <v/>
      </c>
      <c r="N51">
        <f>IF(L51="","",IF(ISNUMBER(INDEX(A51:H51,$P$1)),INDEX(A51:H51,$P$1),IFERROR(_xlfn.NUMBERVALUE(INDEX(A51:H51,$P$1),".",","),0)))</f>
        <v/>
      </c>
    </row>
    <row r="52">
      <c r="L52">
        <f>IF(A52="","",IF(ISNUMBER(--LEFT(A52,FIND(" - ",A52&amp;" - ")-1)),LEFT(A52,FIND(" - ",A52&amp;" - ")-1),TRIM(A52)))</f>
        <v/>
      </c>
      <c r="N52">
        <f>IF(L52="","",IF(ISNUMBER(INDEX(A52:H52,$P$1)),INDEX(A52:H52,$P$1),IFERROR(_xlfn.NUMBERVALUE(INDEX(A52:H52,$P$1),".",","),0)))</f>
        <v/>
      </c>
    </row>
    <row r="53">
      <c r="L53">
        <f>IF(A53="","",IF(ISNUMBER(--LEFT(A53,FIND(" - ",A53&amp;" - ")-1)),LEFT(A53,FIND(" - ",A53&amp;" - ")-1),TRIM(A53)))</f>
        <v/>
      </c>
      <c r="N53">
        <f>IF(L53="","",IF(ISNUMBER(INDEX(A53:H53,$P$1)),INDEX(A53:H53,$P$1),IFERROR(_xlfn.NUMBERVALUE(INDEX(A53:H53,$P$1),".",","),0)))</f>
        <v/>
      </c>
    </row>
    <row r="54">
      <c r="L54">
        <f>IF(A54="","",IF(ISNUMBER(--LEFT(A54,FIND(" - ",A54&amp;" - ")-1)),LEFT(A54,FIND(" - ",A54&amp;" - ")-1),TRIM(A54)))</f>
        <v/>
      </c>
      <c r="N54">
        <f>IF(L54="","",IF(ISNUMBER(INDEX(A54:H54,$P$1)),INDEX(A54:H54,$P$1),IFERROR(_xlfn.NUMBERVALUE(INDEX(A54:H54,$P$1),".",","),0)))</f>
        <v/>
      </c>
    </row>
    <row r="55">
      <c r="L55">
        <f>IF(A55="","",IF(ISNUMBER(--LEFT(A55,FIND(" - ",A55&amp;" - ")-1)),LEFT(A55,FIND(" - ",A55&amp;" - ")-1),TRIM(A55)))</f>
        <v/>
      </c>
      <c r="N55">
        <f>IF(L55="","",IF(ISNUMBER(INDEX(A55:H55,$P$1)),INDEX(A55:H55,$P$1),IFERROR(_xlfn.NUMBERVALUE(INDEX(A55:H55,$P$1),".",","),0)))</f>
        <v/>
      </c>
    </row>
    <row r="56">
      <c r="L56">
        <f>IF(A56="","",IF(ISNUMBER(--LEFT(A56,FIND(" - ",A56&amp;" - ")-1)),LEFT(A56,FIND(" - ",A56&amp;" - ")-1),TRIM(A56)))</f>
        <v/>
      </c>
      <c r="N56">
        <f>IF(L56="","",IF(ISNUMBER(INDEX(A56:H56,$P$1)),INDEX(A56:H56,$P$1),IFERROR(_xlfn.NUMBERVALUE(INDEX(A56:H56,$P$1),".",","),0)))</f>
        <v/>
      </c>
    </row>
    <row r="57">
      <c r="L57">
        <f>IF(A57="","",IF(ISNUMBER(--LEFT(A57,FIND(" - ",A57&amp;" - ")-1)),LEFT(A57,FIND(" - ",A57&amp;" - ")-1),TRIM(A57)))</f>
        <v/>
      </c>
      <c r="N57">
        <f>IF(L57="","",IF(ISNUMBER(INDEX(A57:H57,$P$1)),INDEX(A57:H57,$P$1),IFERROR(_xlfn.NUMBERVALUE(INDEX(A57:H57,$P$1),".",","),0)))</f>
        <v/>
      </c>
    </row>
    <row r="58">
      <c r="L58">
        <f>IF(A58="","",IF(ISNUMBER(--LEFT(A58,FIND(" - ",A58&amp;" - ")-1)),LEFT(A58,FIND(" - ",A58&amp;" - ")-1),TRIM(A58)))</f>
        <v/>
      </c>
      <c r="N58">
        <f>IF(L58="","",IF(ISNUMBER(INDEX(A58:H58,$P$1)),INDEX(A58:H58,$P$1),IFERROR(_xlfn.NUMBERVALUE(INDEX(A58:H58,$P$1),".",","),0)))</f>
        <v/>
      </c>
    </row>
    <row r="59">
      <c r="L59">
        <f>IF(A59="","",IF(ISNUMBER(--LEFT(A59,FIND(" - ",A59&amp;" - ")-1)),LEFT(A59,FIND(" - ",A59&amp;" - ")-1),TRIM(A59)))</f>
        <v/>
      </c>
      <c r="N59">
        <f>IF(L59="","",IF(ISNUMBER(INDEX(A59:H59,$P$1)),INDEX(A59:H59,$P$1),IFERROR(_xlfn.NUMBERVALUE(INDEX(A59:H59,$P$1),".",","),0)))</f>
        <v/>
      </c>
    </row>
    <row r="60">
      <c r="L60">
        <f>IF(A60="","",IF(ISNUMBER(--LEFT(A60,FIND(" - ",A60&amp;" - ")-1)),LEFT(A60,FIND(" - ",A60&amp;" - ")-1),TRIM(A60)))</f>
        <v/>
      </c>
      <c r="N60">
        <f>IF(L60="","",IF(ISNUMBER(INDEX(A60:H60,$P$1)),INDEX(A60:H60,$P$1),IFERROR(_xlfn.NUMBERVALUE(INDEX(A60:H60,$P$1),".",","),0)))</f>
        <v/>
      </c>
    </row>
    <row r="61">
      <c r="L61">
        <f>IF(A61="","",IF(ISNUMBER(--LEFT(A61,FIND(" - ",A61&amp;" - ")-1)),LEFT(A61,FIND(" - ",A61&amp;" - ")-1),TRIM(A61)))</f>
        <v/>
      </c>
      <c r="N61">
        <f>IF(L61="","",IF(ISNUMBER(INDEX(A61:H61,$P$1)),INDEX(A61:H61,$P$1),IFERROR(_xlfn.NUMBERVALUE(INDEX(A61:H61,$P$1),".",","),0)))</f>
        <v/>
      </c>
    </row>
    <row r="62">
      <c r="L62">
        <f>IF(A62="","",IF(ISNUMBER(--LEFT(A62,FIND(" - ",A62&amp;" - ")-1)),LEFT(A62,FIND(" - ",A62&amp;" - ")-1),TRIM(A62)))</f>
        <v/>
      </c>
      <c r="N62">
        <f>IF(L62="","",IF(ISNUMBER(INDEX(A62:H62,$P$1)),INDEX(A62:H62,$P$1),IFERROR(_xlfn.NUMBERVALUE(INDEX(A62:H62,$P$1),".",","),0)))</f>
        <v/>
      </c>
    </row>
    <row r="63">
      <c r="L63">
        <f>IF(A63="","",IF(ISNUMBER(--LEFT(A63,FIND(" - ",A63&amp;" - ")-1)),LEFT(A63,FIND(" - ",A63&amp;" - ")-1),TRIM(A63)))</f>
        <v/>
      </c>
      <c r="N63">
        <f>IF(L63="","",IF(ISNUMBER(INDEX(A63:H63,$P$1)),INDEX(A63:H63,$P$1),IFERROR(_xlfn.NUMBERVALUE(INDEX(A63:H63,$P$1),".",","),0)))</f>
        <v/>
      </c>
    </row>
    <row r="64">
      <c r="L64">
        <f>IF(A64="","",IF(ISNUMBER(--LEFT(A64,FIND(" - ",A64&amp;" - ")-1)),LEFT(A64,FIND(" - ",A64&amp;" - ")-1),TRIM(A64)))</f>
        <v/>
      </c>
      <c r="N64">
        <f>IF(L64="","",IF(ISNUMBER(INDEX(A64:H64,$P$1)),INDEX(A64:H64,$P$1),IFERROR(_xlfn.NUMBERVALUE(INDEX(A64:H64,$P$1),".",","),0)))</f>
        <v/>
      </c>
    </row>
    <row r="65">
      <c r="L65">
        <f>IF(A65="","",IF(ISNUMBER(--LEFT(A65,FIND(" - ",A65&amp;" - ")-1)),LEFT(A65,FIND(" - ",A65&amp;" - ")-1),TRIM(A65)))</f>
        <v/>
      </c>
      <c r="N65">
        <f>IF(L65="","",IF(ISNUMBER(INDEX(A65:H65,$P$1)),INDEX(A65:H65,$P$1),IFERROR(_xlfn.NUMBERVALUE(INDEX(A65:H65,$P$1),".",","),0)))</f>
        <v/>
      </c>
    </row>
    <row r="66">
      <c r="L66">
        <f>IF(A66="","",IF(ISNUMBER(--LEFT(A66,FIND(" - ",A66&amp;" - ")-1)),LEFT(A66,FIND(" - ",A66&amp;" - ")-1),TRIM(A66)))</f>
        <v/>
      </c>
      <c r="N66">
        <f>IF(L66="","",IF(ISNUMBER(INDEX(A66:H66,$P$1)),INDEX(A66:H66,$P$1),IFERROR(_xlfn.NUMBERVALUE(INDEX(A66:H66,$P$1),".",","),0)))</f>
        <v/>
      </c>
    </row>
    <row r="67">
      <c r="L67">
        <f>IF(A67="","",IF(ISNUMBER(--LEFT(A67,FIND(" - ",A67&amp;" - ")-1)),LEFT(A67,FIND(" - ",A67&amp;" - ")-1),TRIM(A67)))</f>
        <v/>
      </c>
      <c r="N67">
        <f>IF(L67="","",IF(ISNUMBER(INDEX(A67:H67,$P$1)),INDEX(A67:H67,$P$1),IFERROR(_xlfn.NUMBERVALUE(INDEX(A67:H67,$P$1),".",","),0)))</f>
        <v/>
      </c>
    </row>
    <row r="68">
      <c r="L68">
        <f>IF(A68="","",IF(ISNUMBER(--LEFT(A68,FIND(" - ",A68&amp;" - ")-1)),LEFT(A68,FIND(" - ",A68&amp;" - ")-1),TRIM(A68)))</f>
        <v/>
      </c>
      <c r="N68">
        <f>IF(L68="","",IF(ISNUMBER(INDEX(A68:H68,$P$1)),INDEX(A68:H68,$P$1),IFERROR(_xlfn.NUMBERVALUE(INDEX(A68:H68,$P$1),".",","),0)))</f>
        <v/>
      </c>
    </row>
    <row r="69">
      <c r="L69">
        <f>IF(A69="","",IF(ISNUMBER(--LEFT(A69,FIND(" - ",A69&amp;" - ")-1)),LEFT(A69,FIND(" - ",A69&amp;" - ")-1),TRIM(A69)))</f>
        <v/>
      </c>
      <c r="N69">
        <f>IF(L69="","",IF(ISNUMBER(INDEX(A69:H69,$P$1)),INDEX(A69:H69,$P$1),IFERROR(_xlfn.NUMBERVALUE(INDEX(A69:H69,$P$1),".",","),0)))</f>
        <v/>
      </c>
    </row>
    <row r="70">
      <c r="L70">
        <f>IF(A70="","",IF(ISNUMBER(--LEFT(A70,FIND(" - ",A70&amp;" - ")-1)),LEFT(A70,FIND(" - ",A70&amp;" - ")-1),TRIM(A70)))</f>
        <v/>
      </c>
      <c r="N70">
        <f>IF(L70="","",IF(ISNUMBER(INDEX(A70:H70,$P$1)),INDEX(A70:H70,$P$1),IFERROR(_xlfn.NUMBERVALUE(INDEX(A70:H70,$P$1),".",","),0)))</f>
        <v/>
      </c>
    </row>
    <row r="71">
      <c r="L71">
        <f>IF(A71="","",IF(ISNUMBER(--LEFT(A71,FIND(" - ",A71&amp;" - ")-1)),LEFT(A71,FIND(" - ",A71&amp;" - ")-1),TRIM(A71)))</f>
        <v/>
      </c>
      <c r="N71">
        <f>IF(L71="","",IF(ISNUMBER(INDEX(A71:H71,$P$1)),INDEX(A71:H71,$P$1),IFERROR(_xlfn.NUMBERVALUE(INDEX(A71:H71,$P$1),".",","),0)))</f>
        <v/>
      </c>
    </row>
    <row r="72">
      <c r="L72">
        <f>IF(A72="","",IF(ISNUMBER(--LEFT(A72,FIND(" - ",A72&amp;" - ")-1)),LEFT(A72,FIND(" - ",A72&amp;" - ")-1),TRIM(A72)))</f>
        <v/>
      </c>
      <c r="N72">
        <f>IF(L72="","",IF(ISNUMBER(INDEX(A72:H72,$P$1)),INDEX(A72:H72,$P$1),IFERROR(_xlfn.NUMBERVALUE(INDEX(A72:H72,$P$1),".",","),0)))</f>
        <v/>
      </c>
    </row>
    <row r="73">
      <c r="L73">
        <f>IF(A73="","",IF(ISNUMBER(--LEFT(A73,FIND(" - ",A73&amp;" - ")-1)),LEFT(A73,FIND(" - ",A73&amp;" - ")-1),TRIM(A73)))</f>
        <v/>
      </c>
      <c r="N73">
        <f>IF(L73="","",IF(ISNUMBER(INDEX(A73:H73,$P$1)),INDEX(A73:H73,$P$1),IFERROR(_xlfn.NUMBERVALUE(INDEX(A73:H73,$P$1),".",","),0)))</f>
        <v/>
      </c>
    </row>
    <row r="74">
      <c r="L74">
        <f>IF(A74="","",IF(ISNUMBER(--LEFT(A74,FIND(" - ",A74&amp;" - ")-1)),LEFT(A74,FIND(" - ",A74&amp;" - ")-1),TRIM(A74)))</f>
        <v/>
      </c>
      <c r="N74">
        <f>IF(L74="","",IF(ISNUMBER(INDEX(A74:H74,$P$1)),INDEX(A74:H74,$P$1),IFERROR(_xlfn.NUMBERVALUE(INDEX(A74:H74,$P$1),".",","),0)))</f>
        <v/>
      </c>
    </row>
    <row r="75">
      <c r="L75">
        <f>IF(A75="","",IF(ISNUMBER(--LEFT(A75,FIND(" - ",A75&amp;" - ")-1)),LEFT(A75,FIND(" - ",A75&amp;" - ")-1),TRIM(A75)))</f>
        <v/>
      </c>
      <c r="N75">
        <f>IF(L75="","",IF(ISNUMBER(INDEX(A75:H75,$P$1)),INDEX(A75:H75,$P$1),IFERROR(_xlfn.NUMBERVALUE(INDEX(A75:H75,$P$1),".",","),0)))</f>
        <v/>
      </c>
    </row>
    <row r="76">
      <c r="L76">
        <f>IF(A76="","",IF(ISNUMBER(--LEFT(A76,FIND(" - ",A76&amp;" - ")-1)),LEFT(A76,FIND(" - ",A76&amp;" - ")-1),TRIM(A76)))</f>
        <v/>
      </c>
      <c r="N76">
        <f>IF(L76="","",IF(ISNUMBER(INDEX(A76:H76,$P$1)),INDEX(A76:H76,$P$1),IFERROR(_xlfn.NUMBERVALUE(INDEX(A76:H76,$P$1),".",","),0)))</f>
        <v/>
      </c>
    </row>
    <row r="77">
      <c r="L77">
        <f>IF(A77="","",IF(ISNUMBER(--LEFT(A77,FIND(" - ",A77&amp;" - ")-1)),LEFT(A77,FIND(" - ",A77&amp;" - ")-1),TRIM(A77)))</f>
        <v/>
      </c>
      <c r="N77">
        <f>IF(L77="","",IF(ISNUMBER(INDEX(A77:H77,$P$1)),INDEX(A77:H77,$P$1),IFERROR(_xlfn.NUMBERVALUE(INDEX(A77:H77,$P$1),".",","),0)))</f>
        <v/>
      </c>
    </row>
    <row r="78">
      <c r="L78">
        <f>IF(A78="","",IF(ISNUMBER(--LEFT(A78,FIND(" - ",A78&amp;" - ")-1)),LEFT(A78,FIND(" - ",A78&amp;" - ")-1),TRIM(A78)))</f>
        <v/>
      </c>
      <c r="N78">
        <f>IF(L78="","",IF(ISNUMBER(INDEX(A78:H78,$P$1)),INDEX(A78:H78,$P$1),IFERROR(_xlfn.NUMBERVALUE(INDEX(A78:H78,$P$1),".",","),0)))</f>
        <v/>
      </c>
    </row>
    <row r="79">
      <c r="L79">
        <f>IF(A79="","",IF(ISNUMBER(--LEFT(A79,FIND(" - ",A79&amp;" - ")-1)),LEFT(A79,FIND(" - ",A79&amp;" - ")-1),TRIM(A79)))</f>
        <v/>
      </c>
      <c r="N79">
        <f>IF(L79="","",IF(ISNUMBER(INDEX(A79:H79,$P$1)),INDEX(A79:H79,$P$1),IFERROR(_xlfn.NUMBERVALUE(INDEX(A79:H79,$P$1),".",","),0)))</f>
        <v/>
      </c>
    </row>
    <row r="80">
      <c r="L80">
        <f>IF(A80="","",IF(ISNUMBER(--LEFT(A80,FIND(" - ",A80&amp;" - ")-1)),LEFT(A80,FIND(" - ",A80&amp;" - ")-1),TRIM(A80)))</f>
        <v/>
      </c>
      <c r="N80">
        <f>IF(L80="","",IF(ISNUMBER(INDEX(A80:H80,$P$1)),INDEX(A80:H80,$P$1),IFERROR(_xlfn.NUMBERVALUE(INDEX(A80:H80,$P$1),".",","),0)))</f>
        <v/>
      </c>
    </row>
    <row r="81">
      <c r="L81">
        <f>IF(A81="","",IF(ISNUMBER(--LEFT(A81,FIND(" - ",A81&amp;" - ")-1)),LEFT(A81,FIND(" - ",A81&amp;" - ")-1),TRIM(A81)))</f>
        <v/>
      </c>
      <c r="N81">
        <f>IF(L81="","",IF(ISNUMBER(INDEX(A81:H81,$P$1)),INDEX(A81:H81,$P$1),IFERROR(_xlfn.NUMBERVALUE(INDEX(A81:H81,$P$1),".",","),0)))</f>
        <v/>
      </c>
    </row>
    <row r="82">
      <c r="L82">
        <f>IF(A82="","",IF(ISNUMBER(--LEFT(A82,FIND(" - ",A82&amp;" - ")-1)),LEFT(A82,FIND(" - ",A82&amp;" - ")-1),TRIM(A82)))</f>
        <v/>
      </c>
      <c r="N82">
        <f>IF(L82="","",IF(ISNUMBER(INDEX(A82:H82,$P$1)),INDEX(A82:H82,$P$1),IFERROR(_xlfn.NUMBERVALUE(INDEX(A82:H82,$P$1),".",","),0)))</f>
        <v/>
      </c>
    </row>
    <row r="83">
      <c r="L83">
        <f>IF(A83="","",IF(ISNUMBER(--LEFT(A83,FIND(" - ",A83&amp;" - ")-1)),LEFT(A83,FIND(" - ",A83&amp;" - ")-1),TRIM(A83)))</f>
        <v/>
      </c>
      <c r="N83">
        <f>IF(L83="","",IF(ISNUMBER(INDEX(A83:H83,$P$1)),INDEX(A83:H83,$P$1),IFERROR(_xlfn.NUMBERVALUE(INDEX(A83:H83,$P$1),".",","),0)))</f>
        <v/>
      </c>
    </row>
    <row r="84">
      <c r="L84">
        <f>IF(A84="","",IF(ISNUMBER(--LEFT(A84,FIND(" - ",A84&amp;" - ")-1)),LEFT(A84,FIND(" - ",A84&amp;" - ")-1),TRIM(A84)))</f>
        <v/>
      </c>
      <c r="N84">
        <f>IF(L84="","",IF(ISNUMBER(INDEX(A84:H84,$P$1)),INDEX(A84:H84,$P$1),IFERROR(_xlfn.NUMBERVALUE(INDEX(A84:H84,$P$1),".",","),0)))</f>
        <v/>
      </c>
    </row>
    <row r="85">
      <c r="L85">
        <f>IF(A85="","",IF(ISNUMBER(--LEFT(A85,FIND(" - ",A85&amp;" - ")-1)),LEFT(A85,FIND(" - ",A85&amp;" - ")-1),TRIM(A85)))</f>
        <v/>
      </c>
      <c r="N85">
        <f>IF(L85="","",IF(ISNUMBER(INDEX(A85:H85,$P$1)),INDEX(A85:H85,$P$1),IFERROR(_xlfn.NUMBERVALUE(INDEX(A85:H85,$P$1),".",","),0)))</f>
        <v/>
      </c>
    </row>
    <row r="86">
      <c r="L86">
        <f>IF(A86="","",IF(ISNUMBER(--LEFT(A86,FIND(" - ",A86&amp;" - ")-1)),LEFT(A86,FIND(" - ",A86&amp;" - ")-1),TRIM(A86)))</f>
        <v/>
      </c>
      <c r="N86">
        <f>IF(L86="","",IF(ISNUMBER(INDEX(A86:H86,$P$1)),INDEX(A86:H86,$P$1),IFERROR(_xlfn.NUMBERVALUE(INDEX(A86:H86,$P$1),".",","),0)))</f>
        <v/>
      </c>
    </row>
    <row r="87">
      <c r="L87">
        <f>IF(A87="","",IF(ISNUMBER(--LEFT(A87,FIND(" - ",A87&amp;" - ")-1)),LEFT(A87,FIND(" - ",A87&amp;" - ")-1),TRIM(A87)))</f>
        <v/>
      </c>
      <c r="N87">
        <f>IF(L87="","",IF(ISNUMBER(INDEX(A87:H87,$P$1)),INDEX(A87:H87,$P$1),IFERROR(_xlfn.NUMBERVALUE(INDEX(A87:H87,$P$1),".",","),0)))</f>
        <v/>
      </c>
    </row>
    <row r="88">
      <c r="L88">
        <f>IF(A88="","",IF(ISNUMBER(--LEFT(A88,FIND(" - ",A88&amp;" - ")-1)),LEFT(A88,FIND(" - ",A88&amp;" - ")-1),TRIM(A88)))</f>
        <v/>
      </c>
      <c r="N88">
        <f>IF(L88="","",IF(ISNUMBER(INDEX(A88:H88,$P$1)),INDEX(A88:H88,$P$1),IFERROR(_xlfn.NUMBERVALUE(INDEX(A88:H88,$P$1),".",","),0)))</f>
        <v/>
      </c>
    </row>
    <row r="89">
      <c r="L89">
        <f>IF(A89="","",IF(ISNUMBER(--LEFT(A89,FIND(" - ",A89&amp;" - ")-1)),LEFT(A89,FIND(" - ",A89&amp;" - ")-1),TRIM(A89)))</f>
        <v/>
      </c>
      <c r="N89">
        <f>IF(L89="","",IF(ISNUMBER(INDEX(A89:H89,$P$1)),INDEX(A89:H89,$P$1),IFERROR(_xlfn.NUMBERVALUE(INDEX(A89:H89,$P$1),".",","),0)))</f>
        <v/>
      </c>
    </row>
    <row r="90">
      <c r="L90">
        <f>IF(A90="","",IF(ISNUMBER(--LEFT(A90,FIND(" - ",A90&amp;" - ")-1)),LEFT(A90,FIND(" - ",A90&amp;" - ")-1),TRIM(A90)))</f>
        <v/>
      </c>
      <c r="N90">
        <f>IF(L90="","",IF(ISNUMBER(INDEX(A90:H90,$P$1)),INDEX(A90:H90,$P$1),IFERROR(_xlfn.NUMBERVALUE(INDEX(A90:H90,$P$1),".",","),0)))</f>
        <v/>
      </c>
    </row>
    <row r="91">
      <c r="L91">
        <f>IF(A91="","",IF(ISNUMBER(--LEFT(A91,FIND(" - ",A91&amp;" - ")-1)),LEFT(A91,FIND(" - ",A91&amp;" - ")-1),TRIM(A91)))</f>
        <v/>
      </c>
      <c r="N91">
        <f>IF(L91="","",IF(ISNUMBER(INDEX(A91:H91,$P$1)),INDEX(A91:H91,$P$1),IFERROR(_xlfn.NUMBERVALUE(INDEX(A91:H91,$P$1),".",","),0)))</f>
        <v/>
      </c>
    </row>
    <row r="92">
      <c r="L92">
        <f>IF(A92="","",IF(ISNUMBER(--LEFT(A92,FIND(" - ",A92&amp;" - ")-1)),LEFT(A92,FIND(" - ",A92&amp;" - ")-1),TRIM(A92)))</f>
        <v/>
      </c>
      <c r="N92">
        <f>IF(L92="","",IF(ISNUMBER(INDEX(A92:H92,$P$1)),INDEX(A92:H92,$P$1),IFERROR(_xlfn.NUMBERVALUE(INDEX(A92:H92,$P$1),".",","),0)))</f>
        <v/>
      </c>
    </row>
    <row r="93">
      <c r="L93">
        <f>IF(A93="","",IF(ISNUMBER(--LEFT(A93,FIND(" - ",A93&amp;" - ")-1)),LEFT(A93,FIND(" - ",A93&amp;" - ")-1),TRIM(A93)))</f>
        <v/>
      </c>
      <c r="N93">
        <f>IF(L93="","",IF(ISNUMBER(INDEX(A93:H93,$P$1)),INDEX(A93:H93,$P$1),IFERROR(_xlfn.NUMBERVALUE(INDEX(A93:H93,$P$1),".",","),0)))</f>
        <v/>
      </c>
    </row>
    <row r="94">
      <c r="L94">
        <f>IF(A94="","",IF(ISNUMBER(--LEFT(A94,FIND(" - ",A94&amp;" - ")-1)),LEFT(A94,FIND(" - ",A94&amp;" - ")-1),TRIM(A94)))</f>
        <v/>
      </c>
      <c r="N94">
        <f>IF(L94="","",IF(ISNUMBER(INDEX(A94:H94,$P$1)),INDEX(A94:H94,$P$1),IFERROR(_xlfn.NUMBERVALUE(INDEX(A94:H94,$P$1),".",","),0)))</f>
        <v/>
      </c>
    </row>
    <row r="95">
      <c r="L95">
        <f>IF(A95="","",IF(ISNUMBER(--LEFT(A95,FIND(" - ",A95&amp;" - ")-1)),LEFT(A95,FIND(" - ",A95&amp;" - ")-1),TRIM(A95)))</f>
        <v/>
      </c>
      <c r="N95">
        <f>IF(L95="","",IF(ISNUMBER(INDEX(A95:H95,$P$1)),INDEX(A95:H95,$P$1),IFERROR(_xlfn.NUMBERVALUE(INDEX(A95:H95,$P$1),".",","),0)))</f>
        <v/>
      </c>
    </row>
    <row r="96">
      <c r="L96">
        <f>IF(A96="","",IF(ISNUMBER(--LEFT(A96,FIND(" - ",A96&amp;" - ")-1)),LEFT(A96,FIND(" - ",A96&amp;" - ")-1),TRIM(A96)))</f>
        <v/>
      </c>
      <c r="N96">
        <f>IF(L96="","",IF(ISNUMBER(INDEX(A96:H96,$P$1)),INDEX(A96:H96,$P$1),IFERROR(_xlfn.NUMBERVALUE(INDEX(A96:H96,$P$1),".",","),0)))</f>
        <v/>
      </c>
    </row>
    <row r="97">
      <c r="L97">
        <f>IF(A97="","",IF(ISNUMBER(--LEFT(A97,FIND(" - ",A97&amp;" - ")-1)),LEFT(A97,FIND(" - ",A97&amp;" - ")-1),TRIM(A97)))</f>
        <v/>
      </c>
      <c r="N97">
        <f>IF(L97="","",IF(ISNUMBER(INDEX(A97:H97,$P$1)),INDEX(A97:H97,$P$1),IFERROR(_xlfn.NUMBERVALUE(INDEX(A97:H97,$P$1),".",","),0)))</f>
        <v/>
      </c>
    </row>
    <row r="98">
      <c r="L98">
        <f>IF(A98="","",IF(ISNUMBER(--LEFT(A98,FIND(" - ",A98&amp;" - ")-1)),LEFT(A98,FIND(" - ",A98&amp;" - ")-1),TRIM(A98)))</f>
        <v/>
      </c>
      <c r="N98">
        <f>IF(L98="","",IF(ISNUMBER(INDEX(A98:H98,$P$1)),INDEX(A98:H98,$P$1),IFERROR(_xlfn.NUMBERVALUE(INDEX(A98:H98,$P$1),".",","),0)))</f>
        <v/>
      </c>
    </row>
    <row r="99">
      <c r="L99">
        <f>IF(A99="","",IF(ISNUMBER(--LEFT(A99,FIND(" - ",A99&amp;" - ")-1)),LEFT(A99,FIND(" - ",A99&amp;" - ")-1),TRIM(A99)))</f>
        <v/>
      </c>
      <c r="N99">
        <f>IF(L99="","",IF(ISNUMBER(INDEX(A99:H99,$P$1)),INDEX(A99:H99,$P$1),IFERROR(_xlfn.NUMBERVALUE(INDEX(A99:H99,$P$1),".",","),0)))</f>
        <v/>
      </c>
    </row>
    <row r="100">
      <c r="L100">
        <f>IF(A100="","",IF(ISNUMBER(--LEFT(A100,FIND(" - ",A100&amp;" - ")-1)),LEFT(A100,FIND(" - ",A100&amp;" - ")-1),TRIM(A100)))</f>
        <v/>
      </c>
      <c r="N100">
        <f>IF(L100="","",IF(ISNUMBER(INDEX(A100:H100,$P$1)),INDEX(A100:H100,$P$1),IFERROR(_xlfn.NUMBERVALUE(INDEX(A100:H100,$P$1),".",","),0)))</f>
        <v/>
      </c>
    </row>
    <row r="101">
      <c r="L101">
        <f>IF(A101="","",IF(ISNUMBER(--LEFT(A101,FIND(" - ",A101&amp;" - ")-1)),LEFT(A101,FIND(" - ",A101&amp;" - ")-1),TRIM(A101)))</f>
        <v/>
      </c>
      <c r="N101">
        <f>IF(L101="","",IF(ISNUMBER(INDEX(A101:H101,$P$1)),INDEX(A101:H101,$P$1),IFERROR(_xlfn.NUMBERVALUE(INDEX(A101:H101,$P$1),".",","),0)))</f>
        <v/>
      </c>
    </row>
    <row r="102">
      <c r="L102">
        <f>IF(A102="","",IF(ISNUMBER(--LEFT(A102,FIND(" - ",A102&amp;" - ")-1)),LEFT(A102,FIND(" - ",A102&amp;" - ")-1),TRIM(A102)))</f>
        <v/>
      </c>
      <c r="N102">
        <f>IF(L102="","",IF(ISNUMBER(INDEX(A102:H102,$P$1)),INDEX(A102:H102,$P$1),IFERROR(_xlfn.NUMBERVALUE(INDEX(A102:H102,$P$1),".",","),0)))</f>
        <v/>
      </c>
    </row>
    <row r="103">
      <c r="L103">
        <f>IF(A103="","",IF(ISNUMBER(--LEFT(A103,FIND(" - ",A103&amp;" - ")-1)),LEFT(A103,FIND(" - ",A103&amp;" - ")-1),TRIM(A103)))</f>
        <v/>
      </c>
      <c r="N103">
        <f>IF(L103="","",IF(ISNUMBER(INDEX(A103:H103,$P$1)),INDEX(A103:H103,$P$1),IFERROR(_xlfn.NUMBERVALUE(INDEX(A103:H103,$P$1),".",","),0)))</f>
        <v/>
      </c>
    </row>
    <row r="104">
      <c r="L104">
        <f>IF(A104="","",IF(ISNUMBER(--LEFT(A104,FIND(" - ",A104&amp;" - ")-1)),LEFT(A104,FIND(" - ",A104&amp;" - ")-1),TRIM(A104)))</f>
        <v/>
      </c>
      <c r="N104">
        <f>IF(L104="","",IF(ISNUMBER(INDEX(A104:H104,$P$1)),INDEX(A104:H104,$P$1),IFERROR(_xlfn.NUMBERVALUE(INDEX(A104:H104,$P$1),".",","),0)))</f>
        <v/>
      </c>
    </row>
    <row r="105">
      <c r="L105">
        <f>IF(A105="","",IF(ISNUMBER(--LEFT(A105,FIND(" - ",A105&amp;" - ")-1)),LEFT(A105,FIND(" - ",A105&amp;" - ")-1),TRIM(A105)))</f>
        <v/>
      </c>
      <c r="N105">
        <f>IF(L105="","",IF(ISNUMBER(INDEX(A105:H105,$P$1)),INDEX(A105:H105,$P$1),IFERROR(_xlfn.NUMBERVALUE(INDEX(A105:H105,$P$1),".",","),0)))</f>
        <v/>
      </c>
    </row>
    <row r="106">
      <c r="L106">
        <f>IF(A106="","",IF(ISNUMBER(--LEFT(A106,FIND(" - ",A106&amp;" - ")-1)),LEFT(A106,FIND(" - ",A106&amp;" - ")-1),TRIM(A106)))</f>
        <v/>
      </c>
      <c r="N106">
        <f>IF(L106="","",IF(ISNUMBER(INDEX(A106:H106,$P$1)),INDEX(A106:H106,$P$1),IFERROR(_xlfn.NUMBERVALUE(INDEX(A106:H106,$P$1),".",","),0)))</f>
        <v/>
      </c>
    </row>
    <row r="107">
      <c r="L107">
        <f>IF(A107="","",IF(ISNUMBER(--LEFT(A107,FIND(" - ",A107&amp;" - ")-1)),LEFT(A107,FIND(" - ",A107&amp;" - ")-1),TRIM(A107)))</f>
        <v/>
      </c>
      <c r="N107">
        <f>IF(L107="","",IF(ISNUMBER(INDEX(A107:H107,$P$1)),INDEX(A107:H107,$P$1),IFERROR(_xlfn.NUMBERVALUE(INDEX(A107:H107,$P$1),".",","),0)))</f>
        <v/>
      </c>
    </row>
    <row r="108">
      <c r="L108">
        <f>IF(A108="","",IF(ISNUMBER(--LEFT(A108,FIND(" - ",A108&amp;" - ")-1)),LEFT(A108,FIND(" - ",A108&amp;" - ")-1),TRIM(A108)))</f>
        <v/>
      </c>
      <c r="N108">
        <f>IF(L108="","",IF(ISNUMBER(INDEX(A108:H108,$P$1)),INDEX(A108:H108,$P$1),IFERROR(_xlfn.NUMBERVALUE(INDEX(A108:H108,$P$1),".",","),0)))</f>
        <v/>
      </c>
    </row>
    <row r="109">
      <c r="L109">
        <f>IF(A109="","",IF(ISNUMBER(--LEFT(A109,FIND(" - ",A109&amp;" - ")-1)),LEFT(A109,FIND(" - ",A109&amp;" - ")-1),TRIM(A109)))</f>
        <v/>
      </c>
      <c r="N109">
        <f>IF(L109="","",IF(ISNUMBER(INDEX(A109:H109,$P$1)),INDEX(A109:H109,$P$1),IFERROR(_xlfn.NUMBERVALUE(INDEX(A109:H109,$P$1),".",","),0)))</f>
        <v/>
      </c>
    </row>
    <row r="110">
      <c r="L110">
        <f>IF(A110="","",IF(ISNUMBER(--LEFT(A110,FIND(" - ",A110&amp;" - ")-1)),LEFT(A110,FIND(" - ",A110&amp;" - ")-1),TRIM(A110)))</f>
        <v/>
      </c>
      <c r="N110">
        <f>IF(L110="","",IF(ISNUMBER(INDEX(A110:H110,$P$1)),INDEX(A110:H110,$P$1),IFERROR(_xlfn.NUMBERVALUE(INDEX(A110:H110,$P$1),".",","),0)))</f>
        <v/>
      </c>
    </row>
    <row r="111">
      <c r="L111">
        <f>IF(A111="","",IF(ISNUMBER(--LEFT(A111,FIND(" - ",A111&amp;" - ")-1)),LEFT(A111,FIND(" - ",A111&amp;" - ")-1),TRIM(A111)))</f>
        <v/>
      </c>
      <c r="N111">
        <f>IF(L111="","",IF(ISNUMBER(INDEX(A111:H111,$P$1)),INDEX(A111:H111,$P$1),IFERROR(_xlfn.NUMBERVALUE(INDEX(A111:H111,$P$1),".",","),0)))</f>
        <v/>
      </c>
    </row>
    <row r="112">
      <c r="L112">
        <f>IF(A112="","",IF(ISNUMBER(--LEFT(A112,FIND(" - ",A112&amp;" - ")-1)),LEFT(A112,FIND(" - ",A112&amp;" - ")-1),TRIM(A112)))</f>
        <v/>
      </c>
      <c r="N112">
        <f>IF(L112="","",IF(ISNUMBER(INDEX(A112:H112,$P$1)),INDEX(A112:H112,$P$1),IFERROR(_xlfn.NUMBERVALUE(INDEX(A112:H112,$P$1),".",","),0)))</f>
        <v/>
      </c>
    </row>
    <row r="113">
      <c r="L113">
        <f>IF(A113="","",IF(ISNUMBER(--LEFT(A113,FIND(" - ",A113&amp;" - ")-1)),LEFT(A113,FIND(" - ",A113&amp;" - ")-1),TRIM(A113)))</f>
        <v/>
      </c>
      <c r="N113">
        <f>IF(L113="","",IF(ISNUMBER(INDEX(A113:H113,$P$1)),INDEX(A113:H113,$P$1),IFERROR(_xlfn.NUMBERVALUE(INDEX(A113:H113,$P$1),".",","),0)))</f>
        <v/>
      </c>
    </row>
    <row r="114">
      <c r="L114">
        <f>IF(A114="","",IF(ISNUMBER(--LEFT(A114,FIND(" - ",A114&amp;" - ")-1)),LEFT(A114,FIND(" - ",A114&amp;" - ")-1),TRIM(A114)))</f>
        <v/>
      </c>
      <c r="N114">
        <f>IF(L114="","",IF(ISNUMBER(INDEX(A114:H114,$P$1)),INDEX(A114:H114,$P$1),IFERROR(_xlfn.NUMBERVALUE(INDEX(A114:H114,$P$1),".",","),0)))</f>
        <v/>
      </c>
    </row>
    <row r="115">
      <c r="L115">
        <f>IF(A115="","",IF(ISNUMBER(--LEFT(A115,FIND(" - ",A115&amp;" - ")-1)),LEFT(A115,FIND(" - ",A115&amp;" - ")-1),TRIM(A115)))</f>
        <v/>
      </c>
      <c r="N115">
        <f>IF(L115="","",IF(ISNUMBER(INDEX(A115:H115,$P$1)),INDEX(A115:H115,$P$1),IFERROR(_xlfn.NUMBERVALUE(INDEX(A115:H115,$P$1),".",","),0)))</f>
        <v/>
      </c>
    </row>
    <row r="116">
      <c r="L116">
        <f>IF(A116="","",IF(ISNUMBER(--LEFT(A116,FIND(" - ",A116&amp;" - ")-1)),LEFT(A116,FIND(" - ",A116&amp;" - ")-1),TRIM(A116)))</f>
        <v/>
      </c>
      <c r="N116">
        <f>IF(L116="","",IF(ISNUMBER(INDEX(A116:H116,$P$1)),INDEX(A116:H116,$P$1),IFERROR(_xlfn.NUMBERVALUE(INDEX(A116:H116,$P$1),".",","),0)))</f>
        <v/>
      </c>
    </row>
    <row r="117">
      <c r="L117">
        <f>IF(A117="","",IF(ISNUMBER(--LEFT(A117,FIND(" - ",A117&amp;" - ")-1)),LEFT(A117,FIND(" - ",A117&amp;" - ")-1),TRIM(A117)))</f>
        <v/>
      </c>
      <c r="N117">
        <f>IF(L117="","",IF(ISNUMBER(INDEX(A117:H117,$P$1)),INDEX(A117:H117,$P$1),IFERROR(_xlfn.NUMBERVALUE(INDEX(A117:H117,$P$1),".",","),0)))</f>
        <v/>
      </c>
    </row>
    <row r="118">
      <c r="L118">
        <f>IF(A118="","",IF(ISNUMBER(--LEFT(A118,FIND(" - ",A118&amp;" - ")-1)),LEFT(A118,FIND(" - ",A118&amp;" - ")-1),TRIM(A118)))</f>
        <v/>
      </c>
      <c r="N118">
        <f>IF(L118="","",IF(ISNUMBER(INDEX(A118:H118,$P$1)),INDEX(A118:H118,$P$1),IFERROR(_xlfn.NUMBERVALUE(INDEX(A118:H118,$P$1),".",","),0)))</f>
        <v/>
      </c>
    </row>
    <row r="119">
      <c r="L119">
        <f>IF(A119="","",IF(ISNUMBER(--LEFT(A119,FIND(" - ",A119&amp;" - ")-1)),LEFT(A119,FIND(" - ",A119&amp;" - ")-1),TRIM(A119)))</f>
        <v/>
      </c>
      <c r="N119">
        <f>IF(L119="","",IF(ISNUMBER(INDEX(A119:H119,$P$1)),INDEX(A119:H119,$P$1),IFERROR(_xlfn.NUMBERVALUE(INDEX(A119:H119,$P$1),".",","),0)))</f>
        <v/>
      </c>
    </row>
    <row r="120">
      <c r="L120">
        <f>IF(A120="","",IF(ISNUMBER(--LEFT(A120,FIND(" - ",A120&amp;" - ")-1)),LEFT(A120,FIND(" - ",A120&amp;" - ")-1),TRIM(A120)))</f>
        <v/>
      </c>
      <c r="N120">
        <f>IF(L120="","",IF(ISNUMBER(INDEX(A120:H120,$P$1)),INDEX(A120:H120,$P$1),IFERROR(_xlfn.NUMBERVALUE(INDEX(A120:H120,$P$1),".",","),0)))</f>
        <v/>
      </c>
    </row>
    <row r="121">
      <c r="L121">
        <f>IF(A121="","",IF(ISNUMBER(--LEFT(A121,FIND(" - ",A121&amp;" - ")-1)),LEFT(A121,FIND(" - ",A121&amp;" - ")-1),TRIM(A121)))</f>
        <v/>
      </c>
      <c r="N121">
        <f>IF(L121="","",IF(ISNUMBER(INDEX(A121:H121,$P$1)),INDEX(A121:H121,$P$1),IFERROR(_xlfn.NUMBERVALUE(INDEX(A121:H121,$P$1),".",","),0)))</f>
        <v/>
      </c>
    </row>
    <row r="122">
      <c r="L122">
        <f>IF(A122="","",IF(ISNUMBER(--LEFT(A122,FIND(" - ",A122&amp;" - ")-1)),LEFT(A122,FIND(" - ",A122&amp;" - ")-1),TRIM(A122)))</f>
        <v/>
      </c>
      <c r="N122">
        <f>IF(L122="","",IF(ISNUMBER(INDEX(A122:H122,$P$1)),INDEX(A122:H122,$P$1),IFERROR(_xlfn.NUMBERVALUE(INDEX(A122:H122,$P$1),".",","),0)))</f>
        <v/>
      </c>
    </row>
    <row r="123">
      <c r="L123">
        <f>IF(A123="","",IF(ISNUMBER(--LEFT(A123,FIND(" - ",A123&amp;" - ")-1)),LEFT(A123,FIND(" - ",A123&amp;" - ")-1),TRIM(A123)))</f>
        <v/>
      </c>
      <c r="N123">
        <f>IF(L123="","",IF(ISNUMBER(INDEX(A123:H123,$P$1)),INDEX(A123:H123,$P$1),IFERROR(_xlfn.NUMBERVALUE(INDEX(A123:H123,$P$1),".",","),0)))</f>
        <v/>
      </c>
    </row>
    <row r="124">
      <c r="L124">
        <f>IF(A124="","",IF(ISNUMBER(--LEFT(A124,FIND(" - ",A124&amp;" - ")-1)),LEFT(A124,FIND(" - ",A124&amp;" - ")-1),TRIM(A124)))</f>
        <v/>
      </c>
      <c r="N124">
        <f>IF(L124="","",IF(ISNUMBER(INDEX(A124:H124,$P$1)),INDEX(A124:H124,$P$1),IFERROR(_xlfn.NUMBERVALUE(INDEX(A124:H124,$P$1),".",","),0)))</f>
        <v/>
      </c>
    </row>
    <row r="125">
      <c r="L125">
        <f>IF(A125="","",IF(ISNUMBER(--LEFT(A125,FIND(" - ",A125&amp;" - ")-1)),LEFT(A125,FIND(" - ",A125&amp;" - ")-1),TRIM(A125)))</f>
        <v/>
      </c>
      <c r="N125">
        <f>IF(L125="","",IF(ISNUMBER(INDEX(A125:H125,$P$1)),INDEX(A125:H125,$P$1),IFERROR(_xlfn.NUMBERVALUE(INDEX(A125:H125,$P$1),".",","),0)))</f>
        <v/>
      </c>
    </row>
    <row r="126">
      <c r="L126">
        <f>IF(A126="","",IF(ISNUMBER(--LEFT(A126,FIND(" - ",A126&amp;" - ")-1)),LEFT(A126,FIND(" - ",A126&amp;" - ")-1),TRIM(A126)))</f>
        <v/>
      </c>
      <c r="N126">
        <f>IF(L126="","",IF(ISNUMBER(INDEX(A126:H126,$P$1)),INDEX(A126:H126,$P$1),IFERROR(_xlfn.NUMBERVALUE(INDEX(A126:H126,$P$1),".",","),0)))</f>
        <v/>
      </c>
    </row>
    <row r="127">
      <c r="L127">
        <f>IF(A127="","",IF(ISNUMBER(--LEFT(A127,FIND(" - ",A127&amp;" - ")-1)),LEFT(A127,FIND(" - ",A127&amp;" - ")-1),TRIM(A127)))</f>
        <v/>
      </c>
      <c r="N127">
        <f>IF(L127="","",IF(ISNUMBER(INDEX(A127:H127,$P$1)),INDEX(A127:H127,$P$1),IFERROR(_xlfn.NUMBERVALUE(INDEX(A127:H127,$P$1),".",","),0)))</f>
        <v/>
      </c>
    </row>
    <row r="128">
      <c r="L128">
        <f>IF(A128="","",IF(ISNUMBER(--LEFT(A128,FIND(" - ",A128&amp;" - ")-1)),LEFT(A128,FIND(" - ",A128&amp;" - ")-1),TRIM(A128)))</f>
        <v/>
      </c>
      <c r="N128">
        <f>IF(L128="","",IF(ISNUMBER(INDEX(A128:H128,$P$1)),INDEX(A128:H128,$P$1),IFERROR(_xlfn.NUMBERVALUE(INDEX(A128:H128,$P$1),".",","),0)))</f>
        <v/>
      </c>
    </row>
    <row r="129">
      <c r="L129">
        <f>IF(A129="","",IF(ISNUMBER(--LEFT(A129,FIND(" - ",A129&amp;" - ")-1)),LEFT(A129,FIND(" - ",A129&amp;" - ")-1),TRIM(A129)))</f>
        <v/>
      </c>
      <c r="N129">
        <f>IF(L129="","",IF(ISNUMBER(INDEX(A129:H129,$P$1)),INDEX(A129:H129,$P$1),IFERROR(_xlfn.NUMBERVALUE(INDEX(A129:H129,$P$1),".",","),0)))</f>
        <v/>
      </c>
    </row>
    <row r="130">
      <c r="L130">
        <f>IF(A130="","",IF(ISNUMBER(--LEFT(A130,FIND(" - ",A130&amp;" - ")-1)),LEFT(A130,FIND(" - ",A130&amp;" - ")-1),TRIM(A130)))</f>
        <v/>
      </c>
      <c r="N130">
        <f>IF(L130="","",IF(ISNUMBER(INDEX(A130:H130,$P$1)),INDEX(A130:H130,$P$1),IFERROR(_xlfn.NUMBERVALUE(INDEX(A130:H130,$P$1),".",","),0)))</f>
        <v/>
      </c>
    </row>
    <row r="131">
      <c r="L131">
        <f>IF(A131="","",IF(ISNUMBER(--LEFT(A131,FIND(" - ",A131&amp;" - ")-1)),LEFT(A131,FIND(" - ",A131&amp;" - ")-1),TRIM(A131)))</f>
        <v/>
      </c>
      <c r="N131">
        <f>IF(L131="","",IF(ISNUMBER(INDEX(A131:H131,$P$1)),INDEX(A131:H131,$P$1),IFERROR(_xlfn.NUMBERVALUE(INDEX(A131:H131,$P$1),".",","),0)))</f>
        <v/>
      </c>
    </row>
    <row r="132">
      <c r="L132">
        <f>IF(A132="","",IF(ISNUMBER(--LEFT(A132,FIND(" - ",A132&amp;" - ")-1)),LEFT(A132,FIND(" - ",A132&amp;" - ")-1),TRIM(A132)))</f>
        <v/>
      </c>
      <c r="N132">
        <f>IF(L132="","",IF(ISNUMBER(INDEX(A132:H132,$P$1)),INDEX(A132:H132,$P$1),IFERROR(_xlfn.NUMBERVALUE(INDEX(A132:H132,$P$1),".",","),0)))</f>
        <v/>
      </c>
    </row>
    <row r="133">
      <c r="L133">
        <f>IF(A133="","",IF(ISNUMBER(--LEFT(A133,FIND(" - ",A133&amp;" - ")-1)),LEFT(A133,FIND(" - ",A133&amp;" - ")-1),TRIM(A133)))</f>
        <v/>
      </c>
      <c r="N133">
        <f>IF(L133="","",IF(ISNUMBER(INDEX(A133:H133,$P$1)),INDEX(A133:H133,$P$1),IFERROR(_xlfn.NUMBERVALUE(INDEX(A133:H133,$P$1),".",","),0)))</f>
        <v/>
      </c>
    </row>
    <row r="134">
      <c r="L134">
        <f>IF(A134="","",IF(ISNUMBER(--LEFT(A134,FIND(" - ",A134&amp;" - ")-1)),LEFT(A134,FIND(" - ",A134&amp;" - ")-1),TRIM(A134)))</f>
        <v/>
      </c>
      <c r="N134">
        <f>IF(L134="","",IF(ISNUMBER(INDEX(A134:H134,$P$1)),INDEX(A134:H134,$P$1),IFERROR(_xlfn.NUMBERVALUE(INDEX(A134:H134,$P$1),".",","),0)))</f>
        <v/>
      </c>
    </row>
    <row r="135">
      <c r="L135">
        <f>IF(A135="","",IF(ISNUMBER(--LEFT(A135,FIND(" - ",A135&amp;" - ")-1)),LEFT(A135,FIND(" - ",A135&amp;" - ")-1),TRIM(A135)))</f>
        <v/>
      </c>
      <c r="N135">
        <f>IF(L135="","",IF(ISNUMBER(INDEX(A135:H135,$P$1)),INDEX(A135:H135,$P$1),IFERROR(_xlfn.NUMBERVALUE(INDEX(A135:H135,$P$1),".",","),0)))</f>
        <v/>
      </c>
    </row>
    <row r="136">
      <c r="L136">
        <f>IF(A136="","",IF(ISNUMBER(--LEFT(A136,FIND(" - ",A136&amp;" - ")-1)),LEFT(A136,FIND(" - ",A136&amp;" - ")-1),TRIM(A136)))</f>
        <v/>
      </c>
      <c r="N136">
        <f>IF(L136="","",IF(ISNUMBER(INDEX(A136:H136,$P$1)),INDEX(A136:H136,$P$1),IFERROR(_xlfn.NUMBERVALUE(INDEX(A136:H136,$P$1),".",","),0)))</f>
        <v/>
      </c>
    </row>
    <row r="137">
      <c r="L137">
        <f>IF(A137="","",IF(ISNUMBER(--LEFT(A137,FIND(" - ",A137&amp;" - ")-1)),LEFT(A137,FIND(" - ",A137&amp;" - ")-1),TRIM(A137)))</f>
        <v/>
      </c>
      <c r="N137">
        <f>IF(L137="","",IF(ISNUMBER(INDEX(A137:H137,$P$1)),INDEX(A137:H137,$P$1),IFERROR(_xlfn.NUMBERVALUE(INDEX(A137:H137,$P$1),".",","),0)))</f>
        <v/>
      </c>
    </row>
    <row r="138">
      <c r="L138">
        <f>IF(A138="","",IF(ISNUMBER(--LEFT(A138,FIND(" - ",A138&amp;" - ")-1)),LEFT(A138,FIND(" - ",A138&amp;" - ")-1),TRIM(A138)))</f>
        <v/>
      </c>
      <c r="N138">
        <f>IF(L138="","",IF(ISNUMBER(INDEX(A138:H138,$P$1)),INDEX(A138:H138,$P$1),IFERROR(_xlfn.NUMBERVALUE(INDEX(A138:H138,$P$1),".",","),0)))</f>
        <v/>
      </c>
    </row>
    <row r="139">
      <c r="L139">
        <f>IF(A139="","",IF(ISNUMBER(--LEFT(A139,FIND(" - ",A139&amp;" - ")-1)),LEFT(A139,FIND(" - ",A139&amp;" - ")-1),TRIM(A139)))</f>
        <v/>
      </c>
      <c r="N139">
        <f>IF(L139="","",IF(ISNUMBER(INDEX(A139:H139,$P$1)),INDEX(A139:H139,$P$1),IFERROR(_xlfn.NUMBERVALUE(INDEX(A139:H139,$P$1),".",","),0)))</f>
        <v/>
      </c>
    </row>
    <row r="140">
      <c r="L140">
        <f>IF(A140="","",IF(ISNUMBER(--LEFT(A140,FIND(" - ",A140&amp;" - ")-1)),LEFT(A140,FIND(" - ",A140&amp;" - ")-1),TRIM(A140)))</f>
        <v/>
      </c>
      <c r="N140">
        <f>IF(L140="","",IF(ISNUMBER(INDEX(A140:H140,$P$1)),INDEX(A140:H140,$P$1),IFERROR(_xlfn.NUMBERVALUE(INDEX(A140:H140,$P$1),".",","),0)))</f>
        <v/>
      </c>
    </row>
    <row r="141">
      <c r="L141">
        <f>IF(A141="","",IF(ISNUMBER(--LEFT(A141,FIND(" - ",A141&amp;" - ")-1)),LEFT(A141,FIND(" - ",A141&amp;" - ")-1),TRIM(A141)))</f>
        <v/>
      </c>
      <c r="N141">
        <f>IF(L141="","",IF(ISNUMBER(INDEX(A141:H141,$P$1)),INDEX(A141:H141,$P$1),IFERROR(_xlfn.NUMBERVALUE(INDEX(A141:H141,$P$1),".",","),0)))</f>
        <v/>
      </c>
    </row>
    <row r="142">
      <c r="L142">
        <f>IF(A142="","",IF(ISNUMBER(--LEFT(A142,FIND(" - ",A142&amp;" - ")-1)),LEFT(A142,FIND(" - ",A142&amp;" - ")-1),TRIM(A142)))</f>
        <v/>
      </c>
      <c r="N142">
        <f>IF(L142="","",IF(ISNUMBER(INDEX(A142:H142,$P$1)),INDEX(A142:H142,$P$1),IFERROR(_xlfn.NUMBERVALUE(INDEX(A142:H142,$P$1),".",","),0)))</f>
        <v/>
      </c>
    </row>
    <row r="143">
      <c r="L143">
        <f>IF(A143="","",IF(ISNUMBER(--LEFT(A143,FIND(" - ",A143&amp;" - ")-1)),LEFT(A143,FIND(" - ",A143&amp;" - ")-1),TRIM(A143)))</f>
        <v/>
      </c>
      <c r="N143">
        <f>IF(L143="","",IF(ISNUMBER(INDEX(A143:H143,$P$1)),INDEX(A143:H143,$P$1),IFERROR(_xlfn.NUMBERVALUE(INDEX(A143:H143,$P$1),".",","),0)))</f>
        <v/>
      </c>
    </row>
    <row r="144">
      <c r="L144">
        <f>IF(A144="","",IF(ISNUMBER(--LEFT(A144,FIND(" - ",A144&amp;" - ")-1)),LEFT(A144,FIND(" - ",A144&amp;" - ")-1),TRIM(A144)))</f>
        <v/>
      </c>
      <c r="N144">
        <f>IF(L144="","",IF(ISNUMBER(INDEX(A144:H144,$P$1)),INDEX(A144:H144,$P$1),IFERROR(_xlfn.NUMBERVALUE(INDEX(A144:H144,$P$1),".",","),0)))</f>
        <v/>
      </c>
    </row>
    <row r="145">
      <c r="L145">
        <f>IF(A145="","",IF(ISNUMBER(--LEFT(A145,FIND(" - ",A145&amp;" - ")-1)),LEFT(A145,FIND(" - ",A145&amp;" - ")-1),TRIM(A145)))</f>
        <v/>
      </c>
      <c r="N145">
        <f>IF(L145="","",IF(ISNUMBER(INDEX(A145:H145,$P$1)),INDEX(A145:H145,$P$1),IFERROR(_xlfn.NUMBERVALUE(INDEX(A145:H145,$P$1),".",","),0)))</f>
        <v/>
      </c>
    </row>
    <row r="146">
      <c r="L146">
        <f>IF(A146="","",IF(ISNUMBER(--LEFT(A146,FIND(" - ",A146&amp;" - ")-1)),LEFT(A146,FIND(" - ",A146&amp;" - ")-1),TRIM(A146)))</f>
        <v/>
      </c>
      <c r="N146">
        <f>IF(L146="","",IF(ISNUMBER(INDEX(A146:H146,$P$1)),INDEX(A146:H146,$P$1),IFERROR(_xlfn.NUMBERVALUE(INDEX(A146:H146,$P$1),".",","),0)))</f>
        <v/>
      </c>
    </row>
    <row r="147">
      <c r="L147">
        <f>IF(A147="","",IF(ISNUMBER(--LEFT(A147,FIND(" - ",A147&amp;" - ")-1)),LEFT(A147,FIND(" - ",A147&amp;" - ")-1),TRIM(A147)))</f>
        <v/>
      </c>
      <c r="N147">
        <f>IF(L147="","",IF(ISNUMBER(INDEX(A147:H147,$P$1)),INDEX(A147:H147,$P$1),IFERROR(_xlfn.NUMBERVALUE(INDEX(A147:H147,$P$1),".",","),0)))</f>
        <v/>
      </c>
    </row>
    <row r="148">
      <c r="L148">
        <f>IF(A148="","",IF(ISNUMBER(--LEFT(A148,FIND(" - ",A148&amp;" - ")-1)),LEFT(A148,FIND(" - ",A148&amp;" - ")-1),TRIM(A148)))</f>
        <v/>
      </c>
      <c r="N148">
        <f>IF(L148="","",IF(ISNUMBER(INDEX(A148:H148,$P$1)),INDEX(A148:H148,$P$1),IFERROR(_xlfn.NUMBERVALUE(INDEX(A148:H148,$P$1),".",","),0)))</f>
        <v/>
      </c>
    </row>
    <row r="149">
      <c r="L149">
        <f>IF(A149="","",IF(ISNUMBER(--LEFT(A149,FIND(" - ",A149&amp;" - ")-1)),LEFT(A149,FIND(" - ",A149&amp;" - ")-1),TRIM(A149)))</f>
        <v/>
      </c>
      <c r="N149">
        <f>IF(L149="","",IF(ISNUMBER(INDEX(A149:H149,$P$1)),INDEX(A149:H149,$P$1),IFERROR(_xlfn.NUMBERVALUE(INDEX(A149:H149,$P$1),".",","),0)))</f>
        <v/>
      </c>
    </row>
    <row r="150">
      <c r="L150">
        <f>IF(A150="","",IF(ISNUMBER(--LEFT(A150,FIND(" - ",A150&amp;" - ")-1)),LEFT(A150,FIND(" - ",A150&amp;" - ")-1),TRIM(A150)))</f>
        <v/>
      </c>
      <c r="N150">
        <f>IF(L150="","",IF(ISNUMBER(INDEX(A150:H150,$P$1)),INDEX(A150:H150,$P$1),IFERROR(_xlfn.NUMBERVALUE(INDEX(A150:H150,$P$1),".",","),0)))</f>
        <v/>
      </c>
    </row>
    <row r="151">
      <c r="L151">
        <f>IF(A151="","",IF(ISNUMBER(--LEFT(A151,FIND(" - ",A151&amp;" - ")-1)),LEFT(A151,FIND(" - ",A151&amp;" - ")-1),TRIM(A151)))</f>
        <v/>
      </c>
      <c r="N151">
        <f>IF(L151="","",IF(ISNUMBER(INDEX(A151:H151,$P$1)),INDEX(A151:H151,$P$1),IFERROR(_xlfn.NUMBERVALUE(INDEX(A151:H151,$P$1),".",","),0)))</f>
        <v/>
      </c>
    </row>
    <row r="152">
      <c r="L152">
        <f>IF(A152="","",IF(ISNUMBER(--LEFT(A152,FIND(" - ",A152&amp;" - ")-1)),LEFT(A152,FIND(" - ",A152&amp;" - ")-1),TRIM(A152)))</f>
        <v/>
      </c>
      <c r="N152">
        <f>IF(L152="","",IF(ISNUMBER(INDEX(A152:H152,$P$1)),INDEX(A152:H152,$P$1),IFERROR(_xlfn.NUMBERVALUE(INDEX(A152:H152,$P$1),".",","),0)))</f>
        <v/>
      </c>
    </row>
    <row r="153">
      <c r="L153">
        <f>IF(A153="","",IF(ISNUMBER(--LEFT(A153,FIND(" - ",A153&amp;" - ")-1)),LEFT(A153,FIND(" - ",A153&amp;" - ")-1),TRIM(A153)))</f>
        <v/>
      </c>
      <c r="N153">
        <f>IF(L153="","",IF(ISNUMBER(INDEX(A153:H153,$P$1)),INDEX(A153:H153,$P$1),IFERROR(_xlfn.NUMBERVALUE(INDEX(A153:H153,$P$1),".",","),0)))</f>
        <v/>
      </c>
    </row>
    <row r="154">
      <c r="L154">
        <f>IF(A154="","",IF(ISNUMBER(--LEFT(A154,FIND(" - ",A154&amp;" - ")-1)),LEFT(A154,FIND(" - ",A154&amp;" - ")-1),TRIM(A154)))</f>
        <v/>
      </c>
      <c r="N154">
        <f>IF(L154="","",IF(ISNUMBER(INDEX(A154:H154,$P$1)),INDEX(A154:H154,$P$1),IFERROR(_xlfn.NUMBERVALUE(INDEX(A154:H154,$P$1),".",","),0)))</f>
        <v/>
      </c>
    </row>
    <row r="155">
      <c r="L155">
        <f>IF(A155="","",IF(ISNUMBER(--LEFT(A155,FIND(" - ",A155&amp;" - ")-1)),LEFT(A155,FIND(" - ",A155&amp;" - ")-1),TRIM(A155)))</f>
        <v/>
      </c>
      <c r="N155">
        <f>IF(L155="","",IF(ISNUMBER(INDEX(A155:H155,$P$1)),INDEX(A155:H155,$P$1),IFERROR(_xlfn.NUMBERVALUE(INDEX(A155:H155,$P$1),".",","),0)))</f>
        <v/>
      </c>
    </row>
    <row r="156">
      <c r="L156">
        <f>IF(A156="","",IF(ISNUMBER(--LEFT(A156,FIND(" - ",A156&amp;" - ")-1)),LEFT(A156,FIND(" - ",A156&amp;" - ")-1),TRIM(A156)))</f>
        <v/>
      </c>
      <c r="N156">
        <f>IF(L156="","",IF(ISNUMBER(INDEX(A156:H156,$P$1)),INDEX(A156:H156,$P$1),IFERROR(_xlfn.NUMBERVALUE(INDEX(A156:H156,$P$1),".",","),0)))</f>
        <v/>
      </c>
    </row>
    <row r="157">
      <c r="L157">
        <f>IF(A157="","",IF(ISNUMBER(--LEFT(A157,FIND(" - ",A157&amp;" - ")-1)),LEFT(A157,FIND(" - ",A157&amp;" - ")-1),TRIM(A157)))</f>
        <v/>
      </c>
      <c r="N157">
        <f>IF(L157="","",IF(ISNUMBER(INDEX(A157:H157,$P$1)),INDEX(A157:H157,$P$1),IFERROR(_xlfn.NUMBERVALUE(INDEX(A157:H157,$P$1),".",","),0)))</f>
        <v/>
      </c>
    </row>
    <row r="158">
      <c r="L158">
        <f>IF(A158="","",IF(ISNUMBER(--LEFT(A158,FIND(" - ",A158&amp;" - ")-1)),LEFT(A158,FIND(" - ",A158&amp;" - ")-1),TRIM(A158)))</f>
        <v/>
      </c>
      <c r="N158">
        <f>IF(L158="","",IF(ISNUMBER(INDEX(A158:H158,$P$1)),INDEX(A158:H158,$P$1),IFERROR(_xlfn.NUMBERVALUE(INDEX(A158:H158,$P$1),".",","),0)))</f>
        <v/>
      </c>
    </row>
    <row r="159">
      <c r="L159">
        <f>IF(A159="","",IF(ISNUMBER(--LEFT(A159,FIND(" - ",A159&amp;" - ")-1)),LEFT(A159,FIND(" - ",A159&amp;" - ")-1),TRIM(A159)))</f>
        <v/>
      </c>
      <c r="N159">
        <f>IF(L159="","",IF(ISNUMBER(INDEX(A159:H159,$P$1)),INDEX(A159:H159,$P$1),IFERROR(_xlfn.NUMBERVALUE(INDEX(A159:H159,$P$1),".",","),0)))</f>
        <v/>
      </c>
    </row>
    <row r="160">
      <c r="L160">
        <f>IF(A160="","",IF(ISNUMBER(--LEFT(A160,FIND(" - ",A160&amp;" - ")-1)),LEFT(A160,FIND(" - ",A160&amp;" - ")-1),TRIM(A160)))</f>
        <v/>
      </c>
      <c r="N160">
        <f>IF(L160="","",IF(ISNUMBER(INDEX(A160:H160,$P$1)),INDEX(A160:H160,$P$1),IFERROR(_xlfn.NUMBERVALUE(INDEX(A160:H160,$P$1),".",","),0)))</f>
        <v/>
      </c>
    </row>
    <row r="161">
      <c r="L161">
        <f>IF(A161="","",IF(ISNUMBER(--LEFT(A161,FIND(" - ",A161&amp;" - ")-1)),LEFT(A161,FIND(" - ",A161&amp;" - ")-1),TRIM(A161)))</f>
        <v/>
      </c>
      <c r="N161">
        <f>IF(L161="","",IF(ISNUMBER(INDEX(A161:H161,$P$1)),INDEX(A161:H161,$P$1),IFERROR(_xlfn.NUMBERVALUE(INDEX(A161:H161,$P$1),".",","),0)))</f>
        <v/>
      </c>
    </row>
    <row r="162">
      <c r="L162">
        <f>IF(A162="","",IF(ISNUMBER(--LEFT(A162,FIND(" - ",A162&amp;" - ")-1)),LEFT(A162,FIND(" - ",A162&amp;" - ")-1),TRIM(A162)))</f>
        <v/>
      </c>
      <c r="N162">
        <f>IF(L162="","",IF(ISNUMBER(INDEX(A162:H162,$P$1)),INDEX(A162:H162,$P$1),IFERROR(_xlfn.NUMBERVALUE(INDEX(A162:H162,$P$1),".",","),0)))</f>
        <v/>
      </c>
    </row>
    <row r="163">
      <c r="L163">
        <f>IF(A163="","",IF(ISNUMBER(--LEFT(A163,FIND(" - ",A163&amp;" - ")-1)),LEFT(A163,FIND(" - ",A163&amp;" - ")-1),TRIM(A163)))</f>
        <v/>
      </c>
      <c r="N163">
        <f>IF(L163="","",IF(ISNUMBER(INDEX(A163:H163,$P$1)),INDEX(A163:H163,$P$1),IFERROR(_xlfn.NUMBERVALUE(INDEX(A163:H163,$P$1),".",","),0)))</f>
        <v/>
      </c>
    </row>
    <row r="164">
      <c r="L164">
        <f>IF(A164="","",IF(ISNUMBER(--LEFT(A164,FIND(" - ",A164&amp;" - ")-1)),LEFT(A164,FIND(" - ",A164&amp;" - ")-1),TRIM(A164)))</f>
        <v/>
      </c>
      <c r="N164">
        <f>IF(L164="","",IF(ISNUMBER(INDEX(A164:H164,$P$1)),INDEX(A164:H164,$P$1),IFERROR(_xlfn.NUMBERVALUE(INDEX(A164:H164,$P$1),".",","),0)))</f>
        <v/>
      </c>
    </row>
    <row r="165">
      <c r="L165">
        <f>IF(A165="","",IF(ISNUMBER(--LEFT(A165,FIND(" - ",A165&amp;" - ")-1)),LEFT(A165,FIND(" - ",A165&amp;" - ")-1),TRIM(A165)))</f>
        <v/>
      </c>
      <c r="N165">
        <f>IF(L165="","",IF(ISNUMBER(INDEX(A165:H165,$P$1)),INDEX(A165:H165,$P$1),IFERROR(_xlfn.NUMBERVALUE(INDEX(A165:H165,$P$1),".",","),0)))</f>
        <v/>
      </c>
    </row>
    <row r="166">
      <c r="L166">
        <f>IF(A166="","",IF(ISNUMBER(--LEFT(A166,FIND(" - ",A166&amp;" - ")-1)),LEFT(A166,FIND(" - ",A166&amp;" - ")-1),TRIM(A166)))</f>
        <v/>
      </c>
      <c r="N166">
        <f>IF(L166="","",IF(ISNUMBER(INDEX(A166:H166,$P$1)),INDEX(A166:H166,$P$1),IFERROR(_xlfn.NUMBERVALUE(INDEX(A166:H166,$P$1),".",","),0)))</f>
        <v/>
      </c>
    </row>
    <row r="167">
      <c r="L167">
        <f>IF(A167="","",IF(ISNUMBER(--LEFT(A167,FIND(" - ",A167&amp;" - ")-1)),LEFT(A167,FIND(" - ",A167&amp;" - ")-1),TRIM(A167)))</f>
        <v/>
      </c>
      <c r="N167">
        <f>IF(L167="","",IF(ISNUMBER(INDEX(A167:H167,$P$1)),INDEX(A167:H167,$P$1),IFERROR(_xlfn.NUMBERVALUE(INDEX(A167:H167,$P$1),".",","),0)))</f>
        <v/>
      </c>
    </row>
    <row r="168">
      <c r="L168">
        <f>IF(A168="","",IF(ISNUMBER(--LEFT(A168,FIND(" - ",A168&amp;" - ")-1)),LEFT(A168,FIND(" - ",A168&amp;" - ")-1),TRIM(A168)))</f>
        <v/>
      </c>
      <c r="N168">
        <f>IF(L168="","",IF(ISNUMBER(INDEX(A168:H168,$P$1)),INDEX(A168:H168,$P$1),IFERROR(_xlfn.NUMBERVALUE(INDEX(A168:H168,$P$1),".",","),0)))</f>
        <v/>
      </c>
    </row>
    <row r="169">
      <c r="L169">
        <f>IF(A169="","",IF(ISNUMBER(--LEFT(A169,FIND(" - ",A169&amp;" - ")-1)),LEFT(A169,FIND(" - ",A169&amp;" - ")-1),TRIM(A169)))</f>
        <v/>
      </c>
      <c r="N169">
        <f>IF(L169="","",IF(ISNUMBER(INDEX(A169:H169,$P$1)),INDEX(A169:H169,$P$1),IFERROR(_xlfn.NUMBERVALUE(INDEX(A169:H169,$P$1),".",","),0)))</f>
        <v/>
      </c>
    </row>
    <row r="170">
      <c r="L170">
        <f>IF(A170="","",IF(ISNUMBER(--LEFT(A170,FIND(" - ",A170&amp;" - ")-1)),LEFT(A170,FIND(" - ",A170&amp;" - ")-1),TRIM(A170)))</f>
        <v/>
      </c>
      <c r="N170">
        <f>IF(L170="","",IF(ISNUMBER(INDEX(A170:H170,$P$1)),INDEX(A170:H170,$P$1),IFERROR(_xlfn.NUMBERVALUE(INDEX(A170:H170,$P$1),".",","),0)))</f>
        <v/>
      </c>
    </row>
    <row r="171">
      <c r="L171">
        <f>IF(A171="","",IF(ISNUMBER(--LEFT(A171,FIND(" - ",A171&amp;" - ")-1)),LEFT(A171,FIND(" - ",A171&amp;" - ")-1),TRIM(A171)))</f>
        <v/>
      </c>
      <c r="N171">
        <f>IF(L171="","",IF(ISNUMBER(INDEX(A171:H171,$P$1)),INDEX(A171:H171,$P$1),IFERROR(_xlfn.NUMBERVALUE(INDEX(A171:H171,$P$1),".",","),0)))</f>
        <v/>
      </c>
    </row>
    <row r="172">
      <c r="L172">
        <f>IF(A172="","",IF(ISNUMBER(--LEFT(A172,FIND(" - ",A172&amp;" - ")-1)),LEFT(A172,FIND(" - ",A172&amp;" - ")-1),TRIM(A172)))</f>
        <v/>
      </c>
      <c r="N172">
        <f>IF(L172="","",IF(ISNUMBER(INDEX(A172:H172,$P$1)),INDEX(A172:H172,$P$1),IFERROR(_xlfn.NUMBERVALUE(INDEX(A172:H172,$P$1),".",","),0)))</f>
        <v/>
      </c>
    </row>
    <row r="173">
      <c r="L173">
        <f>IF(A173="","",IF(ISNUMBER(--LEFT(A173,FIND(" - ",A173&amp;" - ")-1)),LEFT(A173,FIND(" - ",A173&amp;" - ")-1),TRIM(A173)))</f>
        <v/>
      </c>
      <c r="N173">
        <f>IF(L173="","",IF(ISNUMBER(INDEX(A173:H173,$P$1)),INDEX(A173:H173,$P$1),IFERROR(_xlfn.NUMBERVALUE(INDEX(A173:H173,$P$1),".",","),0)))</f>
        <v/>
      </c>
    </row>
    <row r="174">
      <c r="L174">
        <f>IF(A174="","",IF(ISNUMBER(--LEFT(A174,FIND(" - ",A174&amp;" - ")-1)),LEFT(A174,FIND(" - ",A174&amp;" - ")-1),TRIM(A174)))</f>
        <v/>
      </c>
      <c r="N174">
        <f>IF(L174="","",IF(ISNUMBER(INDEX(A174:H174,$P$1)),INDEX(A174:H174,$P$1),IFERROR(_xlfn.NUMBERVALUE(INDEX(A174:H174,$P$1),".",","),0)))</f>
        <v/>
      </c>
    </row>
    <row r="175">
      <c r="L175">
        <f>IF(A175="","",IF(ISNUMBER(--LEFT(A175,FIND(" - ",A175&amp;" - ")-1)),LEFT(A175,FIND(" - ",A175&amp;" - ")-1),TRIM(A175)))</f>
        <v/>
      </c>
      <c r="N175">
        <f>IF(L175="","",IF(ISNUMBER(INDEX(A175:H175,$P$1)),INDEX(A175:H175,$P$1),IFERROR(_xlfn.NUMBERVALUE(INDEX(A175:H175,$P$1),".",","),0)))</f>
        <v/>
      </c>
    </row>
    <row r="176">
      <c r="L176">
        <f>IF(A176="","",IF(ISNUMBER(--LEFT(A176,FIND(" - ",A176&amp;" - ")-1)),LEFT(A176,FIND(" - ",A176&amp;" - ")-1),TRIM(A176)))</f>
        <v/>
      </c>
      <c r="N176">
        <f>IF(L176="","",IF(ISNUMBER(INDEX(A176:H176,$P$1)),INDEX(A176:H176,$P$1),IFERROR(_xlfn.NUMBERVALUE(INDEX(A176:H176,$P$1),".",","),0)))</f>
        <v/>
      </c>
    </row>
    <row r="177">
      <c r="L177">
        <f>IF(A177="","",IF(ISNUMBER(--LEFT(A177,FIND(" - ",A177&amp;" - ")-1)),LEFT(A177,FIND(" - ",A177&amp;" - ")-1),TRIM(A177)))</f>
        <v/>
      </c>
      <c r="N177">
        <f>IF(L177="","",IF(ISNUMBER(INDEX(A177:H177,$P$1)),INDEX(A177:H177,$P$1),IFERROR(_xlfn.NUMBERVALUE(INDEX(A177:H177,$P$1),".",","),0)))</f>
        <v/>
      </c>
    </row>
    <row r="178">
      <c r="L178">
        <f>IF(A178="","",IF(ISNUMBER(--LEFT(A178,FIND(" - ",A178&amp;" - ")-1)),LEFT(A178,FIND(" - ",A178&amp;" - ")-1),TRIM(A178)))</f>
        <v/>
      </c>
      <c r="N178">
        <f>IF(L178="","",IF(ISNUMBER(INDEX(A178:H178,$P$1)),INDEX(A178:H178,$P$1),IFERROR(_xlfn.NUMBERVALUE(INDEX(A178:H178,$P$1),".",","),0)))</f>
        <v/>
      </c>
    </row>
    <row r="179">
      <c r="L179">
        <f>IF(A179="","",IF(ISNUMBER(--LEFT(A179,FIND(" - ",A179&amp;" - ")-1)),LEFT(A179,FIND(" - ",A179&amp;" - ")-1),TRIM(A179)))</f>
        <v/>
      </c>
      <c r="N179">
        <f>IF(L179="","",IF(ISNUMBER(INDEX(A179:H179,$P$1)),INDEX(A179:H179,$P$1),IFERROR(_xlfn.NUMBERVALUE(INDEX(A179:H179,$P$1),".",","),0)))</f>
        <v/>
      </c>
    </row>
    <row r="180">
      <c r="L180">
        <f>IF(A180="","",IF(ISNUMBER(--LEFT(A180,FIND(" - ",A180&amp;" - ")-1)),LEFT(A180,FIND(" - ",A180&amp;" - ")-1),TRIM(A180)))</f>
        <v/>
      </c>
      <c r="N180">
        <f>IF(L180="","",IF(ISNUMBER(INDEX(A180:H180,$P$1)),INDEX(A180:H180,$P$1),IFERROR(_xlfn.NUMBERVALUE(INDEX(A180:H180,$P$1),".",","),0)))</f>
        <v/>
      </c>
    </row>
    <row r="181">
      <c r="L181">
        <f>IF(A181="","",IF(ISNUMBER(--LEFT(A181,FIND(" - ",A181&amp;" - ")-1)),LEFT(A181,FIND(" - ",A181&amp;" - ")-1),TRIM(A181)))</f>
        <v/>
      </c>
      <c r="N181">
        <f>IF(L181="","",IF(ISNUMBER(INDEX(A181:H181,$P$1)),INDEX(A181:H181,$P$1),IFERROR(_xlfn.NUMBERVALUE(INDEX(A181:H181,$P$1),".",","),0)))</f>
        <v/>
      </c>
    </row>
    <row r="182">
      <c r="L182">
        <f>IF(A182="","",IF(ISNUMBER(--LEFT(A182,FIND(" - ",A182&amp;" - ")-1)),LEFT(A182,FIND(" - ",A182&amp;" - ")-1),TRIM(A182)))</f>
        <v/>
      </c>
      <c r="N182">
        <f>IF(L182="","",IF(ISNUMBER(INDEX(A182:H182,$P$1)),INDEX(A182:H182,$P$1),IFERROR(_xlfn.NUMBERVALUE(INDEX(A182:H182,$P$1),".",","),0)))</f>
        <v/>
      </c>
    </row>
    <row r="183">
      <c r="L183">
        <f>IF(A183="","",IF(ISNUMBER(--LEFT(A183,FIND(" - ",A183&amp;" - ")-1)),LEFT(A183,FIND(" - ",A183&amp;" - ")-1),TRIM(A183)))</f>
        <v/>
      </c>
      <c r="N183">
        <f>IF(L183="","",IF(ISNUMBER(INDEX(A183:H183,$P$1)),INDEX(A183:H183,$P$1),IFERROR(_xlfn.NUMBERVALUE(INDEX(A183:H183,$P$1),".",","),0)))</f>
        <v/>
      </c>
    </row>
    <row r="184">
      <c r="L184">
        <f>IF(A184="","",IF(ISNUMBER(--LEFT(A184,FIND(" - ",A184&amp;" - ")-1)),LEFT(A184,FIND(" - ",A184&amp;" - ")-1),TRIM(A184)))</f>
        <v/>
      </c>
      <c r="N184">
        <f>IF(L184="","",IF(ISNUMBER(INDEX(A184:H184,$P$1)),INDEX(A184:H184,$P$1),IFERROR(_xlfn.NUMBERVALUE(INDEX(A184:H184,$P$1),".",","),0)))</f>
        <v/>
      </c>
    </row>
    <row r="185">
      <c r="L185">
        <f>IF(A185="","",IF(ISNUMBER(--LEFT(A185,FIND(" - ",A185&amp;" - ")-1)),LEFT(A185,FIND(" - ",A185&amp;" - ")-1),TRIM(A185)))</f>
        <v/>
      </c>
      <c r="N185">
        <f>IF(L185="","",IF(ISNUMBER(INDEX(A185:H185,$P$1)),INDEX(A185:H185,$P$1),IFERROR(_xlfn.NUMBERVALUE(INDEX(A185:H185,$P$1),".",","),0)))</f>
        <v/>
      </c>
    </row>
    <row r="186">
      <c r="L186">
        <f>IF(A186="","",IF(ISNUMBER(--LEFT(A186,FIND(" - ",A186&amp;" - ")-1)),LEFT(A186,FIND(" - ",A186&amp;" - ")-1),TRIM(A186)))</f>
        <v/>
      </c>
      <c r="N186">
        <f>IF(L186="","",IF(ISNUMBER(INDEX(A186:H186,$P$1)),INDEX(A186:H186,$P$1),IFERROR(_xlfn.NUMBERVALUE(INDEX(A186:H186,$P$1),".",","),0)))</f>
        <v/>
      </c>
    </row>
    <row r="187">
      <c r="L187">
        <f>IF(A187="","",IF(ISNUMBER(--LEFT(A187,FIND(" - ",A187&amp;" - ")-1)),LEFT(A187,FIND(" - ",A187&amp;" - ")-1),TRIM(A187)))</f>
        <v/>
      </c>
      <c r="N187">
        <f>IF(L187="","",IF(ISNUMBER(INDEX(A187:H187,$P$1)),INDEX(A187:H187,$P$1),IFERROR(_xlfn.NUMBERVALUE(INDEX(A187:H187,$P$1),".",","),0)))</f>
        <v/>
      </c>
    </row>
    <row r="188">
      <c r="L188">
        <f>IF(A188="","",IF(ISNUMBER(--LEFT(A188,FIND(" - ",A188&amp;" - ")-1)),LEFT(A188,FIND(" - ",A188&amp;" - ")-1),TRIM(A188)))</f>
        <v/>
      </c>
      <c r="N188">
        <f>IF(L188="","",IF(ISNUMBER(INDEX(A188:H188,$P$1)),INDEX(A188:H188,$P$1),IFERROR(_xlfn.NUMBERVALUE(INDEX(A188:H188,$P$1),".",","),0)))</f>
        <v/>
      </c>
    </row>
    <row r="189">
      <c r="L189">
        <f>IF(A189="","",IF(ISNUMBER(--LEFT(A189,FIND(" - ",A189&amp;" - ")-1)),LEFT(A189,FIND(" - ",A189&amp;" - ")-1),TRIM(A189)))</f>
        <v/>
      </c>
      <c r="N189">
        <f>IF(L189="","",IF(ISNUMBER(INDEX(A189:H189,$P$1)),INDEX(A189:H189,$P$1),IFERROR(_xlfn.NUMBERVALUE(INDEX(A189:H189,$P$1),".",","),0)))</f>
        <v/>
      </c>
    </row>
    <row r="190">
      <c r="L190">
        <f>IF(A190="","",IF(ISNUMBER(--LEFT(A190,FIND(" - ",A190&amp;" - ")-1)),LEFT(A190,FIND(" - ",A190&amp;" - ")-1),TRIM(A190)))</f>
        <v/>
      </c>
      <c r="N190">
        <f>IF(L190="","",IF(ISNUMBER(INDEX(A190:H190,$P$1)),INDEX(A190:H190,$P$1),IFERROR(_xlfn.NUMBERVALUE(INDEX(A190:H190,$P$1),".",","),0)))</f>
        <v/>
      </c>
    </row>
    <row r="191">
      <c r="L191">
        <f>IF(A191="","",IF(ISNUMBER(--LEFT(A191,FIND(" - ",A191&amp;" - ")-1)),LEFT(A191,FIND(" - ",A191&amp;" - ")-1),TRIM(A191)))</f>
        <v/>
      </c>
      <c r="N191">
        <f>IF(L191="","",IF(ISNUMBER(INDEX(A191:H191,$P$1)),INDEX(A191:H191,$P$1),IFERROR(_xlfn.NUMBERVALUE(INDEX(A191:H191,$P$1),".",","),0)))</f>
        <v/>
      </c>
    </row>
    <row r="192">
      <c r="L192">
        <f>IF(A192="","",IF(ISNUMBER(--LEFT(A192,FIND(" - ",A192&amp;" - ")-1)),LEFT(A192,FIND(" - ",A192&amp;" - ")-1),TRIM(A192)))</f>
        <v/>
      </c>
      <c r="N192">
        <f>IF(L192="","",IF(ISNUMBER(INDEX(A192:H192,$P$1)),INDEX(A192:H192,$P$1),IFERROR(_xlfn.NUMBERVALUE(INDEX(A192:H192,$P$1),".",","),0)))</f>
        <v/>
      </c>
    </row>
    <row r="193">
      <c r="L193">
        <f>IF(A193="","",IF(ISNUMBER(--LEFT(A193,FIND(" - ",A193&amp;" - ")-1)),LEFT(A193,FIND(" - ",A193&amp;" - ")-1),TRIM(A193)))</f>
        <v/>
      </c>
      <c r="N193">
        <f>IF(L193="","",IF(ISNUMBER(INDEX(A193:H193,$P$1)),INDEX(A193:H193,$P$1),IFERROR(_xlfn.NUMBERVALUE(INDEX(A193:H193,$P$1),".",","),0)))</f>
        <v/>
      </c>
    </row>
    <row r="194">
      <c r="L194">
        <f>IF(A194="","",IF(ISNUMBER(--LEFT(A194,FIND(" - ",A194&amp;" - ")-1)),LEFT(A194,FIND(" - ",A194&amp;" - ")-1),TRIM(A194)))</f>
        <v/>
      </c>
      <c r="N194">
        <f>IF(L194="","",IF(ISNUMBER(INDEX(A194:H194,$P$1)),INDEX(A194:H194,$P$1),IFERROR(_xlfn.NUMBERVALUE(INDEX(A194:H194,$P$1),".",","),0)))</f>
        <v/>
      </c>
    </row>
    <row r="195">
      <c r="L195">
        <f>IF(A195="","",IF(ISNUMBER(--LEFT(A195,FIND(" - ",A195&amp;" - ")-1)),LEFT(A195,FIND(" - ",A195&amp;" - ")-1),TRIM(A195)))</f>
        <v/>
      </c>
      <c r="N195">
        <f>IF(L195="","",IF(ISNUMBER(INDEX(A195:H195,$P$1)),INDEX(A195:H195,$P$1),IFERROR(_xlfn.NUMBERVALUE(INDEX(A195:H195,$P$1),".",","),0)))</f>
        <v/>
      </c>
    </row>
    <row r="196">
      <c r="L196">
        <f>IF(A196="","",IF(ISNUMBER(--LEFT(A196,FIND(" - ",A196&amp;" - ")-1)),LEFT(A196,FIND(" - ",A196&amp;" - ")-1),TRIM(A196)))</f>
        <v/>
      </c>
      <c r="N196">
        <f>IF(L196="","",IF(ISNUMBER(INDEX(A196:H196,$P$1)),INDEX(A196:H196,$P$1),IFERROR(_xlfn.NUMBERVALUE(INDEX(A196:H196,$P$1),".",","),0)))</f>
        <v/>
      </c>
    </row>
    <row r="197">
      <c r="L197">
        <f>IF(A197="","",IF(ISNUMBER(--LEFT(A197,FIND(" - ",A197&amp;" - ")-1)),LEFT(A197,FIND(" - ",A197&amp;" - ")-1),TRIM(A197)))</f>
        <v/>
      </c>
      <c r="N197">
        <f>IF(L197="","",IF(ISNUMBER(INDEX(A197:H197,$P$1)),INDEX(A197:H197,$P$1),IFERROR(_xlfn.NUMBERVALUE(INDEX(A197:H197,$P$1),".",","),0)))</f>
        <v/>
      </c>
    </row>
    <row r="198">
      <c r="L198">
        <f>IF(A198="","",IF(ISNUMBER(--LEFT(A198,FIND(" - ",A198&amp;" - ")-1)),LEFT(A198,FIND(" - ",A198&amp;" - ")-1),TRIM(A198)))</f>
        <v/>
      </c>
      <c r="N198">
        <f>IF(L198="","",IF(ISNUMBER(INDEX(A198:H198,$P$1)),INDEX(A198:H198,$P$1),IFERROR(_xlfn.NUMBERVALUE(INDEX(A198:H198,$P$1),".",","),0)))</f>
        <v/>
      </c>
    </row>
    <row r="199">
      <c r="L199">
        <f>IF(A199="","",IF(ISNUMBER(--LEFT(A199,FIND(" - ",A199&amp;" - ")-1)),LEFT(A199,FIND(" - ",A199&amp;" - ")-1),TRIM(A199)))</f>
        <v/>
      </c>
      <c r="N199">
        <f>IF(L199="","",IF(ISNUMBER(INDEX(A199:H199,$P$1)),INDEX(A199:H199,$P$1),IFERROR(_xlfn.NUMBERVALUE(INDEX(A199:H199,$P$1),".",","),0)))</f>
        <v/>
      </c>
    </row>
    <row r="200">
      <c r="L200">
        <f>IF(A200="","",IF(ISNUMBER(--LEFT(A200,FIND(" - ",A200&amp;" - ")-1)),LEFT(A200,FIND(" - ",A200&amp;" - ")-1),TRIM(A200)))</f>
        <v/>
      </c>
      <c r="N200">
        <f>IF(L200="","",IF(ISNUMBER(INDEX(A200:H200,$P$1)),INDEX(A200:H200,$P$1),IFERROR(_xlfn.NUMBERVALUE(INDEX(A200:H200,$P$1),".",","),0)))</f>
        <v/>
      </c>
    </row>
    <row r="201">
      <c r="L201">
        <f>IF(A201="","",IF(ISNUMBER(--LEFT(A201,FIND(" - ",A201&amp;" - ")-1)),LEFT(A201,FIND(" - ",A201&amp;" - ")-1),TRIM(A201)))</f>
        <v/>
      </c>
      <c r="N201">
        <f>IF(L201="","",IF(ISNUMBER(INDEX(A201:H201,$P$1)),INDEX(A201:H201,$P$1),IFERROR(_xlfn.NUMBERVALUE(INDEX(A201:H201,$P$1),".",","),0)))</f>
        <v/>
      </c>
    </row>
    <row r="202">
      <c r="L202">
        <f>IF(A202="","",IF(ISNUMBER(--LEFT(A202,FIND(" - ",A202&amp;" - ")-1)),LEFT(A202,FIND(" - ",A202&amp;" - ")-1),TRIM(A202)))</f>
        <v/>
      </c>
      <c r="N202">
        <f>IF(L202="","",IF(ISNUMBER(INDEX(A202:H202,$P$1)),INDEX(A202:H202,$P$1),IFERROR(_xlfn.NUMBERVALUE(INDEX(A202:H202,$P$1),".",","),0)))</f>
        <v/>
      </c>
    </row>
    <row r="203">
      <c r="L203">
        <f>IF(A203="","",IF(ISNUMBER(--LEFT(A203,FIND(" - ",A203&amp;" - ")-1)),LEFT(A203,FIND(" - ",A203&amp;" - ")-1),TRIM(A203)))</f>
        <v/>
      </c>
      <c r="N203">
        <f>IF(L203="","",IF(ISNUMBER(INDEX(A203:H203,$P$1)),INDEX(A203:H203,$P$1),IFERROR(_xlfn.NUMBERVALUE(INDEX(A203:H203,$P$1),".",","),0)))</f>
        <v/>
      </c>
    </row>
    <row r="204">
      <c r="L204">
        <f>IF(A204="","",IF(ISNUMBER(--LEFT(A204,FIND(" - ",A204&amp;" - ")-1)),LEFT(A204,FIND(" - ",A204&amp;" - ")-1),TRIM(A204)))</f>
        <v/>
      </c>
      <c r="N204">
        <f>IF(L204="","",IF(ISNUMBER(INDEX(A204:H204,$P$1)),INDEX(A204:H204,$P$1),IFERROR(_xlfn.NUMBERVALUE(INDEX(A204:H204,$P$1),".",","),0)))</f>
        <v/>
      </c>
    </row>
    <row r="205">
      <c r="L205">
        <f>IF(A205="","",IF(ISNUMBER(--LEFT(A205,FIND(" - ",A205&amp;" - ")-1)),LEFT(A205,FIND(" - ",A205&amp;" - ")-1),TRIM(A205)))</f>
        <v/>
      </c>
      <c r="N205">
        <f>IF(L205="","",IF(ISNUMBER(INDEX(A205:H205,$P$1)),INDEX(A205:H205,$P$1),IFERROR(_xlfn.NUMBERVALUE(INDEX(A205:H205,$P$1),".",","),0)))</f>
        <v/>
      </c>
    </row>
    <row r="206">
      <c r="L206">
        <f>IF(A206="","",IF(ISNUMBER(--LEFT(A206,FIND(" - ",A206&amp;" - ")-1)),LEFT(A206,FIND(" - ",A206&amp;" - ")-1),TRIM(A206)))</f>
        <v/>
      </c>
      <c r="N206">
        <f>IF(L206="","",IF(ISNUMBER(INDEX(A206:H206,$P$1)),INDEX(A206:H206,$P$1),IFERROR(_xlfn.NUMBERVALUE(INDEX(A206:H206,$P$1),".",","),0)))</f>
        <v/>
      </c>
    </row>
    <row r="207">
      <c r="L207">
        <f>IF(A207="","",IF(ISNUMBER(--LEFT(A207,FIND(" - ",A207&amp;" - ")-1)),LEFT(A207,FIND(" - ",A207&amp;" - ")-1),TRIM(A207)))</f>
        <v/>
      </c>
      <c r="N207">
        <f>IF(L207="","",IF(ISNUMBER(INDEX(A207:H207,$P$1)),INDEX(A207:H207,$P$1),IFERROR(_xlfn.NUMBERVALUE(INDEX(A207:H207,$P$1),".",","),0)))</f>
        <v/>
      </c>
    </row>
    <row r="208">
      <c r="L208">
        <f>IF(A208="","",IF(ISNUMBER(--LEFT(A208,FIND(" - ",A208&amp;" - ")-1)),LEFT(A208,FIND(" - ",A208&amp;" - ")-1),TRIM(A208)))</f>
        <v/>
      </c>
      <c r="N208">
        <f>IF(L208="","",IF(ISNUMBER(INDEX(A208:H208,$P$1)),INDEX(A208:H208,$P$1),IFERROR(_xlfn.NUMBERVALUE(INDEX(A208:H208,$P$1),".",","),0)))</f>
        <v/>
      </c>
    </row>
    <row r="209">
      <c r="L209">
        <f>IF(A209="","",IF(ISNUMBER(--LEFT(A209,FIND(" - ",A209&amp;" - ")-1)),LEFT(A209,FIND(" - ",A209&amp;" - ")-1),TRIM(A209)))</f>
        <v/>
      </c>
      <c r="N209">
        <f>IF(L209="","",IF(ISNUMBER(INDEX(A209:H209,$P$1)),INDEX(A209:H209,$P$1),IFERROR(_xlfn.NUMBERVALUE(INDEX(A209:H209,$P$1),".",","),0)))</f>
        <v/>
      </c>
    </row>
    <row r="210">
      <c r="L210">
        <f>IF(A210="","",IF(ISNUMBER(--LEFT(A210,FIND(" - ",A210&amp;" - ")-1)),LEFT(A210,FIND(" - ",A210&amp;" - ")-1),TRIM(A210)))</f>
        <v/>
      </c>
      <c r="N210">
        <f>IF(L210="","",IF(ISNUMBER(INDEX(A210:H210,$P$1)),INDEX(A210:H210,$P$1),IFERROR(_xlfn.NUMBERVALUE(INDEX(A210:H210,$P$1),".",","),0)))</f>
        <v/>
      </c>
    </row>
    <row r="211">
      <c r="L211">
        <f>IF(A211="","",IF(ISNUMBER(--LEFT(A211,FIND(" - ",A211&amp;" - ")-1)),LEFT(A211,FIND(" - ",A211&amp;" - ")-1),TRIM(A211)))</f>
        <v/>
      </c>
      <c r="N211">
        <f>IF(L211="","",IF(ISNUMBER(INDEX(A211:H211,$P$1)),INDEX(A211:H211,$P$1),IFERROR(_xlfn.NUMBERVALUE(INDEX(A211:H211,$P$1),".",","),0)))</f>
        <v/>
      </c>
    </row>
    <row r="212">
      <c r="L212">
        <f>IF(A212="","",IF(ISNUMBER(--LEFT(A212,FIND(" - ",A212&amp;" - ")-1)),LEFT(A212,FIND(" - ",A212&amp;" - ")-1),TRIM(A212)))</f>
        <v/>
      </c>
      <c r="N212">
        <f>IF(L212="","",IF(ISNUMBER(INDEX(A212:H212,$P$1)),INDEX(A212:H212,$P$1),IFERROR(_xlfn.NUMBERVALUE(INDEX(A212:H212,$P$1),".",","),0)))</f>
        <v/>
      </c>
    </row>
    <row r="213">
      <c r="L213">
        <f>IF(A213="","",IF(ISNUMBER(--LEFT(A213,FIND(" - ",A213&amp;" - ")-1)),LEFT(A213,FIND(" - ",A213&amp;" - ")-1),TRIM(A213)))</f>
        <v/>
      </c>
      <c r="N213">
        <f>IF(L213="","",IF(ISNUMBER(INDEX(A213:H213,$P$1)),INDEX(A213:H213,$P$1),IFERROR(_xlfn.NUMBERVALUE(INDEX(A213:H213,$P$1),".",","),0)))</f>
        <v/>
      </c>
    </row>
    <row r="214">
      <c r="L214">
        <f>IF(A214="","",IF(ISNUMBER(--LEFT(A214,FIND(" - ",A214&amp;" - ")-1)),LEFT(A214,FIND(" - ",A214&amp;" - ")-1),TRIM(A214)))</f>
        <v/>
      </c>
      <c r="N214">
        <f>IF(L214="","",IF(ISNUMBER(INDEX(A214:H214,$P$1)),INDEX(A214:H214,$P$1),IFERROR(_xlfn.NUMBERVALUE(INDEX(A214:H214,$P$1),".",","),0)))</f>
        <v/>
      </c>
    </row>
    <row r="215">
      <c r="L215">
        <f>IF(A215="","",IF(ISNUMBER(--LEFT(A215,FIND(" - ",A215&amp;" - ")-1)),LEFT(A215,FIND(" - ",A215&amp;" - ")-1),TRIM(A215)))</f>
        <v/>
      </c>
      <c r="N215">
        <f>IF(L215="","",IF(ISNUMBER(INDEX(A215:H215,$P$1)),INDEX(A215:H215,$P$1),IFERROR(_xlfn.NUMBERVALUE(INDEX(A215:H215,$P$1),".",","),0)))</f>
        <v/>
      </c>
    </row>
    <row r="216">
      <c r="L216">
        <f>IF(A216="","",IF(ISNUMBER(--LEFT(A216,FIND(" - ",A216&amp;" - ")-1)),LEFT(A216,FIND(" - ",A216&amp;" - ")-1),TRIM(A216)))</f>
        <v/>
      </c>
      <c r="N216">
        <f>IF(L216="","",IF(ISNUMBER(INDEX(A216:H216,$P$1)),INDEX(A216:H216,$P$1),IFERROR(_xlfn.NUMBERVALUE(INDEX(A216:H216,$P$1),".",","),0)))</f>
        <v/>
      </c>
    </row>
    <row r="217">
      <c r="L217">
        <f>IF(A217="","",IF(ISNUMBER(--LEFT(A217,FIND(" - ",A217&amp;" - ")-1)),LEFT(A217,FIND(" - ",A217&amp;" - ")-1),TRIM(A217)))</f>
        <v/>
      </c>
      <c r="N217">
        <f>IF(L217="","",IF(ISNUMBER(INDEX(A217:H217,$P$1)),INDEX(A217:H217,$P$1),IFERROR(_xlfn.NUMBERVALUE(INDEX(A217:H217,$P$1),".",","),0)))</f>
        <v/>
      </c>
    </row>
    <row r="218">
      <c r="L218">
        <f>IF(A218="","",IF(ISNUMBER(--LEFT(A218,FIND(" - ",A218&amp;" - ")-1)),LEFT(A218,FIND(" - ",A218&amp;" - ")-1),TRIM(A218)))</f>
        <v/>
      </c>
      <c r="N218">
        <f>IF(L218="","",IF(ISNUMBER(INDEX(A218:H218,$P$1)),INDEX(A218:H218,$P$1),IFERROR(_xlfn.NUMBERVALUE(INDEX(A218:H218,$P$1),".",","),0)))</f>
        <v/>
      </c>
    </row>
    <row r="219">
      <c r="L219">
        <f>IF(A219="","",IF(ISNUMBER(--LEFT(A219,FIND(" - ",A219&amp;" - ")-1)),LEFT(A219,FIND(" - ",A219&amp;" - ")-1),TRIM(A219)))</f>
        <v/>
      </c>
      <c r="N219">
        <f>IF(L219="","",IF(ISNUMBER(INDEX(A219:H219,$P$1)),INDEX(A219:H219,$P$1),IFERROR(_xlfn.NUMBERVALUE(INDEX(A219:H219,$P$1),".",","),0)))</f>
        <v/>
      </c>
    </row>
    <row r="220">
      <c r="L220">
        <f>IF(A220="","",IF(ISNUMBER(--LEFT(A220,FIND(" - ",A220&amp;" - ")-1)),LEFT(A220,FIND(" - ",A220&amp;" - ")-1),TRIM(A220)))</f>
        <v/>
      </c>
      <c r="N220">
        <f>IF(L220="","",IF(ISNUMBER(INDEX(A220:H220,$P$1)),INDEX(A220:H220,$P$1),IFERROR(_xlfn.NUMBERVALUE(INDEX(A220:H220,$P$1),".",","),0)))</f>
        <v/>
      </c>
    </row>
    <row r="221">
      <c r="L221">
        <f>IF(A221="","",IF(ISNUMBER(--LEFT(A221,FIND(" - ",A221&amp;" - ")-1)),LEFT(A221,FIND(" - ",A221&amp;" - ")-1),TRIM(A221)))</f>
        <v/>
      </c>
      <c r="N221">
        <f>IF(L221="","",IF(ISNUMBER(INDEX(A221:H221,$P$1)),INDEX(A221:H221,$P$1),IFERROR(_xlfn.NUMBERVALUE(INDEX(A221:H221,$P$1),".",","),0)))</f>
        <v/>
      </c>
    </row>
    <row r="222">
      <c r="L222">
        <f>IF(A222="","",IF(ISNUMBER(--LEFT(A222,FIND(" - ",A222&amp;" - ")-1)),LEFT(A222,FIND(" - ",A222&amp;" - ")-1),TRIM(A222)))</f>
        <v/>
      </c>
      <c r="N222">
        <f>IF(L222="","",IF(ISNUMBER(INDEX(A222:H222,$P$1)),INDEX(A222:H222,$P$1),IFERROR(_xlfn.NUMBERVALUE(INDEX(A222:H222,$P$1),".",","),0)))</f>
        <v/>
      </c>
    </row>
    <row r="223">
      <c r="L223">
        <f>IF(A223="","",IF(ISNUMBER(--LEFT(A223,FIND(" - ",A223&amp;" - ")-1)),LEFT(A223,FIND(" - ",A223&amp;" - ")-1),TRIM(A223)))</f>
        <v/>
      </c>
      <c r="N223">
        <f>IF(L223="","",IF(ISNUMBER(INDEX(A223:H223,$P$1)),INDEX(A223:H223,$P$1),IFERROR(_xlfn.NUMBERVALUE(INDEX(A223:H223,$P$1),".",","),0)))</f>
        <v/>
      </c>
    </row>
    <row r="224">
      <c r="L224">
        <f>IF(A224="","",IF(ISNUMBER(--LEFT(A224,FIND(" - ",A224&amp;" - ")-1)),LEFT(A224,FIND(" - ",A224&amp;" - ")-1),TRIM(A224)))</f>
        <v/>
      </c>
      <c r="N224">
        <f>IF(L224="","",IF(ISNUMBER(INDEX(A224:H224,$P$1)),INDEX(A224:H224,$P$1),IFERROR(_xlfn.NUMBERVALUE(INDEX(A224:H224,$P$1),".",","),0)))</f>
        <v/>
      </c>
    </row>
    <row r="225">
      <c r="L225">
        <f>IF(A225="","",IF(ISNUMBER(--LEFT(A225,FIND(" - ",A225&amp;" - ")-1)),LEFT(A225,FIND(" - ",A225&amp;" - ")-1),TRIM(A225)))</f>
        <v/>
      </c>
      <c r="N225">
        <f>IF(L225="","",IF(ISNUMBER(INDEX(A225:H225,$P$1)),INDEX(A225:H225,$P$1),IFERROR(_xlfn.NUMBERVALUE(INDEX(A225:H225,$P$1),".",","),0)))</f>
        <v/>
      </c>
    </row>
    <row r="226">
      <c r="L226">
        <f>IF(A226="","",IF(ISNUMBER(--LEFT(A226,FIND(" - ",A226&amp;" - ")-1)),LEFT(A226,FIND(" - ",A226&amp;" - ")-1),TRIM(A226)))</f>
        <v/>
      </c>
      <c r="N226">
        <f>IF(L226="","",IF(ISNUMBER(INDEX(A226:H226,$P$1)),INDEX(A226:H226,$P$1),IFERROR(_xlfn.NUMBERVALUE(INDEX(A226:H226,$P$1),".",","),0)))</f>
        <v/>
      </c>
    </row>
    <row r="227">
      <c r="L227">
        <f>IF(A227="","",IF(ISNUMBER(--LEFT(A227,FIND(" - ",A227&amp;" - ")-1)),LEFT(A227,FIND(" - ",A227&amp;" - ")-1),TRIM(A227)))</f>
        <v/>
      </c>
      <c r="N227">
        <f>IF(L227="","",IF(ISNUMBER(INDEX(A227:H227,$P$1)),INDEX(A227:H227,$P$1),IFERROR(_xlfn.NUMBERVALUE(INDEX(A227:H227,$P$1),".",","),0)))</f>
        <v/>
      </c>
    </row>
    <row r="228">
      <c r="L228">
        <f>IF(A228="","",IF(ISNUMBER(--LEFT(A228,FIND(" - ",A228&amp;" - ")-1)),LEFT(A228,FIND(" - ",A228&amp;" - ")-1),TRIM(A228)))</f>
        <v/>
      </c>
      <c r="N228">
        <f>IF(L228="","",IF(ISNUMBER(INDEX(A228:H228,$P$1)),INDEX(A228:H228,$P$1),IFERROR(_xlfn.NUMBERVALUE(INDEX(A228:H228,$P$1),".",","),0)))</f>
        <v/>
      </c>
    </row>
    <row r="229">
      <c r="L229">
        <f>IF(A229="","",IF(ISNUMBER(--LEFT(A229,FIND(" - ",A229&amp;" - ")-1)),LEFT(A229,FIND(" - ",A229&amp;" - ")-1),TRIM(A229)))</f>
        <v/>
      </c>
      <c r="N229">
        <f>IF(L229="","",IF(ISNUMBER(INDEX(A229:H229,$P$1)),INDEX(A229:H229,$P$1),IFERROR(_xlfn.NUMBERVALUE(INDEX(A229:H229,$P$1),".",","),0)))</f>
        <v/>
      </c>
    </row>
    <row r="230">
      <c r="L230">
        <f>IF(A230="","",IF(ISNUMBER(--LEFT(A230,FIND(" - ",A230&amp;" - ")-1)),LEFT(A230,FIND(" - ",A230&amp;" - ")-1),TRIM(A230)))</f>
        <v/>
      </c>
      <c r="N230">
        <f>IF(L230="","",IF(ISNUMBER(INDEX(A230:H230,$P$1)),INDEX(A230:H230,$P$1),IFERROR(_xlfn.NUMBERVALUE(INDEX(A230:H230,$P$1),".",","),0)))</f>
        <v/>
      </c>
    </row>
    <row r="231">
      <c r="L231">
        <f>IF(A231="","",IF(ISNUMBER(--LEFT(A231,FIND(" - ",A231&amp;" - ")-1)),LEFT(A231,FIND(" - ",A231&amp;" - ")-1),TRIM(A231)))</f>
        <v/>
      </c>
      <c r="N231">
        <f>IF(L231="","",IF(ISNUMBER(INDEX(A231:H231,$P$1)),INDEX(A231:H231,$P$1),IFERROR(_xlfn.NUMBERVALUE(INDEX(A231:H231,$P$1),".",","),0)))</f>
        <v/>
      </c>
    </row>
    <row r="232">
      <c r="L232">
        <f>IF(A232="","",IF(ISNUMBER(--LEFT(A232,FIND(" - ",A232&amp;" - ")-1)),LEFT(A232,FIND(" - ",A232&amp;" - ")-1),TRIM(A232)))</f>
        <v/>
      </c>
      <c r="N232">
        <f>IF(L232="","",IF(ISNUMBER(INDEX(A232:H232,$P$1)),INDEX(A232:H232,$P$1),IFERROR(_xlfn.NUMBERVALUE(INDEX(A232:H232,$P$1),".",","),0)))</f>
        <v/>
      </c>
    </row>
    <row r="233">
      <c r="L233">
        <f>IF(A233="","",IF(ISNUMBER(--LEFT(A233,FIND(" - ",A233&amp;" - ")-1)),LEFT(A233,FIND(" - ",A233&amp;" - ")-1),TRIM(A233)))</f>
        <v/>
      </c>
      <c r="N233">
        <f>IF(L233="","",IF(ISNUMBER(INDEX(A233:H233,$P$1)),INDEX(A233:H233,$P$1),IFERROR(_xlfn.NUMBERVALUE(INDEX(A233:H233,$P$1),".",","),0)))</f>
        <v/>
      </c>
    </row>
    <row r="234">
      <c r="L234">
        <f>IF(A234="","",IF(ISNUMBER(--LEFT(A234,FIND(" - ",A234&amp;" - ")-1)),LEFT(A234,FIND(" - ",A234&amp;" - ")-1),TRIM(A234)))</f>
        <v/>
      </c>
      <c r="N234">
        <f>IF(L234="","",IF(ISNUMBER(INDEX(A234:H234,$P$1)),INDEX(A234:H234,$P$1),IFERROR(_xlfn.NUMBERVALUE(INDEX(A234:H234,$P$1),".",","),0)))</f>
        <v/>
      </c>
    </row>
    <row r="235">
      <c r="L235">
        <f>IF(A235="","",IF(ISNUMBER(--LEFT(A235,FIND(" - ",A235&amp;" - ")-1)),LEFT(A235,FIND(" - ",A235&amp;" - ")-1),TRIM(A235)))</f>
        <v/>
      </c>
      <c r="N235">
        <f>IF(L235="","",IF(ISNUMBER(INDEX(A235:H235,$P$1)),INDEX(A235:H235,$P$1),IFERROR(_xlfn.NUMBERVALUE(INDEX(A235:H235,$P$1),".",","),0)))</f>
        <v/>
      </c>
    </row>
    <row r="236">
      <c r="L236">
        <f>IF(A236="","",IF(ISNUMBER(--LEFT(A236,FIND(" - ",A236&amp;" - ")-1)),LEFT(A236,FIND(" - ",A236&amp;" - ")-1),TRIM(A236)))</f>
        <v/>
      </c>
      <c r="N236">
        <f>IF(L236="","",IF(ISNUMBER(INDEX(A236:H236,$P$1)),INDEX(A236:H236,$P$1),IFERROR(_xlfn.NUMBERVALUE(INDEX(A236:H236,$P$1),".",","),0)))</f>
        <v/>
      </c>
    </row>
    <row r="237">
      <c r="L237">
        <f>IF(A237="","",IF(ISNUMBER(--LEFT(A237,FIND(" - ",A237&amp;" - ")-1)),LEFT(A237,FIND(" - ",A237&amp;" - ")-1),TRIM(A237)))</f>
        <v/>
      </c>
      <c r="N237">
        <f>IF(L237="","",IF(ISNUMBER(INDEX(A237:H237,$P$1)),INDEX(A237:H237,$P$1),IFERROR(_xlfn.NUMBERVALUE(INDEX(A237:H237,$P$1),".",","),0)))</f>
        <v/>
      </c>
    </row>
    <row r="238">
      <c r="L238">
        <f>IF(A238="","",IF(ISNUMBER(--LEFT(A238,FIND(" - ",A238&amp;" - ")-1)),LEFT(A238,FIND(" - ",A238&amp;" - ")-1),TRIM(A238)))</f>
        <v/>
      </c>
      <c r="N238">
        <f>IF(L238="","",IF(ISNUMBER(INDEX(A238:H238,$P$1)),INDEX(A238:H238,$P$1),IFERROR(_xlfn.NUMBERVALUE(INDEX(A238:H238,$P$1),".",","),0)))</f>
        <v/>
      </c>
    </row>
    <row r="239">
      <c r="L239">
        <f>IF(A239="","",IF(ISNUMBER(--LEFT(A239,FIND(" - ",A239&amp;" - ")-1)),LEFT(A239,FIND(" - ",A239&amp;" - ")-1),TRIM(A239)))</f>
        <v/>
      </c>
      <c r="N239">
        <f>IF(L239="","",IF(ISNUMBER(INDEX(A239:H239,$P$1)),INDEX(A239:H239,$P$1),IFERROR(_xlfn.NUMBERVALUE(INDEX(A239:H239,$P$1),".",","),0)))</f>
        <v/>
      </c>
    </row>
    <row r="240">
      <c r="L240">
        <f>IF(A240="","",IF(ISNUMBER(--LEFT(A240,FIND(" - ",A240&amp;" - ")-1)),LEFT(A240,FIND(" - ",A240&amp;" - ")-1),TRIM(A240)))</f>
        <v/>
      </c>
      <c r="N240">
        <f>IF(L240="","",IF(ISNUMBER(INDEX(A240:H240,$P$1)),INDEX(A240:H240,$P$1),IFERROR(_xlfn.NUMBERVALUE(INDEX(A240:H240,$P$1),".",","),0)))</f>
        <v/>
      </c>
    </row>
    <row r="241">
      <c r="L241">
        <f>IF(A241="","",IF(ISNUMBER(--LEFT(A241,FIND(" - ",A241&amp;" - ")-1)),LEFT(A241,FIND(" - ",A241&amp;" - ")-1),TRIM(A241)))</f>
        <v/>
      </c>
      <c r="N241">
        <f>IF(L241="","",IF(ISNUMBER(INDEX(A241:H241,$P$1)),INDEX(A241:H241,$P$1),IFERROR(_xlfn.NUMBERVALUE(INDEX(A241:H241,$P$1),".",","),0)))</f>
        <v/>
      </c>
    </row>
    <row r="242">
      <c r="L242">
        <f>IF(A242="","",IF(ISNUMBER(--LEFT(A242,FIND(" - ",A242&amp;" - ")-1)),LEFT(A242,FIND(" - ",A242&amp;" - ")-1),TRIM(A242)))</f>
        <v/>
      </c>
      <c r="N242">
        <f>IF(L242="","",IF(ISNUMBER(INDEX(A242:H242,$P$1)),INDEX(A242:H242,$P$1),IFERROR(_xlfn.NUMBERVALUE(INDEX(A242:H242,$P$1),".",","),0)))</f>
        <v/>
      </c>
    </row>
    <row r="243">
      <c r="L243">
        <f>IF(A243="","",IF(ISNUMBER(--LEFT(A243,FIND(" - ",A243&amp;" - ")-1)),LEFT(A243,FIND(" - ",A243&amp;" - ")-1),TRIM(A243)))</f>
        <v/>
      </c>
      <c r="N243">
        <f>IF(L243="","",IF(ISNUMBER(INDEX(A243:H243,$P$1)),INDEX(A243:H243,$P$1),IFERROR(_xlfn.NUMBERVALUE(INDEX(A243:H243,$P$1),".",","),0)))</f>
        <v/>
      </c>
    </row>
    <row r="244">
      <c r="L244">
        <f>IF(A244="","",IF(ISNUMBER(--LEFT(A244,FIND(" - ",A244&amp;" - ")-1)),LEFT(A244,FIND(" - ",A244&amp;" - ")-1),TRIM(A244)))</f>
        <v/>
      </c>
      <c r="N244">
        <f>IF(L244="","",IF(ISNUMBER(INDEX(A244:H244,$P$1)),INDEX(A244:H244,$P$1),IFERROR(_xlfn.NUMBERVALUE(INDEX(A244:H244,$P$1),".",","),0)))</f>
        <v/>
      </c>
    </row>
    <row r="245">
      <c r="L245">
        <f>IF(A245="","",IF(ISNUMBER(--LEFT(A245,FIND(" - ",A245&amp;" - ")-1)),LEFT(A245,FIND(" - ",A245&amp;" - ")-1),TRIM(A245)))</f>
        <v/>
      </c>
      <c r="N245">
        <f>IF(L245="","",IF(ISNUMBER(INDEX(A245:H245,$P$1)),INDEX(A245:H245,$P$1),IFERROR(_xlfn.NUMBERVALUE(INDEX(A245:H245,$P$1),".",","),0)))</f>
        <v/>
      </c>
    </row>
    <row r="246">
      <c r="L246">
        <f>IF(A246="","",IF(ISNUMBER(--LEFT(A246,FIND(" - ",A246&amp;" - ")-1)),LEFT(A246,FIND(" - ",A246&amp;" - ")-1),TRIM(A246)))</f>
        <v/>
      </c>
      <c r="N246">
        <f>IF(L246="","",IF(ISNUMBER(INDEX(A246:H246,$P$1)),INDEX(A246:H246,$P$1),IFERROR(_xlfn.NUMBERVALUE(INDEX(A246:H246,$P$1),".",","),0)))</f>
        <v/>
      </c>
    </row>
    <row r="247">
      <c r="L247">
        <f>IF(A247="","",IF(ISNUMBER(--LEFT(A247,FIND(" - ",A247&amp;" - ")-1)),LEFT(A247,FIND(" - ",A247&amp;" - ")-1),TRIM(A247)))</f>
        <v/>
      </c>
      <c r="N247">
        <f>IF(L247="","",IF(ISNUMBER(INDEX(A247:H247,$P$1)),INDEX(A247:H247,$P$1),IFERROR(_xlfn.NUMBERVALUE(INDEX(A247:H247,$P$1),".",","),0)))</f>
        <v/>
      </c>
    </row>
    <row r="248">
      <c r="L248">
        <f>IF(A248="","",IF(ISNUMBER(--LEFT(A248,FIND(" - ",A248&amp;" - ")-1)),LEFT(A248,FIND(" - ",A248&amp;" - ")-1),TRIM(A248)))</f>
        <v/>
      </c>
      <c r="N248">
        <f>IF(L248="","",IF(ISNUMBER(INDEX(A248:H248,$P$1)),INDEX(A248:H248,$P$1),IFERROR(_xlfn.NUMBERVALUE(INDEX(A248:H248,$P$1),".",","),0)))</f>
        <v/>
      </c>
    </row>
    <row r="249">
      <c r="L249">
        <f>IF(A249="","",IF(ISNUMBER(--LEFT(A249,FIND(" - ",A249&amp;" - ")-1)),LEFT(A249,FIND(" - ",A249&amp;" - ")-1),TRIM(A249)))</f>
        <v/>
      </c>
      <c r="N249">
        <f>IF(L249="","",IF(ISNUMBER(INDEX(A249:H249,$P$1)),INDEX(A249:H249,$P$1),IFERROR(_xlfn.NUMBERVALUE(INDEX(A249:H249,$P$1),".",","),0)))</f>
        <v/>
      </c>
    </row>
    <row r="250">
      <c r="L250">
        <f>IF(A250="","",IF(ISNUMBER(--LEFT(A250,FIND(" - ",A250&amp;" - ")-1)),LEFT(A250,FIND(" - ",A250&amp;" - ")-1),TRIM(A250)))</f>
        <v/>
      </c>
      <c r="N250">
        <f>IF(L250="","",IF(ISNUMBER(INDEX(A250:H250,$P$1)),INDEX(A250:H250,$P$1),IFERROR(_xlfn.NUMBERVALUE(INDEX(A250:H250,$P$1),".",","),0)))</f>
        <v/>
      </c>
    </row>
    <row r="251">
      <c r="L251">
        <f>IF(A251="","",IF(ISNUMBER(--LEFT(A251,FIND(" - ",A251&amp;" - ")-1)),LEFT(A251,FIND(" - ",A251&amp;" - ")-1),TRIM(A251)))</f>
        <v/>
      </c>
      <c r="N251">
        <f>IF(L251="","",IF(ISNUMBER(INDEX(A251:H251,$P$1)),INDEX(A251:H251,$P$1),IFERROR(_xlfn.NUMBERVALUE(INDEX(A251:H251,$P$1),".",","),0)))</f>
        <v/>
      </c>
    </row>
    <row r="252">
      <c r="L252">
        <f>IF(A252="","",IF(ISNUMBER(--LEFT(A252,FIND(" - ",A252&amp;" - ")-1)),LEFT(A252,FIND(" - ",A252&amp;" - ")-1),TRIM(A252)))</f>
        <v/>
      </c>
      <c r="N252">
        <f>IF(L252="","",IF(ISNUMBER(INDEX(A252:H252,$P$1)),INDEX(A252:H252,$P$1),IFERROR(_xlfn.NUMBERVALUE(INDEX(A252:H252,$P$1),".",","),0)))</f>
        <v/>
      </c>
    </row>
    <row r="253">
      <c r="L253">
        <f>IF(A253="","",IF(ISNUMBER(--LEFT(A253,FIND(" - ",A253&amp;" - ")-1)),LEFT(A253,FIND(" - ",A253&amp;" - ")-1),TRIM(A253)))</f>
        <v/>
      </c>
      <c r="N253">
        <f>IF(L253="","",IF(ISNUMBER(INDEX(A253:H253,$P$1)),INDEX(A253:H253,$P$1),IFERROR(_xlfn.NUMBERVALUE(INDEX(A253:H253,$P$1),".",","),0)))</f>
        <v/>
      </c>
    </row>
    <row r="254">
      <c r="L254">
        <f>IF(A254="","",IF(ISNUMBER(--LEFT(A254,FIND(" - ",A254&amp;" - ")-1)),LEFT(A254,FIND(" - ",A254&amp;" - ")-1),TRIM(A254)))</f>
        <v/>
      </c>
      <c r="N254">
        <f>IF(L254="","",IF(ISNUMBER(INDEX(A254:H254,$P$1)),INDEX(A254:H254,$P$1),IFERROR(_xlfn.NUMBERVALUE(INDEX(A254:H254,$P$1),".",","),0)))</f>
        <v/>
      </c>
    </row>
    <row r="255">
      <c r="L255">
        <f>IF(A255="","",IF(ISNUMBER(--LEFT(A255,FIND(" - ",A255&amp;" - ")-1)),LEFT(A255,FIND(" - ",A255&amp;" - ")-1),TRIM(A255)))</f>
        <v/>
      </c>
      <c r="N255">
        <f>IF(L255="","",IF(ISNUMBER(INDEX(A255:H255,$P$1)),INDEX(A255:H255,$P$1),IFERROR(_xlfn.NUMBERVALUE(INDEX(A255:H255,$P$1),".",","),0)))</f>
        <v/>
      </c>
    </row>
    <row r="256">
      <c r="L256">
        <f>IF(A256="","",IF(ISNUMBER(--LEFT(A256,FIND(" - ",A256&amp;" - ")-1)),LEFT(A256,FIND(" - ",A256&amp;" - ")-1),TRIM(A256)))</f>
        <v/>
      </c>
      <c r="N256">
        <f>IF(L256="","",IF(ISNUMBER(INDEX(A256:H256,$P$1)),INDEX(A256:H256,$P$1),IFERROR(_xlfn.NUMBERVALUE(INDEX(A256:H256,$P$1),".",","),0)))</f>
        <v/>
      </c>
    </row>
    <row r="257">
      <c r="L257">
        <f>IF(A257="","",IF(ISNUMBER(--LEFT(A257,FIND(" - ",A257&amp;" - ")-1)),LEFT(A257,FIND(" - ",A257&amp;" - ")-1),TRIM(A257)))</f>
        <v/>
      </c>
      <c r="N257">
        <f>IF(L257="","",IF(ISNUMBER(INDEX(A257:H257,$P$1)),INDEX(A257:H257,$P$1),IFERROR(_xlfn.NUMBERVALUE(INDEX(A257:H257,$P$1),".",","),0)))</f>
        <v/>
      </c>
    </row>
    <row r="258">
      <c r="L258">
        <f>IF(A258="","",IF(ISNUMBER(--LEFT(A258,FIND(" - ",A258&amp;" - ")-1)),LEFT(A258,FIND(" - ",A258&amp;" - ")-1),TRIM(A258)))</f>
        <v/>
      </c>
      <c r="N258">
        <f>IF(L258="","",IF(ISNUMBER(INDEX(A258:H258,$P$1)),INDEX(A258:H258,$P$1),IFERROR(_xlfn.NUMBERVALUE(INDEX(A258:H258,$P$1),".",","),0)))</f>
        <v/>
      </c>
    </row>
    <row r="259">
      <c r="L259">
        <f>IF(A259="","",IF(ISNUMBER(--LEFT(A259,FIND(" - ",A259&amp;" - ")-1)),LEFT(A259,FIND(" - ",A259&amp;" - ")-1),TRIM(A259)))</f>
        <v/>
      </c>
      <c r="N259">
        <f>IF(L259="","",IF(ISNUMBER(INDEX(A259:H259,$P$1)),INDEX(A259:H259,$P$1),IFERROR(_xlfn.NUMBERVALUE(INDEX(A259:H259,$P$1),".",","),0)))</f>
        <v/>
      </c>
    </row>
    <row r="260">
      <c r="L260">
        <f>IF(A260="","",IF(ISNUMBER(--LEFT(A260,FIND(" - ",A260&amp;" - ")-1)),LEFT(A260,FIND(" - ",A260&amp;" - ")-1),TRIM(A260)))</f>
        <v/>
      </c>
      <c r="N260">
        <f>IF(L260="","",IF(ISNUMBER(INDEX(A260:H260,$P$1)),INDEX(A260:H260,$P$1),IFERROR(_xlfn.NUMBERVALUE(INDEX(A260:H260,$P$1),".",","),0)))</f>
        <v/>
      </c>
    </row>
    <row r="261">
      <c r="L261">
        <f>IF(A261="","",IF(ISNUMBER(--LEFT(A261,FIND(" - ",A261&amp;" - ")-1)),LEFT(A261,FIND(" - ",A261&amp;" - ")-1),TRIM(A261)))</f>
        <v/>
      </c>
      <c r="N261">
        <f>IF(L261="","",IF(ISNUMBER(INDEX(A261:H261,$P$1)),INDEX(A261:H261,$P$1),IFERROR(_xlfn.NUMBERVALUE(INDEX(A261:H261,$P$1),".",","),0)))</f>
        <v/>
      </c>
    </row>
    <row r="262">
      <c r="L262">
        <f>IF(A262="","",IF(ISNUMBER(--LEFT(A262,FIND(" - ",A262&amp;" - ")-1)),LEFT(A262,FIND(" - ",A262&amp;" - ")-1),TRIM(A262)))</f>
        <v/>
      </c>
      <c r="N262">
        <f>IF(L262="","",IF(ISNUMBER(INDEX(A262:H262,$P$1)),INDEX(A262:H262,$P$1),IFERROR(_xlfn.NUMBERVALUE(INDEX(A262:H262,$P$1),".",","),0)))</f>
        <v/>
      </c>
    </row>
    <row r="263">
      <c r="L263">
        <f>IF(A263="","",IF(ISNUMBER(--LEFT(A263,FIND(" - ",A263&amp;" - ")-1)),LEFT(A263,FIND(" - ",A263&amp;" - ")-1),TRIM(A263)))</f>
        <v/>
      </c>
      <c r="N263">
        <f>IF(L263="","",IF(ISNUMBER(INDEX(A263:H263,$P$1)),INDEX(A263:H263,$P$1),IFERROR(_xlfn.NUMBERVALUE(INDEX(A263:H263,$P$1),".",","),0)))</f>
        <v/>
      </c>
    </row>
    <row r="264">
      <c r="L264">
        <f>IF(A264="","",IF(ISNUMBER(--LEFT(A264,FIND(" - ",A264&amp;" - ")-1)),LEFT(A264,FIND(" - ",A264&amp;" - ")-1),TRIM(A264)))</f>
        <v/>
      </c>
      <c r="N264">
        <f>IF(L264="","",IF(ISNUMBER(INDEX(A264:H264,$P$1)),INDEX(A264:H264,$P$1),IFERROR(_xlfn.NUMBERVALUE(INDEX(A264:H264,$P$1),".",","),0)))</f>
        <v/>
      </c>
    </row>
    <row r="265">
      <c r="L265">
        <f>IF(A265="","",IF(ISNUMBER(--LEFT(A265,FIND(" - ",A265&amp;" - ")-1)),LEFT(A265,FIND(" - ",A265&amp;" - ")-1),TRIM(A265)))</f>
        <v/>
      </c>
      <c r="N265">
        <f>IF(L265="","",IF(ISNUMBER(INDEX(A265:H265,$P$1)),INDEX(A265:H265,$P$1),IFERROR(_xlfn.NUMBERVALUE(INDEX(A265:H265,$P$1),".",","),0)))</f>
        <v/>
      </c>
    </row>
    <row r="266">
      <c r="L266">
        <f>IF(A266="","",IF(ISNUMBER(--LEFT(A266,FIND(" - ",A266&amp;" - ")-1)),LEFT(A266,FIND(" - ",A266&amp;" - ")-1),TRIM(A266)))</f>
        <v/>
      </c>
      <c r="N266">
        <f>IF(L266="","",IF(ISNUMBER(INDEX(A266:H266,$P$1)),INDEX(A266:H266,$P$1),IFERROR(_xlfn.NUMBERVALUE(INDEX(A266:H266,$P$1),".",","),0)))</f>
        <v/>
      </c>
    </row>
    <row r="267">
      <c r="L267">
        <f>IF(A267="","",IF(ISNUMBER(--LEFT(A267,FIND(" - ",A267&amp;" - ")-1)),LEFT(A267,FIND(" - ",A267&amp;" - ")-1),TRIM(A267)))</f>
        <v/>
      </c>
      <c r="N267">
        <f>IF(L267="","",IF(ISNUMBER(INDEX(A267:H267,$P$1)),INDEX(A267:H267,$P$1),IFERROR(_xlfn.NUMBERVALUE(INDEX(A267:H267,$P$1),".",","),0)))</f>
        <v/>
      </c>
    </row>
    <row r="268">
      <c r="L268">
        <f>IF(A268="","",IF(ISNUMBER(--LEFT(A268,FIND(" - ",A268&amp;" - ")-1)),LEFT(A268,FIND(" - ",A268&amp;" - ")-1),TRIM(A268)))</f>
        <v/>
      </c>
      <c r="N268">
        <f>IF(L268="","",IF(ISNUMBER(INDEX(A268:H268,$P$1)),INDEX(A268:H268,$P$1),IFERROR(_xlfn.NUMBERVALUE(INDEX(A268:H268,$P$1),".",","),0)))</f>
        <v/>
      </c>
    </row>
    <row r="269">
      <c r="L269">
        <f>IF(A269="","",IF(ISNUMBER(--LEFT(A269,FIND(" - ",A269&amp;" - ")-1)),LEFT(A269,FIND(" - ",A269&amp;" - ")-1),TRIM(A269)))</f>
        <v/>
      </c>
      <c r="N269">
        <f>IF(L269="","",IF(ISNUMBER(INDEX(A269:H269,$P$1)),INDEX(A269:H269,$P$1),IFERROR(_xlfn.NUMBERVALUE(INDEX(A269:H269,$P$1),".",","),0)))</f>
        <v/>
      </c>
    </row>
    <row r="270">
      <c r="L270">
        <f>IF(A270="","",IF(ISNUMBER(--LEFT(A270,FIND(" - ",A270&amp;" - ")-1)),LEFT(A270,FIND(" - ",A270&amp;" - ")-1),TRIM(A270)))</f>
        <v/>
      </c>
      <c r="N270">
        <f>IF(L270="","",IF(ISNUMBER(INDEX(A270:H270,$P$1)),INDEX(A270:H270,$P$1),IFERROR(_xlfn.NUMBERVALUE(INDEX(A270:H270,$P$1),".",","),0)))</f>
        <v/>
      </c>
    </row>
    <row r="271">
      <c r="L271">
        <f>IF(A271="","",IF(ISNUMBER(--LEFT(A271,FIND(" - ",A271&amp;" - ")-1)),LEFT(A271,FIND(" - ",A271&amp;" - ")-1),TRIM(A271)))</f>
        <v/>
      </c>
      <c r="N271">
        <f>IF(L271="","",IF(ISNUMBER(INDEX(A271:H271,$P$1)),INDEX(A271:H271,$P$1),IFERROR(_xlfn.NUMBERVALUE(INDEX(A271:H271,$P$1),".",","),0)))</f>
        <v/>
      </c>
    </row>
    <row r="272">
      <c r="L272">
        <f>IF(A272="","",IF(ISNUMBER(--LEFT(A272,FIND(" - ",A272&amp;" - ")-1)),LEFT(A272,FIND(" - ",A272&amp;" - ")-1),TRIM(A272)))</f>
        <v/>
      </c>
      <c r="N272">
        <f>IF(L272="","",IF(ISNUMBER(INDEX(A272:H272,$P$1)),INDEX(A272:H272,$P$1),IFERROR(_xlfn.NUMBERVALUE(INDEX(A272:H272,$P$1),".",","),0)))</f>
        <v/>
      </c>
    </row>
    <row r="273">
      <c r="L273">
        <f>IF(A273="","",IF(ISNUMBER(--LEFT(A273,FIND(" - ",A273&amp;" - ")-1)),LEFT(A273,FIND(" - ",A273&amp;" - ")-1),TRIM(A273)))</f>
        <v/>
      </c>
      <c r="N273">
        <f>IF(L273="","",IF(ISNUMBER(INDEX(A273:H273,$P$1)),INDEX(A273:H273,$P$1),IFERROR(_xlfn.NUMBERVALUE(INDEX(A273:H273,$P$1),".",","),0)))</f>
        <v/>
      </c>
    </row>
    <row r="274">
      <c r="L274">
        <f>IF(A274="","",IF(ISNUMBER(--LEFT(A274,FIND(" - ",A274&amp;" - ")-1)),LEFT(A274,FIND(" - ",A274&amp;" - ")-1),TRIM(A274)))</f>
        <v/>
      </c>
      <c r="N274">
        <f>IF(L274="","",IF(ISNUMBER(INDEX(A274:H274,$P$1)),INDEX(A274:H274,$P$1),IFERROR(_xlfn.NUMBERVALUE(INDEX(A274:H274,$P$1),".",","),0)))</f>
        <v/>
      </c>
    </row>
    <row r="275">
      <c r="L275">
        <f>IF(A275="","",IF(ISNUMBER(--LEFT(A275,FIND(" - ",A275&amp;" - ")-1)),LEFT(A275,FIND(" - ",A275&amp;" - ")-1),TRIM(A275)))</f>
        <v/>
      </c>
      <c r="N275">
        <f>IF(L275="","",IF(ISNUMBER(INDEX(A275:H275,$P$1)),INDEX(A275:H275,$P$1),IFERROR(_xlfn.NUMBERVALUE(INDEX(A275:H275,$P$1),".",","),0)))</f>
        <v/>
      </c>
    </row>
    <row r="276">
      <c r="L276">
        <f>IF(A276="","",IF(ISNUMBER(--LEFT(A276,FIND(" - ",A276&amp;" - ")-1)),LEFT(A276,FIND(" - ",A276&amp;" - ")-1),TRIM(A276)))</f>
        <v/>
      </c>
      <c r="N276">
        <f>IF(L276="","",IF(ISNUMBER(INDEX(A276:H276,$P$1)),INDEX(A276:H276,$P$1),IFERROR(_xlfn.NUMBERVALUE(INDEX(A276:H276,$P$1),".",","),0)))</f>
        <v/>
      </c>
    </row>
    <row r="277">
      <c r="L277">
        <f>IF(A277="","",IF(ISNUMBER(--LEFT(A277,FIND(" - ",A277&amp;" - ")-1)),LEFT(A277,FIND(" - ",A277&amp;" - ")-1),TRIM(A277)))</f>
        <v/>
      </c>
      <c r="N277">
        <f>IF(L277="","",IF(ISNUMBER(INDEX(A277:H277,$P$1)),INDEX(A277:H277,$P$1),IFERROR(_xlfn.NUMBERVALUE(INDEX(A277:H277,$P$1),".",","),0)))</f>
        <v/>
      </c>
    </row>
    <row r="278">
      <c r="L278">
        <f>IF(A278="","",IF(ISNUMBER(--LEFT(A278,FIND(" - ",A278&amp;" - ")-1)),LEFT(A278,FIND(" - ",A278&amp;" - ")-1),TRIM(A278)))</f>
        <v/>
      </c>
      <c r="N278">
        <f>IF(L278="","",IF(ISNUMBER(INDEX(A278:H278,$P$1)),INDEX(A278:H278,$P$1),IFERROR(_xlfn.NUMBERVALUE(INDEX(A278:H278,$P$1),".",","),0)))</f>
        <v/>
      </c>
    </row>
    <row r="279">
      <c r="L279">
        <f>IF(A279="","",IF(ISNUMBER(--LEFT(A279,FIND(" - ",A279&amp;" - ")-1)),LEFT(A279,FIND(" - ",A279&amp;" - ")-1),TRIM(A279)))</f>
        <v/>
      </c>
      <c r="N279">
        <f>IF(L279="","",IF(ISNUMBER(INDEX(A279:H279,$P$1)),INDEX(A279:H279,$P$1),IFERROR(_xlfn.NUMBERVALUE(INDEX(A279:H279,$P$1),".",","),0)))</f>
        <v/>
      </c>
    </row>
    <row r="280">
      <c r="L280">
        <f>IF(A280="","",IF(ISNUMBER(--LEFT(A280,FIND(" - ",A280&amp;" - ")-1)),LEFT(A280,FIND(" - ",A280&amp;" - ")-1),TRIM(A280)))</f>
        <v/>
      </c>
      <c r="N280">
        <f>IF(L280="","",IF(ISNUMBER(INDEX(A280:H280,$P$1)),INDEX(A280:H280,$P$1),IFERROR(_xlfn.NUMBERVALUE(INDEX(A280:H280,$P$1),".",","),0)))</f>
        <v/>
      </c>
    </row>
    <row r="281">
      <c r="L281">
        <f>IF(A281="","",IF(ISNUMBER(--LEFT(A281,FIND(" - ",A281&amp;" - ")-1)),LEFT(A281,FIND(" - ",A281&amp;" - ")-1),TRIM(A281)))</f>
        <v/>
      </c>
      <c r="N281">
        <f>IF(L281="","",IF(ISNUMBER(INDEX(A281:H281,$P$1)),INDEX(A281:H281,$P$1),IFERROR(_xlfn.NUMBERVALUE(INDEX(A281:H281,$P$1),".",","),0)))</f>
        <v/>
      </c>
    </row>
    <row r="282">
      <c r="L282">
        <f>IF(A282="","",IF(ISNUMBER(--LEFT(A282,FIND(" - ",A282&amp;" - ")-1)),LEFT(A282,FIND(" - ",A282&amp;" - ")-1),TRIM(A282)))</f>
        <v/>
      </c>
      <c r="N282">
        <f>IF(L282="","",IF(ISNUMBER(INDEX(A282:H282,$P$1)),INDEX(A282:H282,$P$1),IFERROR(_xlfn.NUMBERVALUE(INDEX(A282:H282,$P$1),".",","),0)))</f>
        <v/>
      </c>
    </row>
    <row r="283">
      <c r="L283">
        <f>IF(A283="","",IF(ISNUMBER(--LEFT(A283,FIND(" - ",A283&amp;" - ")-1)),LEFT(A283,FIND(" - ",A283&amp;" - ")-1),TRIM(A283)))</f>
        <v/>
      </c>
      <c r="N283">
        <f>IF(L283="","",IF(ISNUMBER(INDEX(A283:H283,$P$1)),INDEX(A283:H283,$P$1),IFERROR(_xlfn.NUMBERVALUE(INDEX(A283:H283,$P$1),".",","),0)))</f>
        <v/>
      </c>
    </row>
    <row r="284">
      <c r="L284">
        <f>IF(A284="","",IF(ISNUMBER(--LEFT(A284,FIND(" - ",A284&amp;" - ")-1)),LEFT(A284,FIND(" - ",A284&amp;" - ")-1),TRIM(A284)))</f>
        <v/>
      </c>
      <c r="N284">
        <f>IF(L284="","",IF(ISNUMBER(INDEX(A284:H284,$P$1)),INDEX(A284:H284,$P$1),IFERROR(_xlfn.NUMBERVALUE(INDEX(A284:H284,$P$1),".",","),0)))</f>
        <v/>
      </c>
    </row>
    <row r="285">
      <c r="L285">
        <f>IF(A285="","",IF(ISNUMBER(--LEFT(A285,FIND(" - ",A285&amp;" - ")-1)),LEFT(A285,FIND(" - ",A285&amp;" - ")-1),TRIM(A285)))</f>
        <v/>
      </c>
      <c r="N285">
        <f>IF(L285="","",IF(ISNUMBER(INDEX(A285:H285,$P$1)),INDEX(A285:H285,$P$1),IFERROR(_xlfn.NUMBERVALUE(INDEX(A285:H285,$P$1),".",","),0)))</f>
        <v/>
      </c>
    </row>
    <row r="286">
      <c r="L286">
        <f>IF(A286="","",IF(ISNUMBER(--LEFT(A286,FIND(" - ",A286&amp;" - ")-1)),LEFT(A286,FIND(" - ",A286&amp;" - ")-1),TRIM(A286)))</f>
        <v/>
      </c>
      <c r="N286">
        <f>IF(L286="","",IF(ISNUMBER(INDEX(A286:H286,$P$1)),INDEX(A286:H286,$P$1),IFERROR(_xlfn.NUMBERVALUE(INDEX(A286:H286,$P$1),".",","),0)))</f>
        <v/>
      </c>
    </row>
    <row r="287">
      <c r="L287">
        <f>IF(A287="","",IF(ISNUMBER(--LEFT(A287,FIND(" - ",A287&amp;" - ")-1)),LEFT(A287,FIND(" - ",A287&amp;" - ")-1),TRIM(A287)))</f>
        <v/>
      </c>
      <c r="N287">
        <f>IF(L287="","",IF(ISNUMBER(INDEX(A287:H287,$P$1)),INDEX(A287:H287,$P$1),IFERROR(_xlfn.NUMBERVALUE(INDEX(A287:H287,$P$1),".",","),0)))</f>
        <v/>
      </c>
    </row>
    <row r="288">
      <c r="L288">
        <f>IF(A288="","",IF(ISNUMBER(--LEFT(A288,FIND(" - ",A288&amp;" - ")-1)),LEFT(A288,FIND(" - ",A288&amp;" - ")-1),TRIM(A288)))</f>
        <v/>
      </c>
      <c r="N288">
        <f>IF(L288="","",IF(ISNUMBER(INDEX(A288:H288,$P$1)),INDEX(A288:H288,$P$1),IFERROR(_xlfn.NUMBERVALUE(INDEX(A288:H288,$P$1),".",","),0)))</f>
        <v/>
      </c>
    </row>
    <row r="289">
      <c r="L289">
        <f>IF(A289="","",IF(ISNUMBER(--LEFT(A289,FIND(" - ",A289&amp;" - ")-1)),LEFT(A289,FIND(" - ",A289&amp;" - ")-1),TRIM(A289)))</f>
        <v/>
      </c>
      <c r="N289">
        <f>IF(L289="","",IF(ISNUMBER(INDEX(A289:H289,$P$1)),INDEX(A289:H289,$P$1),IFERROR(_xlfn.NUMBERVALUE(INDEX(A289:H289,$P$1),".",","),0)))</f>
        <v/>
      </c>
    </row>
    <row r="290">
      <c r="L290">
        <f>IF(A290="","",IF(ISNUMBER(--LEFT(A290,FIND(" - ",A290&amp;" - ")-1)),LEFT(A290,FIND(" - ",A290&amp;" - ")-1),TRIM(A290)))</f>
        <v/>
      </c>
      <c r="N290">
        <f>IF(L290="","",IF(ISNUMBER(INDEX(A290:H290,$P$1)),INDEX(A290:H290,$P$1),IFERROR(_xlfn.NUMBERVALUE(INDEX(A290:H290,$P$1),".",","),0)))</f>
        <v/>
      </c>
    </row>
    <row r="291">
      <c r="L291">
        <f>IF(A291="","",IF(ISNUMBER(--LEFT(A291,FIND(" - ",A291&amp;" - ")-1)),LEFT(A291,FIND(" - ",A291&amp;" - ")-1),TRIM(A291)))</f>
        <v/>
      </c>
      <c r="N291">
        <f>IF(L291="","",IF(ISNUMBER(INDEX(A291:H291,$P$1)),INDEX(A291:H291,$P$1),IFERROR(_xlfn.NUMBERVALUE(INDEX(A291:H291,$P$1),".",","),0)))</f>
        <v/>
      </c>
    </row>
    <row r="292">
      <c r="L292">
        <f>IF(A292="","",IF(ISNUMBER(--LEFT(A292,FIND(" - ",A292&amp;" - ")-1)),LEFT(A292,FIND(" - ",A292&amp;" - ")-1),TRIM(A292)))</f>
        <v/>
      </c>
      <c r="N292">
        <f>IF(L292="","",IF(ISNUMBER(INDEX(A292:H292,$P$1)),INDEX(A292:H292,$P$1),IFERROR(_xlfn.NUMBERVALUE(INDEX(A292:H292,$P$1),".",","),0)))</f>
        <v/>
      </c>
    </row>
    <row r="293">
      <c r="L293">
        <f>IF(A293="","",IF(ISNUMBER(--LEFT(A293,FIND(" - ",A293&amp;" - ")-1)),LEFT(A293,FIND(" - ",A293&amp;" - ")-1),TRIM(A293)))</f>
        <v/>
      </c>
      <c r="N293">
        <f>IF(L293="","",IF(ISNUMBER(INDEX(A293:H293,$P$1)),INDEX(A293:H293,$P$1),IFERROR(_xlfn.NUMBERVALUE(INDEX(A293:H293,$P$1),".",","),0)))</f>
        <v/>
      </c>
    </row>
    <row r="294">
      <c r="L294">
        <f>IF(A294="","",IF(ISNUMBER(--LEFT(A294,FIND(" - ",A294&amp;" - ")-1)),LEFT(A294,FIND(" - ",A294&amp;" - ")-1),TRIM(A294)))</f>
        <v/>
      </c>
      <c r="N294">
        <f>IF(L294="","",IF(ISNUMBER(INDEX(A294:H294,$P$1)),INDEX(A294:H294,$P$1),IFERROR(_xlfn.NUMBERVALUE(INDEX(A294:H294,$P$1),".",","),0)))</f>
        <v/>
      </c>
    </row>
    <row r="295">
      <c r="L295">
        <f>IF(A295="","",IF(ISNUMBER(--LEFT(A295,FIND(" - ",A295&amp;" - ")-1)),LEFT(A295,FIND(" - ",A295&amp;" - ")-1),TRIM(A295)))</f>
        <v/>
      </c>
      <c r="N295">
        <f>IF(L295="","",IF(ISNUMBER(INDEX(A295:H295,$P$1)),INDEX(A295:H295,$P$1),IFERROR(_xlfn.NUMBERVALUE(INDEX(A295:H295,$P$1),".",","),0)))</f>
        <v/>
      </c>
    </row>
    <row r="296">
      <c r="L296">
        <f>IF(A296="","",IF(ISNUMBER(--LEFT(A296,FIND(" - ",A296&amp;" - ")-1)),LEFT(A296,FIND(" - ",A296&amp;" - ")-1),TRIM(A296)))</f>
        <v/>
      </c>
      <c r="N296">
        <f>IF(L296="","",IF(ISNUMBER(INDEX(A296:H296,$P$1)),INDEX(A296:H296,$P$1),IFERROR(_xlfn.NUMBERVALUE(INDEX(A296:H296,$P$1),".",","),0)))</f>
        <v/>
      </c>
    </row>
    <row r="297">
      <c r="L297">
        <f>IF(A297="","",IF(ISNUMBER(--LEFT(A297,FIND(" - ",A297&amp;" - ")-1)),LEFT(A297,FIND(" - ",A297&amp;" - ")-1),TRIM(A297)))</f>
        <v/>
      </c>
      <c r="N297">
        <f>IF(L297="","",IF(ISNUMBER(INDEX(A297:H297,$P$1)),INDEX(A297:H297,$P$1),IFERROR(_xlfn.NUMBERVALUE(INDEX(A297:H297,$P$1),".",","),0)))</f>
        <v/>
      </c>
    </row>
    <row r="298">
      <c r="L298">
        <f>IF(A298="","",IF(ISNUMBER(--LEFT(A298,FIND(" - ",A298&amp;" - ")-1)),LEFT(A298,FIND(" - ",A298&amp;" - ")-1),TRIM(A298)))</f>
        <v/>
      </c>
      <c r="N298">
        <f>IF(L298="","",IF(ISNUMBER(INDEX(A298:H298,$P$1)),INDEX(A298:H298,$P$1),IFERROR(_xlfn.NUMBERVALUE(INDEX(A298:H298,$P$1),".",","),0)))</f>
        <v/>
      </c>
    </row>
    <row r="299">
      <c r="L299">
        <f>IF(A299="","",IF(ISNUMBER(--LEFT(A299,FIND(" - ",A299&amp;" - ")-1)),LEFT(A299,FIND(" - ",A299&amp;" - ")-1),TRIM(A299)))</f>
        <v/>
      </c>
      <c r="N299">
        <f>IF(L299="","",IF(ISNUMBER(INDEX(A299:H299,$P$1)),INDEX(A299:H299,$P$1),IFERROR(_xlfn.NUMBERVALUE(INDEX(A299:H299,$P$1),".",","),0)))</f>
        <v/>
      </c>
    </row>
    <row r="300">
      <c r="L300">
        <f>IF(A300="","",IF(ISNUMBER(--LEFT(A300,FIND(" - ",A300&amp;" - ")-1)),LEFT(A300,FIND(" - ",A300&amp;" - ")-1),TRIM(A300)))</f>
        <v/>
      </c>
      <c r="N300">
        <f>IF(L300="","",IF(ISNUMBER(INDEX(A300:H300,$P$1)),INDEX(A300:H300,$P$1),IFERROR(_xlfn.NUMBERVALUE(INDEX(A300:H300,$P$1),".",","),0)))</f>
        <v/>
      </c>
    </row>
    <row r="301">
      <c r="L301">
        <f>IF(A301="","",IF(ISNUMBER(--LEFT(A301,FIND(" - ",A301&amp;" - ")-1)),LEFT(A301,FIND(" - ",A301&amp;" - ")-1),TRIM(A301)))</f>
        <v/>
      </c>
      <c r="N301">
        <f>IF(L301="","",IF(ISNUMBER(INDEX(A301:H301,$P$1)),INDEX(A301:H301,$P$1),IFERROR(_xlfn.NUMBERVALUE(INDEX(A301:H301,$P$1),".",","),0)))</f>
        <v/>
      </c>
    </row>
    <row r="302">
      <c r="L302">
        <f>IF(A302="","",IF(ISNUMBER(--LEFT(A302,FIND(" - ",A302&amp;" - ")-1)),LEFT(A302,FIND(" - ",A302&amp;" - ")-1),TRIM(A302)))</f>
        <v/>
      </c>
      <c r="N302">
        <f>IF(L302="","",IF(ISNUMBER(INDEX(A302:H302,$P$1)),INDEX(A302:H302,$P$1),IFERROR(_xlfn.NUMBERVALUE(INDEX(A302:H302,$P$1),".",","),0)))</f>
        <v/>
      </c>
    </row>
    <row r="303">
      <c r="L303">
        <f>IF(A303="","",IF(ISNUMBER(--LEFT(A303,FIND(" - ",A303&amp;" - ")-1)),LEFT(A303,FIND(" - ",A303&amp;" - ")-1),TRIM(A303)))</f>
        <v/>
      </c>
      <c r="N303">
        <f>IF(L303="","",IF(ISNUMBER(INDEX(A303:H303,$P$1)),INDEX(A303:H303,$P$1),IFERROR(_xlfn.NUMBERVALUE(INDEX(A303:H303,$P$1),".",","),0)))</f>
        <v/>
      </c>
    </row>
    <row r="304">
      <c r="L304">
        <f>IF(A304="","",IF(ISNUMBER(--LEFT(A304,FIND(" - ",A304&amp;" - ")-1)),LEFT(A304,FIND(" - ",A304&amp;" - ")-1),TRIM(A304)))</f>
        <v/>
      </c>
      <c r="N304">
        <f>IF(L304="","",IF(ISNUMBER(INDEX(A304:H304,$P$1)),INDEX(A304:H304,$P$1),IFERROR(_xlfn.NUMBERVALUE(INDEX(A304:H304,$P$1),".",","),0)))</f>
        <v/>
      </c>
    </row>
    <row r="305">
      <c r="L305">
        <f>IF(A305="","",IF(ISNUMBER(--LEFT(A305,FIND(" - ",A305&amp;" - ")-1)),LEFT(A305,FIND(" - ",A305&amp;" - ")-1),TRIM(A305)))</f>
        <v/>
      </c>
      <c r="N305">
        <f>IF(L305="","",IF(ISNUMBER(INDEX(A305:H305,$P$1)),INDEX(A305:H305,$P$1),IFERROR(_xlfn.NUMBERVALUE(INDEX(A305:H305,$P$1),".",","),0)))</f>
        <v/>
      </c>
    </row>
    <row r="306">
      <c r="L306">
        <f>IF(A306="","",IF(ISNUMBER(--LEFT(A306,FIND(" - ",A306&amp;" - ")-1)),LEFT(A306,FIND(" - ",A306&amp;" - ")-1),TRIM(A306)))</f>
        <v/>
      </c>
      <c r="N306">
        <f>IF(L306="","",IF(ISNUMBER(INDEX(A306:H306,$P$1)),INDEX(A306:H306,$P$1),IFERROR(_xlfn.NUMBERVALUE(INDEX(A306:H306,$P$1),".",","),0)))</f>
        <v/>
      </c>
    </row>
    <row r="307">
      <c r="L307">
        <f>IF(A307="","",IF(ISNUMBER(--LEFT(A307,FIND(" - ",A307&amp;" - ")-1)),LEFT(A307,FIND(" - ",A307&amp;" - ")-1),TRIM(A307)))</f>
        <v/>
      </c>
      <c r="N307">
        <f>IF(L307="","",IF(ISNUMBER(INDEX(A307:H307,$P$1)),INDEX(A307:H307,$P$1),IFERROR(_xlfn.NUMBERVALUE(INDEX(A307:H307,$P$1),".",","),0)))</f>
        <v/>
      </c>
    </row>
    <row r="308">
      <c r="L308">
        <f>IF(A308="","",IF(ISNUMBER(--LEFT(A308,FIND(" - ",A308&amp;" - ")-1)),LEFT(A308,FIND(" - ",A308&amp;" - ")-1),TRIM(A308)))</f>
        <v/>
      </c>
      <c r="N308">
        <f>IF(L308="","",IF(ISNUMBER(INDEX(A308:H308,$P$1)),INDEX(A308:H308,$P$1),IFERROR(_xlfn.NUMBERVALUE(INDEX(A308:H308,$P$1),".",","),0)))</f>
        <v/>
      </c>
    </row>
    <row r="309">
      <c r="L309">
        <f>IF(A309="","",IF(ISNUMBER(--LEFT(A309,FIND(" - ",A309&amp;" - ")-1)),LEFT(A309,FIND(" - ",A309&amp;" - ")-1),TRIM(A309)))</f>
        <v/>
      </c>
      <c r="N309">
        <f>IF(L309="","",IF(ISNUMBER(INDEX(A309:H309,$P$1)),INDEX(A309:H309,$P$1),IFERROR(_xlfn.NUMBERVALUE(INDEX(A309:H309,$P$1),".",","),0)))</f>
        <v/>
      </c>
    </row>
    <row r="310">
      <c r="L310">
        <f>IF(A310="","",IF(ISNUMBER(--LEFT(A310,FIND(" - ",A310&amp;" - ")-1)),LEFT(A310,FIND(" - ",A310&amp;" - ")-1),TRIM(A310)))</f>
        <v/>
      </c>
      <c r="N310">
        <f>IF(L310="","",IF(ISNUMBER(INDEX(A310:H310,$P$1)),INDEX(A310:H310,$P$1),IFERROR(_xlfn.NUMBERVALUE(INDEX(A310:H310,$P$1),".",","),0)))</f>
        <v/>
      </c>
    </row>
    <row r="311">
      <c r="L311">
        <f>IF(A311="","",IF(ISNUMBER(--LEFT(A311,FIND(" - ",A311&amp;" - ")-1)),LEFT(A311,FIND(" - ",A311&amp;" - ")-1),TRIM(A311)))</f>
        <v/>
      </c>
      <c r="N311">
        <f>IF(L311="","",IF(ISNUMBER(INDEX(A311:H311,$P$1)),INDEX(A311:H311,$P$1),IFERROR(_xlfn.NUMBERVALUE(INDEX(A311:H311,$P$1),".",","),0)))</f>
        <v/>
      </c>
    </row>
    <row r="312">
      <c r="L312">
        <f>IF(A312="","",IF(ISNUMBER(--LEFT(A312,FIND(" - ",A312&amp;" - ")-1)),LEFT(A312,FIND(" - ",A312&amp;" - ")-1),TRIM(A312)))</f>
        <v/>
      </c>
      <c r="N312">
        <f>IF(L312="","",IF(ISNUMBER(INDEX(A312:H312,$P$1)),INDEX(A312:H312,$P$1),IFERROR(_xlfn.NUMBERVALUE(INDEX(A312:H312,$P$1),".",","),0)))</f>
        <v/>
      </c>
    </row>
    <row r="313">
      <c r="L313">
        <f>IF(A313="","",IF(ISNUMBER(--LEFT(A313,FIND(" - ",A313&amp;" - ")-1)),LEFT(A313,FIND(" - ",A313&amp;" - ")-1),TRIM(A313)))</f>
        <v/>
      </c>
      <c r="N313">
        <f>IF(L313="","",IF(ISNUMBER(INDEX(A313:H313,$P$1)),INDEX(A313:H313,$P$1),IFERROR(_xlfn.NUMBERVALUE(INDEX(A313:H313,$P$1),".",","),0)))</f>
        <v/>
      </c>
    </row>
    <row r="314">
      <c r="L314">
        <f>IF(A314="","",IF(ISNUMBER(--LEFT(A314,FIND(" - ",A314&amp;" - ")-1)),LEFT(A314,FIND(" - ",A314&amp;" - ")-1),TRIM(A314)))</f>
        <v/>
      </c>
      <c r="N314">
        <f>IF(L314="","",IF(ISNUMBER(INDEX(A314:H314,$P$1)),INDEX(A314:H314,$P$1),IFERROR(_xlfn.NUMBERVALUE(INDEX(A314:H314,$P$1),".",","),0)))</f>
        <v/>
      </c>
    </row>
    <row r="315">
      <c r="L315">
        <f>IF(A315="","",IF(ISNUMBER(--LEFT(A315,FIND(" - ",A315&amp;" - ")-1)),LEFT(A315,FIND(" - ",A315&amp;" - ")-1),TRIM(A315)))</f>
        <v/>
      </c>
      <c r="N315">
        <f>IF(L315="","",IF(ISNUMBER(INDEX(A315:H315,$P$1)),INDEX(A315:H315,$P$1),IFERROR(_xlfn.NUMBERVALUE(INDEX(A315:H315,$P$1),".",","),0)))</f>
        <v/>
      </c>
    </row>
    <row r="316">
      <c r="L316">
        <f>IF(A316="","",IF(ISNUMBER(--LEFT(A316,FIND(" - ",A316&amp;" - ")-1)),LEFT(A316,FIND(" - ",A316&amp;" - ")-1),TRIM(A316)))</f>
        <v/>
      </c>
      <c r="N316">
        <f>IF(L316="","",IF(ISNUMBER(INDEX(A316:H316,$P$1)),INDEX(A316:H316,$P$1),IFERROR(_xlfn.NUMBERVALUE(INDEX(A316:H316,$P$1),".",","),0)))</f>
        <v/>
      </c>
    </row>
    <row r="317">
      <c r="L317">
        <f>IF(A317="","",IF(ISNUMBER(--LEFT(A317,FIND(" - ",A317&amp;" - ")-1)),LEFT(A317,FIND(" - ",A317&amp;" - ")-1),TRIM(A317)))</f>
        <v/>
      </c>
      <c r="N317">
        <f>IF(L317="","",IF(ISNUMBER(INDEX(A317:H317,$P$1)),INDEX(A317:H317,$P$1),IFERROR(_xlfn.NUMBERVALUE(INDEX(A317:H317,$P$1),".",","),0)))</f>
        <v/>
      </c>
    </row>
    <row r="318">
      <c r="L318">
        <f>IF(A318="","",IF(ISNUMBER(--LEFT(A318,FIND(" - ",A318&amp;" - ")-1)),LEFT(A318,FIND(" - ",A318&amp;" - ")-1),TRIM(A318)))</f>
        <v/>
      </c>
      <c r="N318">
        <f>IF(L318="","",IF(ISNUMBER(INDEX(A318:H318,$P$1)),INDEX(A318:H318,$P$1),IFERROR(_xlfn.NUMBERVALUE(INDEX(A318:H318,$P$1),".",","),0)))</f>
        <v/>
      </c>
    </row>
    <row r="319">
      <c r="L319">
        <f>IF(A319="","",IF(ISNUMBER(--LEFT(A319,FIND(" - ",A319&amp;" - ")-1)),LEFT(A319,FIND(" - ",A319&amp;" - ")-1),TRIM(A319)))</f>
        <v/>
      </c>
      <c r="N319">
        <f>IF(L319="","",IF(ISNUMBER(INDEX(A319:H319,$P$1)),INDEX(A319:H319,$P$1),IFERROR(_xlfn.NUMBERVALUE(INDEX(A319:H319,$P$1),".",","),0)))</f>
        <v/>
      </c>
    </row>
    <row r="320">
      <c r="L320">
        <f>IF(A320="","",IF(ISNUMBER(--LEFT(A320,FIND(" - ",A320&amp;" - ")-1)),LEFT(A320,FIND(" - ",A320&amp;" - ")-1),TRIM(A320)))</f>
        <v/>
      </c>
      <c r="N320">
        <f>IF(L320="","",IF(ISNUMBER(INDEX(A320:H320,$P$1)),INDEX(A320:H320,$P$1),IFERROR(_xlfn.NUMBERVALUE(INDEX(A320:H320,$P$1),".",","),0)))</f>
        <v/>
      </c>
    </row>
    <row r="321">
      <c r="L321">
        <f>IF(A321="","",IF(ISNUMBER(--LEFT(A321,FIND(" - ",A321&amp;" - ")-1)),LEFT(A321,FIND(" - ",A321&amp;" - ")-1),TRIM(A321)))</f>
        <v/>
      </c>
      <c r="N321">
        <f>IF(L321="","",IF(ISNUMBER(INDEX(A321:H321,$P$1)),INDEX(A321:H321,$P$1),IFERROR(_xlfn.NUMBERVALUE(INDEX(A321:H321,$P$1),".",","),0)))</f>
        <v/>
      </c>
    </row>
    <row r="322">
      <c r="L322">
        <f>IF(A322="","",IF(ISNUMBER(--LEFT(A322,FIND(" - ",A322&amp;" - ")-1)),LEFT(A322,FIND(" - ",A322&amp;" - ")-1),TRIM(A322)))</f>
        <v/>
      </c>
      <c r="N322">
        <f>IF(L322="","",IF(ISNUMBER(INDEX(A322:H322,$P$1)),INDEX(A322:H322,$P$1),IFERROR(_xlfn.NUMBERVALUE(INDEX(A322:H322,$P$1),".",","),0)))</f>
        <v/>
      </c>
    </row>
    <row r="323">
      <c r="L323">
        <f>IF(A323="","",IF(ISNUMBER(--LEFT(A323,FIND(" - ",A323&amp;" - ")-1)),LEFT(A323,FIND(" - ",A323&amp;" - ")-1),TRIM(A323)))</f>
        <v/>
      </c>
      <c r="N323">
        <f>IF(L323="","",IF(ISNUMBER(INDEX(A323:H323,$P$1)),INDEX(A323:H323,$P$1),IFERROR(_xlfn.NUMBERVALUE(INDEX(A323:H323,$P$1),".",","),0)))</f>
        <v/>
      </c>
    </row>
    <row r="324">
      <c r="L324">
        <f>IF(A324="","",IF(ISNUMBER(--LEFT(A324,FIND(" - ",A324&amp;" - ")-1)),LEFT(A324,FIND(" - ",A324&amp;" - ")-1),TRIM(A324)))</f>
        <v/>
      </c>
      <c r="N324">
        <f>IF(L324="","",IF(ISNUMBER(INDEX(A324:H324,$P$1)),INDEX(A324:H324,$P$1),IFERROR(_xlfn.NUMBERVALUE(INDEX(A324:H324,$P$1),".",","),0)))</f>
        <v/>
      </c>
    </row>
    <row r="325">
      <c r="L325">
        <f>IF(A325="","",IF(ISNUMBER(--LEFT(A325,FIND(" - ",A325&amp;" - ")-1)),LEFT(A325,FIND(" - ",A325&amp;" - ")-1),TRIM(A325)))</f>
        <v/>
      </c>
      <c r="N325">
        <f>IF(L325="","",IF(ISNUMBER(INDEX(A325:H325,$P$1)),INDEX(A325:H325,$P$1),IFERROR(_xlfn.NUMBERVALUE(INDEX(A325:H325,$P$1),".",","),0)))</f>
        <v/>
      </c>
    </row>
    <row r="326">
      <c r="L326">
        <f>IF(A326="","",IF(ISNUMBER(--LEFT(A326,FIND(" - ",A326&amp;" - ")-1)),LEFT(A326,FIND(" - ",A326&amp;" - ")-1),TRIM(A326)))</f>
        <v/>
      </c>
      <c r="N326">
        <f>IF(L326="","",IF(ISNUMBER(INDEX(A326:H326,$P$1)),INDEX(A326:H326,$P$1),IFERROR(_xlfn.NUMBERVALUE(INDEX(A326:H326,$P$1),".",","),0)))</f>
        <v/>
      </c>
    </row>
    <row r="327">
      <c r="L327">
        <f>IF(A327="","",IF(ISNUMBER(--LEFT(A327,FIND(" - ",A327&amp;" - ")-1)),LEFT(A327,FIND(" - ",A327&amp;" - ")-1),TRIM(A327)))</f>
        <v/>
      </c>
      <c r="N327">
        <f>IF(L327="","",IF(ISNUMBER(INDEX(A327:H327,$P$1)),INDEX(A327:H327,$P$1),IFERROR(_xlfn.NUMBERVALUE(INDEX(A327:H327,$P$1),".",","),0)))</f>
        <v/>
      </c>
    </row>
    <row r="328">
      <c r="L328">
        <f>IF(A328="","",IF(ISNUMBER(--LEFT(A328,FIND(" - ",A328&amp;" - ")-1)),LEFT(A328,FIND(" - ",A328&amp;" - ")-1),TRIM(A328)))</f>
        <v/>
      </c>
      <c r="N328">
        <f>IF(L328="","",IF(ISNUMBER(INDEX(A328:H328,$P$1)),INDEX(A328:H328,$P$1),IFERROR(_xlfn.NUMBERVALUE(INDEX(A328:H328,$P$1),".",","),0)))</f>
        <v/>
      </c>
    </row>
    <row r="329">
      <c r="L329">
        <f>IF(A329="","",IF(ISNUMBER(--LEFT(A329,FIND(" - ",A329&amp;" - ")-1)),LEFT(A329,FIND(" - ",A329&amp;" - ")-1),TRIM(A329)))</f>
        <v/>
      </c>
      <c r="N329">
        <f>IF(L329="","",IF(ISNUMBER(INDEX(A329:H329,$P$1)),INDEX(A329:H329,$P$1),IFERROR(_xlfn.NUMBERVALUE(INDEX(A329:H329,$P$1),".",","),0)))</f>
        <v/>
      </c>
    </row>
    <row r="330">
      <c r="L330">
        <f>IF(A330="","",IF(ISNUMBER(--LEFT(A330,FIND(" - ",A330&amp;" - ")-1)),LEFT(A330,FIND(" - ",A330&amp;" - ")-1),TRIM(A330)))</f>
        <v/>
      </c>
      <c r="N330">
        <f>IF(L330="","",IF(ISNUMBER(INDEX(A330:H330,$P$1)),INDEX(A330:H330,$P$1),IFERROR(_xlfn.NUMBERVALUE(INDEX(A330:H330,$P$1),".",","),0)))</f>
        <v/>
      </c>
    </row>
    <row r="331">
      <c r="L331">
        <f>IF(A331="","",IF(ISNUMBER(--LEFT(A331,FIND(" - ",A331&amp;" - ")-1)),LEFT(A331,FIND(" - ",A331&amp;" - ")-1),TRIM(A331)))</f>
        <v/>
      </c>
      <c r="N331">
        <f>IF(L331="","",IF(ISNUMBER(INDEX(A331:H331,$P$1)),INDEX(A331:H331,$P$1),IFERROR(_xlfn.NUMBERVALUE(INDEX(A331:H331,$P$1),".",","),0)))</f>
        <v/>
      </c>
    </row>
    <row r="332">
      <c r="L332">
        <f>IF(A332="","",IF(ISNUMBER(--LEFT(A332,FIND(" - ",A332&amp;" - ")-1)),LEFT(A332,FIND(" - ",A332&amp;" - ")-1),TRIM(A332)))</f>
        <v/>
      </c>
      <c r="N332">
        <f>IF(L332="","",IF(ISNUMBER(INDEX(A332:H332,$P$1)),INDEX(A332:H332,$P$1),IFERROR(_xlfn.NUMBERVALUE(INDEX(A332:H332,$P$1),".",","),0)))</f>
        <v/>
      </c>
    </row>
    <row r="333">
      <c r="L333">
        <f>IF(A333="","",IF(ISNUMBER(--LEFT(A333,FIND(" - ",A333&amp;" - ")-1)),LEFT(A333,FIND(" - ",A333&amp;" - ")-1),TRIM(A333)))</f>
        <v/>
      </c>
      <c r="N333">
        <f>IF(L333="","",IF(ISNUMBER(INDEX(A333:H333,$P$1)),INDEX(A333:H333,$P$1),IFERROR(_xlfn.NUMBERVALUE(INDEX(A333:H333,$P$1),".",","),0)))</f>
        <v/>
      </c>
    </row>
    <row r="334">
      <c r="L334">
        <f>IF(A334="","",IF(ISNUMBER(--LEFT(A334,FIND(" - ",A334&amp;" - ")-1)),LEFT(A334,FIND(" - ",A334&amp;" - ")-1),TRIM(A334)))</f>
        <v/>
      </c>
      <c r="N334">
        <f>IF(L334="","",IF(ISNUMBER(INDEX(A334:H334,$P$1)),INDEX(A334:H334,$P$1),IFERROR(_xlfn.NUMBERVALUE(INDEX(A334:H334,$P$1),".",","),0)))</f>
        <v/>
      </c>
    </row>
    <row r="335">
      <c r="L335">
        <f>IF(A335="","",IF(ISNUMBER(--LEFT(A335,FIND(" - ",A335&amp;" - ")-1)),LEFT(A335,FIND(" - ",A335&amp;" - ")-1),TRIM(A335)))</f>
        <v/>
      </c>
      <c r="N335">
        <f>IF(L335="","",IF(ISNUMBER(INDEX(A335:H335,$P$1)),INDEX(A335:H335,$P$1),IFERROR(_xlfn.NUMBERVALUE(INDEX(A335:H335,$P$1),".",","),0)))</f>
        <v/>
      </c>
    </row>
    <row r="336">
      <c r="L336">
        <f>IF(A336="","",IF(ISNUMBER(--LEFT(A336,FIND(" - ",A336&amp;" - ")-1)),LEFT(A336,FIND(" - ",A336&amp;" - ")-1),TRIM(A336)))</f>
        <v/>
      </c>
      <c r="N336">
        <f>IF(L336="","",IF(ISNUMBER(INDEX(A336:H336,$P$1)),INDEX(A336:H336,$P$1),IFERROR(_xlfn.NUMBERVALUE(INDEX(A336:H336,$P$1),".",","),0)))</f>
        <v/>
      </c>
    </row>
    <row r="337">
      <c r="L337">
        <f>IF(A337="","",IF(ISNUMBER(--LEFT(A337,FIND(" - ",A337&amp;" - ")-1)),LEFT(A337,FIND(" - ",A337&amp;" - ")-1),TRIM(A337)))</f>
        <v/>
      </c>
      <c r="N337">
        <f>IF(L337="","",IF(ISNUMBER(INDEX(A337:H337,$P$1)),INDEX(A337:H337,$P$1),IFERROR(_xlfn.NUMBERVALUE(INDEX(A337:H337,$P$1),".",","),0)))</f>
        <v/>
      </c>
    </row>
    <row r="338">
      <c r="L338">
        <f>IF(A338="","",IF(ISNUMBER(--LEFT(A338,FIND(" - ",A338&amp;" - ")-1)),LEFT(A338,FIND(" - ",A338&amp;" - ")-1),TRIM(A338)))</f>
        <v/>
      </c>
      <c r="N338">
        <f>IF(L338="","",IF(ISNUMBER(INDEX(A338:H338,$P$1)),INDEX(A338:H338,$P$1),IFERROR(_xlfn.NUMBERVALUE(INDEX(A338:H338,$P$1),".",","),0)))</f>
        <v/>
      </c>
    </row>
    <row r="339">
      <c r="L339">
        <f>IF(A339="","",IF(ISNUMBER(--LEFT(A339,FIND(" - ",A339&amp;" - ")-1)),LEFT(A339,FIND(" - ",A339&amp;" - ")-1),TRIM(A339)))</f>
        <v/>
      </c>
      <c r="N339">
        <f>IF(L339="","",IF(ISNUMBER(INDEX(A339:H339,$P$1)),INDEX(A339:H339,$P$1),IFERROR(_xlfn.NUMBERVALUE(INDEX(A339:H339,$P$1),".",","),0)))</f>
        <v/>
      </c>
    </row>
    <row r="340">
      <c r="L340">
        <f>IF(A340="","",IF(ISNUMBER(--LEFT(A340,FIND(" - ",A340&amp;" - ")-1)),LEFT(A340,FIND(" - ",A340&amp;" - ")-1),TRIM(A340)))</f>
        <v/>
      </c>
      <c r="N340">
        <f>IF(L340="","",IF(ISNUMBER(INDEX(A340:H340,$P$1)),INDEX(A340:H340,$P$1),IFERROR(_xlfn.NUMBERVALUE(INDEX(A340:H340,$P$1),".",","),0)))</f>
        <v/>
      </c>
    </row>
    <row r="341">
      <c r="L341">
        <f>IF(A341="","",IF(ISNUMBER(--LEFT(A341,FIND(" - ",A341&amp;" - ")-1)),LEFT(A341,FIND(" - ",A341&amp;" - ")-1),TRIM(A341)))</f>
        <v/>
      </c>
      <c r="N341">
        <f>IF(L341="","",IF(ISNUMBER(INDEX(A341:H341,$P$1)),INDEX(A341:H341,$P$1),IFERROR(_xlfn.NUMBERVALUE(INDEX(A341:H341,$P$1),".",","),0)))</f>
        <v/>
      </c>
    </row>
    <row r="342">
      <c r="L342">
        <f>IF(A342="","",IF(ISNUMBER(--LEFT(A342,FIND(" - ",A342&amp;" - ")-1)),LEFT(A342,FIND(" - ",A342&amp;" - ")-1),TRIM(A342)))</f>
        <v/>
      </c>
      <c r="N342">
        <f>IF(L342="","",IF(ISNUMBER(INDEX(A342:H342,$P$1)),INDEX(A342:H342,$P$1),IFERROR(_xlfn.NUMBERVALUE(INDEX(A342:H342,$P$1),".",","),0)))</f>
        <v/>
      </c>
    </row>
    <row r="343">
      <c r="L343">
        <f>IF(A343="","",IF(ISNUMBER(--LEFT(A343,FIND(" - ",A343&amp;" - ")-1)),LEFT(A343,FIND(" - ",A343&amp;" - ")-1),TRIM(A343)))</f>
        <v/>
      </c>
      <c r="N343">
        <f>IF(L343="","",IF(ISNUMBER(INDEX(A343:H343,$P$1)),INDEX(A343:H343,$P$1),IFERROR(_xlfn.NUMBERVALUE(INDEX(A343:H343,$P$1),".",","),0)))</f>
        <v/>
      </c>
    </row>
    <row r="344">
      <c r="L344">
        <f>IF(A344="","",IF(ISNUMBER(--LEFT(A344,FIND(" - ",A344&amp;" - ")-1)),LEFT(A344,FIND(" - ",A344&amp;" - ")-1),TRIM(A344)))</f>
        <v/>
      </c>
      <c r="N344">
        <f>IF(L344="","",IF(ISNUMBER(INDEX(A344:H344,$P$1)),INDEX(A344:H344,$P$1),IFERROR(_xlfn.NUMBERVALUE(INDEX(A344:H344,$P$1),".",","),0)))</f>
        <v/>
      </c>
    </row>
    <row r="345">
      <c r="L345">
        <f>IF(A345="","",IF(ISNUMBER(--LEFT(A345,FIND(" - ",A345&amp;" - ")-1)),LEFT(A345,FIND(" - ",A345&amp;" - ")-1),TRIM(A345)))</f>
        <v/>
      </c>
      <c r="N345">
        <f>IF(L345="","",IF(ISNUMBER(INDEX(A345:H345,$P$1)),INDEX(A345:H345,$P$1),IFERROR(_xlfn.NUMBERVALUE(INDEX(A345:H345,$P$1),".",","),0)))</f>
        <v/>
      </c>
    </row>
    <row r="346">
      <c r="L346">
        <f>IF(A346="","",IF(ISNUMBER(--LEFT(A346,FIND(" - ",A346&amp;" - ")-1)),LEFT(A346,FIND(" - ",A346&amp;" - ")-1),TRIM(A346)))</f>
        <v/>
      </c>
      <c r="N346">
        <f>IF(L346="","",IF(ISNUMBER(INDEX(A346:H346,$P$1)),INDEX(A346:H346,$P$1),IFERROR(_xlfn.NUMBERVALUE(INDEX(A346:H346,$P$1),".",","),0)))</f>
        <v/>
      </c>
    </row>
    <row r="347">
      <c r="L347">
        <f>IF(A347="","",IF(ISNUMBER(--LEFT(A347,FIND(" - ",A347&amp;" - ")-1)),LEFT(A347,FIND(" - ",A347&amp;" - ")-1),TRIM(A347)))</f>
        <v/>
      </c>
      <c r="N347">
        <f>IF(L347="","",IF(ISNUMBER(INDEX(A347:H347,$P$1)),INDEX(A347:H347,$P$1),IFERROR(_xlfn.NUMBERVALUE(INDEX(A347:H347,$P$1),".",","),0)))</f>
        <v/>
      </c>
    </row>
    <row r="348">
      <c r="L348">
        <f>IF(A348="","",IF(ISNUMBER(--LEFT(A348,FIND(" - ",A348&amp;" - ")-1)),LEFT(A348,FIND(" - ",A348&amp;" - ")-1),TRIM(A348)))</f>
        <v/>
      </c>
      <c r="N348">
        <f>IF(L348="","",IF(ISNUMBER(INDEX(A348:H348,$P$1)),INDEX(A348:H348,$P$1),IFERROR(_xlfn.NUMBERVALUE(INDEX(A348:H348,$P$1),".",","),0)))</f>
        <v/>
      </c>
    </row>
    <row r="349">
      <c r="L349">
        <f>IF(A349="","",IF(ISNUMBER(--LEFT(A349,FIND(" - ",A349&amp;" - ")-1)),LEFT(A349,FIND(" - ",A349&amp;" - ")-1),TRIM(A349)))</f>
        <v/>
      </c>
      <c r="N349">
        <f>IF(L349="","",IF(ISNUMBER(INDEX(A349:H349,$P$1)),INDEX(A349:H349,$P$1),IFERROR(_xlfn.NUMBERVALUE(INDEX(A349:H349,$P$1),".",","),0)))</f>
        <v/>
      </c>
    </row>
    <row r="350">
      <c r="L350">
        <f>IF(A350="","",IF(ISNUMBER(--LEFT(A350,FIND(" - ",A350&amp;" - ")-1)),LEFT(A350,FIND(" - ",A350&amp;" - ")-1),TRIM(A350)))</f>
        <v/>
      </c>
      <c r="N350">
        <f>IF(L350="","",IF(ISNUMBER(INDEX(A350:H350,$P$1)),INDEX(A350:H350,$P$1),IFERROR(_xlfn.NUMBERVALUE(INDEX(A350:H350,$P$1),".",","),0)))</f>
        <v/>
      </c>
    </row>
    <row r="351">
      <c r="L351">
        <f>IF(A351="","",IF(ISNUMBER(--LEFT(A351,FIND(" - ",A351&amp;" - ")-1)),LEFT(A351,FIND(" - ",A351&amp;" - ")-1),TRIM(A351)))</f>
        <v/>
      </c>
      <c r="N351">
        <f>IF(L351="","",IF(ISNUMBER(INDEX(A351:H351,$P$1)),INDEX(A351:H351,$P$1),IFERROR(_xlfn.NUMBERVALUE(INDEX(A351:H351,$P$1),".",","),0)))</f>
        <v/>
      </c>
    </row>
    <row r="352">
      <c r="L352">
        <f>IF(A352="","",IF(ISNUMBER(--LEFT(A352,FIND(" - ",A352&amp;" - ")-1)),LEFT(A352,FIND(" - ",A352&amp;" - ")-1),TRIM(A352)))</f>
        <v/>
      </c>
      <c r="N352">
        <f>IF(L352="","",IF(ISNUMBER(INDEX(A352:H352,$P$1)),INDEX(A352:H352,$P$1),IFERROR(_xlfn.NUMBERVALUE(INDEX(A352:H352,$P$1),".",","),0)))</f>
        <v/>
      </c>
    </row>
    <row r="353">
      <c r="L353">
        <f>IF(A353="","",IF(ISNUMBER(--LEFT(A353,FIND(" - ",A353&amp;" - ")-1)),LEFT(A353,FIND(" - ",A353&amp;" - ")-1),TRIM(A353)))</f>
        <v/>
      </c>
      <c r="N353">
        <f>IF(L353="","",IF(ISNUMBER(INDEX(A353:H353,$P$1)),INDEX(A353:H353,$P$1),IFERROR(_xlfn.NUMBERVALUE(INDEX(A353:H353,$P$1),".",","),0)))</f>
        <v/>
      </c>
    </row>
    <row r="354">
      <c r="L354">
        <f>IF(A354="","",IF(ISNUMBER(--LEFT(A354,FIND(" - ",A354&amp;" - ")-1)),LEFT(A354,FIND(" - ",A354&amp;" - ")-1),TRIM(A354)))</f>
        <v/>
      </c>
      <c r="N354">
        <f>IF(L354="","",IF(ISNUMBER(INDEX(A354:H354,$P$1)),INDEX(A354:H354,$P$1),IFERROR(_xlfn.NUMBERVALUE(INDEX(A354:H354,$P$1),".",","),0)))</f>
        <v/>
      </c>
    </row>
    <row r="355">
      <c r="L355">
        <f>IF(A355="","",IF(ISNUMBER(--LEFT(A355,FIND(" - ",A355&amp;" - ")-1)),LEFT(A355,FIND(" - ",A355&amp;" - ")-1),TRIM(A355)))</f>
        <v/>
      </c>
      <c r="N355">
        <f>IF(L355="","",IF(ISNUMBER(INDEX(A355:H355,$P$1)),INDEX(A355:H355,$P$1),IFERROR(_xlfn.NUMBERVALUE(INDEX(A355:H355,$P$1),".",","),0)))</f>
        <v/>
      </c>
    </row>
    <row r="356">
      <c r="L356">
        <f>IF(A356="","",IF(ISNUMBER(--LEFT(A356,FIND(" - ",A356&amp;" - ")-1)),LEFT(A356,FIND(" - ",A356&amp;" - ")-1),TRIM(A356)))</f>
        <v/>
      </c>
      <c r="N356">
        <f>IF(L356="","",IF(ISNUMBER(INDEX(A356:H356,$P$1)),INDEX(A356:H356,$P$1),IFERROR(_xlfn.NUMBERVALUE(INDEX(A356:H356,$P$1),".",","),0)))</f>
        <v/>
      </c>
    </row>
    <row r="357">
      <c r="L357">
        <f>IF(A357="","",IF(ISNUMBER(--LEFT(A357,FIND(" - ",A357&amp;" - ")-1)),LEFT(A357,FIND(" - ",A357&amp;" - ")-1),TRIM(A357)))</f>
        <v/>
      </c>
      <c r="N357">
        <f>IF(L357="","",IF(ISNUMBER(INDEX(A357:H357,$P$1)),INDEX(A357:H357,$P$1),IFERROR(_xlfn.NUMBERVALUE(INDEX(A357:H357,$P$1),".",","),0)))</f>
        <v/>
      </c>
    </row>
    <row r="358">
      <c r="L358">
        <f>IF(A358="","",IF(ISNUMBER(--LEFT(A358,FIND(" - ",A358&amp;" - ")-1)),LEFT(A358,FIND(" - ",A358&amp;" - ")-1),TRIM(A358)))</f>
        <v/>
      </c>
      <c r="N358">
        <f>IF(L358="","",IF(ISNUMBER(INDEX(A358:H358,$P$1)),INDEX(A358:H358,$P$1),IFERROR(_xlfn.NUMBERVALUE(INDEX(A358:H358,$P$1),".",","),0)))</f>
        <v/>
      </c>
    </row>
    <row r="359">
      <c r="L359">
        <f>IF(A359="","",IF(ISNUMBER(--LEFT(A359,FIND(" - ",A359&amp;" - ")-1)),LEFT(A359,FIND(" - ",A359&amp;" - ")-1),TRIM(A359)))</f>
        <v/>
      </c>
      <c r="N359">
        <f>IF(L359="","",IF(ISNUMBER(INDEX(A359:H359,$P$1)),INDEX(A359:H359,$P$1),IFERROR(_xlfn.NUMBERVALUE(INDEX(A359:H359,$P$1),".",","),0)))</f>
        <v/>
      </c>
    </row>
    <row r="360">
      <c r="L360">
        <f>IF(A360="","",IF(ISNUMBER(--LEFT(A360,FIND(" - ",A360&amp;" - ")-1)),LEFT(A360,FIND(" - ",A360&amp;" - ")-1),TRIM(A360)))</f>
        <v/>
      </c>
      <c r="N360">
        <f>IF(L360="","",IF(ISNUMBER(INDEX(A360:H360,$P$1)),INDEX(A360:H360,$P$1),IFERROR(_xlfn.NUMBERVALUE(INDEX(A360:H360,$P$1),".",","),0)))</f>
        <v/>
      </c>
    </row>
    <row r="361">
      <c r="L361">
        <f>IF(A361="","",IF(ISNUMBER(--LEFT(A361,FIND(" - ",A361&amp;" - ")-1)),LEFT(A361,FIND(" - ",A361&amp;" - ")-1),TRIM(A361)))</f>
        <v/>
      </c>
      <c r="N361">
        <f>IF(L361="","",IF(ISNUMBER(INDEX(A361:H361,$P$1)),INDEX(A361:H361,$P$1),IFERROR(_xlfn.NUMBERVALUE(INDEX(A361:H361,$P$1),".",","),0)))</f>
        <v/>
      </c>
    </row>
    <row r="362">
      <c r="L362">
        <f>IF(A362="","",IF(ISNUMBER(--LEFT(A362,FIND(" - ",A362&amp;" - ")-1)),LEFT(A362,FIND(" - ",A362&amp;" - ")-1),TRIM(A362)))</f>
        <v/>
      </c>
      <c r="N362">
        <f>IF(L362="","",IF(ISNUMBER(INDEX(A362:H362,$P$1)),INDEX(A362:H362,$P$1),IFERROR(_xlfn.NUMBERVALUE(INDEX(A362:H362,$P$1),".",","),0)))</f>
        <v/>
      </c>
    </row>
    <row r="363">
      <c r="L363">
        <f>IF(A363="","",IF(ISNUMBER(--LEFT(A363,FIND(" - ",A363&amp;" - ")-1)),LEFT(A363,FIND(" - ",A363&amp;" - ")-1),TRIM(A363)))</f>
        <v/>
      </c>
      <c r="N363">
        <f>IF(L363="","",IF(ISNUMBER(INDEX(A363:H363,$P$1)),INDEX(A363:H363,$P$1),IFERROR(_xlfn.NUMBERVALUE(INDEX(A363:H363,$P$1),".",","),0)))</f>
        <v/>
      </c>
    </row>
    <row r="364">
      <c r="L364">
        <f>IF(A364="","",IF(ISNUMBER(--LEFT(A364,FIND(" - ",A364&amp;" - ")-1)),LEFT(A364,FIND(" - ",A364&amp;" - ")-1),TRIM(A364)))</f>
        <v/>
      </c>
      <c r="N364">
        <f>IF(L364="","",IF(ISNUMBER(INDEX(A364:H364,$P$1)),INDEX(A364:H364,$P$1),IFERROR(_xlfn.NUMBERVALUE(INDEX(A364:H364,$P$1),".",","),0)))</f>
        <v/>
      </c>
    </row>
    <row r="365">
      <c r="L365">
        <f>IF(A365="","",IF(ISNUMBER(--LEFT(A365,FIND(" - ",A365&amp;" - ")-1)),LEFT(A365,FIND(" - ",A365&amp;" - ")-1),TRIM(A365)))</f>
        <v/>
      </c>
      <c r="N365">
        <f>IF(L365="","",IF(ISNUMBER(INDEX(A365:H365,$P$1)),INDEX(A365:H365,$P$1),IFERROR(_xlfn.NUMBERVALUE(INDEX(A365:H365,$P$1),".",","),0)))</f>
        <v/>
      </c>
    </row>
    <row r="366">
      <c r="L366">
        <f>IF(A366="","",IF(ISNUMBER(--LEFT(A366,FIND(" - ",A366&amp;" - ")-1)),LEFT(A366,FIND(" - ",A366&amp;" - ")-1),TRIM(A366)))</f>
        <v/>
      </c>
      <c r="N366">
        <f>IF(L366="","",IF(ISNUMBER(INDEX(A366:H366,$P$1)),INDEX(A366:H366,$P$1),IFERROR(_xlfn.NUMBERVALUE(INDEX(A366:H366,$P$1),".",","),0)))</f>
        <v/>
      </c>
    </row>
    <row r="367">
      <c r="L367">
        <f>IF(A367="","",IF(ISNUMBER(--LEFT(A367,FIND(" - ",A367&amp;" - ")-1)),LEFT(A367,FIND(" - ",A367&amp;" - ")-1),TRIM(A367)))</f>
        <v/>
      </c>
      <c r="N367">
        <f>IF(L367="","",IF(ISNUMBER(INDEX(A367:H367,$P$1)),INDEX(A367:H367,$P$1),IFERROR(_xlfn.NUMBERVALUE(INDEX(A367:H367,$P$1),".",","),0)))</f>
        <v/>
      </c>
    </row>
    <row r="368">
      <c r="L368">
        <f>IF(A368="","",IF(ISNUMBER(--LEFT(A368,FIND(" - ",A368&amp;" - ")-1)),LEFT(A368,FIND(" - ",A368&amp;" - ")-1),TRIM(A368)))</f>
        <v/>
      </c>
      <c r="N368">
        <f>IF(L368="","",IF(ISNUMBER(INDEX(A368:H368,$P$1)),INDEX(A368:H368,$P$1),IFERROR(_xlfn.NUMBERVALUE(INDEX(A368:H368,$P$1),".",","),0)))</f>
        <v/>
      </c>
    </row>
    <row r="369">
      <c r="L369">
        <f>IF(A369="","",IF(ISNUMBER(--LEFT(A369,FIND(" - ",A369&amp;" - ")-1)),LEFT(A369,FIND(" - ",A369&amp;" - ")-1),TRIM(A369)))</f>
        <v/>
      </c>
      <c r="N369">
        <f>IF(L369="","",IF(ISNUMBER(INDEX(A369:H369,$P$1)),INDEX(A369:H369,$P$1),IFERROR(_xlfn.NUMBERVALUE(INDEX(A369:H369,$P$1),".",","),0)))</f>
        <v/>
      </c>
    </row>
    <row r="370">
      <c r="L370">
        <f>IF(A370="","",IF(ISNUMBER(--LEFT(A370,FIND(" - ",A370&amp;" - ")-1)),LEFT(A370,FIND(" - ",A370&amp;" - ")-1),TRIM(A370)))</f>
        <v/>
      </c>
      <c r="N370">
        <f>IF(L370="","",IF(ISNUMBER(INDEX(A370:H370,$P$1)),INDEX(A370:H370,$P$1),IFERROR(_xlfn.NUMBERVALUE(INDEX(A370:H370,$P$1),".",","),0)))</f>
        <v/>
      </c>
    </row>
    <row r="371">
      <c r="L371">
        <f>IF(A371="","",IF(ISNUMBER(--LEFT(A371,FIND(" - ",A371&amp;" - ")-1)),LEFT(A371,FIND(" - ",A371&amp;" - ")-1),TRIM(A371)))</f>
        <v/>
      </c>
      <c r="N371">
        <f>IF(L371="","",IF(ISNUMBER(INDEX(A371:H371,$P$1)),INDEX(A371:H371,$P$1),IFERROR(_xlfn.NUMBERVALUE(INDEX(A371:H371,$P$1),".",","),0)))</f>
        <v/>
      </c>
    </row>
    <row r="372">
      <c r="L372">
        <f>IF(A372="","",IF(ISNUMBER(--LEFT(A372,FIND(" - ",A372&amp;" - ")-1)),LEFT(A372,FIND(" - ",A372&amp;" - ")-1),TRIM(A372)))</f>
        <v/>
      </c>
      <c r="N372">
        <f>IF(L372="","",IF(ISNUMBER(INDEX(A372:H372,$P$1)),INDEX(A372:H372,$P$1),IFERROR(_xlfn.NUMBERVALUE(INDEX(A372:H372,$P$1),".",","),0)))</f>
        <v/>
      </c>
    </row>
    <row r="373">
      <c r="L373">
        <f>IF(A373="","",IF(ISNUMBER(--LEFT(A373,FIND(" - ",A373&amp;" - ")-1)),LEFT(A373,FIND(" - ",A373&amp;" - ")-1),TRIM(A373)))</f>
        <v/>
      </c>
      <c r="N373">
        <f>IF(L373="","",IF(ISNUMBER(INDEX(A373:H373,$P$1)),INDEX(A373:H373,$P$1),IFERROR(_xlfn.NUMBERVALUE(INDEX(A373:H373,$P$1),".",","),0)))</f>
        <v/>
      </c>
    </row>
    <row r="374">
      <c r="L374">
        <f>IF(A374="","",IF(ISNUMBER(--LEFT(A374,FIND(" - ",A374&amp;" - ")-1)),LEFT(A374,FIND(" - ",A374&amp;" - ")-1),TRIM(A374)))</f>
        <v/>
      </c>
      <c r="N374">
        <f>IF(L374="","",IF(ISNUMBER(INDEX(A374:H374,$P$1)),INDEX(A374:H374,$P$1),IFERROR(_xlfn.NUMBERVALUE(INDEX(A374:H374,$P$1),".",","),0)))</f>
        <v/>
      </c>
    </row>
    <row r="375">
      <c r="L375">
        <f>IF(A375="","",IF(ISNUMBER(--LEFT(A375,FIND(" - ",A375&amp;" - ")-1)),LEFT(A375,FIND(" - ",A375&amp;" - ")-1),TRIM(A375)))</f>
        <v/>
      </c>
      <c r="N375">
        <f>IF(L375="","",IF(ISNUMBER(INDEX(A375:H375,$P$1)),INDEX(A375:H375,$P$1),IFERROR(_xlfn.NUMBERVALUE(INDEX(A375:H375,$P$1),".",","),0)))</f>
        <v/>
      </c>
    </row>
    <row r="376">
      <c r="L376">
        <f>IF(A376="","",IF(ISNUMBER(--LEFT(A376,FIND(" - ",A376&amp;" - ")-1)),LEFT(A376,FIND(" - ",A376&amp;" - ")-1),TRIM(A376)))</f>
        <v/>
      </c>
      <c r="N376">
        <f>IF(L376="","",IF(ISNUMBER(INDEX(A376:H376,$P$1)),INDEX(A376:H376,$P$1),IFERROR(_xlfn.NUMBERVALUE(INDEX(A376:H376,$P$1),".",","),0)))</f>
        <v/>
      </c>
    </row>
    <row r="377">
      <c r="L377">
        <f>IF(A377="","",IF(ISNUMBER(--LEFT(A377,FIND(" - ",A377&amp;" - ")-1)),LEFT(A377,FIND(" - ",A377&amp;" - ")-1),TRIM(A377)))</f>
        <v/>
      </c>
      <c r="N377">
        <f>IF(L377="","",IF(ISNUMBER(INDEX(A377:H377,$P$1)),INDEX(A377:H377,$P$1),IFERROR(_xlfn.NUMBERVALUE(INDEX(A377:H377,$P$1),".",","),0)))</f>
        <v/>
      </c>
    </row>
    <row r="378">
      <c r="L378">
        <f>IF(A378="","",IF(ISNUMBER(--LEFT(A378,FIND(" - ",A378&amp;" - ")-1)),LEFT(A378,FIND(" - ",A378&amp;" - ")-1),TRIM(A378)))</f>
        <v/>
      </c>
      <c r="N378">
        <f>IF(L378="","",IF(ISNUMBER(INDEX(A378:H378,$P$1)),INDEX(A378:H378,$P$1),IFERROR(_xlfn.NUMBERVALUE(INDEX(A378:H378,$P$1),".",","),0)))</f>
        <v/>
      </c>
    </row>
    <row r="379">
      <c r="L379">
        <f>IF(A379="","",IF(ISNUMBER(--LEFT(A379,FIND(" - ",A379&amp;" - ")-1)),LEFT(A379,FIND(" - ",A379&amp;" - ")-1),TRIM(A379)))</f>
        <v/>
      </c>
      <c r="N379">
        <f>IF(L379="","",IF(ISNUMBER(INDEX(A379:H379,$P$1)),INDEX(A379:H379,$P$1),IFERROR(_xlfn.NUMBERVALUE(INDEX(A379:H379,$P$1),".",","),0)))</f>
        <v/>
      </c>
    </row>
    <row r="380">
      <c r="L380">
        <f>IF(A380="","",IF(ISNUMBER(--LEFT(A380,FIND(" - ",A380&amp;" - ")-1)),LEFT(A380,FIND(" - ",A380&amp;" - ")-1),TRIM(A380)))</f>
        <v/>
      </c>
      <c r="N380">
        <f>IF(L380="","",IF(ISNUMBER(INDEX(A380:H380,$P$1)),INDEX(A380:H380,$P$1),IFERROR(_xlfn.NUMBERVALUE(INDEX(A380:H380,$P$1),".",","),0)))</f>
        <v/>
      </c>
    </row>
    <row r="381">
      <c r="L381">
        <f>IF(A381="","",IF(ISNUMBER(--LEFT(A381,FIND(" - ",A381&amp;" - ")-1)),LEFT(A381,FIND(" - ",A381&amp;" - ")-1),TRIM(A381)))</f>
        <v/>
      </c>
      <c r="N381">
        <f>IF(L381="","",IF(ISNUMBER(INDEX(A381:H381,$P$1)),INDEX(A381:H381,$P$1),IFERROR(_xlfn.NUMBERVALUE(INDEX(A381:H381,$P$1),".",","),0)))</f>
        <v/>
      </c>
    </row>
    <row r="382">
      <c r="L382">
        <f>IF(A382="","",IF(ISNUMBER(--LEFT(A382,FIND(" - ",A382&amp;" - ")-1)),LEFT(A382,FIND(" - ",A382&amp;" - ")-1),TRIM(A382)))</f>
        <v/>
      </c>
      <c r="N382">
        <f>IF(L382="","",IF(ISNUMBER(INDEX(A382:H382,$P$1)),INDEX(A382:H382,$P$1),IFERROR(_xlfn.NUMBERVALUE(INDEX(A382:H382,$P$1),".",","),0)))</f>
        <v/>
      </c>
    </row>
    <row r="383">
      <c r="L383">
        <f>IF(A383="","",IF(ISNUMBER(--LEFT(A383,FIND(" - ",A383&amp;" - ")-1)),LEFT(A383,FIND(" - ",A383&amp;" - ")-1),TRIM(A383)))</f>
        <v/>
      </c>
      <c r="N383">
        <f>IF(L383="","",IF(ISNUMBER(INDEX(A383:H383,$P$1)),INDEX(A383:H383,$P$1),IFERROR(_xlfn.NUMBERVALUE(INDEX(A383:H383,$P$1),".",","),0)))</f>
        <v/>
      </c>
    </row>
    <row r="384">
      <c r="L384">
        <f>IF(A384="","",IF(ISNUMBER(--LEFT(A384,FIND(" - ",A384&amp;" - ")-1)),LEFT(A384,FIND(" - ",A384&amp;" - ")-1),TRIM(A384)))</f>
        <v/>
      </c>
      <c r="N384">
        <f>IF(L384="","",IF(ISNUMBER(INDEX(A384:H384,$P$1)),INDEX(A384:H384,$P$1),IFERROR(_xlfn.NUMBERVALUE(INDEX(A384:H384,$P$1),".",","),0)))</f>
        <v/>
      </c>
    </row>
    <row r="385">
      <c r="L385">
        <f>IF(A385="","",IF(ISNUMBER(--LEFT(A385,FIND(" - ",A385&amp;" - ")-1)),LEFT(A385,FIND(" - ",A385&amp;" - ")-1),TRIM(A385)))</f>
        <v/>
      </c>
      <c r="N385">
        <f>IF(L385="","",IF(ISNUMBER(INDEX(A385:H385,$P$1)),INDEX(A385:H385,$P$1),IFERROR(_xlfn.NUMBERVALUE(INDEX(A385:H385,$P$1),".",","),0)))</f>
        <v/>
      </c>
    </row>
    <row r="386">
      <c r="L386">
        <f>IF(A386="","",IF(ISNUMBER(--LEFT(A386,FIND(" - ",A386&amp;" - ")-1)),LEFT(A386,FIND(" - ",A386&amp;" - ")-1),TRIM(A386)))</f>
        <v/>
      </c>
      <c r="N386">
        <f>IF(L386="","",IF(ISNUMBER(INDEX(A386:H386,$P$1)),INDEX(A386:H386,$P$1),IFERROR(_xlfn.NUMBERVALUE(INDEX(A386:H386,$P$1),".",","),0)))</f>
        <v/>
      </c>
    </row>
    <row r="387">
      <c r="L387">
        <f>IF(A387="","",IF(ISNUMBER(--LEFT(A387,FIND(" - ",A387&amp;" - ")-1)),LEFT(A387,FIND(" - ",A387&amp;" - ")-1),TRIM(A387)))</f>
        <v/>
      </c>
      <c r="N387">
        <f>IF(L387="","",IF(ISNUMBER(INDEX(A387:H387,$P$1)),INDEX(A387:H387,$P$1),IFERROR(_xlfn.NUMBERVALUE(INDEX(A387:H387,$P$1),".",","),0)))</f>
        <v/>
      </c>
    </row>
    <row r="388">
      <c r="L388">
        <f>IF(A388="","",IF(ISNUMBER(--LEFT(A388,FIND(" - ",A388&amp;" - ")-1)),LEFT(A388,FIND(" - ",A388&amp;" - ")-1),TRIM(A388)))</f>
        <v/>
      </c>
      <c r="N388">
        <f>IF(L388="","",IF(ISNUMBER(INDEX(A388:H388,$P$1)),INDEX(A388:H388,$P$1),IFERROR(_xlfn.NUMBERVALUE(INDEX(A388:H388,$P$1),".",","),0)))</f>
        <v/>
      </c>
    </row>
    <row r="389">
      <c r="L389">
        <f>IF(A389="","",IF(ISNUMBER(--LEFT(A389,FIND(" - ",A389&amp;" - ")-1)),LEFT(A389,FIND(" - ",A389&amp;" - ")-1),TRIM(A389)))</f>
        <v/>
      </c>
      <c r="N389">
        <f>IF(L389="","",IF(ISNUMBER(INDEX(A389:H389,$P$1)),INDEX(A389:H389,$P$1),IFERROR(_xlfn.NUMBERVALUE(INDEX(A389:H389,$P$1),".",","),0)))</f>
        <v/>
      </c>
    </row>
    <row r="390">
      <c r="L390">
        <f>IF(A390="","",IF(ISNUMBER(--LEFT(A390,FIND(" - ",A390&amp;" - ")-1)),LEFT(A390,FIND(" - ",A390&amp;" - ")-1),TRIM(A390)))</f>
        <v/>
      </c>
      <c r="N390">
        <f>IF(L390="","",IF(ISNUMBER(INDEX(A390:H390,$P$1)),INDEX(A390:H390,$P$1),IFERROR(_xlfn.NUMBERVALUE(INDEX(A390:H390,$P$1),".",","),0)))</f>
        <v/>
      </c>
    </row>
    <row r="391">
      <c r="L391">
        <f>IF(A391="","",IF(ISNUMBER(--LEFT(A391,FIND(" - ",A391&amp;" - ")-1)),LEFT(A391,FIND(" - ",A391&amp;" - ")-1),TRIM(A391)))</f>
        <v/>
      </c>
      <c r="N391">
        <f>IF(L391="","",IF(ISNUMBER(INDEX(A391:H391,$P$1)),INDEX(A391:H391,$P$1),IFERROR(_xlfn.NUMBERVALUE(INDEX(A391:H391,$P$1),".",","),0)))</f>
        <v/>
      </c>
    </row>
    <row r="392">
      <c r="L392">
        <f>IF(A392="","",IF(ISNUMBER(--LEFT(A392,FIND(" - ",A392&amp;" - ")-1)),LEFT(A392,FIND(" - ",A392&amp;" - ")-1),TRIM(A392)))</f>
        <v/>
      </c>
      <c r="N392">
        <f>IF(L392="","",IF(ISNUMBER(INDEX(A392:H392,$P$1)),INDEX(A392:H392,$P$1),IFERROR(_xlfn.NUMBERVALUE(INDEX(A392:H392,$P$1),".",","),0)))</f>
        <v/>
      </c>
    </row>
    <row r="393">
      <c r="L393">
        <f>IF(A393="","",IF(ISNUMBER(--LEFT(A393,FIND(" - ",A393&amp;" - ")-1)),LEFT(A393,FIND(" - ",A393&amp;" - ")-1),TRIM(A393)))</f>
        <v/>
      </c>
      <c r="N393">
        <f>IF(L393="","",IF(ISNUMBER(INDEX(A393:H393,$P$1)),INDEX(A393:H393,$P$1),IFERROR(_xlfn.NUMBERVALUE(INDEX(A393:H393,$P$1),".",","),0)))</f>
        <v/>
      </c>
    </row>
    <row r="394">
      <c r="L394">
        <f>IF(A394="","",IF(ISNUMBER(--LEFT(A394,FIND(" - ",A394&amp;" - ")-1)),LEFT(A394,FIND(" - ",A394&amp;" - ")-1),TRIM(A394)))</f>
        <v/>
      </c>
      <c r="N394">
        <f>IF(L394="","",IF(ISNUMBER(INDEX(A394:H394,$P$1)),INDEX(A394:H394,$P$1),IFERROR(_xlfn.NUMBERVALUE(INDEX(A394:H394,$P$1),".",","),0)))</f>
        <v/>
      </c>
    </row>
    <row r="395">
      <c r="L395">
        <f>IF(A395="","",IF(ISNUMBER(--LEFT(A395,FIND(" - ",A395&amp;" - ")-1)),LEFT(A395,FIND(" - ",A395&amp;" - ")-1),TRIM(A395)))</f>
        <v/>
      </c>
      <c r="N395">
        <f>IF(L395="","",IF(ISNUMBER(INDEX(A395:H395,$P$1)),INDEX(A395:H395,$P$1),IFERROR(_xlfn.NUMBERVALUE(INDEX(A395:H395,$P$1),".",","),0)))</f>
        <v/>
      </c>
    </row>
    <row r="396">
      <c r="L396">
        <f>IF(A396="","",IF(ISNUMBER(--LEFT(A396,FIND(" - ",A396&amp;" - ")-1)),LEFT(A396,FIND(" - ",A396&amp;" - ")-1),TRIM(A396)))</f>
        <v/>
      </c>
      <c r="N396">
        <f>IF(L396="","",IF(ISNUMBER(INDEX(A396:H396,$P$1)),INDEX(A396:H396,$P$1),IFERROR(_xlfn.NUMBERVALUE(INDEX(A396:H396,$P$1),".",","),0)))</f>
        <v/>
      </c>
    </row>
    <row r="397">
      <c r="L397">
        <f>IF(A397="","",IF(ISNUMBER(--LEFT(A397,FIND(" - ",A397&amp;" - ")-1)),LEFT(A397,FIND(" - ",A397&amp;" - ")-1),TRIM(A397)))</f>
        <v/>
      </c>
      <c r="N397">
        <f>IF(L397="","",IF(ISNUMBER(INDEX(A397:H397,$P$1)),INDEX(A397:H397,$P$1),IFERROR(_xlfn.NUMBERVALUE(INDEX(A397:H397,$P$1),".",","),0)))</f>
        <v/>
      </c>
    </row>
    <row r="398">
      <c r="L398">
        <f>IF(A398="","",IF(ISNUMBER(--LEFT(A398,FIND(" - ",A398&amp;" - ")-1)),LEFT(A398,FIND(" - ",A398&amp;" - ")-1),TRIM(A398)))</f>
        <v/>
      </c>
      <c r="N398">
        <f>IF(L398="","",IF(ISNUMBER(INDEX(A398:H398,$P$1)),INDEX(A398:H398,$P$1),IFERROR(_xlfn.NUMBERVALUE(INDEX(A398:H398,$P$1),".",","),0)))</f>
        <v/>
      </c>
    </row>
    <row r="399">
      <c r="L399">
        <f>IF(A399="","",IF(ISNUMBER(--LEFT(A399,FIND(" - ",A399&amp;" - ")-1)),LEFT(A399,FIND(" - ",A399&amp;" - ")-1),TRIM(A399)))</f>
        <v/>
      </c>
      <c r="N399">
        <f>IF(L399="","",IF(ISNUMBER(INDEX(A399:H399,$P$1)),INDEX(A399:H399,$P$1),IFERROR(_xlfn.NUMBERVALUE(INDEX(A399:H399,$P$1),".",","),0)))</f>
        <v/>
      </c>
    </row>
    <row r="400">
      <c r="L400">
        <f>IF(A400="","",IF(ISNUMBER(--LEFT(A400,FIND(" - ",A400&amp;" - ")-1)),LEFT(A400,FIND(" - ",A400&amp;" - ")-1),TRIM(A400)))</f>
        <v/>
      </c>
      <c r="N400">
        <f>IF(L400="","",IF(ISNUMBER(INDEX(A400:H400,$P$1)),INDEX(A400:H400,$P$1),IFERROR(_xlfn.NUMBERVALUE(INDEX(A400:H400,$P$1),".",","),0)))</f>
        <v/>
      </c>
    </row>
    <row r="401">
      <c r="L401">
        <f>IF(A401="","",IF(ISNUMBER(--LEFT(A401,FIND(" - ",A401&amp;" - ")-1)),LEFT(A401,FIND(" - ",A401&amp;" - ")-1),TRIM(A401)))</f>
        <v/>
      </c>
      <c r="N401">
        <f>IF(L401="","",IF(ISNUMBER(INDEX(A401:H401,$P$1)),INDEX(A401:H401,$P$1),IFERROR(_xlfn.NUMBERVALUE(INDEX(A401:H401,$P$1),".",","),0)))</f>
        <v/>
      </c>
    </row>
    <row r="402">
      <c r="L402">
        <f>IF(A402="","",IF(ISNUMBER(--LEFT(A402,FIND(" - ",A402&amp;" - ")-1)),LEFT(A402,FIND(" - ",A402&amp;" - ")-1),TRIM(A402)))</f>
        <v/>
      </c>
      <c r="N402">
        <f>IF(L402="","",IF(ISNUMBER(INDEX(A402:H402,$P$1)),INDEX(A402:H402,$P$1),IFERROR(_xlfn.NUMBERVALUE(INDEX(A402:H402,$P$1),".",","),0)))</f>
        <v/>
      </c>
    </row>
    <row r="403">
      <c r="L403">
        <f>IF(A403="","",IF(ISNUMBER(--LEFT(A403,FIND(" - ",A403&amp;" - ")-1)),LEFT(A403,FIND(" - ",A403&amp;" - ")-1),TRIM(A403)))</f>
        <v/>
      </c>
      <c r="N403">
        <f>IF(L403="","",IF(ISNUMBER(INDEX(A403:H403,$P$1)),INDEX(A403:H403,$P$1),IFERROR(_xlfn.NUMBERVALUE(INDEX(A403:H403,$P$1),".",","),0)))</f>
        <v/>
      </c>
    </row>
    <row r="404">
      <c r="L404">
        <f>IF(A404="","",IF(ISNUMBER(--LEFT(A404,FIND(" - ",A404&amp;" - ")-1)),LEFT(A404,FIND(" - ",A404&amp;" - ")-1),TRIM(A404)))</f>
        <v/>
      </c>
      <c r="N404">
        <f>IF(L404="","",IF(ISNUMBER(INDEX(A404:H404,$P$1)),INDEX(A404:H404,$P$1),IFERROR(_xlfn.NUMBERVALUE(INDEX(A404:H404,$P$1),".",","),0)))</f>
        <v/>
      </c>
    </row>
    <row r="405">
      <c r="L405">
        <f>IF(A405="","",IF(ISNUMBER(--LEFT(A405,FIND(" - ",A405&amp;" - ")-1)),LEFT(A405,FIND(" - ",A405&amp;" - ")-1),TRIM(A405)))</f>
        <v/>
      </c>
      <c r="N405">
        <f>IF(L405="","",IF(ISNUMBER(INDEX(A405:H405,$P$1)),INDEX(A405:H405,$P$1),IFERROR(_xlfn.NUMBERVALUE(INDEX(A405:H405,$P$1),".",","),0)))</f>
        <v/>
      </c>
    </row>
    <row r="406">
      <c r="L406">
        <f>IF(A406="","",IF(ISNUMBER(--LEFT(A406,FIND(" - ",A406&amp;" - ")-1)),LEFT(A406,FIND(" - ",A406&amp;" - ")-1),TRIM(A406)))</f>
        <v/>
      </c>
      <c r="N406">
        <f>IF(L406="","",IF(ISNUMBER(INDEX(A406:H406,$P$1)),INDEX(A406:H406,$P$1),IFERROR(_xlfn.NUMBERVALUE(INDEX(A406:H406,$P$1),".",","),0)))</f>
        <v/>
      </c>
    </row>
    <row r="407">
      <c r="L407">
        <f>IF(A407="","",IF(ISNUMBER(--LEFT(A407,FIND(" - ",A407&amp;" - ")-1)),LEFT(A407,FIND(" - ",A407&amp;" - ")-1),TRIM(A407)))</f>
        <v/>
      </c>
      <c r="N407">
        <f>IF(L407="","",IF(ISNUMBER(INDEX(A407:H407,$P$1)),INDEX(A407:H407,$P$1),IFERROR(_xlfn.NUMBERVALUE(INDEX(A407:H407,$P$1),".",","),0)))</f>
        <v/>
      </c>
    </row>
    <row r="408">
      <c r="L408">
        <f>IF(A408="","",IF(ISNUMBER(--LEFT(A408,FIND(" - ",A408&amp;" - ")-1)),LEFT(A408,FIND(" - ",A408&amp;" - ")-1),TRIM(A408)))</f>
        <v/>
      </c>
      <c r="N408">
        <f>IF(L408="","",IF(ISNUMBER(INDEX(A408:H408,$P$1)),INDEX(A408:H408,$P$1),IFERROR(_xlfn.NUMBERVALUE(INDEX(A408:H408,$P$1),".",","),0)))</f>
        <v/>
      </c>
    </row>
    <row r="409">
      <c r="L409">
        <f>IF(A409="","",IF(ISNUMBER(--LEFT(A409,FIND(" - ",A409&amp;" - ")-1)),LEFT(A409,FIND(" - ",A409&amp;" - ")-1),TRIM(A409)))</f>
        <v/>
      </c>
      <c r="N409">
        <f>IF(L409="","",IF(ISNUMBER(INDEX(A409:H409,$P$1)),INDEX(A409:H409,$P$1),IFERROR(_xlfn.NUMBERVALUE(INDEX(A409:H409,$P$1),".",","),0)))</f>
        <v/>
      </c>
    </row>
    <row r="410">
      <c r="L410">
        <f>IF(A410="","",IF(ISNUMBER(--LEFT(A410,FIND(" - ",A410&amp;" - ")-1)),LEFT(A410,FIND(" - ",A410&amp;" - ")-1),TRIM(A410)))</f>
        <v/>
      </c>
      <c r="N410">
        <f>IF(L410="","",IF(ISNUMBER(INDEX(A410:H410,$P$1)),INDEX(A410:H410,$P$1),IFERROR(_xlfn.NUMBERVALUE(INDEX(A410:H410,$P$1),".",","),0)))</f>
        <v/>
      </c>
    </row>
    <row r="411">
      <c r="L411">
        <f>IF(A411="","",IF(ISNUMBER(--LEFT(A411,FIND(" - ",A411&amp;" - ")-1)),LEFT(A411,FIND(" - ",A411&amp;" - ")-1),TRIM(A411)))</f>
        <v/>
      </c>
      <c r="N411">
        <f>IF(L411="","",IF(ISNUMBER(INDEX(A411:H411,$P$1)),INDEX(A411:H411,$P$1),IFERROR(_xlfn.NUMBERVALUE(INDEX(A411:H411,$P$1),".",","),0)))</f>
        <v/>
      </c>
    </row>
    <row r="412">
      <c r="L412">
        <f>IF(A412="","",IF(ISNUMBER(--LEFT(A412,FIND(" - ",A412&amp;" - ")-1)),LEFT(A412,FIND(" - ",A412&amp;" - ")-1),TRIM(A412)))</f>
        <v/>
      </c>
      <c r="N412">
        <f>IF(L412="","",IF(ISNUMBER(INDEX(A412:H412,$P$1)),INDEX(A412:H412,$P$1),IFERROR(_xlfn.NUMBERVALUE(INDEX(A412:H412,$P$1),".",","),0)))</f>
        <v/>
      </c>
    </row>
    <row r="413">
      <c r="L413">
        <f>IF(A413="","",IF(ISNUMBER(--LEFT(A413,FIND(" - ",A413&amp;" - ")-1)),LEFT(A413,FIND(" - ",A413&amp;" - ")-1),TRIM(A413)))</f>
        <v/>
      </c>
      <c r="N413">
        <f>IF(L413="","",IF(ISNUMBER(INDEX(A413:H413,$P$1)),INDEX(A413:H413,$P$1),IFERROR(_xlfn.NUMBERVALUE(INDEX(A413:H413,$P$1),".",","),0)))</f>
        <v/>
      </c>
    </row>
    <row r="414">
      <c r="L414">
        <f>IF(A414="","",IF(ISNUMBER(--LEFT(A414,FIND(" - ",A414&amp;" - ")-1)),LEFT(A414,FIND(" - ",A414&amp;" - ")-1),TRIM(A414)))</f>
        <v/>
      </c>
      <c r="N414">
        <f>IF(L414="","",IF(ISNUMBER(INDEX(A414:H414,$P$1)),INDEX(A414:H414,$P$1),IFERROR(_xlfn.NUMBERVALUE(INDEX(A414:H414,$P$1),".",","),0)))</f>
        <v/>
      </c>
    </row>
    <row r="415">
      <c r="L415">
        <f>IF(A415="","",IF(ISNUMBER(--LEFT(A415,FIND(" - ",A415&amp;" - ")-1)),LEFT(A415,FIND(" - ",A415&amp;" - ")-1),TRIM(A415)))</f>
        <v/>
      </c>
      <c r="N415">
        <f>IF(L415="","",IF(ISNUMBER(INDEX(A415:H415,$P$1)),INDEX(A415:H415,$P$1),IFERROR(_xlfn.NUMBERVALUE(INDEX(A415:H415,$P$1),".",","),0)))</f>
        <v/>
      </c>
    </row>
    <row r="416">
      <c r="L416">
        <f>IF(A416="","",IF(ISNUMBER(--LEFT(A416,FIND(" - ",A416&amp;" - ")-1)),LEFT(A416,FIND(" - ",A416&amp;" - ")-1),TRIM(A416)))</f>
        <v/>
      </c>
      <c r="N416">
        <f>IF(L416="","",IF(ISNUMBER(INDEX(A416:H416,$P$1)),INDEX(A416:H416,$P$1),IFERROR(_xlfn.NUMBERVALUE(INDEX(A416:H416,$P$1),".",","),0)))</f>
        <v/>
      </c>
    </row>
    <row r="417">
      <c r="L417">
        <f>IF(A417="","",IF(ISNUMBER(--LEFT(A417,FIND(" - ",A417&amp;" - ")-1)),LEFT(A417,FIND(" - ",A417&amp;" - ")-1),TRIM(A417)))</f>
        <v/>
      </c>
      <c r="N417">
        <f>IF(L417="","",IF(ISNUMBER(INDEX(A417:H417,$P$1)),INDEX(A417:H417,$P$1),IFERROR(_xlfn.NUMBERVALUE(INDEX(A417:H417,$P$1),".",","),0)))</f>
        <v/>
      </c>
    </row>
    <row r="418">
      <c r="L418">
        <f>IF(A418="","",IF(ISNUMBER(--LEFT(A418,FIND(" - ",A418&amp;" - ")-1)),LEFT(A418,FIND(" - ",A418&amp;" - ")-1),TRIM(A418)))</f>
        <v/>
      </c>
      <c r="N418">
        <f>IF(L418="","",IF(ISNUMBER(INDEX(A418:H418,$P$1)),INDEX(A418:H418,$P$1),IFERROR(_xlfn.NUMBERVALUE(INDEX(A418:H418,$P$1),".",","),0)))</f>
        <v/>
      </c>
    </row>
    <row r="419">
      <c r="L419">
        <f>IF(A419="","",IF(ISNUMBER(--LEFT(A419,FIND(" - ",A419&amp;" - ")-1)),LEFT(A419,FIND(" - ",A419&amp;" - ")-1),TRIM(A419)))</f>
        <v/>
      </c>
      <c r="N419">
        <f>IF(L419="","",IF(ISNUMBER(INDEX(A419:H419,$P$1)),INDEX(A419:H419,$P$1),IFERROR(_xlfn.NUMBERVALUE(INDEX(A419:H419,$P$1),".",","),0)))</f>
        <v/>
      </c>
    </row>
    <row r="420">
      <c r="L420">
        <f>IF(A420="","",IF(ISNUMBER(--LEFT(A420,FIND(" - ",A420&amp;" - ")-1)),LEFT(A420,FIND(" - ",A420&amp;" - ")-1),TRIM(A420)))</f>
        <v/>
      </c>
      <c r="N420">
        <f>IF(L420="","",IF(ISNUMBER(INDEX(A420:H420,$P$1)),INDEX(A420:H420,$P$1),IFERROR(_xlfn.NUMBERVALUE(INDEX(A420:H420,$P$1),".",","),0)))</f>
        <v/>
      </c>
    </row>
    <row r="421">
      <c r="L421">
        <f>IF(A421="","",IF(ISNUMBER(--LEFT(A421,FIND(" - ",A421&amp;" - ")-1)),LEFT(A421,FIND(" - ",A421&amp;" - ")-1),TRIM(A421)))</f>
        <v/>
      </c>
      <c r="N421">
        <f>IF(L421="","",IF(ISNUMBER(INDEX(A421:H421,$P$1)),INDEX(A421:H421,$P$1),IFERROR(_xlfn.NUMBERVALUE(INDEX(A421:H421,$P$1),".",","),0)))</f>
        <v/>
      </c>
    </row>
    <row r="422">
      <c r="L422">
        <f>IF(A422="","",IF(ISNUMBER(--LEFT(A422,FIND(" - ",A422&amp;" - ")-1)),LEFT(A422,FIND(" - ",A422&amp;" - ")-1),TRIM(A422)))</f>
        <v/>
      </c>
      <c r="N422">
        <f>IF(L422="","",IF(ISNUMBER(INDEX(A422:H422,$P$1)),INDEX(A422:H422,$P$1),IFERROR(_xlfn.NUMBERVALUE(INDEX(A422:H422,$P$1),".",","),0)))</f>
        <v/>
      </c>
    </row>
    <row r="423">
      <c r="L423">
        <f>IF(A423="","",IF(ISNUMBER(--LEFT(A423,FIND(" - ",A423&amp;" - ")-1)),LEFT(A423,FIND(" - ",A423&amp;" - ")-1),TRIM(A423)))</f>
        <v/>
      </c>
      <c r="N423">
        <f>IF(L423="","",IF(ISNUMBER(INDEX(A423:H423,$P$1)),INDEX(A423:H423,$P$1),IFERROR(_xlfn.NUMBERVALUE(INDEX(A423:H423,$P$1),".",","),0)))</f>
        <v/>
      </c>
    </row>
    <row r="424">
      <c r="L424">
        <f>IF(A424="","",IF(ISNUMBER(--LEFT(A424,FIND(" - ",A424&amp;" - ")-1)),LEFT(A424,FIND(" - ",A424&amp;" - ")-1),TRIM(A424)))</f>
        <v/>
      </c>
      <c r="N424">
        <f>IF(L424="","",IF(ISNUMBER(INDEX(A424:H424,$P$1)),INDEX(A424:H424,$P$1),IFERROR(_xlfn.NUMBERVALUE(INDEX(A424:H424,$P$1),".",","),0)))</f>
        <v/>
      </c>
    </row>
    <row r="425">
      <c r="L425">
        <f>IF(A425="","",IF(ISNUMBER(--LEFT(A425,FIND(" - ",A425&amp;" - ")-1)),LEFT(A425,FIND(" - ",A425&amp;" - ")-1),TRIM(A425)))</f>
        <v/>
      </c>
      <c r="N425">
        <f>IF(L425="","",IF(ISNUMBER(INDEX(A425:H425,$P$1)),INDEX(A425:H425,$P$1),IFERROR(_xlfn.NUMBERVALUE(INDEX(A425:H425,$P$1),".",","),0)))</f>
        <v/>
      </c>
    </row>
    <row r="426">
      <c r="L426">
        <f>IF(A426="","",IF(ISNUMBER(--LEFT(A426,FIND(" - ",A426&amp;" - ")-1)),LEFT(A426,FIND(" - ",A426&amp;" - ")-1),TRIM(A426)))</f>
        <v/>
      </c>
      <c r="N426">
        <f>IF(L426="","",IF(ISNUMBER(INDEX(A426:H426,$P$1)),INDEX(A426:H426,$P$1),IFERROR(_xlfn.NUMBERVALUE(INDEX(A426:H426,$P$1),".",","),0)))</f>
        <v/>
      </c>
    </row>
    <row r="427">
      <c r="L427">
        <f>IF(A427="","",IF(ISNUMBER(--LEFT(A427,FIND(" - ",A427&amp;" - ")-1)),LEFT(A427,FIND(" - ",A427&amp;" - ")-1),TRIM(A427)))</f>
        <v/>
      </c>
      <c r="N427">
        <f>IF(L427="","",IF(ISNUMBER(INDEX(A427:H427,$P$1)),INDEX(A427:H427,$P$1),IFERROR(_xlfn.NUMBERVALUE(INDEX(A427:H427,$P$1),".",","),0)))</f>
        <v/>
      </c>
    </row>
    <row r="428">
      <c r="L428">
        <f>IF(A428="","",IF(ISNUMBER(--LEFT(A428,FIND(" - ",A428&amp;" - ")-1)),LEFT(A428,FIND(" - ",A428&amp;" - ")-1),TRIM(A428)))</f>
        <v/>
      </c>
      <c r="N428">
        <f>IF(L428="","",IF(ISNUMBER(INDEX(A428:H428,$P$1)),INDEX(A428:H428,$P$1),IFERROR(_xlfn.NUMBERVALUE(INDEX(A428:H428,$P$1),".",","),0)))</f>
        <v/>
      </c>
    </row>
    <row r="429">
      <c r="L429">
        <f>IF(A429="","",IF(ISNUMBER(--LEFT(A429,FIND(" - ",A429&amp;" - ")-1)),LEFT(A429,FIND(" - ",A429&amp;" - ")-1),TRIM(A429)))</f>
        <v/>
      </c>
      <c r="N429">
        <f>IF(L429="","",IF(ISNUMBER(INDEX(A429:H429,$P$1)),INDEX(A429:H429,$P$1),IFERROR(_xlfn.NUMBERVALUE(INDEX(A429:H429,$P$1),".",","),0)))</f>
        <v/>
      </c>
    </row>
    <row r="430">
      <c r="L430">
        <f>IF(A430="","",IF(ISNUMBER(--LEFT(A430,FIND(" - ",A430&amp;" - ")-1)),LEFT(A430,FIND(" - ",A430&amp;" - ")-1),TRIM(A430)))</f>
        <v/>
      </c>
      <c r="N430">
        <f>IF(L430="","",IF(ISNUMBER(INDEX(A430:H430,$P$1)),INDEX(A430:H430,$P$1),IFERROR(_xlfn.NUMBERVALUE(INDEX(A430:H430,$P$1),".",","),0)))</f>
        <v/>
      </c>
    </row>
    <row r="431">
      <c r="L431">
        <f>IF(A431="","",IF(ISNUMBER(--LEFT(A431,FIND(" - ",A431&amp;" - ")-1)),LEFT(A431,FIND(" - ",A431&amp;" - ")-1),TRIM(A431)))</f>
        <v/>
      </c>
      <c r="N431">
        <f>IF(L431="","",IF(ISNUMBER(INDEX(A431:H431,$P$1)),INDEX(A431:H431,$P$1),IFERROR(_xlfn.NUMBERVALUE(INDEX(A431:H431,$P$1),".",","),0)))</f>
        <v/>
      </c>
    </row>
    <row r="432">
      <c r="L432">
        <f>IF(A432="","",IF(ISNUMBER(--LEFT(A432,FIND(" - ",A432&amp;" - ")-1)),LEFT(A432,FIND(" - ",A432&amp;" - ")-1),TRIM(A432)))</f>
        <v/>
      </c>
      <c r="N432">
        <f>IF(L432="","",IF(ISNUMBER(INDEX(A432:H432,$P$1)),INDEX(A432:H432,$P$1),IFERROR(_xlfn.NUMBERVALUE(INDEX(A432:H432,$P$1),".",","),0)))</f>
        <v/>
      </c>
    </row>
    <row r="433">
      <c r="L433">
        <f>IF(A433="","",IF(ISNUMBER(--LEFT(A433,FIND(" - ",A433&amp;" - ")-1)),LEFT(A433,FIND(" - ",A433&amp;" - ")-1),TRIM(A433)))</f>
        <v/>
      </c>
      <c r="N433">
        <f>IF(L433="","",IF(ISNUMBER(INDEX(A433:H433,$P$1)),INDEX(A433:H433,$P$1),IFERROR(_xlfn.NUMBERVALUE(INDEX(A433:H433,$P$1),".",","),0)))</f>
        <v/>
      </c>
    </row>
    <row r="434">
      <c r="L434">
        <f>IF(A434="","",IF(ISNUMBER(--LEFT(A434,FIND(" - ",A434&amp;" - ")-1)),LEFT(A434,FIND(" - ",A434&amp;" - ")-1),TRIM(A434)))</f>
        <v/>
      </c>
      <c r="N434">
        <f>IF(L434="","",IF(ISNUMBER(INDEX(A434:H434,$P$1)),INDEX(A434:H434,$P$1),IFERROR(_xlfn.NUMBERVALUE(INDEX(A434:H434,$P$1),".",","),0)))</f>
        <v/>
      </c>
    </row>
    <row r="435">
      <c r="L435">
        <f>IF(A435="","",IF(ISNUMBER(--LEFT(A435,FIND(" - ",A435&amp;" - ")-1)),LEFT(A435,FIND(" - ",A435&amp;" - ")-1),TRIM(A435)))</f>
        <v/>
      </c>
      <c r="N435">
        <f>IF(L435="","",IF(ISNUMBER(INDEX(A435:H435,$P$1)),INDEX(A435:H435,$P$1),IFERROR(_xlfn.NUMBERVALUE(INDEX(A435:H435,$P$1),".",","),0)))</f>
        <v/>
      </c>
    </row>
    <row r="436">
      <c r="L436">
        <f>IF(A436="","",IF(ISNUMBER(--LEFT(A436,FIND(" - ",A436&amp;" - ")-1)),LEFT(A436,FIND(" - ",A436&amp;" - ")-1),TRIM(A436)))</f>
        <v/>
      </c>
      <c r="N436">
        <f>IF(L436="","",IF(ISNUMBER(INDEX(A436:H436,$P$1)),INDEX(A436:H436,$P$1),IFERROR(_xlfn.NUMBERVALUE(INDEX(A436:H436,$P$1),".",","),0)))</f>
        <v/>
      </c>
    </row>
    <row r="437">
      <c r="L437">
        <f>IF(A437="","",IF(ISNUMBER(--LEFT(A437,FIND(" - ",A437&amp;" - ")-1)),LEFT(A437,FIND(" - ",A437&amp;" - ")-1),TRIM(A437)))</f>
        <v/>
      </c>
      <c r="N437">
        <f>IF(L437="","",IF(ISNUMBER(INDEX(A437:H437,$P$1)),INDEX(A437:H437,$P$1),IFERROR(_xlfn.NUMBERVALUE(INDEX(A437:H437,$P$1),".",","),0)))</f>
        <v/>
      </c>
    </row>
    <row r="438">
      <c r="L438">
        <f>IF(A438="","",IF(ISNUMBER(--LEFT(A438,FIND(" - ",A438&amp;" - ")-1)),LEFT(A438,FIND(" - ",A438&amp;" - ")-1),TRIM(A438)))</f>
        <v/>
      </c>
      <c r="N438">
        <f>IF(L438="","",IF(ISNUMBER(INDEX(A438:H438,$P$1)),INDEX(A438:H438,$P$1),IFERROR(_xlfn.NUMBERVALUE(INDEX(A438:H438,$P$1),".",","),0)))</f>
        <v/>
      </c>
    </row>
    <row r="439">
      <c r="L439">
        <f>IF(A439="","",IF(ISNUMBER(--LEFT(A439,FIND(" - ",A439&amp;" - ")-1)),LEFT(A439,FIND(" - ",A439&amp;" - ")-1),TRIM(A439)))</f>
        <v/>
      </c>
      <c r="N439">
        <f>IF(L439="","",IF(ISNUMBER(INDEX(A439:H439,$P$1)),INDEX(A439:H439,$P$1),IFERROR(_xlfn.NUMBERVALUE(INDEX(A439:H439,$P$1),".",","),0)))</f>
        <v/>
      </c>
    </row>
    <row r="440">
      <c r="L440">
        <f>IF(A440="","",IF(ISNUMBER(--LEFT(A440,FIND(" - ",A440&amp;" - ")-1)),LEFT(A440,FIND(" - ",A440&amp;" - ")-1),TRIM(A440)))</f>
        <v/>
      </c>
      <c r="N440">
        <f>IF(L440="","",IF(ISNUMBER(INDEX(A440:H440,$P$1)),INDEX(A440:H440,$P$1),IFERROR(_xlfn.NUMBERVALUE(INDEX(A440:H440,$P$1),".",","),0)))</f>
        <v/>
      </c>
    </row>
    <row r="441">
      <c r="L441">
        <f>IF(A441="","",IF(ISNUMBER(--LEFT(A441,FIND(" - ",A441&amp;" - ")-1)),LEFT(A441,FIND(" - ",A441&amp;" - ")-1),TRIM(A441)))</f>
        <v/>
      </c>
      <c r="N441">
        <f>IF(L441="","",IF(ISNUMBER(INDEX(A441:H441,$P$1)),INDEX(A441:H441,$P$1),IFERROR(_xlfn.NUMBERVALUE(INDEX(A441:H441,$P$1),".",","),0)))</f>
        <v/>
      </c>
    </row>
    <row r="442">
      <c r="L442">
        <f>IF(A442="","",IF(ISNUMBER(--LEFT(A442,FIND(" - ",A442&amp;" - ")-1)),LEFT(A442,FIND(" - ",A442&amp;" - ")-1),TRIM(A442)))</f>
        <v/>
      </c>
      <c r="N442">
        <f>IF(L442="","",IF(ISNUMBER(INDEX(A442:H442,$P$1)),INDEX(A442:H442,$P$1),IFERROR(_xlfn.NUMBERVALUE(INDEX(A442:H442,$P$1),".",","),0)))</f>
        <v/>
      </c>
    </row>
    <row r="443">
      <c r="L443">
        <f>IF(A443="","",IF(ISNUMBER(--LEFT(A443,FIND(" - ",A443&amp;" - ")-1)),LEFT(A443,FIND(" - ",A443&amp;" - ")-1),TRIM(A443)))</f>
        <v/>
      </c>
      <c r="N443">
        <f>IF(L443="","",IF(ISNUMBER(INDEX(A443:H443,$P$1)),INDEX(A443:H443,$P$1),IFERROR(_xlfn.NUMBERVALUE(INDEX(A443:H443,$P$1),".",","),0)))</f>
        <v/>
      </c>
    </row>
    <row r="444">
      <c r="L444">
        <f>IF(A444="","",IF(ISNUMBER(--LEFT(A444,FIND(" - ",A444&amp;" - ")-1)),LEFT(A444,FIND(" - ",A444&amp;" - ")-1),TRIM(A444)))</f>
        <v/>
      </c>
      <c r="N444">
        <f>IF(L444="","",IF(ISNUMBER(INDEX(A444:H444,$P$1)),INDEX(A444:H444,$P$1),IFERROR(_xlfn.NUMBERVALUE(INDEX(A444:H444,$P$1),".",","),0)))</f>
        <v/>
      </c>
    </row>
    <row r="445">
      <c r="L445">
        <f>IF(A445="","",IF(ISNUMBER(--LEFT(A445,FIND(" - ",A445&amp;" - ")-1)),LEFT(A445,FIND(" - ",A445&amp;" - ")-1),TRIM(A445)))</f>
        <v/>
      </c>
      <c r="N445">
        <f>IF(L445="","",IF(ISNUMBER(INDEX(A445:H445,$P$1)),INDEX(A445:H445,$P$1),IFERROR(_xlfn.NUMBERVALUE(INDEX(A445:H445,$P$1),".",","),0)))</f>
        <v/>
      </c>
    </row>
    <row r="446">
      <c r="L446">
        <f>IF(A446="","",IF(ISNUMBER(--LEFT(A446,FIND(" - ",A446&amp;" - ")-1)),LEFT(A446,FIND(" - ",A446&amp;" - ")-1),TRIM(A446)))</f>
        <v/>
      </c>
      <c r="N446">
        <f>IF(L446="","",IF(ISNUMBER(INDEX(A446:H446,$P$1)),INDEX(A446:H446,$P$1),IFERROR(_xlfn.NUMBERVALUE(INDEX(A446:H446,$P$1),".",","),0)))</f>
        <v/>
      </c>
    </row>
    <row r="447">
      <c r="L447">
        <f>IF(A447="","",IF(ISNUMBER(--LEFT(A447,FIND(" - ",A447&amp;" - ")-1)),LEFT(A447,FIND(" - ",A447&amp;" - ")-1),TRIM(A447)))</f>
        <v/>
      </c>
      <c r="N447">
        <f>IF(L447="","",IF(ISNUMBER(INDEX(A447:H447,$P$1)),INDEX(A447:H447,$P$1),IFERROR(_xlfn.NUMBERVALUE(INDEX(A447:H447,$P$1),".",","),0)))</f>
        <v/>
      </c>
    </row>
    <row r="448">
      <c r="L448">
        <f>IF(A448="","",IF(ISNUMBER(--LEFT(A448,FIND(" - ",A448&amp;" - ")-1)),LEFT(A448,FIND(" - ",A448&amp;" - ")-1),TRIM(A448)))</f>
        <v/>
      </c>
      <c r="N448">
        <f>IF(L448="","",IF(ISNUMBER(INDEX(A448:H448,$P$1)),INDEX(A448:H448,$P$1),IFERROR(_xlfn.NUMBERVALUE(INDEX(A448:H448,$P$1),".",","),0)))</f>
        <v/>
      </c>
    </row>
    <row r="449">
      <c r="L449">
        <f>IF(A449="","",IF(ISNUMBER(--LEFT(A449,FIND(" - ",A449&amp;" - ")-1)),LEFT(A449,FIND(" - ",A449&amp;" - ")-1),TRIM(A449)))</f>
        <v/>
      </c>
      <c r="N449">
        <f>IF(L449="","",IF(ISNUMBER(INDEX(A449:H449,$P$1)),INDEX(A449:H449,$P$1),IFERROR(_xlfn.NUMBERVALUE(INDEX(A449:H449,$P$1),".",","),0)))</f>
        <v/>
      </c>
    </row>
    <row r="450">
      <c r="L450">
        <f>IF(A450="","",IF(ISNUMBER(--LEFT(A450,FIND(" - ",A450&amp;" - ")-1)),LEFT(A450,FIND(" - ",A450&amp;" - ")-1),TRIM(A450)))</f>
        <v/>
      </c>
      <c r="N450">
        <f>IF(L450="","",IF(ISNUMBER(INDEX(A450:H450,$P$1)),INDEX(A450:H450,$P$1),IFERROR(_xlfn.NUMBERVALUE(INDEX(A450:H450,$P$1),".",","),0)))</f>
        <v/>
      </c>
    </row>
    <row r="451">
      <c r="L451">
        <f>IF(A451="","",IF(ISNUMBER(--LEFT(A451,FIND(" - ",A451&amp;" - ")-1)),LEFT(A451,FIND(" - ",A451&amp;" - ")-1),TRIM(A451)))</f>
        <v/>
      </c>
      <c r="N451">
        <f>IF(L451="","",IF(ISNUMBER(INDEX(A451:H451,$P$1)),INDEX(A451:H451,$P$1),IFERROR(_xlfn.NUMBERVALUE(INDEX(A451:H451,$P$1),".",","),0)))</f>
        <v/>
      </c>
    </row>
    <row r="452">
      <c r="L452">
        <f>IF(A452="","",IF(ISNUMBER(--LEFT(A452,FIND(" - ",A452&amp;" - ")-1)),LEFT(A452,FIND(" - ",A452&amp;" - ")-1),TRIM(A452)))</f>
        <v/>
      </c>
      <c r="N452">
        <f>IF(L452="","",IF(ISNUMBER(INDEX(A452:H452,$P$1)),INDEX(A452:H452,$P$1),IFERROR(_xlfn.NUMBERVALUE(INDEX(A452:H452,$P$1),".",","),0)))</f>
        <v/>
      </c>
    </row>
    <row r="453">
      <c r="L453">
        <f>IF(A453="","",IF(ISNUMBER(--LEFT(A453,FIND(" - ",A453&amp;" - ")-1)),LEFT(A453,FIND(" - ",A453&amp;" - ")-1),TRIM(A453)))</f>
        <v/>
      </c>
      <c r="N453">
        <f>IF(L453="","",IF(ISNUMBER(INDEX(A453:H453,$P$1)),INDEX(A453:H453,$P$1),IFERROR(_xlfn.NUMBERVALUE(INDEX(A453:H453,$P$1),".",","),0)))</f>
        <v/>
      </c>
    </row>
    <row r="454">
      <c r="L454">
        <f>IF(A454="","",IF(ISNUMBER(--LEFT(A454,FIND(" - ",A454&amp;" - ")-1)),LEFT(A454,FIND(" - ",A454&amp;" - ")-1),TRIM(A454)))</f>
        <v/>
      </c>
      <c r="N454">
        <f>IF(L454="","",IF(ISNUMBER(INDEX(A454:H454,$P$1)),INDEX(A454:H454,$P$1),IFERROR(_xlfn.NUMBERVALUE(INDEX(A454:H454,$P$1),".",","),0)))</f>
        <v/>
      </c>
    </row>
    <row r="455">
      <c r="L455">
        <f>IF(A455="","",IF(ISNUMBER(--LEFT(A455,FIND(" - ",A455&amp;" - ")-1)),LEFT(A455,FIND(" - ",A455&amp;" - ")-1),TRIM(A455)))</f>
        <v/>
      </c>
      <c r="N455">
        <f>IF(L455="","",IF(ISNUMBER(INDEX(A455:H455,$P$1)),INDEX(A455:H455,$P$1),IFERROR(_xlfn.NUMBERVALUE(INDEX(A455:H455,$P$1),".",","),0)))</f>
        <v/>
      </c>
    </row>
    <row r="456">
      <c r="L456">
        <f>IF(A456="","",IF(ISNUMBER(--LEFT(A456,FIND(" - ",A456&amp;" - ")-1)),LEFT(A456,FIND(" - ",A456&amp;" - ")-1),TRIM(A456)))</f>
        <v/>
      </c>
      <c r="N456">
        <f>IF(L456="","",IF(ISNUMBER(INDEX(A456:H456,$P$1)),INDEX(A456:H456,$P$1),IFERROR(_xlfn.NUMBERVALUE(INDEX(A456:H456,$P$1),".",","),0)))</f>
        <v/>
      </c>
    </row>
    <row r="457">
      <c r="L457">
        <f>IF(A457="","",IF(ISNUMBER(--LEFT(A457,FIND(" - ",A457&amp;" - ")-1)),LEFT(A457,FIND(" - ",A457&amp;" - ")-1),TRIM(A457)))</f>
        <v/>
      </c>
      <c r="N457">
        <f>IF(L457="","",IF(ISNUMBER(INDEX(A457:H457,$P$1)),INDEX(A457:H457,$P$1),IFERROR(_xlfn.NUMBERVALUE(INDEX(A457:H457,$P$1),".",","),0)))</f>
        <v/>
      </c>
    </row>
    <row r="458">
      <c r="L458">
        <f>IF(A458="","",IF(ISNUMBER(--LEFT(A458,FIND(" - ",A458&amp;" - ")-1)),LEFT(A458,FIND(" - ",A458&amp;" - ")-1),TRIM(A458)))</f>
        <v/>
      </c>
      <c r="N458">
        <f>IF(L458="","",IF(ISNUMBER(INDEX(A458:H458,$P$1)),INDEX(A458:H458,$P$1),IFERROR(_xlfn.NUMBERVALUE(INDEX(A458:H458,$P$1),".",","),0)))</f>
        <v/>
      </c>
    </row>
    <row r="459">
      <c r="L459">
        <f>IF(A459="","",IF(ISNUMBER(--LEFT(A459,FIND(" - ",A459&amp;" - ")-1)),LEFT(A459,FIND(" - ",A459&amp;" - ")-1),TRIM(A459)))</f>
        <v/>
      </c>
      <c r="N459">
        <f>IF(L459="","",IF(ISNUMBER(INDEX(A459:H459,$P$1)),INDEX(A459:H459,$P$1),IFERROR(_xlfn.NUMBERVALUE(INDEX(A459:H459,$P$1),".",","),0)))</f>
        <v/>
      </c>
    </row>
    <row r="460">
      <c r="L460">
        <f>IF(A460="","",IF(ISNUMBER(--LEFT(A460,FIND(" - ",A460&amp;" - ")-1)),LEFT(A460,FIND(" - ",A460&amp;" - ")-1),TRIM(A460)))</f>
        <v/>
      </c>
      <c r="N460">
        <f>IF(L460="","",IF(ISNUMBER(INDEX(A460:H460,$P$1)),INDEX(A460:H460,$P$1),IFERROR(_xlfn.NUMBERVALUE(INDEX(A460:H460,$P$1),".",","),0)))</f>
        <v/>
      </c>
    </row>
    <row r="461">
      <c r="L461">
        <f>IF(A461="","",IF(ISNUMBER(--LEFT(A461,FIND(" - ",A461&amp;" - ")-1)),LEFT(A461,FIND(" - ",A461&amp;" - ")-1),TRIM(A461)))</f>
        <v/>
      </c>
      <c r="N461">
        <f>IF(L461="","",IF(ISNUMBER(INDEX(A461:H461,$P$1)),INDEX(A461:H461,$P$1),IFERROR(_xlfn.NUMBERVALUE(INDEX(A461:H461,$P$1),".",","),0)))</f>
        <v/>
      </c>
    </row>
    <row r="462">
      <c r="L462">
        <f>IF(A462="","",IF(ISNUMBER(--LEFT(A462,FIND(" - ",A462&amp;" - ")-1)),LEFT(A462,FIND(" - ",A462&amp;" - ")-1),TRIM(A462)))</f>
        <v/>
      </c>
      <c r="N462">
        <f>IF(L462="","",IF(ISNUMBER(INDEX(A462:H462,$P$1)),INDEX(A462:H462,$P$1),IFERROR(_xlfn.NUMBERVALUE(INDEX(A462:H462,$P$1),".",","),0)))</f>
        <v/>
      </c>
    </row>
    <row r="463">
      <c r="L463">
        <f>IF(A463="","",IF(ISNUMBER(--LEFT(A463,FIND(" - ",A463&amp;" - ")-1)),LEFT(A463,FIND(" - ",A463&amp;" - ")-1),TRIM(A463)))</f>
        <v/>
      </c>
      <c r="N463">
        <f>IF(L463="","",IF(ISNUMBER(INDEX(A463:H463,$P$1)),INDEX(A463:H463,$P$1),IFERROR(_xlfn.NUMBERVALUE(INDEX(A463:H463,$P$1),".",","),0)))</f>
        <v/>
      </c>
    </row>
    <row r="464">
      <c r="L464">
        <f>IF(A464="","",IF(ISNUMBER(--LEFT(A464,FIND(" - ",A464&amp;" - ")-1)),LEFT(A464,FIND(" - ",A464&amp;" - ")-1),TRIM(A464)))</f>
        <v/>
      </c>
      <c r="N464">
        <f>IF(L464="","",IF(ISNUMBER(INDEX(A464:H464,$P$1)),INDEX(A464:H464,$P$1),IFERROR(_xlfn.NUMBERVALUE(INDEX(A464:H464,$P$1),".",","),0)))</f>
        <v/>
      </c>
    </row>
    <row r="465">
      <c r="L465">
        <f>IF(A465="","",IF(ISNUMBER(--LEFT(A465,FIND(" - ",A465&amp;" - ")-1)),LEFT(A465,FIND(" - ",A465&amp;" - ")-1),TRIM(A465)))</f>
        <v/>
      </c>
      <c r="N465">
        <f>IF(L465="","",IF(ISNUMBER(INDEX(A465:H465,$P$1)),INDEX(A465:H465,$P$1),IFERROR(_xlfn.NUMBERVALUE(INDEX(A465:H465,$P$1),".",","),0)))</f>
        <v/>
      </c>
    </row>
    <row r="466">
      <c r="L466">
        <f>IF(A466="","",IF(ISNUMBER(--LEFT(A466,FIND(" - ",A466&amp;" - ")-1)),LEFT(A466,FIND(" - ",A466&amp;" - ")-1),TRIM(A466)))</f>
        <v/>
      </c>
      <c r="N466">
        <f>IF(L466="","",IF(ISNUMBER(INDEX(A466:H466,$P$1)),INDEX(A466:H466,$P$1),IFERROR(_xlfn.NUMBERVALUE(INDEX(A466:H466,$P$1),".",","),0)))</f>
        <v/>
      </c>
    </row>
    <row r="467">
      <c r="L467">
        <f>IF(A467="","",IF(ISNUMBER(--LEFT(A467,FIND(" - ",A467&amp;" - ")-1)),LEFT(A467,FIND(" - ",A467&amp;" - ")-1),TRIM(A467)))</f>
        <v/>
      </c>
      <c r="N467">
        <f>IF(L467="","",IF(ISNUMBER(INDEX(A467:H467,$P$1)),INDEX(A467:H467,$P$1),IFERROR(_xlfn.NUMBERVALUE(INDEX(A467:H467,$P$1),".",","),0)))</f>
        <v/>
      </c>
    </row>
    <row r="468">
      <c r="L468">
        <f>IF(A468="","",IF(ISNUMBER(--LEFT(A468,FIND(" - ",A468&amp;" - ")-1)),LEFT(A468,FIND(" - ",A468&amp;" - ")-1),TRIM(A468)))</f>
        <v/>
      </c>
      <c r="N468">
        <f>IF(L468="","",IF(ISNUMBER(INDEX(A468:H468,$P$1)),INDEX(A468:H468,$P$1),IFERROR(_xlfn.NUMBERVALUE(INDEX(A468:H468,$P$1),".",","),0)))</f>
        <v/>
      </c>
    </row>
    <row r="469">
      <c r="L469">
        <f>IF(A469="","",IF(ISNUMBER(--LEFT(A469,FIND(" - ",A469&amp;" - ")-1)),LEFT(A469,FIND(" - ",A469&amp;" - ")-1),TRIM(A469)))</f>
        <v/>
      </c>
      <c r="N469">
        <f>IF(L469="","",IF(ISNUMBER(INDEX(A469:H469,$P$1)),INDEX(A469:H469,$P$1),IFERROR(_xlfn.NUMBERVALUE(INDEX(A469:H469,$P$1),".",","),0)))</f>
        <v/>
      </c>
    </row>
    <row r="470">
      <c r="L470">
        <f>IF(A470="","",IF(ISNUMBER(--LEFT(A470,FIND(" - ",A470&amp;" - ")-1)),LEFT(A470,FIND(" - ",A470&amp;" - ")-1),TRIM(A470)))</f>
        <v/>
      </c>
      <c r="N470">
        <f>IF(L470="","",IF(ISNUMBER(INDEX(A470:H470,$P$1)),INDEX(A470:H470,$P$1),IFERROR(_xlfn.NUMBERVALUE(INDEX(A470:H470,$P$1),".",","),0)))</f>
        <v/>
      </c>
    </row>
    <row r="471">
      <c r="L471">
        <f>IF(A471="","",IF(ISNUMBER(--LEFT(A471,FIND(" - ",A471&amp;" - ")-1)),LEFT(A471,FIND(" - ",A471&amp;" - ")-1),TRIM(A471)))</f>
        <v/>
      </c>
      <c r="N471">
        <f>IF(L471="","",IF(ISNUMBER(INDEX(A471:H471,$P$1)),INDEX(A471:H471,$P$1),IFERROR(_xlfn.NUMBERVALUE(INDEX(A471:H471,$P$1),".",","),0)))</f>
        <v/>
      </c>
    </row>
    <row r="472">
      <c r="L472">
        <f>IF(A472="","",IF(ISNUMBER(--LEFT(A472,FIND(" - ",A472&amp;" - ")-1)),LEFT(A472,FIND(" - ",A472&amp;" - ")-1),TRIM(A472)))</f>
        <v/>
      </c>
      <c r="N472">
        <f>IF(L472="","",IF(ISNUMBER(INDEX(A472:H472,$P$1)),INDEX(A472:H472,$P$1),IFERROR(_xlfn.NUMBERVALUE(INDEX(A472:H472,$P$1),".",","),0)))</f>
        <v/>
      </c>
    </row>
    <row r="473">
      <c r="L473">
        <f>IF(A473="","",IF(ISNUMBER(--LEFT(A473,FIND(" - ",A473&amp;" - ")-1)),LEFT(A473,FIND(" - ",A473&amp;" - ")-1),TRIM(A473)))</f>
        <v/>
      </c>
      <c r="N473">
        <f>IF(L473="","",IF(ISNUMBER(INDEX(A473:H473,$P$1)),INDEX(A473:H473,$P$1),IFERROR(_xlfn.NUMBERVALUE(INDEX(A473:H473,$P$1),".",","),0)))</f>
        <v/>
      </c>
    </row>
    <row r="474">
      <c r="L474">
        <f>IF(A474="","",IF(ISNUMBER(--LEFT(A474,FIND(" - ",A474&amp;" - ")-1)),LEFT(A474,FIND(" - ",A474&amp;" - ")-1),TRIM(A474)))</f>
        <v/>
      </c>
      <c r="N474">
        <f>IF(L474="","",IF(ISNUMBER(INDEX(A474:H474,$P$1)),INDEX(A474:H474,$P$1),IFERROR(_xlfn.NUMBERVALUE(INDEX(A474:H474,$P$1),".",","),0)))</f>
        <v/>
      </c>
    </row>
    <row r="475">
      <c r="L475">
        <f>IF(A475="","",IF(ISNUMBER(--LEFT(A475,FIND(" - ",A475&amp;" - ")-1)),LEFT(A475,FIND(" - ",A475&amp;" - ")-1),TRIM(A475)))</f>
        <v/>
      </c>
      <c r="N475">
        <f>IF(L475="","",IF(ISNUMBER(INDEX(A475:H475,$P$1)),INDEX(A475:H475,$P$1),IFERROR(_xlfn.NUMBERVALUE(INDEX(A475:H475,$P$1),".",","),0)))</f>
        <v/>
      </c>
    </row>
    <row r="476">
      <c r="L476">
        <f>IF(A476="","",IF(ISNUMBER(--LEFT(A476,FIND(" - ",A476&amp;" - ")-1)),LEFT(A476,FIND(" - ",A476&amp;" - ")-1),TRIM(A476)))</f>
        <v/>
      </c>
      <c r="N476">
        <f>IF(L476="","",IF(ISNUMBER(INDEX(A476:H476,$P$1)),INDEX(A476:H476,$P$1),IFERROR(_xlfn.NUMBERVALUE(INDEX(A476:H476,$P$1),".",","),0)))</f>
        <v/>
      </c>
    </row>
    <row r="477">
      <c r="L477">
        <f>IF(A477="","",IF(ISNUMBER(--LEFT(A477,FIND(" - ",A477&amp;" - ")-1)),LEFT(A477,FIND(" - ",A477&amp;" - ")-1),TRIM(A477)))</f>
        <v/>
      </c>
      <c r="N477">
        <f>IF(L477="","",IF(ISNUMBER(INDEX(A477:H477,$P$1)),INDEX(A477:H477,$P$1),IFERROR(_xlfn.NUMBERVALUE(INDEX(A477:H477,$P$1),".",","),0)))</f>
        <v/>
      </c>
    </row>
    <row r="478">
      <c r="L478">
        <f>IF(A478="","",IF(ISNUMBER(--LEFT(A478,FIND(" - ",A478&amp;" - ")-1)),LEFT(A478,FIND(" - ",A478&amp;" - ")-1),TRIM(A478)))</f>
        <v/>
      </c>
      <c r="N478">
        <f>IF(L478="","",IF(ISNUMBER(INDEX(A478:H478,$P$1)),INDEX(A478:H478,$P$1),IFERROR(_xlfn.NUMBERVALUE(INDEX(A478:H478,$P$1),".",","),0)))</f>
        <v/>
      </c>
    </row>
    <row r="479">
      <c r="L479">
        <f>IF(A479="","",IF(ISNUMBER(--LEFT(A479,FIND(" - ",A479&amp;" - ")-1)),LEFT(A479,FIND(" - ",A479&amp;" - ")-1),TRIM(A479)))</f>
        <v/>
      </c>
      <c r="N479">
        <f>IF(L479="","",IF(ISNUMBER(INDEX(A479:H479,$P$1)),INDEX(A479:H479,$P$1),IFERROR(_xlfn.NUMBERVALUE(INDEX(A479:H479,$P$1),".",","),0)))</f>
        <v/>
      </c>
    </row>
    <row r="480">
      <c r="L480">
        <f>IF(A480="","",IF(ISNUMBER(--LEFT(A480,FIND(" - ",A480&amp;" - ")-1)),LEFT(A480,FIND(" - ",A480&amp;" - ")-1),TRIM(A480)))</f>
        <v/>
      </c>
      <c r="N480">
        <f>IF(L480="","",IF(ISNUMBER(INDEX(A480:H480,$P$1)),INDEX(A480:H480,$P$1),IFERROR(_xlfn.NUMBERVALUE(INDEX(A480:H480,$P$1),".",","),0)))</f>
        <v/>
      </c>
    </row>
    <row r="481">
      <c r="L481">
        <f>IF(A481="","",IF(ISNUMBER(--LEFT(A481,FIND(" - ",A481&amp;" - ")-1)),LEFT(A481,FIND(" - ",A481&amp;" - ")-1),TRIM(A481)))</f>
        <v/>
      </c>
      <c r="N481">
        <f>IF(L481="","",IF(ISNUMBER(INDEX(A481:H481,$P$1)),INDEX(A481:H481,$P$1),IFERROR(_xlfn.NUMBERVALUE(INDEX(A481:H481,$P$1),".",","),0)))</f>
        <v/>
      </c>
    </row>
    <row r="482">
      <c r="L482">
        <f>IF(A482="","",IF(ISNUMBER(--LEFT(A482,FIND(" - ",A482&amp;" - ")-1)),LEFT(A482,FIND(" - ",A482&amp;" - ")-1),TRIM(A482)))</f>
        <v/>
      </c>
      <c r="N482">
        <f>IF(L482="","",IF(ISNUMBER(INDEX(A482:H482,$P$1)),INDEX(A482:H482,$P$1),IFERROR(_xlfn.NUMBERVALUE(INDEX(A482:H482,$P$1),".",","),0)))</f>
        <v/>
      </c>
    </row>
    <row r="483">
      <c r="L483">
        <f>IF(A483="","",IF(ISNUMBER(--LEFT(A483,FIND(" - ",A483&amp;" - ")-1)),LEFT(A483,FIND(" - ",A483&amp;" - ")-1),TRIM(A483)))</f>
        <v/>
      </c>
      <c r="N483">
        <f>IF(L483="","",IF(ISNUMBER(INDEX(A483:H483,$P$1)),INDEX(A483:H483,$P$1),IFERROR(_xlfn.NUMBERVALUE(INDEX(A483:H483,$P$1),".",","),0)))</f>
        <v/>
      </c>
    </row>
    <row r="484">
      <c r="L484">
        <f>IF(A484="","",IF(ISNUMBER(--LEFT(A484,FIND(" - ",A484&amp;" - ")-1)),LEFT(A484,FIND(" - ",A484&amp;" - ")-1),TRIM(A484)))</f>
        <v/>
      </c>
      <c r="N484">
        <f>IF(L484="","",IF(ISNUMBER(INDEX(A484:H484,$P$1)),INDEX(A484:H484,$P$1),IFERROR(_xlfn.NUMBERVALUE(INDEX(A484:H484,$P$1),".",","),0)))</f>
        <v/>
      </c>
    </row>
    <row r="485">
      <c r="L485">
        <f>IF(A485="","",IF(ISNUMBER(--LEFT(A485,FIND(" - ",A485&amp;" - ")-1)),LEFT(A485,FIND(" - ",A485&amp;" - ")-1),TRIM(A485)))</f>
        <v/>
      </c>
      <c r="N485">
        <f>IF(L485="","",IF(ISNUMBER(INDEX(A485:H485,$P$1)),INDEX(A485:H485,$P$1),IFERROR(_xlfn.NUMBERVALUE(INDEX(A485:H485,$P$1),".",","),0)))</f>
        <v/>
      </c>
    </row>
    <row r="486">
      <c r="L486">
        <f>IF(A486="","",IF(ISNUMBER(--LEFT(A486,FIND(" - ",A486&amp;" - ")-1)),LEFT(A486,FIND(" - ",A486&amp;" - ")-1),TRIM(A486)))</f>
        <v/>
      </c>
      <c r="N486">
        <f>IF(L486="","",IF(ISNUMBER(INDEX(A486:H486,$P$1)),INDEX(A486:H486,$P$1),IFERROR(_xlfn.NUMBERVALUE(INDEX(A486:H486,$P$1),".",","),0)))</f>
        <v/>
      </c>
    </row>
    <row r="487">
      <c r="L487">
        <f>IF(A487="","",IF(ISNUMBER(--LEFT(A487,FIND(" - ",A487&amp;" - ")-1)),LEFT(A487,FIND(" - ",A487&amp;" - ")-1),TRIM(A487)))</f>
        <v/>
      </c>
      <c r="N487">
        <f>IF(L487="","",IF(ISNUMBER(INDEX(A487:H487,$P$1)),INDEX(A487:H487,$P$1),IFERROR(_xlfn.NUMBERVALUE(INDEX(A487:H487,$P$1),".",","),0)))</f>
        <v/>
      </c>
    </row>
    <row r="488">
      <c r="L488">
        <f>IF(A488="","",IF(ISNUMBER(--LEFT(A488,FIND(" - ",A488&amp;" - ")-1)),LEFT(A488,FIND(" - ",A488&amp;" - ")-1),TRIM(A488)))</f>
        <v/>
      </c>
      <c r="N488">
        <f>IF(L488="","",IF(ISNUMBER(INDEX(A488:H488,$P$1)),INDEX(A488:H488,$P$1),IFERROR(_xlfn.NUMBERVALUE(INDEX(A488:H488,$P$1),".",","),0)))</f>
        <v/>
      </c>
    </row>
    <row r="489">
      <c r="L489">
        <f>IF(A489="","",IF(ISNUMBER(--LEFT(A489,FIND(" - ",A489&amp;" - ")-1)),LEFT(A489,FIND(" - ",A489&amp;" - ")-1),TRIM(A489)))</f>
        <v/>
      </c>
      <c r="N489">
        <f>IF(L489="","",IF(ISNUMBER(INDEX(A489:H489,$P$1)),INDEX(A489:H489,$P$1),IFERROR(_xlfn.NUMBERVALUE(INDEX(A489:H489,$P$1),".",","),0)))</f>
        <v/>
      </c>
    </row>
    <row r="490">
      <c r="L490">
        <f>IF(A490="","",IF(ISNUMBER(--LEFT(A490,FIND(" - ",A490&amp;" - ")-1)),LEFT(A490,FIND(" - ",A490&amp;" - ")-1),TRIM(A490)))</f>
        <v/>
      </c>
      <c r="N490">
        <f>IF(L490="","",IF(ISNUMBER(INDEX(A490:H490,$P$1)),INDEX(A490:H490,$P$1),IFERROR(_xlfn.NUMBERVALUE(INDEX(A490:H490,$P$1),".",","),0)))</f>
        <v/>
      </c>
    </row>
    <row r="491">
      <c r="L491">
        <f>IF(A491="","",IF(ISNUMBER(--LEFT(A491,FIND(" - ",A491&amp;" - ")-1)),LEFT(A491,FIND(" - ",A491&amp;" - ")-1),TRIM(A491)))</f>
        <v/>
      </c>
      <c r="N491">
        <f>IF(L491="","",IF(ISNUMBER(INDEX(A491:H491,$P$1)),INDEX(A491:H491,$P$1),IFERROR(_xlfn.NUMBERVALUE(INDEX(A491:H491,$P$1),".",","),0)))</f>
        <v/>
      </c>
    </row>
    <row r="492">
      <c r="L492">
        <f>IF(A492="","",IF(ISNUMBER(--LEFT(A492,FIND(" - ",A492&amp;" - ")-1)),LEFT(A492,FIND(" - ",A492&amp;" - ")-1),TRIM(A492)))</f>
        <v/>
      </c>
      <c r="N492">
        <f>IF(L492="","",IF(ISNUMBER(INDEX(A492:H492,$P$1)),INDEX(A492:H492,$P$1),IFERROR(_xlfn.NUMBERVALUE(INDEX(A492:H492,$P$1),".",","),0)))</f>
        <v/>
      </c>
    </row>
    <row r="493">
      <c r="L493">
        <f>IF(A493="","",IF(ISNUMBER(--LEFT(A493,FIND(" - ",A493&amp;" - ")-1)),LEFT(A493,FIND(" - ",A493&amp;" - ")-1),TRIM(A493)))</f>
        <v/>
      </c>
      <c r="N493">
        <f>IF(L493="","",IF(ISNUMBER(INDEX(A493:H493,$P$1)),INDEX(A493:H493,$P$1),IFERROR(_xlfn.NUMBERVALUE(INDEX(A493:H493,$P$1),".",","),0)))</f>
        <v/>
      </c>
    </row>
    <row r="494">
      <c r="L494">
        <f>IF(A494="","",IF(ISNUMBER(--LEFT(A494,FIND(" - ",A494&amp;" - ")-1)),LEFT(A494,FIND(" - ",A494&amp;" - ")-1),TRIM(A494)))</f>
        <v/>
      </c>
      <c r="N494">
        <f>IF(L494="","",IF(ISNUMBER(INDEX(A494:H494,$P$1)),INDEX(A494:H494,$P$1),IFERROR(_xlfn.NUMBERVALUE(INDEX(A494:H494,$P$1),".",","),0)))</f>
        <v/>
      </c>
    </row>
    <row r="495">
      <c r="L495">
        <f>IF(A495="","",IF(ISNUMBER(--LEFT(A495,FIND(" - ",A495&amp;" - ")-1)),LEFT(A495,FIND(" - ",A495&amp;" - ")-1),TRIM(A495)))</f>
        <v/>
      </c>
      <c r="N495">
        <f>IF(L495="","",IF(ISNUMBER(INDEX(A495:H495,$P$1)),INDEX(A495:H495,$P$1),IFERROR(_xlfn.NUMBERVALUE(INDEX(A495:H495,$P$1),".",","),0)))</f>
        <v/>
      </c>
    </row>
    <row r="496">
      <c r="L496">
        <f>IF(A496="","",IF(ISNUMBER(--LEFT(A496,FIND(" - ",A496&amp;" - ")-1)),LEFT(A496,FIND(" - ",A496&amp;" - ")-1),TRIM(A496)))</f>
        <v/>
      </c>
      <c r="N496">
        <f>IF(L496="","",IF(ISNUMBER(INDEX(A496:H496,$P$1)),INDEX(A496:H496,$P$1),IFERROR(_xlfn.NUMBERVALUE(INDEX(A496:H496,$P$1),".",","),0)))</f>
        <v/>
      </c>
    </row>
    <row r="497">
      <c r="L497">
        <f>IF(A497="","",IF(ISNUMBER(--LEFT(A497,FIND(" - ",A497&amp;" - ")-1)),LEFT(A497,FIND(" - ",A497&amp;" - ")-1),TRIM(A497)))</f>
        <v/>
      </c>
      <c r="N497">
        <f>IF(L497="","",IF(ISNUMBER(INDEX(A497:H497,$P$1)),INDEX(A497:H497,$P$1),IFERROR(_xlfn.NUMBERVALUE(INDEX(A497:H497,$P$1),".",","),0)))</f>
        <v/>
      </c>
    </row>
    <row r="498">
      <c r="L498">
        <f>IF(A498="","",IF(ISNUMBER(--LEFT(A498,FIND(" - ",A498&amp;" - ")-1)),LEFT(A498,FIND(" - ",A498&amp;" - ")-1),TRIM(A498)))</f>
        <v/>
      </c>
      <c r="N498">
        <f>IF(L498="","",IF(ISNUMBER(INDEX(A498:H498,$P$1)),INDEX(A498:H498,$P$1),IFERROR(_xlfn.NUMBERVALUE(INDEX(A498:H498,$P$1),".",","),0)))</f>
        <v/>
      </c>
    </row>
    <row r="499">
      <c r="L499">
        <f>IF(A499="","",IF(ISNUMBER(--LEFT(A499,FIND(" - ",A499&amp;" - ")-1)),LEFT(A499,FIND(" - ",A499&amp;" - ")-1),TRIM(A499)))</f>
        <v/>
      </c>
      <c r="N499">
        <f>IF(L499="","",IF(ISNUMBER(INDEX(A499:H499,$P$1)),INDEX(A499:H499,$P$1),IFERROR(_xlfn.NUMBERVALUE(INDEX(A499:H499,$P$1),".",","),0)))</f>
        <v/>
      </c>
    </row>
    <row r="500">
      <c r="L500">
        <f>IF(A500="","",IF(ISNUMBER(--LEFT(A500,FIND(" - ",A500&amp;" - ")-1)),LEFT(A500,FIND(" - ",A500&amp;" - ")-1),TRIM(A500)))</f>
        <v/>
      </c>
      <c r="N500">
        <f>IF(L500="","",IF(ISNUMBER(INDEX(A500:H500,$P$1)),INDEX(A500:H500,$P$1),IFERROR(_xlfn.NUMBERVALUE(INDEX(A500:H500,$P$1),".",","),0)))</f>
        <v/>
      </c>
    </row>
    <row r="501">
      <c r="L501">
        <f>IF(A501="","",IF(ISNUMBER(--LEFT(A501,FIND(" - ",A501&amp;" - ")-1)),LEFT(A501,FIND(" - ",A501&amp;" - ")-1),TRIM(A501)))</f>
        <v/>
      </c>
      <c r="N501">
        <f>IF(L501="","",IF(ISNUMBER(INDEX(A501:H501,$P$1)),INDEX(A501:H501,$P$1),IFERROR(_xlfn.NUMBERVALUE(INDEX(A501:H501,$P$1),".",","),0)))</f>
        <v/>
      </c>
    </row>
    <row r="502">
      <c r="L502">
        <f>IF(A502="","",IF(ISNUMBER(--LEFT(A502,FIND(" - ",A502&amp;" - ")-1)),LEFT(A502,FIND(" - ",A502&amp;" - ")-1),TRIM(A502)))</f>
        <v/>
      </c>
      <c r="N502">
        <f>IF(L502="","",IF(ISNUMBER(INDEX(A502:H502,$P$1)),INDEX(A502:H502,$P$1),IFERROR(_xlfn.NUMBERVALUE(INDEX(A502:H502,$P$1),".",","),0)))</f>
        <v/>
      </c>
    </row>
    <row r="503">
      <c r="L503">
        <f>IF(A503="","",IF(ISNUMBER(--LEFT(A503,FIND(" - ",A503&amp;" - ")-1)),LEFT(A503,FIND(" - ",A503&amp;" - ")-1),TRIM(A503)))</f>
        <v/>
      </c>
      <c r="N503">
        <f>IF(L503="","",IF(ISNUMBER(INDEX(A503:H503,$P$1)),INDEX(A503:H503,$P$1),IFERROR(_xlfn.NUMBERVALUE(INDEX(A503:H503,$P$1),".",","),0)))</f>
        <v/>
      </c>
    </row>
    <row r="504">
      <c r="L504">
        <f>IF(A504="","",IF(ISNUMBER(--LEFT(A504,FIND(" - ",A504&amp;" - ")-1)),LEFT(A504,FIND(" - ",A504&amp;" - ")-1),TRIM(A504)))</f>
        <v/>
      </c>
      <c r="N504">
        <f>IF(L504="","",IF(ISNUMBER(INDEX(A504:H504,$P$1)),INDEX(A504:H504,$P$1),IFERROR(_xlfn.NUMBERVALUE(INDEX(A504:H504,$P$1),".",","),0)))</f>
        <v/>
      </c>
    </row>
    <row r="505">
      <c r="L505">
        <f>IF(A505="","",IF(ISNUMBER(--LEFT(A505,FIND(" - ",A505&amp;" - ")-1)),LEFT(A505,FIND(" - ",A505&amp;" - ")-1),TRIM(A505)))</f>
        <v/>
      </c>
      <c r="N505">
        <f>IF(L505="","",IF(ISNUMBER(INDEX(A505:H505,$P$1)),INDEX(A505:H505,$P$1),IFERROR(_xlfn.NUMBERVALUE(INDEX(A505:H505,$P$1),".",","),0)))</f>
        <v/>
      </c>
    </row>
    <row r="506">
      <c r="L506">
        <f>IF(A506="","",IF(ISNUMBER(--LEFT(A506,FIND(" - ",A506&amp;" - ")-1)),LEFT(A506,FIND(" - ",A506&amp;" - ")-1),TRIM(A506)))</f>
        <v/>
      </c>
      <c r="N506">
        <f>IF(L506="","",IF(ISNUMBER(INDEX(A506:H506,$P$1)),INDEX(A506:H506,$P$1),IFERROR(_xlfn.NUMBERVALUE(INDEX(A506:H506,$P$1),".",","),0)))</f>
        <v/>
      </c>
    </row>
    <row r="507">
      <c r="L507">
        <f>IF(A507="","",IF(ISNUMBER(--LEFT(A507,FIND(" - ",A507&amp;" - ")-1)),LEFT(A507,FIND(" - ",A507&amp;" - ")-1),TRIM(A507)))</f>
        <v/>
      </c>
      <c r="N507">
        <f>IF(L507="","",IF(ISNUMBER(INDEX(A507:H507,$P$1)),INDEX(A507:H507,$P$1),IFERROR(_xlfn.NUMBERVALUE(INDEX(A507:H507,$P$1),".",","),0)))</f>
        <v/>
      </c>
    </row>
    <row r="508">
      <c r="L508">
        <f>IF(A508="","",IF(ISNUMBER(--LEFT(A508,FIND(" - ",A508&amp;" - ")-1)),LEFT(A508,FIND(" - ",A508&amp;" - ")-1),TRIM(A508)))</f>
        <v/>
      </c>
      <c r="N508">
        <f>IF(L508="","",IF(ISNUMBER(INDEX(A508:H508,$P$1)),INDEX(A508:H508,$P$1),IFERROR(_xlfn.NUMBERVALUE(INDEX(A508:H508,$P$1),".",","),0)))</f>
        <v/>
      </c>
    </row>
    <row r="509">
      <c r="L509">
        <f>IF(A509="","",IF(ISNUMBER(--LEFT(A509,FIND(" - ",A509&amp;" - ")-1)),LEFT(A509,FIND(" - ",A509&amp;" - ")-1),TRIM(A509)))</f>
        <v/>
      </c>
      <c r="N509">
        <f>IF(L509="","",IF(ISNUMBER(INDEX(A509:H509,$P$1)),INDEX(A509:H509,$P$1),IFERROR(_xlfn.NUMBERVALUE(INDEX(A509:H509,$P$1),".",","),0)))</f>
        <v/>
      </c>
    </row>
    <row r="510">
      <c r="L510">
        <f>IF(A510="","",IF(ISNUMBER(--LEFT(A510,FIND(" - ",A510&amp;" - ")-1)),LEFT(A510,FIND(" - ",A510&amp;" - ")-1),TRIM(A510)))</f>
        <v/>
      </c>
      <c r="N510">
        <f>IF(L510="","",IF(ISNUMBER(INDEX(A510:H510,$P$1)),INDEX(A510:H510,$P$1),IFERROR(_xlfn.NUMBERVALUE(INDEX(A510:H510,$P$1),".",","),0)))</f>
        <v/>
      </c>
    </row>
    <row r="511">
      <c r="L511">
        <f>IF(A511="","",IF(ISNUMBER(--LEFT(A511,FIND(" - ",A511&amp;" - ")-1)),LEFT(A511,FIND(" - ",A511&amp;" - ")-1),TRIM(A511)))</f>
        <v/>
      </c>
      <c r="N511">
        <f>IF(L511="","",IF(ISNUMBER(INDEX(A511:H511,$P$1)),INDEX(A511:H511,$P$1),IFERROR(_xlfn.NUMBERVALUE(INDEX(A511:H511,$P$1),".",","),0)))</f>
        <v/>
      </c>
    </row>
    <row r="512">
      <c r="L512">
        <f>IF(A512="","",IF(ISNUMBER(--LEFT(A512,FIND(" - ",A512&amp;" - ")-1)),LEFT(A512,FIND(" - ",A512&amp;" - ")-1),TRIM(A512)))</f>
        <v/>
      </c>
      <c r="N512">
        <f>IF(L512="","",IF(ISNUMBER(INDEX(A512:H512,$P$1)),INDEX(A512:H512,$P$1),IFERROR(_xlfn.NUMBERVALUE(INDEX(A512:H512,$P$1),".",","),0)))</f>
        <v/>
      </c>
    </row>
    <row r="513">
      <c r="L513">
        <f>IF(A513="","",IF(ISNUMBER(--LEFT(A513,FIND(" - ",A513&amp;" - ")-1)),LEFT(A513,FIND(" - ",A513&amp;" - ")-1),TRIM(A513)))</f>
        <v/>
      </c>
      <c r="N513">
        <f>IF(L513="","",IF(ISNUMBER(INDEX(A513:H513,$P$1)),INDEX(A513:H513,$P$1),IFERROR(_xlfn.NUMBERVALUE(INDEX(A513:H513,$P$1),".",","),0)))</f>
        <v/>
      </c>
    </row>
    <row r="514">
      <c r="L514">
        <f>IF(A514="","",IF(ISNUMBER(--LEFT(A514,FIND(" - ",A514&amp;" - ")-1)),LEFT(A514,FIND(" - ",A514&amp;" - ")-1),TRIM(A514)))</f>
        <v/>
      </c>
      <c r="N514">
        <f>IF(L514="","",IF(ISNUMBER(INDEX(A514:H514,$P$1)),INDEX(A514:H514,$P$1),IFERROR(_xlfn.NUMBERVALUE(INDEX(A514:H514,$P$1),".",","),0)))</f>
        <v/>
      </c>
    </row>
    <row r="515">
      <c r="L515">
        <f>IF(A515="","",IF(ISNUMBER(--LEFT(A515,FIND(" - ",A515&amp;" - ")-1)),LEFT(A515,FIND(" - ",A515&amp;" - ")-1),TRIM(A515)))</f>
        <v/>
      </c>
      <c r="N515">
        <f>IF(L515="","",IF(ISNUMBER(INDEX(A515:H515,$P$1)),INDEX(A515:H515,$P$1),IFERROR(_xlfn.NUMBERVALUE(INDEX(A515:H515,$P$1),".",","),0)))</f>
        <v/>
      </c>
    </row>
    <row r="516">
      <c r="L516">
        <f>IF(A516="","",IF(ISNUMBER(--LEFT(A516,FIND(" - ",A516&amp;" - ")-1)),LEFT(A516,FIND(" - ",A516&amp;" - ")-1),TRIM(A516)))</f>
        <v/>
      </c>
      <c r="N516">
        <f>IF(L516="","",IF(ISNUMBER(INDEX(A516:H516,$P$1)),INDEX(A516:H516,$P$1),IFERROR(_xlfn.NUMBERVALUE(INDEX(A516:H516,$P$1),".",","),0)))</f>
        <v/>
      </c>
    </row>
    <row r="517">
      <c r="L517">
        <f>IF(A517="","",IF(ISNUMBER(--LEFT(A517,FIND(" - ",A517&amp;" - ")-1)),LEFT(A517,FIND(" - ",A517&amp;" - ")-1),TRIM(A517)))</f>
        <v/>
      </c>
      <c r="N517">
        <f>IF(L517="","",IF(ISNUMBER(INDEX(A517:H517,$P$1)),INDEX(A517:H517,$P$1),IFERROR(_xlfn.NUMBERVALUE(INDEX(A517:H517,$P$1),".",","),0)))</f>
        <v/>
      </c>
    </row>
    <row r="518">
      <c r="L518">
        <f>IF(A518="","",IF(ISNUMBER(--LEFT(A518,FIND(" - ",A518&amp;" - ")-1)),LEFT(A518,FIND(" - ",A518&amp;" - ")-1),TRIM(A518)))</f>
        <v/>
      </c>
      <c r="N518">
        <f>IF(L518="","",IF(ISNUMBER(INDEX(A518:H518,$P$1)),INDEX(A518:H518,$P$1),IFERROR(_xlfn.NUMBERVALUE(INDEX(A518:H518,$P$1),".",","),0)))</f>
        <v/>
      </c>
    </row>
    <row r="519">
      <c r="L519">
        <f>IF(A519="","",IF(ISNUMBER(--LEFT(A519,FIND(" - ",A519&amp;" - ")-1)),LEFT(A519,FIND(" - ",A519&amp;" - ")-1),TRIM(A519)))</f>
        <v/>
      </c>
      <c r="N519">
        <f>IF(L519="","",IF(ISNUMBER(INDEX(A519:H519,$P$1)),INDEX(A519:H519,$P$1),IFERROR(_xlfn.NUMBERVALUE(INDEX(A519:H519,$P$1),".",","),0)))</f>
        <v/>
      </c>
    </row>
    <row r="520">
      <c r="L520">
        <f>IF(A520="","",IF(ISNUMBER(--LEFT(A520,FIND(" - ",A520&amp;" - ")-1)),LEFT(A520,FIND(" - ",A520&amp;" - ")-1),TRIM(A520)))</f>
        <v/>
      </c>
      <c r="N520">
        <f>IF(L520="","",IF(ISNUMBER(INDEX(A520:H520,$P$1)),INDEX(A520:H520,$P$1),IFERROR(_xlfn.NUMBERVALUE(INDEX(A520:H520,$P$1),".",","),0)))</f>
        <v/>
      </c>
    </row>
    <row r="521">
      <c r="L521">
        <f>IF(A521="","",IF(ISNUMBER(--LEFT(A521,FIND(" - ",A521&amp;" - ")-1)),LEFT(A521,FIND(" - ",A521&amp;" - ")-1),TRIM(A521)))</f>
        <v/>
      </c>
      <c r="N521">
        <f>IF(L521="","",IF(ISNUMBER(INDEX(A521:H521,$P$1)),INDEX(A521:H521,$P$1),IFERROR(_xlfn.NUMBERVALUE(INDEX(A521:H521,$P$1),".",","),0)))</f>
        <v/>
      </c>
    </row>
    <row r="522">
      <c r="L522">
        <f>IF(A522="","",IF(ISNUMBER(--LEFT(A522,FIND(" - ",A522&amp;" - ")-1)),LEFT(A522,FIND(" - ",A522&amp;" - ")-1),TRIM(A522)))</f>
        <v/>
      </c>
      <c r="N522">
        <f>IF(L522="","",IF(ISNUMBER(INDEX(A522:H522,$P$1)),INDEX(A522:H522,$P$1),IFERROR(_xlfn.NUMBERVALUE(INDEX(A522:H522,$P$1),".",","),0)))</f>
        <v/>
      </c>
    </row>
    <row r="523">
      <c r="L523">
        <f>IF(A523="","",IF(ISNUMBER(--LEFT(A523,FIND(" - ",A523&amp;" - ")-1)),LEFT(A523,FIND(" - ",A523&amp;" - ")-1),TRIM(A523)))</f>
        <v/>
      </c>
      <c r="N523">
        <f>IF(L523="","",IF(ISNUMBER(INDEX(A523:H523,$P$1)),INDEX(A523:H523,$P$1),IFERROR(_xlfn.NUMBERVALUE(INDEX(A523:H523,$P$1),".",","),0)))</f>
        <v/>
      </c>
    </row>
    <row r="524">
      <c r="L524">
        <f>IF(A524="","",IF(ISNUMBER(--LEFT(A524,FIND(" - ",A524&amp;" - ")-1)),LEFT(A524,FIND(" - ",A524&amp;" - ")-1),TRIM(A524)))</f>
        <v/>
      </c>
      <c r="N524">
        <f>IF(L524="","",IF(ISNUMBER(INDEX(A524:H524,$P$1)),INDEX(A524:H524,$P$1),IFERROR(_xlfn.NUMBERVALUE(INDEX(A524:H524,$P$1),".",","),0)))</f>
        <v/>
      </c>
    </row>
    <row r="525">
      <c r="L525">
        <f>IF(A525="","",IF(ISNUMBER(--LEFT(A525,FIND(" - ",A525&amp;" - ")-1)),LEFT(A525,FIND(" - ",A525&amp;" - ")-1),TRIM(A525)))</f>
        <v/>
      </c>
      <c r="N525">
        <f>IF(L525="","",IF(ISNUMBER(INDEX(A525:H525,$P$1)),INDEX(A525:H525,$P$1),IFERROR(_xlfn.NUMBERVALUE(INDEX(A525:H525,$P$1),".",","),0)))</f>
        <v/>
      </c>
    </row>
    <row r="526">
      <c r="L526">
        <f>IF(A526="","",IF(ISNUMBER(--LEFT(A526,FIND(" - ",A526&amp;" - ")-1)),LEFT(A526,FIND(" - ",A526&amp;" - ")-1),TRIM(A526)))</f>
        <v/>
      </c>
      <c r="N526">
        <f>IF(L526="","",IF(ISNUMBER(INDEX(A526:H526,$P$1)),INDEX(A526:H526,$P$1),IFERROR(_xlfn.NUMBERVALUE(INDEX(A526:H526,$P$1),".",","),0)))</f>
        <v/>
      </c>
    </row>
    <row r="527">
      <c r="L527">
        <f>IF(A527="","",IF(ISNUMBER(--LEFT(A527,FIND(" - ",A527&amp;" - ")-1)),LEFT(A527,FIND(" - ",A527&amp;" - ")-1),TRIM(A527)))</f>
        <v/>
      </c>
      <c r="N527">
        <f>IF(L527="","",IF(ISNUMBER(INDEX(A527:H527,$P$1)),INDEX(A527:H527,$P$1),IFERROR(_xlfn.NUMBERVALUE(INDEX(A527:H527,$P$1),".",","),0)))</f>
        <v/>
      </c>
    </row>
    <row r="528">
      <c r="L528">
        <f>IF(A528="","",IF(ISNUMBER(--LEFT(A528,FIND(" - ",A528&amp;" - ")-1)),LEFT(A528,FIND(" - ",A528&amp;" - ")-1),TRIM(A528)))</f>
        <v/>
      </c>
      <c r="N528">
        <f>IF(L528="","",IF(ISNUMBER(INDEX(A528:H528,$P$1)),INDEX(A528:H528,$P$1),IFERROR(_xlfn.NUMBERVALUE(INDEX(A528:H528,$P$1),".",","),0)))</f>
        <v/>
      </c>
    </row>
    <row r="529">
      <c r="L529">
        <f>IF(A529="","",IF(ISNUMBER(--LEFT(A529,FIND(" - ",A529&amp;" - ")-1)),LEFT(A529,FIND(" - ",A529&amp;" - ")-1),TRIM(A529)))</f>
        <v/>
      </c>
      <c r="N529">
        <f>IF(L529="","",IF(ISNUMBER(INDEX(A529:H529,$P$1)),INDEX(A529:H529,$P$1),IFERROR(_xlfn.NUMBERVALUE(INDEX(A529:H529,$P$1),".",","),0)))</f>
        <v/>
      </c>
    </row>
    <row r="530">
      <c r="L530">
        <f>IF(A530="","",IF(ISNUMBER(--LEFT(A530,FIND(" - ",A530&amp;" - ")-1)),LEFT(A530,FIND(" - ",A530&amp;" - ")-1),TRIM(A530)))</f>
        <v/>
      </c>
      <c r="N530">
        <f>IF(L530="","",IF(ISNUMBER(INDEX(A530:H530,$P$1)),INDEX(A530:H530,$P$1),IFERROR(_xlfn.NUMBERVALUE(INDEX(A530:H530,$P$1),".",","),0)))</f>
        <v/>
      </c>
    </row>
    <row r="531">
      <c r="L531">
        <f>IF(A531="","",IF(ISNUMBER(--LEFT(A531,FIND(" - ",A531&amp;" - ")-1)),LEFT(A531,FIND(" - ",A531&amp;" - ")-1),TRIM(A531)))</f>
        <v/>
      </c>
      <c r="N531">
        <f>IF(L531="","",IF(ISNUMBER(INDEX(A531:H531,$P$1)),INDEX(A531:H531,$P$1),IFERROR(_xlfn.NUMBERVALUE(INDEX(A531:H531,$P$1),".",","),0)))</f>
        <v/>
      </c>
    </row>
    <row r="532">
      <c r="L532">
        <f>IF(A532="","",IF(ISNUMBER(--LEFT(A532,FIND(" - ",A532&amp;" - ")-1)),LEFT(A532,FIND(" - ",A532&amp;" - ")-1),TRIM(A532)))</f>
        <v/>
      </c>
      <c r="N532">
        <f>IF(L532="","",IF(ISNUMBER(INDEX(A532:H532,$P$1)),INDEX(A532:H532,$P$1),IFERROR(_xlfn.NUMBERVALUE(INDEX(A532:H532,$P$1),".",","),0)))</f>
        <v/>
      </c>
    </row>
    <row r="533">
      <c r="L533">
        <f>IF(A533="","",IF(ISNUMBER(--LEFT(A533,FIND(" - ",A533&amp;" - ")-1)),LEFT(A533,FIND(" - ",A533&amp;" - ")-1),TRIM(A533)))</f>
        <v/>
      </c>
      <c r="N533">
        <f>IF(L533="","",IF(ISNUMBER(INDEX(A533:H533,$P$1)),INDEX(A533:H533,$P$1),IFERROR(_xlfn.NUMBERVALUE(INDEX(A533:H533,$P$1),".",","),0)))</f>
        <v/>
      </c>
    </row>
    <row r="534">
      <c r="L534">
        <f>IF(A534="","",IF(ISNUMBER(--LEFT(A534,FIND(" - ",A534&amp;" - ")-1)),LEFT(A534,FIND(" - ",A534&amp;" - ")-1),TRIM(A534)))</f>
        <v/>
      </c>
      <c r="N534">
        <f>IF(L534="","",IF(ISNUMBER(INDEX(A534:H534,$P$1)),INDEX(A534:H534,$P$1),IFERROR(_xlfn.NUMBERVALUE(INDEX(A534:H534,$P$1),".",","),0)))</f>
        <v/>
      </c>
    </row>
    <row r="535">
      <c r="L535">
        <f>IF(A535="","",IF(ISNUMBER(--LEFT(A535,FIND(" - ",A535&amp;" - ")-1)),LEFT(A535,FIND(" - ",A535&amp;" - ")-1),TRIM(A535)))</f>
        <v/>
      </c>
      <c r="N535">
        <f>IF(L535="","",IF(ISNUMBER(INDEX(A535:H535,$P$1)),INDEX(A535:H535,$P$1),IFERROR(_xlfn.NUMBERVALUE(INDEX(A535:H535,$P$1),".",","),0)))</f>
        <v/>
      </c>
    </row>
    <row r="536">
      <c r="L536">
        <f>IF(A536="","",IF(ISNUMBER(--LEFT(A536,FIND(" - ",A536&amp;" - ")-1)),LEFT(A536,FIND(" - ",A536&amp;" - ")-1),TRIM(A536)))</f>
        <v/>
      </c>
      <c r="N536">
        <f>IF(L536="","",IF(ISNUMBER(INDEX(A536:H536,$P$1)),INDEX(A536:H536,$P$1),IFERROR(_xlfn.NUMBERVALUE(INDEX(A536:H536,$P$1),".",","),0)))</f>
        <v/>
      </c>
    </row>
    <row r="537">
      <c r="L537">
        <f>IF(A537="","",IF(ISNUMBER(--LEFT(A537,FIND(" - ",A537&amp;" - ")-1)),LEFT(A537,FIND(" - ",A537&amp;" - ")-1),TRIM(A537)))</f>
        <v/>
      </c>
      <c r="N537">
        <f>IF(L537="","",IF(ISNUMBER(INDEX(A537:H537,$P$1)),INDEX(A537:H537,$P$1),IFERROR(_xlfn.NUMBERVALUE(INDEX(A537:H537,$P$1),".",","),0)))</f>
        <v/>
      </c>
    </row>
    <row r="538">
      <c r="L538">
        <f>IF(A538="","",IF(ISNUMBER(--LEFT(A538,FIND(" - ",A538&amp;" - ")-1)),LEFT(A538,FIND(" - ",A538&amp;" - ")-1),TRIM(A538)))</f>
        <v/>
      </c>
      <c r="N538">
        <f>IF(L538="","",IF(ISNUMBER(INDEX(A538:H538,$P$1)),INDEX(A538:H538,$P$1),IFERROR(_xlfn.NUMBERVALUE(INDEX(A538:H538,$P$1),".",","),0)))</f>
        <v/>
      </c>
    </row>
    <row r="539">
      <c r="L539">
        <f>IF(A539="","",IF(ISNUMBER(--LEFT(A539,FIND(" - ",A539&amp;" - ")-1)),LEFT(A539,FIND(" - ",A539&amp;" - ")-1),TRIM(A539)))</f>
        <v/>
      </c>
      <c r="N539">
        <f>IF(L539="","",IF(ISNUMBER(INDEX(A539:H539,$P$1)),INDEX(A539:H539,$P$1),IFERROR(_xlfn.NUMBERVALUE(INDEX(A539:H539,$P$1),".",","),0)))</f>
        <v/>
      </c>
    </row>
    <row r="540">
      <c r="L540">
        <f>IF(A540="","",IF(ISNUMBER(--LEFT(A540,FIND(" - ",A540&amp;" - ")-1)),LEFT(A540,FIND(" - ",A540&amp;" - ")-1),TRIM(A540)))</f>
        <v/>
      </c>
      <c r="N540">
        <f>IF(L540="","",IF(ISNUMBER(INDEX(A540:H540,$P$1)),INDEX(A540:H540,$P$1),IFERROR(_xlfn.NUMBERVALUE(INDEX(A540:H540,$P$1),".",","),0)))</f>
        <v/>
      </c>
    </row>
    <row r="541">
      <c r="L541">
        <f>IF(A541="","",IF(ISNUMBER(--LEFT(A541,FIND(" - ",A541&amp;" - ")-1)),LEFT(A541,FIND(" - ",A541&amp;" - ")-1),TRIM(A541)))</f>
        <v/>
      </c>
      <c r="N541">
        <f>IF(L541="","",IF(ISNUMBER(INDEX(A541:H541,$P$1)),INDEX(A541:H541,$P$1),IFERROR(_xlfn.NUMBERVALUE(INDEX(A541:H541,$P$1),".",","),0)))</f>
        <v/>
      </c>
    </row>
    <row r="542">
      <c r="L542">
        <f>IF(A542="","",IF(ISNUMBER(--LEFT(A542,FIND(" - ",A542&amp;" - ")-1)),LEFT(A542,FIND(" - ",A542&amp;" - ")-1),TRIM(A542)))</f>
        <v/>
      </c>
      <c r="N542">
        <f>IF(L542="","",IF(ISNUMBER(INDEX(A542:H542,$P$1)),INDEX(A542:H542,$P$1),IFERROR(_xlfn.NUMBERVALUE(INDEX(A542:H542,$P$1),".",","),0)))</f>
        <v/>
      </c>
    </row>
    <row r="543">
      <c r="L543">
        <f>IF(A543="","",IF(ISNUMBER(--LEFT(A543,FIND(" - ",A543&amp;" - ")-1)),LEFT(A543,FIND(" - ",A543&amp;" - ")-1),TRIM(A543)))</f>
        <v/>
      </c>
      <c r="N543">
        <f>IF(L543="","",IF(ISNUMBER(INDEX(A543:H543,$P$1)),INDEX(A543:H543,$P$1),IFERROR(_xlfn.NUMBERVALUE(INDEX(A543:H543,$P$1),".",","),0)))</f>
        <v/>
      </c>
    </row>
    <row r="544">
      <c r="L544">
        <f>IF(A544="","",IF(ISNUMBER(--LEFT(A544,FIND(" - ",A544&amp;" - ")-1)),LEFT(A544,FIND(" - ",A544&amp;" - ")-1),TRIM(A544)))</f>
        <v/>
      </c>
      <c r="N544">
        <f>IF(L544="","",IF(ISNUMBER(INDEX(A544:H544,$P$1)),INDEX(A544:H544,$P$1),IFERROR(_xlfn.NUMBERVALUE(INDEX(A544:H544,$P$1),".",","),0)))</f>
        <v/>
      </c>
    </row>
    <row r="545">
      <c r="L545">
        <f>IF(A545="","",IF(ISNUMBER(--LEFT(A545,FIND(" - ",A545&amp;" - ")-1)),LEFT(A545,FIND(" - ",A545&amp;" - ")-1),TRIM(A545)))</f>
        <v/>
      </c>
      <c r="N545">
        <f>IF(L545="","",IF(ISNUMBER(INDEX(A545:H545,$P$1)),INDEX(A545:H545,$P$1),IFERROR(_xlfn.NUMBERVALUE(INDEX(A545:H545,$P$1),".",","),0)))</f>
        <v/>
      </c>
    </row>
    <row r="546">
      <c r="L546">
        <f>IF(A546="","",IF(ISNUMBER(--LEFT(A546,FIND(" - ",A546&amp;" - ")-1)),LEFT(A546,FIND(" - ",A546&amp;" - ")-1),TRIM(A546)))</f>
        <v/>
      </c>
      <c r="N546">
        <f>IF(L546="","",IF(ISNUMBER(INDEX(A546:H546,$P$1)),INDEX(A546:H546,$P$1),IFERROR(_xlfn.NUMBERVALUE(INDEX(A546:H546,$P$1),".",","),0)))</f>
        <v/>
      </c>
    </row>
    <row r="547">
      <c r="L547">
        <f>IF(A547="","",IF(ISNUMBER(--LEFT(A547,FIND(" - ",A547&amp;" - ")-1)),LEFT(A547,FIND(" - ",A547&amp;" - ")-1),TRIM(A547)))</f>
        <v/>
      </c>
      <c r="N547">
        <f>IF(L547="","",IF(ISNUMBER(INDEX(A547:H547,$P$1)),INDEX(A547:H547,$P$1),IFERROR(_xlfn.NUMBERVALUE(INDEX(A547:H547,$P$1),".",","),0)))</f>
        <v/>
      </c>
    </row>
    <row r="548">
      <c r="L548">
        <f>IF(A548="","",IF(ISNUMBER(--LEFT(A548,FIND(" - ",A548&amp;" - ")-1)),LEFT(A548,FIND(" - ",A548&amp;" - ")-1),TRIM(A548)))</f>
        <v/>
      </c>
      <c r="N548">
        <f>IF(L548="","",IF(ISNUMBER(INDEX(A548:H548,$P$1)),INDEX(A548:H548,$P$1),IFERROR(_xlfn.NUMBERVALUE(INDEX(A548:H548,$P$1),".",","),0)))</f>
        <v/>
      </c>
    </row>
    <row r="549">
      <c r="L549">
        <f>IF(A549="","",IF(ISNUMBER(--LEFT(A549,FIND(" - ",A549&amp;" - ")-1)),LEFT(A549,FIND(" - ",A549&amp;" - ")-1),TRIM(A549)))</f>
        <v/>
      </c>
      <c r="N549">
        <f>IF(L549="","",IF(ISNUMBER(INDEX(A549:H549,$P$1)),INDEX(A549:H549,$P$1),IFERROR(_xlfn.NUMBERVALUE(INDEX(A549:H549,$P$1),".",","),0)))</f>
        <v/>
      </c>
    </row>
    <row r="550">
      <c r="L550">
        <f>IF(A550="","",IF(ISNUMBER(--LEFT(A550,FIND(" - ",A550&amp;" - ")-1)),LEFT(A550,FIND(" - ",A550&amp;" - ")-1),TRIM(A550)))</f>
        <v/>
      </c>
      <c r="N550">
        <f>IF(L550="","",IF(ISNUMBER(INDEX(A550:H550,$P$1)),INDEX(A550:H550,$P$1),IFERROR(_xlfn.NUMBERVALUE(INDEX(A550:H550,$P$1),".",","),0)))</f>
        <v/>
      </c>
    </row>
    <row r="551">
      <c r="L551">
        <f>IF(A551="","",IF(ISNUMBER(--LEFT(A551,FIND(" - ",A551&amp;" - ")-1)),LEFT(A551,FIND(" - ",A551&amp;" - ")-1),TRIM(A551)))</f>
        <v/>
      </c>
      <c r="N551">
        <f>IF(L551="","",IF(ISNUMBER(INDEX(A551:H551,$P$1)),INDEX(A551:H551,$P$1),IFERROR(_xlfn.NUMBERVALUE(INDEX(A551:H551,$P$1),".",","),0)))</f>
        <v/>
      </c>
    </row>
    <row r="552">
      <c r="L552">
        <f>IF(A552="","",IF(ISNUMBER(--LEFT(A552,FIND(" - ",A552&amp;" - ")-1)),LEFT(A552,FIND(" - ",A552&amp;" - ")-1),TRIM(A552)))</f>
        <v/>
      </c>
      <c r="N552">
        <f>IF(L552="","",IF(ISNUMBER(INDEX(A552:H552,$P$1)),INDEX(A552:H552,$P$1),IFERROR(_xlfn.NUMBERVALUE(INDEX(A552:H552,$P$1),".",","),0)))</f>
        <v/>
      </c>
    </row>
    <row r="553">
      <c r="L553">
        <f>IF(A553="","",IF(ISNUMBER(--LEFT(A553,FIND(" - ",A553&amp;" - ")-1)),LEFT(A553,FIND(" - ",A553&amp;" - ")-1),TRIM(A553)))</f>
        <v/>
      </c>
      <c r="N553">
        <f>IF(L553="","",IF(ISNUMBER(INDEX(A553:H553,$P$1)),INDEX(A553:H553,$P$1),IFERROR(_xlfn.NUMBERVALUE(INDEX(A553:H553,$P$1),".",","),0)))</f>
        <v/>
      </c>
    </row>
    <row r="554">
      <c r="L554">
        <f>IF(A554="","",IF(ISNUMBER(--LEFT(A554,FIND(" - ",A554&amp;" - ")-1)),LEFT(A554,FIND(" - ",A554&amp;" - ")-1),TRIM(A554)))</f>
        <v/>
      </c>
      <c r="N554">
        <f>IF(L554="","",IF(ISNUMBER(INDEX(A554:H554,$P$1)),INDEX(A554:H554,$P$1),IFERROR(_xlfn.NUMBERVALUE(INDEX(A554:H554,$P$1),".",","),0)))</f>
        <v/>
      </c>
    </row>
    <row r="555">
      <c r="L555">
        <f>IF(A555="","",IF(ISNUMBER(--LEFT(A555,FIND(" - ",A555&amp;" - ")-1)),LEFT(A555,FIND(" - ",A555&amp;" - ")-1),TRIM(A555)))</f>
        <v/>
      </c>
      <c r="N555">
        <f>IF(L555="","",IF(ISNUMBER(INDEX(A555:H555,$P$1)),INDEX(A555:H555,$P$1),IFERROR(_xlfn.NUMBERVALUE(INDEX(A555:H555,$P$1),".",","),0)))</f>
        <v/>
      </c>
    </row>
    <row r="556">
      <c r="L556">
        <f>IF(A556="","",IF(ISNUMBER(--LEFT(A556,FIND(" - ",A556&amp;" - ")-1)),LEFT(A556,FIND(" - ",A556&amp;" - ")-1),TRIM(A556)))</f>
        <v/>
      </c>
      <c r="N556">
        <f>IF(L556="","",IF(ISNUMBER(INDEX(A556:H556,$P$1)),INDEX(A556:H556,$P$1),IFERROR(_xlfn.NUMBERVALUE(INDEX(A556:H556,$P$1),".",","),0)))</f>
        <v/>
      </c>
    </row>
    <row r="557">
      <c r="L557">
        <f>IF(A557="","",IF(ISNUMBER(--LEFT(A557,FIND(" - ",A557&amp;" - ")-1)),LEFT(A557,FIND(" - ",A557&amp;" - ")-1),TRIM(A557)))</f>
        <v/>
      </c>
      <c r="N557">
        <f>IF(L557="","",IF(ISNUMBER(INDEX(A557:H557,$P$1)),INDEX(A557:H557,$P$1),IFERROR(_xlfn.NUMBERVALUE(INDEX(A557:H557,$P$1),".",","),0)))</f>
        <v/>
      </c>
    </row>
    <row r="558">
      <c r="L558">
        <f>IF(A558="","",IF(ISNUMBER(--LEFT(A558,FIND(" - ",A558&amp;" - ")-1)),LEFT(A558,FIND(" - ",A558&amp;" - ")-1),TRIM(A558)))</f>
        <v/>
      </c>
      <c r="N558">
        <f>IF(L558="","",IF(ISNUMBER(INDEX(A558:H558,$P$1)),INDEX(A558:H558,$P$1),IFERROR(_xlfn.NUMBERVALUE(INDEX(A558:H558,$P$1),".",","),0)))</f>
        <v/>
      </c>
    </row>
    <row r="559">
      <c r="L559">
        <f>IF(A559="","",IF(ISNUMBER(--LEFT(A559,FIND(" - ",A559&amp;" - ")-1)),LEFT(A559,FIND(" - ",A559&amp;" - ")-1),TRIM(A559)))</f>
        <v/>
      </c>
      <c r="N559">
        <f>IF(L559="","",IF(ISNUMBER(INDEX(A559:H559,$P$1)),INDEX(A559:H559,$P$1),IFERROR(_xlfn.NUMBERVALUE(INDEX(A559:H559,$P$1),".",","),0)))</f>
        <v/>
      </c>
    </row>
    <row r="560">
      <c r="L560">
        <f>IF(A560="","",IF(ISNUMBER(--LEFT(A560,FIND(" - ",A560&amp;" - ")-1)),LEFT(A560,FIND(" - ",A560&amp;" - ")-1),TRIM(A560)))</f>
        <v/>
      </c>
      <c r="N560">
        <f>IF(L560="","",IF(ISNUMBER(INDEX(A560:H560,$P$1)),INDEX(A560:H560,$P$1),IFERROR(_xlfn.NUMBERVALUE(INDEX(A560:H560,$P$1),".",","),0)))</f>
        <v/>
      </c>
    </row>
    <row r="561">
      <c r="L561">
        <f>IF(A561="","",IF(ISNUMBER(--LEFT(A561,FIND(" - ",A561&amp;" - ")-1)),LEFT(A561,FIND(" - ",A561&amp;" - ")-1),TRIM(A561)))</f>
        <v/>
      </c>
      <c r="N561">
        <f>IF(L561="","",IF(ISNUMBER(INDEX(A561:H561,$P$1)),INDEX(A561:H561,$P$1),IFERROR(_xlfn.NUMBERVALUE(INDEX(A561:H561,$P$1),".",","),0)))</f>
        <v/>
      </c>
    </row>
    <row r="562">
      <c r="L562">
        <f>IF(A562="","",IF(ISNUMBER(--LEFT(A562,FIND(" - ",A562&amp;" - ")-1)),LEFT(A562,FIND(" - ",A562&amp;" - ")-1),TRIM(A562)))</f>
        <v/>
      </c>
      <c r="N562">
        <f>IF(L562="","",IF(ISNUMBER(INDEX(A562:H562,$P$1)),INDEX(A562:H562,$P$1),IFERROR(_xlfn.NUMBERVALUE(INDEX(A562:H562,$P$1),".",","),0)))</f>
        <v/>
      </c>
    </row>
    <row r="563">
      <c r="L563">
        <f>IF(A563="","",IF(ISNUMBER(--LEFT(A563,FIND(" - ",A563&amp;" - ")-1)),LEFT(A563,FIND(" - ",A563&amp;" - ")-1),TRIM(A563)))</f>
        <v/>
      </c>
      <c r="N563">
        <f>IF(L563="","",IF(ISNUMBER(INDEX(A563:H563,$P$1)),INDEX(A563:H563,$P$1),IFERROR(_xlfn.NUMBERVALUE(INDEX(A563:H563,$P$1),".",","),0)))</f>
        <v/>
      </c>
    </row>
    <row r="564">
      <c r="L564">
        <f>IF(A564="","",IF(ISNUMBER(--LEFT(A564,FIND(" - ",A564&amp;" - ")-1)),LEFT(A564,FIND(" - ",A564&amp;" - ")-1),TRIM(A564)))</f>
        <v/>
      </c>
      <c r="N564">
        <f>IF(L564="","",IF(ISNUMBER(INDEX(A564:H564,$P$1)),INDEX(A564:H564,$P$1),IFERROR(_xlfn.NUMBERVALUE(INDEX(A564:H564,$P$1),".",","),0)))</f>
        <v/>
      </c>
    </row>
    <row r="565">
      <c r="L565">
        <f>IF(A565="","",IF(ISNUMBER(--LEFT(A565,FIND(" - ",A565&amp;" - ")-1)),LEFT(A565,FIND(" - ",A565&amp;" - ")-1),TRIM(A565)))</f>
        <v/>
      </c>
      <c r="N565">
        <f>IF(L565="","",IF(ISNUMBER(INDEX(A565:H565,$P$1)),INDEX(A565:H565,$P$1),IFERROR(_xlfn.NUMBERVALUE(INDEX(A565:H565,$P$1),".",","),0)))</f>
        <v/>
      </c>
    </row>
    <row r="566">
      <c r="L566">
        <f>IF(A566="","",IF(ISNUMBER(--LEFT(A566,FIND(" - ",A566&amp;" - ")-1)),LEFT(A566,FIND(" - ",A566&amp;" - ")-1),TRIM(A566)))</f>
        <v/>
      </c>
      <c r="N566">
        <f>IF(L566="","",IF(ISNUMBER(INDEX(A566:H566,$P$1)),INDEX(A566:H566,$P$1),IFERROR(_xlfn.NUMBERVALUE(INDEX(A566:H566,$P$1),".",","),0)))</f>
        <v/>
      </c>
    </row>
    <row r="567">
      <c r="L567">
        <f>IF(A567="","",IF(ISNUMBER(--LEFT(A567,FIND(" - ",A567&amp;" - ")-1)),LEFT(A567,FIND(" - ",A567&amp;" - ")-1),TRIM(A567)))</f>
        <v/>
      </c>
      <c r="N567">
        <f>IF(L567="","",IF(ISNUMBER(INDEX(A567:H567,$P$1)),INDEX(A567:H567,$P$1),IFERROR(_xlfn.NUMBERVALUE(INDEX(A567:H567,$P$1),".",","),0)))</f>
        <v/>
      </c>
    </row>
    <row r="568">
      <c r="L568">
        <f>IF(A568="","",IF(ISNUMBER(--LEFT(A568,FIND(" - ",A568&amp;" - ")-1)),LEFT(A568,FIND(" - ",A568&amp;" - ")-1),TRIM(A568)))</f>
        <v/>
      </c>
      <c r="N568">
        <f>IF(L568="","",IF(ISNUMBER(INDEX(A568:H568,$P$1)),INDEX(A568:H568,$P$1),IFERROR(_xlfn.NUMBERVALUE(INDEX(A568:H568,$P$1),".",","),0)))</f>
        <v/>
      </c>
    </row>
    <row r="569">
      <c r="L569">
        <f>IF(A569="","",IF(ISNUMBER(--LEFT(A569,FIND(" - ",A569&amp;" - ")-1)),LEFT(A569,FIND(" - ",A569&amp;" - ")-1),TRIM(A569)))</f>
        <v/>
      </c>
      <c r="N569">
        <f>IF(L569="","",IF(ISNUMBER(INDEX(A569:H569,$P$1)),INDEX(A569:H569,$P$1),IFERROR(_xlfn.NUMBERVALUE(INDEX(A569:H569,$P$1),".",","),0)))</f>
        <v/>
      </c>
    </row>
    <row r="570">
      <c r="L570">
        <f>IF(A570="","",IF(ISNUMBER(--LEFT(A570,FIND(" - ",A570&amp;" - ")-1)),LEFT(A570,FIND(" - ",A570&amp;" - ")-1),TRIM(A570)))</f>
        <v/>
      </c>
      <c r="N570">
        <f>IF(L570="","",IF(ISNUMBER(INDEX(A570:H570,$P$1)),INDEX(A570:H570,$P$1),IFERROR(_xlfn.NUMBERVALUE(INDEX(A570:H570,$P$1),".",","),0)))</f>
        <v/>
      </c>
    </row>
    <row r="571">
      <c r="L571">
        <f>IF(A571="","",IF(ISNUMBER(--LEFT(A571,FIND(" - ",A571&amp;" - ")-1)),LEFT(A571,FIND(" - ",A571&amp;" - ")-1),TRIM(A571)))</f>
        <v/>
      </c>
      <c r="N571">
        <f>IF(L571="","",IF(ISNUMBER(INDEX(A571:H571,$P$1)),INDEX(A571:H571,$P$1),IFERROR(_xlfn.NUMBERVALUE(INDEX(A571:H571,$P$1),".",","),0)))</f>
        <v/>
      </c>
    </row>
    <row r="572">
      <c r="L572">
        <f>IF(A572="","",IF(ISNUMBER(--LEFT(A572,FIND(" - ",A572&amp;" - ")-1)),LEFT(A572,FIND(" - ",A572&amp;" - ")-1),TRIM(A572)))</f>
        <v/>
      </c>
      <c r="N572">
        <f>IF(L572="","",IF(ISNUMBER(INDEX(A572:H572,$P$1)),INDEX(A572:H572,$P$1),IFERROR(_xlfn.NUMBERVALUE(INDEX(A572:H572,$P$1),".",","),0)))</f>
        <v/>
      </c>
    </row>
    <row r="573">
      <c r="L573">
        <f>IF(A573="","",IF(ISNUMBER(--LEFT(A573,FIND(" - ",A573&amp;" - ")-1)),LEFT(A573,FIND(" - ",A573&amp;" - ")-1),TRIM(A573)))</f>
        <v/>
      </c>
      <c r="N573">
        <f>IF(L573="","",IF(ISNUMBER(INDEX(A573:H573,$P$1)),INDEX(A573:H573,$P$1),IFERROR(_xlfn.NUMBERVALUE(INDEX(A573:H573,$P$1),".",","),0)))</f>
        <v/>
      </c>
    </row>
    <row r="574">
      <c r="L574">
        <f>IF(A574="","",IF(ISNUMBER(--LEFT(A574,FIND(" - ",A574&amp;" - ")-1)),LEFT(A574,FIND(" - ",A574&amp;" - ")-1),TRIM(A574)))</f>
        <v/>
      </c>
      <c r="N574">
        <f>IF(L574="","",IF(ISNUMBER(INDEX(A574:H574,$P$1)),INDEX(A574:H574,$P$1),IFERROR(_xlfn.NUMBERVALUE(INDEX(A574:H574,$P$1),".",","),0)))</f>
        <v/>
      </c>
    </row>
    <row r="575">
      <c r="L575">
        <f>IF(A575="","",IF(ISNUMBER(--LEFT(A575,FIND(" - ",A575&amp;" - ")-1)),LEFT(A575,FIND(" - ",A575&amp;" - ")-1),TRIM(A575)))</f>
        <v/>
      </c>
      <c r="N575">
        <f>IF(L575="","",IF(ISNUMBER(INDEX(A575:H575,$P$1)),INDEX(A575:H575,$P$1),IFERROR(_xlfn.NUMBERVALUE(INDEX(A575:H575,$P$1),".",","),0)))</f>
        <v/>
      </c>
    </row>
    <row r="576">
      <c r="L576">
        <f>IF(A576="","",IF(ISNUMBER(--LEFT(A576,FIND(" - ",A576&amp;" - ")-1)),LEFT(A576,FIND(" - ",A576&amp;" - ")-1),TRIM(A576)))</f>
        <v/>
      </c>
      <c r="N576">
        <f>IF(L576="","",IF(ISNUMBER(INDEX(A576:H576,$P$1)),INDEX(A576:H576,$P$1),IFERROR(_xlfn.NUMBERVALUE(INDEX(A576:H576,$P$1),".",","),0)))</f>
        <v/>
      </c>
    </row>
    <row r="577">
      <c r="L577">
        <f>IF(A577="","",IF(ISNUMBER(--LEFT(A577,FIND(" - ",A577&amp;" - ")-1)),LEFT(A577,FIND(" - ",A577&amp;" - ")-1),TRIM(A577)))</f>
        <v/>
      </c>
      <c r="N577">
        <f>IF(L577="","",IF(ISNUMBER(INDEX(A577:H577,$P$1)),INDEX(A577:H577,$P$1),IFERROR(_xlfn.NUMBERVALUE(INDEX(A577:H577,$P$1),".",","),0)))</f>
        <v/>
      </c>
    </row>
    <row r="578">
      <c r="L578">
        <f>IF(A578="","",IF(ISNUMBER(--LEFT(A578,FIND(" - ",A578&amp;" - ")-1)),LEFT(A578,FIND(" - ",A578&amp;" - ")-1),TRIM(A578)))</f>
        <v/>
      </c>
      <c r="N578">
        <f>IF(L578="","",IF(ISNUMBER(INDEX(A578:H578,$P$1)),INDEX(A578:H578,$P$1),IFERROR(_xlfn.NUMBERVALUE(INDEX(A578:H578,$P$1),".",","),0)))</f>
        <v/>
      </c>
    </row>
    <row r="579">
      <c r="L579">
        <f>IF(A579="","",IF(ISNUMBER(--LEFT(A579,FIND(" - ",A579&amp;" - ")-1)),LEFT(A579,FIND(" - ",A579&amp;" - ")-1),TRIM(A579)))</f>
        <v/>
      </c>
      <c r="N579">
        <f>IF(L579="","",IF(ISNUMBER(INDEX(A579:H579,$P$1)),INDEX(A579:H579,$P$1),IFERROR(_xlfn.NUMBERVALUE(INDEX(A579:H579,$P$1),".",","),0)))</f>
        <v/>
      </c>
    </row>
    <row r="580">
      <c r="L580">
        <f>IF(A580="","",IF(ISNUMBER(--LEFT(A580,FIND(" - ",A580&amp;" - ")-1)),LEFT(A580,FIND(" - ",A580&amp;" - ")-1),TRIM(A580)))</f>
        <v/>
      </c>
      <c r="N580">
        <f>IF(L580="","",IF(ISNUMBER(INDEX(A580:H580,$P$1)),INDEX(A580:H580,$P$1),IFERROR(_xlfn.NUMBERVALUE(INDEX(A580:H580,$P$1),".",","),0)))</f>
        <v/>
      </c>
    </row>
    <row r="581">
      <c r="L581">
        <f>IF(A581="","",IF(ISNUMBER(--LEFT(A581,FIND(" - ",A581&amp;" - ")-1)),LEFT(A581,FIND(" - ",A581&amp;" - ")-1),TRIM(A581)))</f>
        <v/>
      </c>
      <c r="N581">
        <f>IF(L581="","",IF(ISNUMBER(INDEX(A581:H581,$P$1)),INDEX(A581:H581,$P$1),IFERROR(_xlfn.NUMBERVALUE(INDEX(A581:H581,$P$1),".",","),0)))</f>
        <v/>
      </c>
    </row>
    <row r="582">
      <c r="L582">
        <f>IF(A582="","",IF(ISNUMBER(--LEFT(A582,FIND(" - ",A582&amp;" - ")-1)),LEFT(A582,FIND(" - ",A582&amp;" - ")-1),TRIM(A582)))</f>
        <v/>
      </c>
      <c r="N582">
        <f>IF(L582="","",IF(ISNUMBER(INDEX(A582:H582,$P$1)),INDEX(A582:H582,$P$1),IFERROR(_xlfn.NUMBERVALUE(INDEX(A582:H582,$P$1),".",","),0)))</f>
        <v/>
      </c>
    </row>
    <row r="583">
      <c r="L583">
        <f>IF(A583="","",IF(ISNUMBER(--LEFT(A583,FIND(" - ",A583&amp;" - ")-1)),LEFT(A583,FIND(" - ",A583&amp;" - ")-1),TRIM(A583)))</f>
        <v/>
      </c>
      <c r="N583">
        <f>IF(L583="","",IF(ISNUMBER(INDEX(A583:H583,$P$1)),INDEX(A583:H583,$P$1),IFERROR(_xlfn.NUMBERVALUE(INDEX(A583:H583,$P$1),".",","),0)))</f>
        <v/>
      </c>
    </row>
    <row r="584">
      <c r="L584">
        <f>IF(A584="","",IF(ISNUMBER(--LEFT(A584,FIND(" - ",A584&amp;" - ")-1)),LEFT(A584,FIND(" - ",A584&amp;" - ")-1),TRIM(A584)))</f>
        <v/>
      </c>
      <c r="N584">
        <f>IF(L584="","",IF(ISNUMBER(INDEX(A584:H584,$P$1)),INDEX(A584:H584,$P$1),IFERROR(_xlfn.NUMBERVALUE(INDEX(A584:H584,$P$1),".",","),0)))</f>
        <v/>
      </c>
    </row>
    <row r="585">
      <c r="L585">
        <f>IF(A585="","",IF(ISNUMBER(--LEFT(A585,FIND(" - ",A585&amp;" - ")-1)),LEFT(A585,FIND(" - ",A585&amp;" - ")-1),TRIM(A585)))</f>
        <v/>
      </c>
      <c r="N585">
        <f>IF(L585="","",IF(ISNUMBER(INDEX(A585:H585,$P$1)),INDEX(A585:H585,$P$1),IFERROR(_xlfn.NUMBERVALUE(INDEX(A585:H585,$P$1),".",","),0)))</f>
        <v/>
      </c>
    </row>
    <row r="586">
      <c r="L586">
        <f>IF(A586="","",IF(ISNUMBER(--LEFT(A586,FIND(" - ",A586&amp;" - ")-1)),LEFT(A586,FIND(" - ",A586&amp;" - ")-1),TRIM(A586)))</f>
        <v/>
      </c>
      <c r="N586">
        <f>IF(L586="","",IF(ISNUMBER(INDEX(A586:H586,$P$1)),INDEX(A586:H586,$P$1),IFERROR(_xlfn.NUMBERVALUE(INDEX(A586:H586,$P$1),".",","),0)))</f>
        <v/>
      </c>
    </row>
    <row r="587">
      <c r="L587">
        <f>IF(A587="","",IF(ISNUMBER(--LEFT(A587,FIND(" - ",A587&amp;" - ")-1)),LEFT(A587,FIND(" - ",A587&amp;" - ")-1),TRIM(A587)))</f>
        <v/>
      </c>
      <c r="N587">
        <f>IF(L587="","",IF(ISNUMBER(INDEX(A587:H587,$P$1)),INDEX(A587:H587,$P$1),IFERROR(_xlfn.NUMBERVALUE(INDEX(A587:H587,$P$1),".",","),0)))</f>
        <v/>
      </c>
    </row>
    <row r="588">
      <c r="L588">
        <f>IF(A588="","",IF(ISNUMBER(--LEFT(A588,FIND(" - ",A588&amp;" - ")-1)),LEFT(A588,FIND(" - ",A588&amp;" - ")-1),TRIM(A588)))</f>
        <v/>
      </c>
      <c r="N588">
        <f>IF(L588="","",IF(ISNUMBER(INDEX(A588:H588,$P$1)),INDEX(A588:H588,$P$1),IFERROR(_xlfn.NUMBERVALUE(INDEX(A588:H588,$P$1),".",","),0)))</f>
        <v/>
      </c>
    </row>
    <row r="589">
      <c r="L589">
        <f>IF(A589="","",IF(ISNUMBER(--LEFT(A589,FIND(" - ",A589&amp;" - ")-1)),LEFT(A589,FIND(" - ",A589&amp;" - ")-1),TRIM(A589)))</f>
        <v/>
      </c>
      <c r="N589">
        <f>IF(L589="","",IF(ISNUMBER(INDEX(A589:H589,$P$1)),INDEX(A589:H589,$P$1),IFERROR(_xlfn.NUMBERVALUE(INDEX(A589:H589,$P$1),".",","),0)))</f>
        <v/>
      </c>
    </row>
    <row r="590">
      <c r="L590">
        <f>IF(A590="","",IF(ISNUMBER(--LEFT(A590,FIND(" - ",A590&amp;" - ")-1)),LEFT(A590,FIND(" - ",A590&amp;" - ")-1),TRIM(A590)))</f>
        <v/>
      </c>
      <c r="N590">
        <f>IF(L590="","",IF(ISNUMBER(INDEX(A590:H590,$P$1)),INDEX(A590:H590,$P$1),IFERROR(_xlfn.NUMBERVALUE(INDEX(A590:H590,$P$1),".",","),0)))</f>
        <v/>
      </c>
    </row>
    <row r="591">
      <c r="L591">
        <f>IF(A591="","",IF(ISNUMBER(--LEFT(A591,FIND(" - ",A591&amp;" - ")-1)),LEFT(A591,FIND(" - ",A591&amp;" - ")-1),TRIM(A591)))</f>
        <v/>
      </c>
      <c r="N591">
        <f>IF(L591="","",IF(ISNUMBER(INDEX(A591:H591,$P$1)),INDEX(A591:H591,$P$1),IFERROR(_xlfn.NUMBERVALUE(INDEX(A591:H591,$P$1),".",","),0)))</f>
        <v/>
      </c>
    </row>
    <row r="592">
      <c r="L592">
        <f>IF(A592="","",IF(ISNUMBER(--LEFT(A592,FIND(" - ",A592&amp;" - ")-1)),LEFT(A592,FIND(" - ",A592&amp;" - ")-1),TRIM(A592)))</f>
        <v/>
      </c>
      <c r="N592">
        <f>IF(L592="","",IF(ISNUMBER(INDEX(A592:H592,$P$1)),INDEX(A592:H592,$P$1),IFERROR(_xlfn.NUMBERVALUE(INDEX(A592:H592,$P$1),".",","),0)))</f>
        <v/>
      </c>
    </row>
    <row r="593">
      <c r="L593">
        <f>IF(A593="","",IF(ISNUMBER(--LEFT(A593,FIND(" - ",A593&amp;" - ")-1)),LEFT(A593,FIND(" - ",A593&amp;" - ")-1),TRIM(A593)))</f>
        <v/>
      </c>
      <c r="N593">
        <f>IF(L593="","",IF(ISNUMBER(INDEX(A593:H593,$P$1)),INDEX(A593:H593,$P$1),IFERROR(_xlfn.NUMBERVALUE(INDEX(A593:H593,$P$1),".",","),0)))</f>
        <v/>
      </c>
    </row>
    <row r="594">
      <c r="L594">
        <f>IF(A594="","",IF(ISNUMBER(--LEFT(A594,FIND(" - ",A594&amp;" - ")-1)),LEFT(A594,FIND(" - ",A594&amp;" - ")-1),TRIM(A594)))</f>
        <v/>
      </c>
      <c r="N594">
        <f>IF(L594="","",IF(ISNUMBER(INDEX(A594:H594,$P$1)),INDEX(A594:H594,$P$1),IFERROR(_xlfn.NUMBERVALUE(INDEX(A594:H594,$P$1),".",","),0)))</f>
        <v/>
      </c>
    </row>
    <row r="595">
      <c r="L595">
        <f>IF(A595="","",IF(ISNUMBER(--LEFT(A595,FIND(" - ",A595&amp;" - ")-1)),LEFT(A595,FIND(" - ",A595&amp;" - ")-1),TRIM(A595)))</f>
        <v/>
      </c>
      <c r="N595">
        <f>IF(L595="","",IF(ISNUMBER(INDEX(A595:H595,$P$1)),INDEX(A595:H595,$P$1),IFERROR(_xlfn.NUMBERVALUE(INDEX(A595:H595,$P$1),".",","),0)))</f>
        <v/>
      </c>
    </row>
    <row r="596">
      <c r="L596">
        <f>IF(A596="","",IF(ISNUMBER(--LEFT(A596,FIND(" - ",A596&amp;" - ")-1)),LEFT(A596,FIND(" - ",A596&amp;" - ")-1),TRIM(A596)))</f>
        <v/>
      </c>
      <c r="N596">
        <f>IF(L596="","",IF(ISNUMBER(INDEX(A596:H596,$P$1)),INDEX(A596:H596,$P$1),IFERROR(_xlfn.NUMBERVALUE(INDEX(A596:H596,$P$1),".",","),0)))</f>
        <v/>
      </c>
    </row>
    <row r="597">
      <c r="L597">
        <f>IF(A597="","",IF(ISNUMBER(--LEFT(A597,FIND(" - ",A597&amp;" - ")-1)),LEFT(A597,FIND(" - ",A597&amp;" - ")-1),TRIM(A597)))</f>
        <v/>
      </c>
      <c r="N597">
        <f>IF(L597="","",IF(ISNUMBER(INDEX(A597:H597,$P$1)),INDEX(A597:H597,$P$1),IFERROR(_xlfn.NUMBERVALUE(INDEX(A597:H597,$P$1),".",","),0)))</f>
        <v/>
      </c>
    </row>
    <row r="598">
      <c r="L598">
        <f>IF(A598="","",IF(ISNUMBER(--LEFT(A598,FIND(" - ",A598&amp;" - ")-1)),LEFT(A598,FIND(" - ",A598&amp;" - ")-1),TRIM(A598)))</f>
        <v/>
      </c>
      <c r="N598">
        <f>IF(L598="","",IF(ISNUMBER(INDEX(A598:H598,$P$1)),INDEX(A598:H598,$P$1),IFERROR(_xlfn.NUMBERVALUE(INDEX(A598:H598,$P$1),".",","),0)))</f>
        <v/>
      </c>
    </row>
    <row r="599">
      <c r="L599">
        <f>IF(A599="","",IF(ISNUMBER(--LEFT(A599,FIND(" - ",A599&amp;" - ")-1)),LEFT(A599,FIND(" - ",A599&amp;" - ")-1),TRIM(A599)))</f>
        <v/>
      </c>
      <c r="N599">
        <f>IF(L599="","",IF(ISNUMBER(INDEX(A599:H599,$P$1)),INDEX(A599:H599,$P$1),IFERROR(_xlfn.NUMBERVALUE(INDEX(A599:H599,$P$1),".",","),0)))</f>
        <v/>
      </c>
    </row>
    <row r="600">
      <c r="L600">
        <f>IF(A600="","",IF(ISNUMBER(--LEFT(A600,FIND(" - ",A600&amp;" - ")-1)),LEFT(A600,FIND(" - ",A600&amp;" - ")-1),TRIM(A600)))</f>
        <v/>
      </c>
      <c r="N600">
        <f>IF(L600="","",IF(ISNUMBER(INDEX(A600:H600,$P$1)),INDEX(A600:H600,$P$1),IFERROR(_xlfn.NUMBERVALUE(INDEX(A600:H600,$P$1),".",","),0)))</f>
        <v/>
      </c>
    </row>
    <row r="601">
      <c r="L601">
        <f>IF(A601="","",IF(ISNUMBER(--LEFT(A601,FIND(" - ",A601&amp;" - ")-1)),LEFT(A601,FIND(" - ",A601&amp;" - ")-1),TRIM(A601)))</f>
        <v/>
      </c>
      <c r="N601">
        <f>IF(L601="","",IF(ISNUMBER(INDEX(A601:H601,$P$1)),INDEX(A601:H601,$P$1),IFERROR(_xlfn.NUMBERVALUE(INDEX(A601:H601,$P$1),".",","),0)))</f>
        <v/>
      </c>
    </row>
    <row r="602">
      <c r="L602">
        <f>IF(A602="","",IF(ISNUMBER(--LEFT(A602,FIND(" - ",A602&amp;" - ")-1)),LEFT(A602,FIND(" - ",A602&amp;" - ")-1),TRIM(A602)))</f>
        <v/>
      </c>
      <c r="N602">
        <f>IF(L602="","",IF(ISNUMBER(INDEX(A602:H602,$P$1)),INDEX(A602:H602,$P$1),IFERROR(_xlfn.NUMBERVALUE(INDEX(A602:H602,$P$1),".",","),0)))</f>
        <v/>
      </c>
    </row>
    <row r="603">
      <c r="L603">
        <f>IF(A603="","",IF(ISNUMBER(--LEFT(A603,FIND(" - ",A603&amp;" - ")-1)),LEFT(A603,FIND(" - ",A603&amp;" - ")-1),TRIM(A603)))</f>
        <v/>
      </c>
      <c r="N603">
        <f>IF(L603="","",IF(ISNUMBER(INDEX(A603:H603,$P$1)),INDEX(A603:H603,$P$1),IFERROR(_xlfn.NUMBERVALUE(INDEX(A603:H603,$P$1),".",","),0)))</f>
        <v/>
      </c>
    </row>
    <row r="604">
      <c r="L604">
        <f>IF(A604="","",IF(ISNUMBER(--LEFT(A604,FIND(" - ",A604&amp;" - ")-1)),LEFT(A604,FIND(" - ",A604&amp;" - ")-1),TRIM(A604)))</f>
        <v/>
      </c>
      <c r="N604">
        <f>IF(L604="","",IF(ISNUMBER(INDEX(A604:H604,$P$1)),INDEX(A604:H604,$P$1),IFERROR(_xlfn.NUMBERVALUE(INDEX(A604:H604,$P$1),".",","),0)))</f>
        <v/>
      </c>
    </row>
    <row r="605">
      <c r="L605">
        <f>IF(A605="","",IF(ISNUMBER(--LEFT(A605,FIND(" - ",A605&amp;" - ")-1)),LEFT(A605,FIND(" - ",A605&amp;" - ")-1),TRIM(A605)))</f>
        <v/>
      </c>
      <c r="N605">
        <f>IF(L605="","",IF(ISNUMBER(INDEX(A605:H605,$P$1)),INDEX(A605:H605,$P$1),IFERROR(_xlfn.NUMBERVALUE(INDEX(A605:H605,$P$1),".",","),0)))</f>
        <v/>
      </c>
    </row>
    <row r="606">
      <c r="L606">
        <f>IF(A606="","",IF(ISNUMBER(--LEFT(A606,FIND(" - ",A606&amp;" - ")-1)),LEFT(A606,FIND(" - ",A606&amp;" - ")-1),TRIM(A606)))</f>
        <v/>
      </c>
      <c r="N606">
        <f>IF(L606="","",IF(ISNUMBER(INDEX(A606:H606,$P$1)),INDEX(A606:H606,$P$1),IFERROR(_xlfn.NUMBERVALUE(INDEX(A606:H606,$P$1),".",","),0)))</f>
        <v/>
      </c>
    </row>
    <row r="607">
      <c r="L607">
        <f>IF(A607="","",IF(ISNUMBER(--LEFT(A607,FIND(" - ",A607&amp;" - ")-1)),LEFT(A607,FIND(" - ",A607&amp;" - ")-1),TRIM(A607)))</f>
        <v/>
      </c>
      <c r="N607">
        <f>IF(L607="","",IF(ISNUMBER(INDEX(A607:H607,$P$1)),INDEX(A607:H607,$P$1),IFERROR(_xlfn.NUMBERVALUE(INDEX(A607:H607,$P$1),".",","),0)))</f>
        <v/>
      </c>
    </row>
    <row r="608">
      <c r="L608">
        <f>IF(A608="","",IF(ISNUMBER(--LEFT(A608,FIND(" - ",A608&amp;" - ")-1)),LEFT(A608,FIND(" - ",A608&amp;" - ")-1),TRIM(A608)))</f>
        <v/>
      </c>
      <c r="N608">
        <f>IF(L608="","",IF(ISNUMBER(INDEX(A608:H608,$P$1)),INDEX(A608:H608,$P$1),IFERROR(_xlfn.NUMBERVALUE(INDEX(A608:H608,$P$1),".",","),0)))</f>
        <v/>
      </c>
    </row>
    <row r="609">
      <c r="L609">
        <f>IF(A609="","",IF(ISNUMBER(--LEFT(A609,FIND(" - ",A609&amp;" - ")-1)),LEFT(A609,FIND(" - ",A609&amp;" - ")-1),TRIM(A609)))</f>
        <v/>
      </c>
      <c r="N609">
        <f>IF(L609="","",IF(ISNUMBER(INDEX(A609:H609,$P$1)),INDEX(A609:H609,$P$1),IFERROR(_xlfn.NUMBERVALUE(INDEX(A609:H609,$P$1),".",","),0)))</f>
        <v/>
      </c>
    </row>
    <row r="610">
      <c r="L610">
        <f>IF(A610="","",IF(ISNUMBER(--LEFT(A610,FIND(" - ",A610&amp;" - ")-1)),LEFT(A610,FIND(" - ",A610&amp;" - ")-1),TRIM(A610)))</f>
        <v/>
      </c>
      <c r="N610">
        <f>IF(L610="","",IF(ISNUMBER(INDEX(A610:H610,$P$1)),INDEX(A610:H610,$P$1),IFERROR(_xlfn.NUMBERVALUE(INDEX(A610:H610,$P$1),".",","),0)))</f>
        <v/>
      </c>
    </row>
    <row r="611">
      <c r="L611">
        <f>IF(A611="","",IF(ISNUMBER(--LEFT(A611,FIND(" - ",A611&amp;" - ")-1)),LEFT(A611,FIND(" - ",A611&amp;" - ")-1),TRIM(A611)))</f>
        <v/>
      </c>
      <c r="N611">
        <f>IF(L611="","",IF(ISNUMBER(INDEX(A611:H611,$P$1)),INDEX(A611:H611,$P$1),IFERROR(_xlfn.NUMBERVALUE(INDEX(A611:H611,$P$1),".",","),0)))</f>
        <v/>
      </c>
    </row>
    <row r="612">
      <c r="L612">
        <f>IF(A612="","",IF(ISNUMBER(--LEFT(A612,FIND(" - ",A612&amp;" - ")-1)),LEFT(A612,FIND(" - ",A612&amp;" - ")-1),TRIM(A612)))</f>
        <v/>
      </c>
      <c r="N612">
        <f>IF(L612="","",IF(ISNUMBER(INDEX(A612:H612,$P$1)),INDEX(A612:H612,$P$1),IFERROR(_xlfn.NUMBERVALUE(INDEX(A612:H612,$P$1),".",","),0)))</f>
        <v/>
      </c>
    </row>
    <row r="613">
      <c r="L613">
        <f>IF(A613="","",IF(ISNUMBER(--LEFT(A613,FIND(" - ",A613&amp;" - ")-1)),LEFT(A613,FIND(" - ",A613&amp;" - ")-1),TRIM(A613)))</f>
        <v/>
      </c>
      <c r="N613">
        <f>IF(L613="","",IF(ISNUMBER(INDEX(A613:H613,$P$1)),INDEX(A613:H613,$P$1),IFERROR(_xlfn.NUMBERVALUE(INDEX(A613:H613,$P$1),".",","),0)))</f>
        <v/>
      </c>
    </row>
    <row r="614">
      <c r="L614">
        <f>IF(A614="","",IF(ISNUMBER(--LEFT(A614,FIND(" - ",A614&amp;" - ")-1)),LEFT(A614,FIND(" - ",A614&amp;" - ")-1),TRIM(A614)))</f>
        <v/>
      </c>
      <c r="N614">
        <f>IF(L614="","",IF(ISNUMBER(INDEX(A614:H614,$P$1)),INDEX(A614:H614,$P$1),IFERROR(_xlfn.NUMBERVALUE(INDEX(A614:H614,$P$1),".",","),0)))</f>
        <v/>
      </c>
    </row>
    <row r="615">
      <c r="L615">
        <f>IF(A615="","",IF(ISNUMBER(--LEFT(A615,FIND(" - ",A615&amp;" - ")-1)),LEFT(A615,FIND(" - ",A615&amp;" - ")-1),TRIM(A615)))</f>
        <v/>
      </c>
      <c r="N615">
        <f>IF(L615="","",IF(ISNUMBER(INDEX(A615:H615,$P$1)),INDEX(A615:H615,$P$1),IFERROR(_xlfn.NUMBERVALUE(INDEX(A615:H615,$P$1),".",","),0)))</f>
        <v/>
      </c>
    </row>
    <row r="616">
      <c r="L616">
        <f>IF(A616="","",IF(ISNUMBER(--LEFT(A616,FIND(" - ",A616&amp;" - ")-1)),LEFT(A616,FIND(" - ",A616&amp;" - ")-1),TRIM(A616)))</f>
        <v/>
      </c>
      <c r="N616">
        <f>IF(L616="","",IF(ISNUMBER(INDEX(A616:H616,$P$1)),INDEX(A616:H616,$P$1),IFERROR(_xlfn.NUMBERVALUE(INDEX(A616:H616,$P$1),".",","),0)))</f>
        <v/>
      </c>
    </row>
    <row r="617">
      <c r="L617">
        <f>IF(A617="","",IF(ISNUMBER(--LEFT(A617,FIND(" - ",A617&amp;" - ")-1)),LEFT(A617,FIND(" - ",A617&amp;" - ")-1),TRIM(A617)))</f>
        <v/>
      </c>
      <c r="N617">
        <f>IF(L617="","",IF(ISNUMBER(INDEX(A617:H617,$P$1)),INDEX(A617:H617,$P$1),IFERROR(_xlfn.NUMBERVALUE(INDEX(A617:H617,$P$1),".",","),0)))</f>
        <v/>
      </c>
    </row>
    <row r="618">
      <c r="L618">
        <f>IF(A618="","",IF(ISNUMBER(--LEFT(A618,FIND(" - ",A618&amp;" - ")-1)),LEFT(A618,FIND(" - ",A618&amp;" - ")-1),TRIM(A618)))</f>
        <v/>
      </c>
      <c r="N618">
        <f>IF(L618="","",IF(ISNUMBER(INDEX(A618:H618,$P$1)),INDEX(A618:H618,$P$1),IFERROR(_xlfn.NUMBERVALUE(INDEX(A618:H618,$P$1),".",","),0)))</f>
        <v/>
      </c>
    </row>
    <row r="619">
      <c r="L619">
        <f>IF(A619="","",IF(ISNUMBER(--LEFT(A619,FIND(" - ",A619&amp;" - ")-1)),LEFT(A619,FIND(" - ",A619&amp;" - ")-1),TRIM(A619)))</f>
        <v/>
      </c>
      <c r="N619">
        <f>IF(L619="","",IF(ISNUMBER(INDEX(A619:H619,$P$1)),INDEX(A619:H619,$P$1),IFERROR(_xlfn.NUMBERVALUE(INDEX(A619:H619,$P$1),".",","),0)))</f>
        <v/>
      </c>
    </row>
    <row r="620">
      <c r="L620">
        <f>IF(A620="","",IF(ISNUMBER(--LEFT(A620,FIND(" - ",A620&amp;" - ")-1)),LEFT(A620,FIND(" - ",A620&amp;" - ")-1),TRIM(A620)))</f>
        <v/>
      </c>
      <c r="N620">
        <f>IF(L620="","",IF(ISNUMBER(INDEX(A620:H620,$P$1)),INDEX(A620:H620,$P$1),IFERROR(_xlfn.NUMBERVALUE(INDEX(A620:H620,$P$1),".",","),0)))</f>
        <v/>
      </c>
    </row>
    <row r="621">
      <c r="L621">
        <f>IF(A621="","",IF(ISNUMBER(--LEFT(A621,FIND(" - ",A621&amp;" - ")-1)),LEFT(A621,FIND(" - ",A621&amp;" - ")-1),TRIM(A621)))</f>
        <v/>
      </c>
      <c r="N621">
        <f>IF(L621="","",IF(ISNUMBER(INDEX(A621:H621,$P$1)),INDEX(A621:H621,$P$1),IFERROR(_xlfn.NUMBERVALUE(INDEX(A621:H621,$P$1),".",","),0)))</f>
        <v/>
      </c>
    </row>
    <row r="622">
      <c r="L622">
        <f>IF(A622="","",IF(ISNUMBER(--LEFT(A622,FIND(" - ",A622&amp;" - ")-1)),LEFT(A622,FIND(" - ",A622&amp;" - ")-1),TRIM(A622)))</f>
        <v/>
      </c>
      <c r="N622">
        <f>IF(L622="","",IF(ISNUMBER(INDEX(A622:H622,$P$1)),INDEX(A622:H622,$P$1),IFERROR(_xlfn.NUMBERVALUE(INDEX(A622:H622,$P$1),".",","),0)))</f>
        <v/>
      </c>
    </row>
    <row r="623">
      <c r="L623">
        <f>IF(A623="","",IF(ISNUMBER(--LEFT(A623,FIND(" - ",A623&amp;" - ")-1)),LEFT(A623,FIND(" - ",A623&amp;" - ")-1),TRIM(A623)))</f>
        <v/>
      </c>
      <c r="N623">
        <f>IF(L623="","",IF(ISNUMBER(INDEX(A623:H623,$P$1)),INDEX(A623:H623,$P$1),IFERROR(_xlfn.NUMBERVALUE(INDEX(A623:H623,$P$1),".",","),0)))</f>
        <v/>
      </c>
    </row>
    <row r="624">
      <c r="L624">
        <f>IF(A624="","",IF(ISNUMBER(--LEFT(A624,FIND(" - ",A624&amp;" - ")-1)),LEFT(A624,FIND(" - ",A624&amp;" - ")-1),TRIM(A624)))</f>
        <v/>
      </c>
      <c r="N624">
        <f>IF(L624="","",IF(ISNUMBER(INDEX(A624:H624,$P$1)),INDEX(A624:H624,$P$1),IFERROR(_xlfn.NUMBERVALUE(INDEX(A624:H624,$P$1),".",","),0)))</f>
        <v/>
      </c>
    </row>
    <row r="625">
      <c r="L625">
        <f>IF(A625="","",IF(ISNUMBER(--LEFT(A625,FIND(" - ",A625&amp;" - ")-1)),LEFT(A625,FIND(" - ",A625&amp;" - ")-1),TRIM(A625)))</f>
        <v/>
      </c>
      <c r="N625">
        <f>IF(L625="","",IF(ISNUMBER(INDEX(A625:H625,$P$1)),INDEX(A625:H625,$P$1),IFERROR(_xlfn.NUMBERVALUE(INDEX(A625:H625,$P$1),".",","),0)))</f>
        <v/>
      </c>
    </row>
    <row r="626">
      <c r="L626">
        <f>IF(A626="","",IF(ISNUMBER(--LEFT(A626,FIND(" - ",A626&amp;" - ")-1)),LEFT(A626,FIND(" - ",A626&amp;" - ")-1),TRIM(A626)))</f>
        <v/>
      </c>
      <c r="N626">
        <f>IF(L626="","",IF(ISNUMBER(INDEX(A626:H626,$P$1)),INDEX(A626:H626,$P$1),IFERROR(_xlfn.NUMBERVALUE(INDEX(A626:H626,$P$1),".",","),0)))</f>
        <v/>
      </c>
    </row>
    <row r="627">
      <c r="L627">
        <f>IF(A627="","",IF(ISNUMBER(--LEFT(A627,FIND(" - ",A627&amp;" - ")-1)),LEFT(A627,FIND(" - ",A627&amp;" - ")-1),TRIM(A627)))</f>
        <v/>
      </c>
      <c r="N627">
        <f>IF(L627="","",IF(ISNUMBER(INDEX(A627:H627,$P$1)),INDEX(A627:H627,$P$1),IFERROR(_xlfn.NUMBERVALUE(INDEX(A627:H627,$P$1),".",","),0)))</f>
        <v/>
      </c>
    </row>
    <row r="628">
      <c r="L628">
        <f>IF(A628="","",IF(ISNUMBER(--LEFT(A628,FIND(" - ",A628&amp;" - ")-1)),LEFT(A628,FIND(" - ",A628&amp;" - ")-1),TRIM(A628)))</f>
        <v/>
      </c>
      <c r="N628">
        <f>IF(L628="","",IF(ISNUMBER(INDEX(A628:H628,$P$1)),INDEX(A628:H628,$P$1),IFERROR(_xlfn.NUMBERVALUE(INDEX(A628:H628,$P$1),".",","),0)))</f>
        <v/>
      </c>
    </row>
    <row r="629">
      <c r="L629">
        <f>IF(A629="","",IF(ISNUMBER(--LEFT(A629,FIND(" - ",A629&amp;" - ")-1)),LEFT(A629,FIND(" - ",A629&amp;" - ")-1),TRIM(A629)))</f>
        <v/>
      </c>
      <c r="N629">
        <f>IF(L629="","",IF(ISNUMBER(INDEX(A629:H629,$P$1)),INDEX(A629:H629,$P$1),IFERROR(_xlfn.NUMBERVALUE(INDEX(A629:H629,$P$1),".",","),0)))</f>
        <v/>
      </c>
    </row>
    <row r="630">
      <c r="L630">
        <f>IF(A630="","",IF(ISNUMBER(--LEFT(A630,FIND(" - ",A630&amp;" - ")-1)),LEFT(A630,FIND(" - ",A630&amp;" - ")-1),TRIM(A630)))</f>
        <v/>
      </c>
      <c r="N630">
        <f>IF(L630="","",IF(ISNUMBER(INDEX(A630:H630,$P$1)),INDEX(A630:H630,$P$1),IFERROR(_xlfn.NUMBERVALUE(INDEX(A630:H630,$P$1),".",","),0)))</f>
        <v/>
      </c>
    </row>
    <row r="631">
      <c r="L631">
        <f>IF(A631="","",IF(ISNUMBER(--LEFT(A631,FIND(" - ",A631&amp;" - ")-1)),LEFT(A631,FIND(" - ",A631&amp;" - ")-1),TRIM(A631)))</f>
        <v/>
      </c>
      <c r="N631">
        <f>IF(L631="","",IF(ISNUMBER(INDEX(A631:H631,$P$1)),INDEX(A631:H631,$P$1),IFERROR(_xlfn.NUMBERVALUE(INDEX(A631:H631,$P$1),".",","),0)))</f>
        <v/>
      </c>
    </row>
    <row r="632">
      <c r="L632">
        <f>IF(A632="","",IF(ISNUMBER(--LEFT(A632,FIND(" - ",A632&amp;" - ")-1)),LEFT(A632,FIND(" - ",A632&amp;" - ")-1),TRIM(A632)))</f>
        <v/>
      </c>
      <c r="N632">
        <f>IF(L632="","",IF(ISNUMBER(INDEX(A632:H632,$P$1)),INDEX(A632:H632,$P$1),IFERROR(_xlfn.NUMBERVALUE(INDEX(A632:H632,$P$1),".",","),0)))</f>
        <v/>
      </c>
    </row>
    <row r="633">
      <c r="L633">
        <f>IF(A633="","",IF(ISNUMBER(--LEFT(A633,FIND(" - ",A633&amp;" - ")-1)),LEFT(A633,FIND(" - ",A633&amp;" - ")-1),TRIM(A633)))</f>
        <v/>
      </c>
      <c r="N633">
        <f>IF(L633="","",IF(ISNUMBER(INDEX(A633:H633,$P$1)),INDEX(A633:H633,$P$1),IFERROR(_xlfn.NUMBERVALUE(INDEX(A633:H633,$P$1),".",","),0)))</f>
        <v/>
      </c>
    </row>
    <row r="634">
      <c r="L634">
        <f>IF(A634="","",IF(ISNUMBER(--LEFT(A634,FIND(" - ",A634&amp;" - ")-1)),LEFT(A634,FIND(" - ",A634&amp;" - ")-1),TRIM(A634)))</f>
        <v/>
      </c>
      <c r="N634">
        <f>IF(L634="","",IF(ISNUMBER(INDEX(A634:H634,$P$1)),INDEX(A634:H634,$P$1),IFERROR(_xlfn.NUMBERVALUE(INDEX(A634:H634,$P$1),".",","),0)))</f>
        <v/>
      </c>
    </row>
    <row r="635">
      <c r="L635">
        <f>IF(A635="","",IF(ISNUMBER(--LEFT(A635,FIND(" - ",A635&amp;" - ")-1)),LEFT(A635,FIND(" - ",A635&amp;" - ")-1),TRIM(A635)))</f>
        <v/>
      </c>
      <c r="N635">
        <f>IF(L635="","",IF(ISNUMBER(INDEX(A635:H635,$P$1)),INDEX(A635:H635,$P$1),IFERROR(_xlfn.NUMBERVALUE(INDEX(A635:H635,$P$1),".",","),0)))</f>
        <v/>
      </c>
    </row>
    <row r="636">
      <c r="L636">
        <f>IF(A636="","",IF(ISNUMBER(--LEFT(A636,FIND(" - ",A636&amp;" - ")-1)),LEFT(A636,FIND(" - ",A636&amp;" - ")-1),TRIM(A636)))</f>
        <v/>
      </c>
      <c r="N636">
        <f>IF(L636="","",IF(ISNUMBER(INDEX(A636:H636,$P$1)),INDEX(A636:H636,$P$1),IFERROR(_xlfn.NUMBERVALUE(INDEX(A636:H636,$P$1),".",","),0)))</f>
        <v/>
      </c>
    </row>
    <row r="637">
      <c r="L637">
        <f>IF(A637="","",IF(ISNUMBER(--LEFT(A637,FIND(" - ",A637&amp;" - ")-1)),LEFT(A637,FIND(" - ",A637&amp;" - ")-1),TRIM(A637)))</f>
        <v/>
      </c>
      <c r="N637">
        <f>IF(L637="","",IF(ISNUMBER(INDEX(A637:H637,$P$1)),INDEX(A637:H637,$P$1),IFERROR(_xlfn.NUMBERVALUE(INDEX(A637:H637,$P$1),".",","),0)))</f>
        <v/>
      </c>
    </row>
    <row r="638">
      <c r="L638">
        <f>IF(A638="","",IF(ISNUMBER(--LEFT(A638,FIND(" - ",A638&amp;" - ")-1)),LEFT(A638,FIND(" - ",A638&amp;" - ")-1),TRIM(A638)))</f>
        <v/>
      </c>
      <c r="N638">
        <f>IF(L638="","",IF(ISNUMBER(INDEX(A638:H638,$P$1)),INDEX(A638:H638,$P$1),IFERROR(_xlfn.NUMBERVALUE(INDEX(A638:H638,$P$1),".",","),0)))</f>
        <v/>
      </c>
    </row>
    <row r="639">
      <c r="L639">
        <f>IF(A639="","",IF(ISNUMBER(--LEFT(A639,FIND(" - ",A639&amp;" - ")-1)),LEFT(A639,FIND(" - ",A639&amp;" - ")-1),TRIM(A639)))</f>
        <v/>
      </c>
      <c r="N639">
        <f>IF(L639="","",IF(ISNUMBER(INDEX(A639:H639,$P$1)),INDEX(A639:H639,$P$1),IFERROR(_xlfn.NUMBERVALUE(INDEX(A639:H639,$P$1),".",","),0)))</f>
        <v/>
      </c>
    </row>
    <row r="640">
      <c r="L640">
        <f>IF(A640="","",IF(ISNUMBER(--LEFT(A640,FIND(" - ",A640&amp;" - ")-1)),LEFT(A640,FIND(" - ",A640&amp;" - ")-1),TRIM(A640)))</f>
        <v/>
      </c>
      <c r="N640">
        <f>IF(L640="","",IF(ISNUMBER(INDEX(A640:H640,$P$1)),INDEX(A640:H640,$P$1),IFERROR(_xlfn.NUMBERVALUE(INDEX(A640:H640,$P$1),".",","),0)))</f>
        <v/>
      </c>
    </row>
    <row r="641">
      <c r="L641">
        <f>IF(A641="","",IF(ISNUMBER(--LEFT(A641,FIND(" - ",A641&amp;" - ")-1)),LEFT(A641,FIND(" - ",A641&amp;" - ")-1),TRIM(A641)))</f>
        <v/>
      </c>
      <c r="N641">
        <f>IF(L641="","",IF(ISNUMBER(INDEX(A641:H641,$P$1)),INDEX(A641:H641,$P$1),IFERROR(_xlfn.NUMBERVALUE(INDEX(A641:H641,$P$1),".",","),0)))</f>
        <v/>
      </c>
    </row>
    <row r="642">
      <c r="L642">
        <f>IF(A642="","",IF(ISNUMBER(--LEFT(A642,FIND(" - ",A642&amp;" - ")-1)),LEFT(A642,FIND(" - ",A642&amp;" - ")-1),TRIM(A642)))</f>
        <v/>
      </c>
      <c r="N642">
        <f>IF(L642="","",IF(ISNUMBER(INDEX(A642:H642,$P$1)),INDEX(A642:H642,$P$1),IFERROR(_xlfn.NUMBERVALUE(INDEX(A642:H642,$P$1),".",","),0)))</f>
        <v/>
      </c>
    </row>
    <row r="643">
      <c r="L643">
        <f>IF(A643="","",IF(ISNUMBER(--LEFT(A643,FIND(" - ",A643&amp;" - ")-1)),LEFT(A643,FIND(" - ",A643&amp;" - ")-1),TRIM(A643)))</f>
        <v/>
      </c>
      <c r="N643">
        <f>IF(L643="","",IF(ISNUMBER(INDEX(A643:H643,$P$1)),INDEX(A643:H643,$P$1),IFERROR(_xlfn.NUMBERVALUE(INDEX(A643:H643,$P$1),".",","),0)))</f>
        <v/>
      </c>
    </row>
    <row r="644">
      <c r="L644">
        <f>IF(A644="","",IF(ISNUMBER(--LEFT(A644,FIND(" - ",A644&amp;" - ")-1)),LEFT(A644,FIND(" - ",A644&amp;" - ")-1),TRIM(A644)))</f>
        <v/>
      </c>
      <c r="N644">
        <f>IF(L644="","",IF(ISNUMBER(INDEX(A644:H644,$P$1)),INDEX(A644:H644,$P$1),IFERROR(_xlfn.NUMBERVALUE(INDEX(A644:H644,$P$1),".",","),0)))</f>
        <v/>
      </c>
    </row>
    <row r="645">
      <c r="L645">
        <f>IF(A645="","",IF(ISNUMBER(--LEFT(A645,FIND(" - ",A645&amp;" - ")-1)),LEFT(A645,FIND(" - ",A645&amp;" - ")-1),TRIM(A645)))</f>
        <v/>
      </c>
      <c r="N645">
        <f>IF(L645="","",IF(ISNUMBER(INDEX(A645:H645,$P$1)),INDEX(A645:H645,$P$1),IFERROR(_xlfn.NUMBERVALUE(INDEX(A645:H645,$P$1),".",","),0)))</f>
        <v/>
      </c>
    </row>
    <row r="646">
      <c r="L646">
        <f>IF(A646="","",IF(ISNUMBER(--LEFT(A646,FIND(" - ",A646&amp;" - ")-1)),LEFT(A646,FIND(" - ",A646&amp;" - ")-1),TRIM(A646)))</f>
        <v/>
      </c>
      <c r="N646">
        <f>IF(L646="","",IF(ISNUMBER(INDEX(A646:H646,$P$1)),INDEX(A646:H646,$P$1),IFERROR(_xlfn.NUMBERVALUE(INDEX(A646:H646,$P$1),".",","),0)))</f>
        <v/>
      </c>
    </row>
    <row r="647">
      <c r="L647">
        <f>IF(A647="","",IF(ISNUMBER(--LEFT(A647,FIND(" - ",A647&amp;" - ")-1)),LEFT(A647,FIND(" - ",A647&amp;" - ")-1),TRIM(A647)))</f>
        <v/>
      </c>
      <c r="N647">
        <f>IF(L647="","",IF(ISNUMBER(INDEX(A647:H647,$P$1)),INDEX(A647:H647,$P$1),IFERROR(_xlfn.NUMBERVALUE(INDEX(A647:H647,$P$1),".",","),0)))</f>
        <v/>
      </c>
    </row>
    <row r="648">
      <c r="L648">
        <f>IF(A648="","",IF(ISNUMBER(--LEFT(A648,FIND(" - ",A648&amp;" - ")-1)),LEFT(A648,FIND(" - ",A648&amp;" - ")-1),TRIM(A648)))</f>
        <v/>
      </c>
      <c r="N648">
        <f>IF(L648="","",IF(ISNUMBER(INDEX(A648:H648,$P$1)),INDEX(A648:H648,$P$1),IFERROR(_xlfn.NUMBERVALUE(INDEX(A648:H648,$P$1),".",","),0)))</f>
        <v/>
      </c>
    </row>
    <row r="649">
      <c r="L649">
        <f>IF(A649="","",IF(ISNUMBER(--LEFT(A649,FIND(" - ",A649&amp;" - ")-1)),LEFT(A649,FIND(" - ",A649&amp;" - ")-1),TRIM(A649)))</f>
        <v/>
      </c>
      <c r="N649">
        <f>IF(L649="","",IF(ISNUMBER(INDEX(A649:H649,$P$1)),INDEX(A649:H649,$P$1),IFERROR(_xlfn.NUMBERVALUE(INDEX(A649:H649,$P$1),".",","),0)))</f>
        <v/>
      </c>
    </row>
    <row r="650">
      <c r="L650">
        <f>IF(A650="","",IF(ISNUMBER(--LEFT(A650,FIND(" - ",A650&amp;" - ")-1)),LEFT(A650,FIND(" - ",A650&amp;" - ")-1),TRIM(A650)))</f>
        <v/>
      </c>
      <c r="N650">
        <f>IF(L650="","",IF(ISNUMBER(INDEX(A650:H650,$P$1)),INDEX(A650:H650,$P$1),IFERROR(_xlfn.NUMBERVALUE(INDEX(A650:H650,$P$1),".",","),0)))</f>
        <v/>
      </c>
    </row>
    <row r="651">
      <c r="L651">
        <f>IF(A651="","",IF(ISNUMBER(--LEFT(A651,FIND(" - ",A651&amp;" - ")-1)),LEFT(A651,FIND(" - ",A651&amp;" - ")-1),TRIM(A651)))</f>
        <v/>
      </c>
      <c r="N651">
        <f>IF(L651="","",IF(ISNUMBER(INDEX(A651:H651,$P$1)),INDEX(A651:H651,$P$1),IFERROR(_xlfn.NUMBERVALUE(INDEX(A651:H651,$P$1),".",","),0)))</f>
        <v/>
      </c>
    </row>
    <row r="652">
      <c r="L652">
        <f>IF(A652="","",IF(ISNUMBER(--LEFT(A652,FIND(" - ",A652&amp;" - ")-1)),LEFT(A652,FIND(" - ",A652&amp;" - ")-1),TRIM(A652)))</f>
        <v/>
      </c>
      <c r="N652">
        <f>IF(L652="","",IF(ISNUMBER(INDEX(A652:H652,$P$1)),INDEX(A652:H652,$P$1),IFERROR(_xlfn.NUMBERVALUE(INDEX(A652:H652,$P$1),".",","),0)))</f>
        <v/>
      </c>
    </row>
    <row r="653">
      <c r="L653">
        <f>IF(A653="","",IF(ISNUMBER(--LEFT(A653,FIND(" - ",A653&amp;" - ")-1)),LEFT(A653,FIND(" - ",A653&amp;" - ")-1),TRIM(A653)))</f>
        <v/>
      </c>
      <c r="N653">
        <f>IF(L653="","",IF(ISNUMBER(INDEX(A653:H653,$P$1)),INDEX(A653:H653,$P$1),IFERROR(_xlfn.NUMBERVALUE(INDEX(A653:H653,$P$1),".",","),0)))</f>
        <v/>
      </c>
    </row>
    <row r="654">
      <c r="L654">
        <f>IF(A654="","",IF(ISNUMBER(--LEFT(A654,FIND(" - ",A654&amp;" - ")-1)),LEFT(A654,FIND(" - ",A654&amp;" - ")-1),TRIM(A654)))</f>
        <v/>
      </c>
      <c r="N654">
        <f>IF(L654="","",IF(ISNUMBER(INDEX(A654:H654,$P$1)),INDEX(A654:H654,$P$1),IFERROR(_xlfn.NUMBERVALUE(INDEX(A654:H654,$P$1),".",","),0)))</f>
        <v/>
      </c>
    </row>
    <row r="655">
      <c r="L655">
        <f>IF(A655="","",IF(ISNUMBER(--LEFT(A655,FIND(" - ",A655&amp;" - ")-1)),LEFT(A655,FIND(" - ",A655&amp;" - ")-1),TRIM(A655)))</f>
        <v/>
      </c>
      <c r="N655">
        <f>IF(L655="","",IF(ISNUMBER(INDEX(A655:H655,$P$1)),INDEX(A655:H655,$P$1),IFERROR(_xlfn.NUMBERVALUE(INDEX(A655:H655,$P$1),".",","),0)))</f>
        <v/>
      </c>
    </row>
    <row r="656">
      <c r="L656">
        <f>IF(A656="","",IF(ISNUMBER(--LEFT(A656,FIND(" - ",A656&amp;" - ")-1)),LEFT(A656,FIND(" - ",A656&amp;" - ")-1),TRIM(A656)))</f>
        <v/>
      </c>
      <c r="N656">
        <f>IF(L656="","",IF(ISNUMBER(INDEX(A656:H656,$P$1)),INDEX(A656:H656,$P$1),IFERROR(_xlfn.NUMBERVALUE(INDEX(A656:H656,$P$1),".",","),0)))</f>
        <v/>
      </c>
    </row>
    <row r="657">
      <c r="L657">
        <f>IF(A657="","",IF(ISNUMBER(--LEFT(A657,FIND(" - ",A657&amp;" - ")-1)),LEFT(A657,FIND(" - ",A657&amp;" - ")-1),TRIM(A657)))</f>
        <v/>
      </c>
      <c r="N657">
        <f>IF(L657="","",IF(ISNUMBER(INDEX(A657:H657,$P$1)),INDEX(A657:H657,$P$1),IFERROR(_xlfn.NUMBERVALUE(INDEX(A657:H657,$P$1),".",","),0)))</f>
        <v/>
      </c>
    </row>
    <row r="658">
      <c r="L658">
        <f>IF(A658="","",IF(ISNUMBER(--LEFT(A658,FIND(" - ",A658&amp;" - ")-1)),LEFT(A658,FIND(" - ",A658&amp;" - ")-1),TRIM(A658)))</f>
        <v/>
      </c>
      <c r="N658">
        <f>IF(L658="","",IF(ISNUMBER(INDEX(A658:H658,$P$1)),INDEX(A658:H658,$P$1),IFERROR(_xlfn.NUMBERVALUE(INDEX(A658:H658,$P$1),".",","),0)))</f>
        <v/>
      </c>
    </row>
    <row r="659">
      <c r="L659">
        <f>IF(A659="","",IF(ISNUMBER(--LEFT(A659,FIND(" - ",A659&amp;" - ")-1)),LEFT(A659,FIND(" - ",A659&amp;" - ")-1),TRIM(A659)))</f>
        <v/>
      </c>
      <c r="N659">
        <f>IF(L659="","",IF(ISNUMBER(INDEX(A659:H659,$P$1)),INDEX(A659:H659,$P$1),IFERROR(_xlfn.NUMBERVALUE(INDEX(A659:H659,$P$1),".",","),0)))</f>
        <v/>
      </c>
    </row>
    <row r="660">
      <c r="L660">
        <f>IF(A660="","",IF(ISNUMBER(--LEFT(A660,FIND(" - ",A660&amp;" - ")-1)),LEFT(A660,FIND(" - ",A660&amp;" - ")-1),TRIM(A660)))</f>
        <v/>
      </c>
      <c r="N660">
        <f>IF(L660="","",IF(ISNUMBER(INDEX(A660:H660,$P$1)),INDEX(A660:H660,$P$1),IFERROR(_xlfn.NUMBERVALUE(INDEX(A660:H660,$P$1),".",","),0)))</f>
        <v/>
      </c>
    </row>
    <row r="661">
      <c r="L661">
        <f>IF(A661="","",IF(ISNUMBER(--LEFT(A661,FIND(" - ",A661&amp;" - ")-1)),LEFT(A661,FIND(" - ",A661&amp;" - ")-1),TRIM(A661)))</f>
        <v/>
      </c>
      <c r="N661">
        <f>IF(L661="","",IF(ISNUMBER(INDEX(A661:H661,$P$1)),INDEX(A661:H661,$P$1),IFERROR(_xlfn.NUMBERVALUE(INDEX(A661:H661,$P$1),".",","),0)))</f>
        <v/>
      </c>
    </row>
    <row r="662">
      <c r="L662">
        <f>IF(A662="","",IF(ISNUMBER(--LEFT(A662,FIND(" - ",A662&amp;" - ")-1)),LEFT(A662,FIND(" - ",A662&amp;" - ")-1),TRIM(A662)))</f>
        <v/>
      </c>
      <c r="N662">
        <f>IF(L662="","",IF(ISNUMBER(INDEX(A662:H662,$P$1)),INDEX(A662:H662,$P$1),IFERROR(_xlfn.NUMBERVALUE(INDEX(A662:H662,$P$1),".",","),0)))</f>
        <v/>
      </c>
    </row>
    <row r="663">
      <c r="L663">
        <f>IF(A663="","",IF(ISNUMBER(--LEFT(A663,FIND(" - ",A663&amp;" - ")-1)),LEFT(A663,FIND(" - ",A663&amp;" - ")-1),TRIM(A663)))</f>
        <v/>
      </c>
      <c r="N663">
        <f>IF(L663="","",IF(ISNUMBER(INDEX(A663:H663,$P$1)),INDEX(A663:H663,$P$1),IFERROR(_xlfn.NUMBERVALUE(INDEX(A663:H663,$P$1),".",","),0)))</f>
        <v/>
      </c>
    </row>
    <row r="664">
      <c r="L664">
        <f>IF(A664="","",IF(ISNUMBER(--LEFT(A664,FIND(" - ",A664&amp;" - ")-1)),LEFT(A664,FIND(" - ",A664&amp;" - ")-1),TRIM(A664)))</f>
        <v/>
      </c>
      <c r="N664">
        <f>IF(L664="","",IF(ISNUMBER(INDEX(A664:H664,$P$1)),INDEX(A664:H664,$P$1),IFERROR(_xlfn.NUMBERVALUE(INDEX(A664:H664,$P$1),".",","),0)))</f>
        <v/>
      </c>
    </row>
    <row r="665">
      <c r="L665">
        <f>IF(A665="","",IF(ISNUMBER(--LEFT(A665,FIND(" - ",A665&amp;" - ")-1)),LEFT(A665,FIND(" - ",A665&amp;" - ")-1),TRIM(A665)))</f>
        <v/>
      </c>
      <c r="N665">
        <f>IF(L665="","",IF(ISNUMBER(INDEX(A665:H665,$P$1)),INDEX(A665:H665,$P$1),IFERROR(_xlfn.NUMBERVALUE(INDEX(A665:H665,$P$1),".",","),0)))</f>
        <v/>
      </c>
    </row>
    <row r="666">
      <c r="L666">
        <f>IF(A666="","",IF(ISNUMBER(--LEFT(A666,FIND(" - ",A666&amp;" - ")-1)),LEFT(A666,FIND(" - ",A666&amp;" - ")-1),TRIM(A666)))</f>
        <v/>
      </c>
      <c r="N666">
        <f>IF(L666="","",IF(ISNUMBER(INDEX(A666:H666,$P$1)),INDEX(A666:H666,$P$1),IFERROR(_xlfn.NUMBERVALUE(INDEX(A666:H666,$P$1),".",","),0)))</f>
        <v/>
      </c>
    </row>
    <row r="667">
      <c r="L667">
        <f>IF(A667="","",IF(ISNUMBER(--LEFT(A667,FIND(" - ",A667&amp;" - ")-1)),LEFT(A667,FIND(" - ",A667&amp;" - ")-1),TRIM(A667)))</f>
        <v/>
      </c>
      <c r="N667">
        <f>IF(L667="","",IF(ISNUMBER(INDEX(A667:H667,$P$1)),INDEX(A667:H667,$P$1),IFERROR(_xlfn.NUMBERVALUE(INDEX(A667:H667,$P$1),".",","),0)))</f>
        <v/>
      </c>
    </row>
    <row r="668">
      <c r="L668">
        <f>IF(A668="","",IF(ISNUMBER(--LEFT(A668,FIND(" - ",A668&amp;" - ")-1)),LEFT(A668,FIND(" - ",A668&amp;" - ")-1),TRIM(A668)))</f>
        <v/>
      </c>
      <c r="N668">
        <f>IF(L668="","",IF(ISNUMBER(INDEX(A668:H668,$P$1)),INDEX(A668:H668,$P$1),IFERROR(_xlfn.NUMBERVALUE(INDEX(A668:H668,$P$1),".",","),0)))</f>
        <v/>
      </c>
    </row>
    <row r="669">
      <c r="L669">
        <f>IF(A669="","",IF(ISNUMBER(--LEFT(A669,FIND(" - ",A669&amp;" - ")-1)),LEFT(A669,FIND(" - ",A669&amp;" - ")-1),TRIM(A669)))</f>
        <v/>
      </c>
      <c r="N669">
        <f>IF(L669="","",IF(ISNUMBER(INDEX(A669:H669,$P$1)),INDEX(A669:H669,$P$1),IFERROR(_xlfn.NUMBERVALUE(INDEX(A669:H669,$P$1),".",","),0)))</f>
        <v/>
      </c>
    </row>
    <row r="670">
      <c r="L670">
        <f>IF(A670="","",IF(ISNUMBER(--LEFT(A670,FIND(" - ",A670&amp;" - ")-1)),LEFT(A670,FIND(" - ",A670&amp;" - ")-1),TRIM(A670)))</f>
        <v/>
      </c>
      <c r="N670">
        <f>IF(L670="","",IF(ISNUMBER(INDEX(A670:H670,$P$1)),INDEX(A670:H670,$P$1),IFERROR(_xlfn.NUMBERVALUE(INDEX(A670:H670,$P$1),".",","),0)))</f>
        <v/>
      </c>
    </row>
    <row r="671">
      <c r="L671">
        <f>IF(A671="","",IF(ISNUMBER(--LEFT(A671,FIND(" - ",A671&amp;" - ")-1)),LEFT(A671,FIND(" - ",A671&amp;" - ")-1),TRIM(A671)))</f>
        <v/>
      </c>
      <c r="N671">
        <f>IF(L671="","",IF(ISNUMBER(INDEX(A671:H671,$P$1)),INDEX(A671:H671,$P$1),IFERROR(_xlfn.NUMBERVALUE(INDEX(A671:H671,$P$1),".",","),0)))</f>
        <v/>
      </c>
    </row>
    <row r="672">
      <c r="L672">
        <f>IF(A672="","",IF(ISNUMBER(--LEFT(A672,FIND(" - ",A672&amp;" - ")-1)),LEFT(A672,FIND(" - ",A672&amp;" - ")-1),TRIM(A672)))</f>
        <v/>
      </c>
      <c r="N672">
        <f>IF(L672="","",IF(ISNUMBER(INDEX(A672:H672,$P$1)),INDEX(A672:H672,$P$1),IFERROR(_xlfn.NUMBERVALUE(INDEX(A672:H672,$P$1),".",","),0)))</f>
        <v/>
      </c>
    </row>
    <row r="673">
      <c r="L673">
        <f>IF(A673="","",IF(ISNUMBER(--LEFT(A673,FIND(" - ",A673&amp;" - ")-1)),LEFT(A673,FIND(" - ",A673&amp;" - ")-1),TRIM(A673)))</f>
        <v/>
      </c>
      <c r="N673">
        <f>IF(L673="","",IF(ISNUMBER(INDEX(A673:H673,$P$1)),INDEX(A673:H673,$P$1),IFERROR(_xlfn.NUMBERVALUE(INDEX(A673:H673,$P$1),".",","),0)))</f>
        <v/>
      </c>
    </row>
    <row r="674">
      <c r="L674">
        <f>IF(A674="","",IF(ISNUMBER(--LEFT(A674,FIND(" - ",A674&amp;" - ")-1)),LEFT(A674,FIND(" - ",A674&amp;" - ")-1),TRIM(A674)))</f>
        <v/>
      </c>
      <c r="N674">
        <f>IF(L674="","",IF(ISNUMBER(INDEX(A674:H674,$P$1)),INDEX(A674:H674,$P$1),IFERROR(_xlfn.NUMBERVALUE(INDEX(A674:H674,$P$1),".",","),0)))</f>
        <v/>
      </c>
    </row>
    <row r="675">
      <c r="L675">
        <f>IF(A675="","",IF(ISNUMBER(--LEFT(A675,FIND(" - ",A675&amp;" - ")-1)),LEFT(A675,FIND(" - ",A675&amp;" - ")-1),TRIM(A675)))</f>
        <v/>
      </c>
      <c r="N675">
        <f>IF(L675="","",IF(ISNUMBER(INDEX(A675:H675,$P$1)),INDEX(A675:H675,$P$1),IFERROR(_xlfn.NUMBERVALUE(INDEX(A675:H675,$P$1),".",","),0)))</f>
        <v/>
      </c>
    </row>
    <row r="676">
      <c r="L676">
        <f>IF(A676="","",IF(ISNUMBER(--LEFT(A676,FIND(" - ",A676&amp;" - ")-1)),LEFT(A676,FIND(" - ",A676&amp;" - ")-1),TRIM(A676)))</f>
        <v/>
      </c>
      <c r="N676">
        <f>IF(L676="","",IF(ISNUMBER(INDEX(A676:H676,$P$1)),INDEX(A676:H676,$P$1),IFERROR(_xlfn.NUMBERVALUE(INDEX(A676:H676,$P$1),".",","),0)))</f>
        <v/>
      </c>
    </row>
    <row r="677">
      <c r="L677">
        <f>IF(A677="","",IF(ISNUMBER(--LEFT(A677,FIND(" - ",A677&amp;" - ")-1)),LEFT(A677,FIND(" - ",A677&amp;" - ")-1),TRIM(A677)))</f>
        <v/>
      </c>
      <c r="N677">
        <f>IF(L677="","",IF(ISNUMBER(INDEX(A677:H677,$P$1)),INDEX(A677:H677,$P$1),IFERROR(_xlfn.NUMBERVALUE(INDEX(A677:H677,$P$1),".",","),0)))</f>
        <v/>
      </c>
    </row>
    <row r="678">
      <c r="L678">
        <f>IF(A678="","",IF(ISNUMBER(--LEFT(A678,FIND(" - ",A678&amp;" - ")-1)),LEFT(A678,FIND(" - ",A678&amp;" - ")-1),TRIM(A678)))</f>
        <v/>
      </c>
      <c r="N678">
        <f>IF(L678="","",IF(ISNUMBER(INDEX(A678:H678,$P$1)),INDEX(A678:H678,$P$1),IFERROR(_xlfn.NUMBERVALUE(INDEX(A678:H678,$P$1),".",","),0)))</f>
        <v/>
      </c>
    </row>
    <row r="679">
      <c r="L679">
        <f>IF(A679="","",IF(ISNUMBER(--LEFT(A679,FIND(" - ",A679&amp;" - ")-1)),LEFT(A679,FIND(" - ",A679&amp;" - ")-1),TRIM(A679)))</f>
        <v/>
      </c>
      <c r="N679">
        <f>IF(L679="","",IF(ISNUMBER(INDEX(A679:H679,$P$1)),INDEX(A679:H679,$P$1),IFERROR(_xlfn.NUMBERVALUE(INDEX(A679:H679,$P$1),".",","),0)))</f>
        <v/>
      </c>
    </row>
    <row r="680">
      <c r="L680">
        <f>IF(A680="","",IF(ISNUMBER(--LEFT(A680,FIND(" - ",A680&amp;" - ")-1)),LEFT(A680,FIND(" - ",A680&amp;" - ")-1),TRIM(A680)))</f>
        <v/>
      </c>
      <c r="N680">
        <f>IF(L680="","",IF(ISNUMBER(INDEX(A680:H680,$P$1)),INDEX(A680:H680,$P$1),IFERROR(_xlfn.NUMBERVALUE(INDEX(A680:H680,$P$1),".",","),0)))</f>
        <v/>
      </c>
    </row>
    <row r="681">
      <c r="L681">
        <f>IF(A681="","",IF(ISNUMBER(--LEFT(A681,FIND(" - ",A681&amp;" - ")-1)),LEFT(A681,FIND(" - ",A681&amp;" - ")-1),TRIM(A681)))</f>
        <v/>
      </c>
      <c r="N681">
        <f>IF(L681="","",IF(ISNUMBER(INDEX(A681:H681,$P$1)),INDEX(A681:H681,$P$1),IFERROR(_xlfn.NUMBERVALUE(INDEX(A681:H681,$P$1),".",","),0)))</f>
        <v/>
      </c>
    </row>
    <row r="682">
      <c r="L682">
        <f>IF(A682="","",IF(ISNUMBER(--LEFT(A682,FIND(" - ",A682&amp;" - ")-1)),LEFT(A682,FIND(" - ",A682&amp;" - ")-1),TRIM(A682)))</f>
        <v/>
      </c>
      <c r="N682">
        <f>IF(L682="","",IF(ISNUMBER(INDEX(A682:H682,$P$1)),INDEX(A682:H682,$P$1),IFERROR(_xlfn.NUMBERVALUE(INDEX(A682:H682,$P$1),".",","),0)))</f>
        <v/>
      </c>
    </row>
    <row r="683">
      <c r="L683">
        <f>IF(A683="","",IF(ISNUMBER(--LEFT(A683,FIND(" - ",A683&amp;" - ")-1)),LEFT(A683,FIND(" - ",A683&amp;" - ")-1),TRIM(A683)))</f>
        <v/>
      </c>
      <c r="N683">
        <f>IF(L683="","",IF(ISNUMBER(INDEX(A683:H683,$P$1)),INDEX(A683:H683,$P$1),IFERROR(_xlfn.NUMBERVALUE(INDEX(A683:H683,$P$1),".",","),0)))</f>
        <v/>
      </c>
    </row>
    <row r="684">
      <c r="L684">
        <f>IF(A684="","",IF(ISNUMBER(--LEFT(A684,FIND(" - ",A684&amp;" - ")-1)),LEFT(A684,FIND(" - ",A684&amp;" - ")-1),TRIM(A684)))</f>
        <v/>
      </c>
      <c r="N684">
        <f>IF(L684="","",IF(ISNUMBER(INDEX(A684:H684,$P$1)),INDEX(A684:H684,$P$1),IFERROR(_xlfn.NUMBERVALUE(INDEX(A684:H684,$P$1),".",","),0)))</f>
        <v/>
      </c>
    </row>
    <row r="685">
      <c r="L685">
        <f>IF(A685="","",IF(ISNUMBER(--LEFT(A685,FIND(" - ",A685&amp;" - ")-1)),LEFT(A685,FIND(" - ",A685&amp;" - ")-1),TRIM(A685)))</f>
        <v/>
      </c>
      <c r="N685">
        <f>IF(L685="","",IF(ISNUMBER(INDEX(A685:H685,$P$1)),INDEX(A685:H685,$P$1),IFERROR(_xlfn.NUMBERVALUE(INDEX(A685:H685,$P$1),".",","),0)))</f>
        <v/>
      </c>
    </row>
    <row r="686">
      <c r="L686">
        <f>IF(A686="","",IF(ISNUMBER(--LEFT(A686,FIND(" - ",A686&amp;" - ")-1)),LEFT(A686,FIND(" - ",A686&amp;" - ")-1),TRIM(A686)))</f>
        <v/>
      </c>
      <c r="N686">
        <f>IF(L686="","",IF(ISNUMBER(INDEX(A686:H686,$P$1)),INDEX(A686:H686,$P$1),IFERROR(_xlfn.NUMBERVALUE(INDEX(A686:H686,$P$1),".",","),0)))</f>
        <v/>
      </c>
    </row>
    <row r="687">
      <c r="L687">
        <f>IF(A687="","",IF(ISNUMBER(--LEFT(A687,FIND(" - ",A687&amp;" - ")-1)),LEFT(A687,FIND(" - ",A687&amp;" - ")-1),TRIM(A687)))</f>
        <v/>
      </c>
      <c r="N687">
        <f>IF(L687="","",IF(ISNUMBER(INDEX(A687:H687,$P$1)),INDEX(A687:H687,$P$1),IFERROR(_xlfn.NUMBERVALUE(INDEX(A687:H687,$P$1),".",","),0)))</f>
        <v/>
      </c>
    </row>
    <row r="688">
      <c r="L688">
        <f>IF(A688="","",IF(ISNUMBER(--LEFT(A688,FIND(" - ",A688&amp;" - ")-1)),LEFT(A688,FIND(" - ",A688&amp;" - ")-1),TRIM(A688)))</f>
        <v/>
      </c>
      <c r="N688">
        <f>IF(L688="","",IF(ISNUMBER(INDEX(A688:H688,$P$1)),INDEX(A688:H688,$P$1),IFERROR(_xlfn.NUMBERVALUE(INDEX(A688:H688,$P$1),".",","),0)))</f>
        <v/>
      </c>
    </row>
    <row r="689">
      <c r="L689">
        <f>IF(A689="","",IF(ISNUMBER(--LEFT(A689,FIND(" - ",A689&amp;" - ")-1)),LEFT(A689,FIND(" - ",A689&amp;" - ")-1),TRIM(A689)))</f>
        <v/>
      </c>
      <c r="N689">
        <f>IF(L689="","",IF(ISNUMBER(INDEX(A689:H689,$P$1)),INDEX(A689:H689,$P$1),IFERROR(_xlfn.NUMBERVALUE(INDEX(A689:H689,$P$1),".",","),0)))</f>
        <v/>
      </c>
    </row>
    <row r="690">
      <c r="L690">
        <f>IF(A690="","",IF(ISNUMBER(--LEFT(A690,FIND(" - ",A690&amp;" - ")-1)),LEFT(A690,FIND(" - ",A690&amp;" - ")-1),TRIM(A690)))</f>
        <v/>
      </c>
      <c r="N690">
        <f>IF(L690="","",IF(ISNUMBER(INDEX(A690:H690,$P$1)),INDEX(A690:H690,$P$1),IFERROR(_xlfn.NUMBERVALUE(INDEX(A690:H690,$P$1),".",","),0)))</f>
        <v/>
      </c>
    </row>
    <row r="691">
      <c r="L691">
        <f>IF(A691="","",IF(ISNUMBER(--LEFT(A691,FIND(" - ",A691&amp;" - ")-1)),LEFT(A691,FIND(" - ",A691&amp;" - ")-1),TRIM(A691)))</f>
        <v/>
      </c>
      <c r="N691">
        <f>IF(L691="","",IF(ISNUMBER(INDEX(A691:H691,$P$1)),INDEX(A691:H691,$P$1),IFERROR(_xlfn.NUMBERVALUE(INDEX(A691:H691,$P$1),".",","),0)))</f>
        <v/>
      </c>
    </row>
    <row r="692">
      <c r="L692">
        <f>IF(A692="","",IF(ISNUMBER(--LEFT(A692,FIND(" - ",A692&amp;" - ")-1)),LEFT(A692,FIND(" - ",A692&amp;" - ")-1),TRIM(A692)))</f>
        <v/>
      </c>
      <c r="N692">
        <f>IF(L692="","",IF(ISNUMBER(INDEX(A692:H692,$P$1)),INDEX(A692:H692,$P$1),IFERROR(_xlfn.NUMBERVALUE(INDEX(A692:H692,$P$1),".",","),0)))</f>
        <v/>
      </c>
    </row>
    <row r="693">
      <c r="L693">
        <f>IF(A693="","",IF(ISNUMBER(--LEFT(A693,FIND(" - ",A693&amp;" - ")-1)),LEFT(A693,FIND(" - ",A693&amp;" - ")-1),TRIM(A693)))</f>
        <v/>
      </c>
      <c r="N693">
        <f>IF(L693="","",IF(ISNUMBER(INDEX(A693:H693,$P$1)),INDEX(A693:H693,$P$1),IFERROR(_xlfn.NUMBERVALUE(INDEX(A693:H693,$P$1),".",","),0)))</f>
        <v/>
      </c>
    </row>
    <row r="694">
      <c r="L694">
        <f>IF(A694="","",IF(ISNUMBER(--LEFT(A694,FIND(" - ",A694&amp;" - ")-1)),LEFT(A694,FIND(" - ",A694&amp;" - ")-1),TRIM(A694)))</f>
        <v/>
      </c>
      <c r="N694">
        <f>IF(L694="","",IF(ISNUMBER(INDEX(A694:H694,$P$1)),INDEX(A694:H694,$P$1),IFERROR(_xlfn.NUMBERVALUE(INDEX(A694:H694,$P$1),".",","),0)))</f>
        <v/>
      </c>
    </row>
    <row r="695">
      <c r="L695">
        <f>IF(A695="","",IF(ISNUMBER(--LEFT(A695,FIND(" - ",A695&amp;" - ")-1)),LEFT(A695,FIND(" - ",A695&amp;" - ")-1),TRIM(A695)))</f>
        <v/>
      </c>
      <c r="N695">
        <f>IF(L695="","",IF(ISNUMBER(INDEX(A695:H695,$P$1)),INDEX(A695:H695,$P$1),IFERROR(_xlfn.NUMBERVALUE(INDEX(A695:H695,$P$1),".",","),0)))</f>
        <v/>
      </c>
    </row>
    <row r="696">
      <c r="L696">
        <f>IF(A696="","",IF(ISNUMBER(--LEFT(A696,FIND(" - ",A696&amp;" - ")-1)),LEFT(A696,FIND(" - ",A696&amp;" - ")-1),TRIM(A696)))</f>
        <v/>
      </c>
      <c r="N696">
        <f>IF(L696="","",IF(ISNUMBER(INDEX(A696:H696,$P$1)),INDEX(A696:H696,$P$1),IFERROR(_xlfn.NUMBERVALUE(INDEX(A696:H696,$P$1),".",","),0)))</f>
        <v/>
      </c>
    </row>
    <row r="697">
      <c r="L697">
        <f>IF(A697="","",IF(ISNUMBER(--LEFT(A697,FIND(" - ",A697&amp;" - ")-1)),LEFT(A697,FIND(" - ",A697&amp;" - ")-1),TRIM(A697)))</f>
        <v/>
      </c>
      <c r="N697">
        <f>IF(L697="","",IF(ISNUMBER(INDEX(A697:H697,$P$1)),INDEX(A697:H697,$P$1),IFERROR(_xlfn.NUMBERVALUE(INDEX(A697:H697,$P$1),".",","),0)))</f>
        <v/>
      </c>
    </row>
    <row r="698">
      <c r="L698">
        <f>IF(A698="","",IF(ISNUMBER(--LEFT(A698,FIND(" - ",A698&amp;" - ")-1)),LEFT(A698,FIND(" - ",A698&amp;" - ")-1),TRIM(A698)))</f>
        <v/>
      </c>
      <c r="N698">
        <f>IF(L698="","",IF(ISNUMBER(INDEX(A698:H698,$P$1)),INDEX(A698:H698,$P$1),IFERROR(_xlfn.NUMBERVALUE(INDEX(A698:H698,$P$1),".",","),0)))</f>
        <v/>
      </c>
    </row>
    <row r="699">
      <c r="L699">
        <f>IF(A699="","",IF(ISNUMBER(--LEFT(A699,FIND(" - ",A699&amp;" - ")-1)),LEFT(A699,FIND(" - ",A699&amp;" - ")-1),TRIM(A699)))</f>
        <v/>
      </c>
      <c r="N699">
        <f>IF(L699="","",IF(ISNUMBER(INDEX(A699:H699,$P$1)),INDEX(A699:H699,$P$1),IFERROR(_xlfn.NUMBERVALUE(INDEX(A699:H699,$P$1),".",","),0)))</f>
        <v/>
      </c>
    </row>
    <row r="700">
      <c r="L700">
        <f>IF(A700="","",IF(ISNUMBER(--LEFT(A700,FIND(" - ",A700&amp;" - ")-1)),LEFT(A700,FIND(" - ",A700&amp;" - ")-1),TRIM(A700)))</f>
        <v/>
      </c>
      <c r="N700">
        <f>IF(L700="","",IF(ISNUMBER(INDEX(A700:H700,$P$1)),INDEX(A700:H700,$P$1),IFERROR(_xlfn.NUMBERVALUE(INDEX(A700:H700,$P$1),".",","),0)))</f>
        <v/>
      </c>
    </row>
    <row r="701">
      <c r="L701">
        <f>IF(A701="","",IF(ISNUMBER(--LEFT(A701,FIND(" - ",A701&amp;" - ")-1)),LEFT(A701,FIND(" - ",A701&amp;" - ")-1),TRIM(A701)))</f>
        <v/>
      </c>
      <c r="N701">
        <f>IF(L701="","",IF(ISNUMBER(INDEX(A701:H701,$P$1)),INDEX(A701:H701,$P$1),IFERROR(_xlfn.NUMBERVALUE(INDEX(A701:H701,$P$1),".",","),0)))</f>
        <v/>
      </c>
    </row>
    <row r="702">
      <c r="L702">
        <f>IF(A702="","",IF(ISNUMBER(--LEFT(A702,FIND(" - ",A702&amp;" - ")-1)),LEFT(A702,FIND(" - ",A702&amp;" - ")-1),TRIM(A702)))</f>
        <v/>
      </c>
      <c r="N702">
        <f>IF(L702="","",IF(ISNUMBER(INDEX(A702:H702,$P$1)),INDEX(A702:H702,$P$1),IFERROR(_xlfn.NUMBERVALUE(INDEX(A702:H702,$P$1),".",","),0)))</f>
        <v/>
      </c>
    </row>
    <row r="703">
      <c r="L703">
        <f>IF(A703="","",IF(ISNUMBER(--LEFT(A703,FIND(" - ",A703&amp;" - ")-1)),LEFT(A703,FIND(" - ",A703&amp;" - ")-1),TRIM(A703)))</f>
        <v/>
      </c>
      <c r="N703">
        <f>IF(L703="","",IF(ISNUMBER(INDEX(A703:H703,$P$1)),INDEX(A703:H703,$P$1),IFERROR(_xlfn.NUMBERVALUE(INDEX(A703:H703,$P$1),".",","),0)))</f>
        <v/>
      </c>
    </row>
    <row r="704">
      <c r="L704">
        <f>IF(A704="","",IF(ISNUMBER(--LEFT(A704,FIND(" - ",A704&amp;" - ")-1)),LEFT(A704,FIND(" - ",A704&amp;" - ")-1),TRIM(A704)))</f>
        <v/>
      </c>
      <c r="N704">
        <f>IF(L704="","",IF(ISNUMBER(INDEX(A704:H704,$P$1)),INDEX(A704:H704,$P$1),IFERROR(_xlfn.NUMBERVALUE(INDEX(A704:H704,$P$1),".",","),0)))</f>
        <v/>
      </c>
    </row>
    <row r="705">
      <c r="L705">
        <f>IF(A705="","",IF(ISNUMBER(--LEFT(A705,FIND(" - ",A705&amp;" - ")-1)),LEFT(A705,FIND(" - ",A705&amp;" - ")-1),TRIM(A705)))</f>
        <v/>
      </c>
      <c r="N705">
        <f>IF(L705="","",IF(ISNUMBER(INDEX(A705:H705,$P$1)),INDEX(A705:H705,$P$1),IFERROR(_xlfn.NUMBERVALUE(INDEX(A705:H705,$P$1),".",","),0)))</f>
        <v/>
      </c>
    </row>
    <row r="706">
      <c r="L706">
        <f>IF(A706="","",IF(ISNUMBER(--LEFT(A706,FIND(" - ",A706&amp;" - ")-1)),LEFT(A706,FIND(" - ",A706&amp;" - ")-1),TRIM(A706)))</f>
        <v/>
      </c>
      <c r="N706">
        <f>IF(L706="","",IF(ISNUMBER(INDEX(A706:H706,$P$1)),INDEX(A706:H706,$P$1),IFERROR(_xlfn.NUMBERVALUE(INDEX(A706:H706,$P$1),".",","),0)))</f>
        <v/>
      </c>
    </row>
    <row r="707">
      <c r="L707">
        <f>IF(A707="","",IF(ISNUMBER(--LEFT(A707,FIND(" - ",A707&amp;" - ")-1)),LEFT(A707,FIND(" - ",A707&amp;" - ")-1),TRIM(A707)))</f>
        <v/>
      </c>
      <c r="N707">
        <f>IF(L707="","",IF(ISNUMBER(INDEX(A707:H707,$P$1)),INDEX(A707:H707,$P$1),IFERROR(_xlfn.NUMBERVALUE(INDEX(A707:H707,$P$1),".",","),0)))</f>
        <v/>
      </c>
    </row>
    <row r="708">
      <c r="L708">
        <f>IF(A708="","",IF(ISNUMBER(--LEFT(A708,FIND(" - ",A708&amp;" - ")-1)),LEFT(A708,FIND(" - ",A708&amp;" - ")-1),TRIM(A708)))</f>
        <v/>
      </c>
      <c r="N708">
        <f>IF(L708="","",IF(ISNUMBER(INDEX(A708:H708,$P$1)),INDEX(A708:H708,$P$1),IFERROR(_xlfn.NUMBERVALUE(INDEX(A708:H708,$P$1),".",","),0)))</f>
        <v/>
      </c>
    </row>
    <row r="709">
      <c r="L709">
        <f>IF(A709="","",IF(ISNUMBER(--LEFT(A709,FIND(" - ",A709&amp;" - ")-1)),LEFT(A709,FIND(" - ",A709&amp;" - ")-1),TRIM(A709)))</f>
        <v/>
      </c>
      <c r="N709">
        <f>IF(L709="","",IF(ISNUMBER(INDEX(A709:H709,$P$1)),INDEX(A709:H709,$P$1),IFERROR(_xlfn.NUMBERVALUE(INDEX(A709:H709,$P$1),".",","),0)))</f>
        <v/>
      </c>
    </row>
    <row r="710">
      <c r="L710">
        <f>IF(A710="","",IF(ISNUMBER(--LEFT(A710,FIND(" - ",A710&amp;" - ")-1)),LEFT(A710,FIND(" - ",A710&amp;" - ")-1),TRIM(A710)))</f>
        <v/>
      </c>
      <c r="N710">
        <f>IF(L710="","",IF(ISNUMBER(INDEX(A710:H710,$P$1)),INDEX(A710:H710,$P$1),IFERROR(_xlfn.NUMBERVALUE(INDEX(A710:H710,$P$1),".",","),0)))</f>
        <v/>
      </c>
    </row>
    <row r="711">
      <c r="L711">
        <f>IF(A711="","",IF(ISNUMBER(--LEFT(A711,FIND(" - ",A711&amp;" - ")-1)),LEFT(A711,FIND(" - ",A711&amp;" - ")-1),TRIM(A711)))</f>
        <v/>
      </c>
      <c r="N711">
        <f>IF(L711="","",IF(ISNUMBER(INDEX(A711:H711,$P$1)),INDEX(A711:H711,$P$1),IFERROR(_xlfn.NUMBERVALUE(INDEX(A711:H711,$P$1),".",","),0)))</f>
        <v/>
      </c>
    </row>
    <row r="712">
      <c r="L712">
        <f>IF(A712="","",IF(ISNUMBER(--LEFT(A712,FIND(" - ",A712&amp;" - ")-1)),LEFT(A712,FIND(" - ",A712&amp;" - ")-1),TRIM(A712)))</f>
        <v/>
      </c>
      <c r="N712">
        <f>IF(L712="","",IF(ISNUMBER(INDEX(A712:H712,$P$1)),INDEX(A712:H712,$P$1),IFERROR(_xlfn.NUMBERVALUE(INDEX(A712:H712,$P$1),".",","),0)))</f>
        <v/>
      </c>
    </row>
    <row r="713">
      <c r="L713">
        <f>IF(A713="","",IF(ISNUMBER(--LEFT(A713,FIND(" - ",A713&amp;" - ")-1)),LEFT(A713,FIND(" - ",A713&amp;" - ")-1),TRIM(A713)))</f>
        <v/>
      </c>
      <c r="N713">
        <f>IF(L713="","",IF(ISNUMBER(INDEX(A713:H713,$P$1)),INDEX(A713:H713,$P$1),IFERROR(_xlfn.NUMBERVALUE(INDEX(A713:H713,$P$1),".",","),0)))</f>
        <v/>
      </c>
    </row>
    <row r="714">
      <c r="L714">
        <f>IF(A714="","",IF(ISNUMBER(--LEFT(A714,FIND(" - ",A714&amp;" - ")-1)),LEFT(A714,FIND(" - ",A714&amp;" - ")-1),TRIM(A714)))</f>
        <v/>
      </c>
      <c r="N714">
        <f>IF(L714="","",IF(ISNUMBER(INDEX(A714:H714,$P$1)),INDEX(A714:H714,$P$1),IFERROR(_xlfn.NUMBERVALUE(INDEX(A714:H714,$P$1),".",","),0)))</f>
        <v/>
      </c>
    </row>
    <row r="715">
      <c r="L715">
        <f>IF(A715="","",IF(ISNUMBER(--LEFT(A715,FIND(" - ",A715&amp;" - ")-1)),LEFT(A715,FIND(" - ",A715&amp;" - ")-1),TRIM(A715)))</f>
        <v/>
      </c>
      <c r="N715">
        <f>IF(L715="","",IF(ISNUMBER(INDEX(A715:H715,$P$1)),INDEX(A715:H715,$P$1),IFERROR(_xlfn.NUMBERVALUE(INDEX(A715:H715,$P$1),".",","),0)))</f>
        <v/>
      </c>
    </row>
    <row r="716">
      <c r="L716">
        <f>IF(A716="","",IF(ISNUMBER(--LEFT(A716,FIND(" - ",A716&amp;" - ")-1)),LEFT(A716,FIND(" - ",A716&amp;" - ")-1),TRIM(A716)))</f>
        <v/>
      </c>
      <c r="N716">
        <f>IF(L716="","",IF(ISNUMBER(INDEX(A716:H716,$P$1)),INDEX(A716:H716,$P$1),IFERROR(_xlfn.NUMBERVALUE(INDEX(A716:H716,$P$1),".",","),0)))</f>
        <v/>
      </c>
    </row>
    <row r="717">
      <c r="L717">
        <f>IF(A717="","",IF(ISNUMBER(--LEFT(A717,FIND(" - ",A717&amp;" - ")-1)),LEFT(A717,FIND(" - ",A717&amp;" - ")-1),TRIM(A717)))</f>
        <v/>
      </c>
      <c r="N717">
        <f>IF(L717="","",IF(ISNUMBER(INDEX(A717:H717,$P$1)),INDEX(A717:H717,$P$1),IFERROR(_xlfn.NUMBERVALUE(INDEX(A717:H717,$P$1),".",","),0)))</f>
        <v/>
      </c>
    </row>
    <row r="718">
      <c r="L718">
        <f>IF(A718="","",IF(ISNUMBER(--LEFT(A718,FIND(" - ",A718&amp;" - ")-1)),LEFT(A718,FIND(" - ",A718&amp;" - ")-1),TRIM(A718)))</f>
        <v/>
      </c>
      <c r="N718">
        <f>IF(L718="","",IF(ISNUMBER(INDEX(A718:H718,$P$1)),INDEX(A718:H718,$P$1),IFERROR(_xlfn.NUMBERVALUE(INDEX(A718:H718,$P$1),".",","),0)))</f>
        <v/>
      </c>
    </row>
    <row r="719">
      <c r="L719">
        <f>IF(A719="","",IF(ISNUMBER(--LEFT(A719,FIND(" - ",A719&amp;" - ")-1)),LEFT(A719,FIND(" - ",A719&amp;" - ")-1),TRIM(A719)))</f>
        <v/>
      </c>
      <c r="N719">
        <f>IF(L719="","",IF(ISNUMBER(INDEX(A719:H719,$P$1)),INDEX(A719:H719,$P$1),IFERROR(_xlfn.NUMBERVALUE(INDEX(A719:H719,$P$1),".",","),0)))</f>
        <v/>
      </c>
    </row>
    <row r="720">
      <c r="L720">
        <f>IF(A720="","",IF(ISNUMBER(--LEFT(A720,FIND(" - ",A720&amp;" - ")-1)),LEFT(A720,FIND(" - ",A720&amp;" - ")-1),TRIM(A720)))</f>
        <v/>
      </c>
      <c r="N720">
        <f>IF(L720="","",IF(ISNUMBER(INDEX(A720:H720,$P$1)),INDEX(A720:H720,$P$1),IFERROR(_xlfn.NUMBERVALUE(INDEX(A720:H720,$P$1),".",","),0)))</f>
        <v/>
      </c>
    </row>
    <row r="721">
      <c r="L721">
        <f>IF(A721="","",IF(ISNUMBER(--LEFT(A721,FIND(" - ",A721&amp;" - ")-1)),LEFT(A721,FIND(" - ",A721&amp;" - ")-1),TRIM(A721)))</f>
        <v/>
      </c>
      <c r="N721">
        <f>IF(L721="","",IF(ISNUMBER(INDEX(A721:H721,$P$1)),INDEX(A721:H721,$P$1),IFERROR(_xlfn.NUMBERVALUE(INDEX(A721:H721,$P$1),".",","),0)))</f>
        <v/>
      </c>
    </row>
    <row r="722">
      <c r="L722">
        <f>IF(A722="","",IF(ISNUMBER(--LEFT(A722,FIND(" - ",A722&amp;" - ")-1)),LEFT(A722,FIND(" - ",A722&amp;" - ")-1),TRIM(A722)))</f>
        <v/>
      </c>
      <c r="N722">
        <f>IF(L722="","",IF(ISNUMBER(INDEX(A722:H722,$P$1)),INDEX(A722:H722,$P$1),IFERROR(_xlfn.NUMBERVALUE(INDEX(A722:H722,$P$1),".",","),0)))</f>
        <v/>
      </c>
    </row>
    <row r="723">
      <c r="L723">
        <f>IF(A723="","",IF(ISNUMBER(--LEFT(A723,FIND(" - ",A723&amp;" - ")-1)),LEFT(A723,FIND(" - ",A723&amp;" - ")-1),TRIM(A723)))</f>
        <v/>
      </c>
      <c r="N723">
        <f>IF(L723="","",IF(ISNUMBER(INDEX(A723:H723,$P$1)),INDEX(A723:H723,$P$1),IFERROR(_xlfn.NUMBERVALUE(INDEX(A723:H723,$P$1),".",","),0)))</f>
        <v/>
      </c>
    </row>
    <row r="724">
      <c r="L724">
        <f>IF(A724="","",IF(ISNUMBER(--LEFT(A724,FIND(" - ",A724&amp;" - ")-1)),LEFT(A724,FIND(" - ",A724&amp;" - ")-1),TRIM(A724)))</f>
        <v/>
      </c>
      <c r="N724">
        <f>IF(L724="","",IF(ISNUMBER(INDEX(A724:H724,$P$1)),INDEX(A724:H724,$P$1),IFERROR(_xlfn.NUMBERVALUE(INDEX(A724:H724,$P$1),".",","),0)))</f>
        <v/>
      </c>
    </row>
    <row r="725">
      <c r="L725">
        <f>IF(A725="","",IF(ISNUMBER(--LEFT(A725,FIND(" - ",A725&amp;" - ")-1)),LEFT(A725,FIND(" - ",A725&amp;" - ")-1),TRIM(A725)))</f>
        <v/>
      </c>
      <c r="N725">
        <f>IF(L725="","",IF(ISNUMBER(INDEX(A725:H725,$P$1)),INDEX(A725:H725,$P$1),IFERROR(_xlfn.NUMBERVALUE(INDEX(A725:H725,$P$1),".",","),0)))</f>
        <v/>
      </c>
    </row>
    <row r="726">
      <c r="L726">
        <f>IF(A726="","",IF(ISNUMBER(--LEFT(A726,FIND(" - ",A726&amp;" - ")-1)),LEFT(A726,FIND(" - ",A726&amp;" - ")-1),TRIM(A726)))</f>
        <v/>
      </c>
      <c r="N726">
        <f>IF(L726="","",IF(ISNUMBER(INDEX(A726:H726,$P$1)),INDEX(A726:H726,$P$1),IFERROR(_xlfn.NUMBERVALUE(INDEX(A726:H726,$P$1),".",","),0)))</f>
        <v/>
      </c>
    </row>
    <row r="727">
      <c r="L727">
        <f>IF(A727="","",IF(ISNUMBER(--LEFT(A727,FIND(" - ",A727&amp;" - ")-1)),LEFT(A727,FIND(" - ",A727&amp;" - ")-1),TRIM(A727)))</f>
        <v/>
      </c>
      <c r="N727">
        <f>IF(L727="","",IF(ISNUMBER(INDEX(A727:H727,$P$1)),INDEX(A727:H727,$P$1),IFERROR(_xlfn.NUMBERVALUE(INDEX(A727:H727,$P$1),".",","),0)))</f>
        <v/>
      </c>
    </row>
    <row r="728">
      <c r="L728">
        <f>IF(A728="","",IF(ISNUMBER(--LEFT(A728,FIND(" - ",A728&amp;" - ")-1)),LEFT(A728,FIND(" - ",A728&amp;" - ")-1),TRIM(A728)))</f>
        <v/>
      </c>
      <c r="N728">
        <f>IF(L728="","",IF(ISNUMBER(INDEX(A728:H728,$P$1)),INDEX(A728:H728,$P$1),IFERROR(_xlfn.NUMBERVALUE(INDEX(A728:H728,$P$1),".",","),0)))</f>
        <v/>
      </c>
    </row>
    <row r="729">
      <c r="L729">
        <f>IF(A729="","",IF(ISNUMBER(--LEFT(A729,FIND(" - ",A729&amp;" - ")-1)),LEFT(A729,FIND(" - ",A729&amp;" - ")-1),TRIM(A729)))</f>
        <v/>
      </c>
      <c r="N729">
        <f>IF(L729="","",IF(ISNUMBER(INDEX(A729:H729,$P$1)),INDEX(A729:H729,$P$1),IFERROR(_xlfn.NUMBERVALUE(INDEX(A729:H729,$P$1),".",","),0)))</f>
        <v/>
      </c>
    </row>
    <row r="730">
      <c r="L730">
        <f>IF(A730="","",IF(ISNUMBER(--LEFT(A730,FIND(" - ",A730&amp;" - ")-1)),LEFT(A730,FIND(" - ",A730&amp;" - ")-1),TRIM(A730)))</f>
        <v/>
      </c>
      <c r="N730">
        <f>IF(L730="","",IF(ISNUMBER(INDEX(A730:H730,$P$1)),INDEX(A730:H730,$P$1),IFERROR(_xlfn.NUMBERVALUE(INDEX(A730:H730,$P$1),".",","),0)))</f>
        <v/>
      </c>
    </row>
    <row r="731">
      <c r="L731">
        <f>IF(A731="","",IF(ISNUMBER(--LEFT(A731,FIND(" - ",A731&amp;" - ")-1)),LEFT(A731,FIND(" - ",A731&amp;" - ")-1),TRIM(A731)))</f>
        <v/>
      </c>
      <c r="N731">
        <f>IF(L731="","",IF(ISNUMBER(INDEX(A731:H731,$P$1)),INDEX(A731:H731,$P$1),IFERROR(_xlfn.NUMBERVALUE(INDEX(A731:H731,$P$1),".",","),0)))</f>
        <v/>
      </c>
    </row>
    <row r="732">
      <c r="L732">
        <f>IF(A732="","",IF(ISNUMBER(--LEFT(A732,FIND(" - ",A732&amp;" - ")-1)),LEFT(A732,FIND(" - ",A732&amp;" - ")-1),TRIM(A732)))</f>
        <v/>
      </c>
      <c r="N732">
        <f>IF(L732="","",IF(ISNUMBER(INDEX(A732:H732,$P$1)),INDEX(A732:H732,$P$1),IFERROR(_xlfn.NUMBERVALUE(INDEX(A732:H732,$P$1),".",","),0)))</f>
        <v/>
      </c>
    </row>
    <row r="733">
      <c r="L733">
        <f>IF(A733="","",IF(ISNUMBER(--LEFT(A733,FIND(" - ",A733&amp;" - ")-1)),LEFT(A733,FIND(" - ",A733&amp;" - ")-1),TRIM(A733)))</f>
        <v/>
      </c>
      <c r="N733">
        <f>IF(L733="","",IF(ISNUMBER(INDEX(A733:H733,$P$1)),INDEX(A733:H733,$P$1),IFERROR(_xlfn.NUMBERVALUE(INDEX(A733:H733,$P$1),".",","),0)))</f>
        <v/>
      </c>
    </row>
    <row r="734">
      <c r="L734">
        <f>IF(A734="","",IF(ISNUMBER(--LEFT(A734,FIND(" - ",A734&amp;" - ")-1)),LEFT(A734,FIND(" - ",A734&amp;" - ")-1),TRIM(A734)))</f>
        <v/>
      </c>
      <c r="N734">
        <f>IF(L734="","",IF(ISNUMBER(INDEX(A734:H734,$P$1)),INDEX(A734:H734,$P$1),IFERROR(_xlfn.NUMBERVALUE(INDEX(A734:H734,$P$1),".",","),0)))</f>
        <v/>
      </c>
    </row>
    <row r="735">
      <c r="L735">
        <f>IF(A735="","",IF(ISNUMBER(--LEFT(A735,FIND(" - ",A735&amp;" - ")-1)),LEFT(A735,FIND(" - ",A735&amp;" - ")-1),TRIM(A735)))</f>
        <v/>
      </c>
      <c r="N735">
        <f>IF(L735="","",IF(ISNUMBER(INDEX(A735:H735,$P$1)),INDEX(A735:H735,$P$1),IFERROR(_xlfn.NUMBERVALUE(INDEX(A735:H735,$P$1),".",","),0)))</f>
        <v/>
      </c>
    </row>
    <row r="736">
      <c r="L736">
        <f>IF(A736="","",IF(ISNUMBER(--LEFT(A736,FIND(" - ",A736&amp;" - ")-1)),LEFT(A736,FIND(" - ",A736&amp;" - ")-1),TRIM(A736)))</f>
        <v/>
      </c>
      <c r="N736">
        <f>IF(L736="","",IF(ISNUMBER(INDEX(A736:H736,$P$1)),INDEX(A736:H736,$P$1),IFERROR(_xlfn.NUMBERVALUE(INDEX(A736:H736,$P$1),".",","),0)))</f>
        <v/>
      </c>
    </row>
    <row r="737">
      <c r="L737">
        <f>IF(A737="","",IF(ISNUMBER(--LEFT(A737,FIND(" - ",A737&amp;" - ")-1)),LEFT(A737,FIND(" - ",A737&amp;" - ")-1),TRIM(A737)))</f>
        <v/>
      </c>
      <c r="N737">
        <f>IF(L737="","",IF(ISNUMBER(INDEX(A737:H737,$P$1)),INDEX(A737:H737,$P$1),IFERROR(_xlfn.NUMBERVALUE(INDEX(A737:H737,$P$1),".",","),0)))</f>
        <v/>
      </c>
    </row>
    <row r="738">
      <c r="L738">
        <f>IF(A738="","",IF(ISNUMBER(--LEFT(A738,FIND(" - ",A738&amp;" - ")-1)),LEFT(A738,FIND(" - ",A738&amp;" - ")-1),TRIM(A738)))</f>
        <v/>
      </c>
      <c r="N738">
        <f>IF(L738="","",IF(ISNUMBER(INDEX(A738:H738,$P$1)),INDEX(A738:H738,$P$1),IFERROR(_xlfn.NUMBERVALUE(INDEX(A738:H738,$P$1),".",","),0)))</f>
        <v/>
      </c>
    </row>
    <row r="739">
      <c r="L739">
        <f>IF(A739="","",IF(ISNUMBER(--LEFT(A739,FIND(" - ",A739&amp;" - ")-1)),LEFT(A739,FIND(" - ",A739&amp;" - ")-1),TRIM(A739)))</f>
        <v/>
      </c>
      <c r="N739">
        <f>IF(L739="","",IF(ISNUMBER(INDEX(A739:H739,$P$1)),INDEX(A739:H739,$P$1),IFERROR(_xlfn.NUMBERVALUE(INDEX(A739:H739,$P$1),".",","),0)))</f>
        <v/>
      </c>
    </row>
    <row r="740">
      <c r="L740">
        <f>IF(A740="","",IF(ISNUMBER(--LEFT(A740,FIND(" - ",A740&amp;" - ")-1)),LEFT(A740,FIND(" - ",A740&amp;" - ")-1),TRIM(A740)))</f>
        <v/>
      </c>
      <c r="N740">
        <f>IF(L740="","",IF(ISNUMBER(INDEX(A740:H740,$P$1)),INDEX(A740:H740,$P$1),IFERROR(_xlfn.NUMBERVALUE(INDEX(A740:H740,$P$1),".",","),0)))</f>
        <v/>
      </c>
    </row>
    <row r="741">
      <c r="L741">
        <f>IF(A741="","",IF(ISNUMBER(--LEFT(A741,FIND(" - ",A741&amp;" - ")-1)),LEFT(A741,FIND(" - ",A741&amp;" - ")-1),TRIM(A741)))</f>
        <v/>
      </c>
      <c r="N741">
        <f>IF(L741="","",IF(ISNUMBER(INDEX(A741:H741,$P$1)),INDEX(A741:H741,$P$1),IFERROR(_xlfn.NUMBERVALUE(INDEX(A741:H741,$P$1),".",","),0)))</f>
        <v/>
      </c>
    </row>
    <row r="742">
      <c r="L742">
        <f>IF(A742="","",IF(ISNUMBER(--LEFT(A742,FIND(" - ",A742&amp;" - ")-1)),LEFT(A742,FIND(" - ",A742&amp;" - ")-1),TRIM(A742)))</f>
        <v/>
      </c>
      <c r="N742">
        <f>IF(L742="","",IF(ISNUMBER(INDEX(A742:H742,$P$1)),INDEX(A742:H742,$P$1),IFERROR(_xlfn.NUMBERVALUE(INDEX(A742:H742,$P$1),".",","),0)))</f>
        <v/>
      </c>
    </row>
    <row r="743">
      <c r="L743">
        <f>IF(A743="","",IF(ISNUMBER(--LEFT(A743,FIND(" - ",A743&amp;" - ")-1)),LEFT(A743,FIND(" - ",A743&amp;" - ")-1),TRIM(A743)))</f>
        <v/>
      </c>
      <c r="N743">
        <f>IF(L743="","",IF(ISNUMBER(INDEX(A743:H743,$P$1)),INDEX(A743:H743,$P$1),IFERROR(_xlfn.NUMBERVALUE(INDEX(A743:H743,$P$1),".",","),0)))</f>
        <v/>
      </c>
    </row>
    <row r="744">
      <c r="L744">
        <f>IF(A744="","",IF(ISNUMBER(--LEFT(A744,FIND(" - ",A744&amp;" - ")-1)),LEFT(A744,FIND(" - ",A744&amp;" - ")-1),TRIM(A744)))</f>
        <v/>
      </c>
      <c r="N744">
        <f>IF(L744="","",IF(ISNUMBER(INDEX(A744:H744,$P$1)),INDEX(A744:H744,$P$1),IFERROR(_xlfn.NUMBERVALUE(INDEX(A744:H744,$P$1),".",","),0)))</f>
        <v/>
      </c>
    </row>
    <row r="745">
      <c r="L745">
        <f>IF(A745="","",IF(ISNUMBER(--LEFT(A745,FIND(" - ",A745&amp;" - ")-1)),LEFT(A745,FIND(" - ",A745&amp;" - ")-1),TRIM(A745)))</f>
        <v/>
      </c>
      <c r="N745">
        <f>IF(L745="","",IF(ISNUMBER(INDEX(A745:H745,$P$1)),INDEX(A745:H745,$P$1),IFERROR(_xlfn.NUMBERVALUE(INDEX(A745:H745,$P$1),".",","),0)))</f>
        <v/>
      </c>
    </row>
    <row r="746">
      <c r="L746">
        <f>IF(A746="","",IF(ISNUMBER(--LEFT(A746,FIND(" - ",A746&amp;" - ")-1)),LEFT(A746,FIND(" - ",A746&amp;" - ")-1),TRIM(A746)))</f>
        <v/>
      </c>
      <c r="N746">
        <f>IF(L746="","",IF(ISNUMBER(INDEX(A746:H746,$P$1)),INDEX(A746:H746,$P$1),IFERROR(_xlfn.NUMBERVALUE(INDEX(A746:H746,$P$1),".",","),0)))</f>
        <v/>
      </c>
    </row>
    <row r="747">
      <c r="L747">
        <f>IF(A747="","",IF(ISNUMBER(--LEFT(A747,FIND(" - ",A747&amp;" - ")-1)),LEFT(A747,FIND(" - ",A747&amp;" - ")-1),TRIM(A747)))</f>
        <v/>
      </c>
      <c r="N747">
        <f>IF(L747="","",IF(ISNUMBER(INDEX(A747:H747,$P$1)),INDEX(A747:H747,$P$1),IFERROR(_xlfn.NUMBERVALUE(INDEX(A747:H747,$P$1),".",","),0)))</f>
        <v/>
      </c>
    </row>
    <row r="748">
      <c r="L748">
        <f>IF(A748="","",IF(ISNUMBER(--LEFT(A748,FIND(" - ",A748&amp;" - ")-1)),LEFT(A748,FIND(" - ",A748&amp;" - ")-1),TRIM(A748)))</f>
        <v/>
      </c>
      <c r="N748">
        <f>IF(L748="","",IF(ISNUMBER(INDEX(A748:H748,$P$1)),INDEX(A748:H748,$P$1),IFERROR(_xlfn.NUMBERVALUE(INDEX(A748:H748,$P$1),".",","),0)))</f>
        <v/>
      </c>
    </row>
    <row r="749">
      <c r="L749">
        <f>IF(A749="","",IF(ISNUMBER(--LEFT(A749,FIND(" - ",A749&amp;" - ")-1)),LEFT(A749,FIND(" - ",A749&amp;" - ")-1),TRIM(A749)))</f>
        <v/>
      </c>
      <c r="N749">
        <f>IF(L749="","",IF(ISNUMBER(INDEX(A749:H749,$P$1)),INDEX(A749:H749,$P$1),IFERROR(_xlfn.NUMBERVALUE(INDEX(A749:H749,$P$1),".",","),0)))</f>
        <v/>
      </c>
    </row>
    <row r="750">
      <c r="L750">
        <f>IF(A750="","",IF(ISNUMBER(--LEFT(A750,FIND(" - ",A750&amp;" - ")-1)),LEFT(A750,FIND(" - ",A750&amp;" - ")-1),TRIM(A750)))</f>
        <v/>
      </c>
      <c r="N750">
        <f>IF(L750="","",IF(ISNUMBER(INDEX(A750:H750,$P$1)),INDEX(A750:H750,$P$1),IFERROR(_xlfn.NUMBERVALUE(INDEX(A750:H750,$P$1),".",","),0)))</f>
        <v/>
      </c>
    </row>
    <row r="751">
      <c r="L751">
        <f>IF(A751="","",IF(ISNUMBER(--LEFT(A751,FIND(" - ",A751&amp;" - ")-1)),LEFT(A751,FIND(" - ",A751&amp;" - ")-1),TRIM(A751)))</f>
        <v/>
      </c>
      <c r="N751">
        <f>IF(L751="","",IF(ISNUMBER(INDEX(A751:H751,$P$1)),INDEX(A751:H751,$P$1),IFERROR(_xlfn.NUMBERVALUE(INDEX(A751:H751,$P$1),".",","),0)))</f>
        <v/>
      </c>
    </row>
    <row r="752">
      <c r="L752">
        <f>IF(A752="","",IF(ISNUMBER(--LEFT(A752,FIND(" - ",A752&amp;" - ")-1)),LEFT(A752,FIND(" - ",A752&amp;" - ")-1),TRIM(A752)))</f>
        <v/>
      </c>
      <c r="N752">
        <f>IF(L752="","",IF(ISNUMBER(INDEX(A752:H752,$P$1)),INDEX(A752:H752,$P$1),IFERROR(_xlfn.NUMBERVALUE(INDEX(A752:H752,$P$1),".",","),0)))</f>
        <v/>
      </c>
    </row>
    <row r="753">
      <c r="L753">
        <f>IF(A753="","",IF(ISNUMBER(--LEFT(A753,FIND(" - ",A753&amp;" - ")-1)),LEFT(A753,FIND(" - ",A753&amp;" - ")-1),TRIM(A753)))</f>
        <v/>
      </c>
      <c r="N753">
        <f>IF(L753="","",IF(ISNUMBER(INDEX(A753:H753,$P$1)),INDEX(A753:H753,$P$1),IFERROR(_xlfn.NUMBERVALUE(INDEX(A753:H753,$P$1),".",","),0)))</f>
        <v/>
      </c>
    </row>
    <row r="754">
      <c r="L754">
        <f>IF(A754="","",IF(ISNUMBER(--LEFT(A754,FIND(" - ",A754&amp;" - ")-1)),LEFT(A754,FIND(" - ",A754&amp;" - ")-1),TRIM(A754)))</f>
        <v/>
      </c>
      <c r="N754">
        <f>IF(L754="","",IF(ISNUMBER(INDEX(A754:H754,$P$1)),INDEX(A754:H754,$P$1),IFERROR(_xlfn.NUMBERVALUE(INDEX(A754:H754,$P$1),".",","),0)))</f>
        <v/>
      </c>
    </row>
    <row r="755">
      <c r="L755">
        <f>IF(A755="","",IF(ISNUMBER(--LEFT(A755,FIND(" - ",A755&amp;" - ")-1)),LEFT(A755,FIND(" - ",A755&amp;" - ")-1),TRIM(A755)))</f>
        <v/>
      </c>
      <c r="N755">
        <f>IF(L755="","",IF(ISNUMBER(INDEX(A755:H755,$P$1)),INDEX(A755:H755,$P$1),IFERROR(_xlfn.NUMBERVALUE(INDEX(A755:H755,$P$1),".",","),0)))</f>
        <v/>
      </c>
    </row>
    <row r="756">
      <c r="L756">
        <f>IF(A756="","",IF(ISNUMBER(--LEFT(A756,FIND(" - ",A756&amp;" - ")-1)),LEFT(A756,FIND(" - ",A756&amp;" - ")-1),TRIM(A756)))</f>
        <v/>
      </c>
      <c r="N756">
        <f>IF(L756="","",IF(ISNUMBER(INDEX(A756:H756,$P$1)),INDEX(A756:H756,$P$1),IFERROR(_xlfn.NUMBERVALUE(INDEX(A756:H756,$P$1),".",","),0)))</f>
        <v/>
      </c>
    </row>
    <row r="757">
      <c r="L757">
        <f>IF(A757="","",IF(ISNUMBER(--LEFT(A757,FIND(" - ",A757&amp;" - ")-1)),LEFT(A757,FIND(" - ",A757&amp;" - ")-1),TRIM(A757)))</f>
        <v/>
      </c>
      <c r="N757">
        <f>IF(L757="","",IF(ISNUMBER(INDEX(A757:H757,$P$1)),INDEX(A757:H757,$P$1),IFERROR(_xlfn.NUMBERVALUE(INDEX(A757:H757,$P$1),".",","),0)))</f>
        <v/>
      </c>
    </row>
    <row r="758">
      <c r="L758">
        <f>IF(A758="","",IF(ISNUMBER(--LEFT(A758,FIND(" - ",A758&amp;" - ")-1)),LEFT(A758,FIND(" - ",A758&amp;" - ")-1),TRIM(A758)))</f>
        <v/>
      </c>
      <c r="N758">
        <f>IF(L758="","",IF(ISNUMBER(INDEX(A758:H758,$P$1)),INDEX(A758:H758,$P$1),IFERROR(_xlfn.NUMBERVALUE(INDEX(A758:H758,$P$1),".",","),0)))</f>
        <v/>
      </c>
    </row>
    <row r="759">
      <c r="L759">
        <f>IF(A759="","",IF(ISNUMBER(--LEFT(A759,FIND(" - ",A759&amp;" - ")-1)),LEFT(A759,FIND(" - ",A759&amp;" - ")-1),TRIM(A759)))</f>
        <v/>
      </c>
      <c r="N759">
        <f>IF(L759="","",IF(ISNUMBER(INDEX(A759:H759,$P$1)),INDEX(A759:H759,$P$1),IFERROR(_xlfn.NUMBERVALUE(INDEX(A759:H759,$P$1),".",","),0)))</f>
        <v/>
      </c>
    </row>
    <row r="760">
      <c r="L760">
        <f>IF(A760="","",IF(ISNUMBER(--LEFT(A760,FIND(" - ",A760&amp;" - ")-1)),LEFT(A760,FIND(" - ",A760&amp;" - ")-1),TRIM(A760)))</f>
        <v/>
      </c>
      <c r="N760">
        <f>IF(L760="","",IF(ISNUMBER(INDEX(A760:H760,$P$1)),INDEX(A760:H760,$P$1),IFERROR(_xlfn.NUMBERVALUE(INDEX(A760:H760,$P$1),".",","),0)))</f>
        <v/>
      </c>
    </row>
    <row r="761">
      <c r="L761">
        <f>IF(A761="","",IF(ISNUMBER(--LEFT(A761,FIND(" - ",A761&amp;" - ")-1)),LEFT(A761,FIND(" - ",A761&amp;" - ")-1),TRIM(A761)))</f>
        <v/>
      </c>
      <c r="N761">
        <f>IF(L761="","",IF(ISNUMBER(INDEX(A761:H761,$P$1)),INDEX(A761:H761,$P$1),IFERROR(_xlfn.NUMBERVALUE(INDEX(A761:H761,$P$1),".",","),0)))</f>
        <v/>
      </c>
    </row>
    <row r="762">
      <c r="L762">
        <f>IF(A762="","",IF(ISNUMBER(--LEFT(A762,FIND(" - ",A762&amp;" - ")-1)),LEFT(A762,FIND(" - ",A762&amp;" - ")-1),TRIM(A762)))</f>
        <v/>
      </c>
      <c r="N762">
        <f>IF(L762="","",IF(ISNUMBER(INDEX(A762:H762,$P$1)),INDEX(A762:H762,$P$1),IFERROR(_xlfn.NUMBERVALUE(INDEX(A762:H762,$P$1),".",","),0)))</f>
        <v/>
      </c>
    </row>
    <row r="763">
      <c r="L763">
        <f>IF(A763="","",IF(ISNUMBER(--LEFT(A763,FIND(" - ",A763&amp;" - ")-1)),LEFT(A763,FIND(" - ",A763&amp;" - ")-1),TRIM(A763)))</f>
        <v/>
      </c>
      <c r="N763">
        <f>IF(L763="","",IF(ISNUMBER(INDEX(A763:H763,$P$1)),INDEX(A763:H763,$P$1),IFERROR(_xlfn.NUMBERVALUE(INDEX(A763:H763,$P$1),".",","),0)))</f>
        <v/>
      </c>
    </row>
    <row r="764">
      <c r="L764">
        <f>IF(A764="","",IF(ISNUMBER(--LEFT(A764,FIND(" - ",A764&amp;" - ")-1)),LEFT(A764,FIND(" - ",A764&amp;" - ")-1),TRIM(A764)))</f>
        <v/>
      </c>
      <c r="N764">
        <f>IF(L764="","",IF(ISNUMBER(INDEX(A764:H764,$P$1)),INDEX(A764:H764,$P$1),IFERROR(_xlfn.NUMBERVALUE(INDEX(A764:H764,$P$1),".",","),0)))</f>
        <v/>
      </c>
    </row>
    <row r="765">
      <c r="L765">
        <f>IF(A765="","",IF(ISNUMBER(--LEFT(A765,FIND(" - ",A765&amp;" - ")-1)),LEFT(A765,FIND(" - ",A765&amp;" - ")-1),TRIM(A765)))</f>
        <v/>
      </c>
      <c r="N765">
        <f>IF(L765="","",IF(ISNUMBER(INDEX(A765:H765,$P$1)),INDEX(A765:H765,$P$1),IFERROR(_xlfn.NUMBERVALUE(INDEX(A765:H765,$P$1),".",","),0)))</f>
        <v/>
      </c>
    </row>
    <row r="766">
      <c r="L766">
        <f>IF(A766="","",IF(ISNUMBER(--LEFT(A766,FIND(" - ",A766&amp;" - ")-1)),LEFT(A766,FIND(" - ",A766&amp;" - ")-1),TRIM(A766)))</f>
        <v/>
      </c>
      <c r="N766">
        <f>IF(L766="","",IF(ISNUMBER(INDEX(A766:H766,$P$1)),INDEX(A766:H766,$P$1),IFERROR(_xlfn.NUMBERVALUE(INDEX(A766:H766,$P$1),".",","),0)))</f>
        <v/>
      </c>
    </row>
    <row r="767">
      <c r="L767">
        <f>IF(A767="","",IF(ISNUMBER(--LEFT(A767,FIND(" - ",A767&amp;" - ")-1)),LEFT(A767,FIND(" - ",A767&amp;" - ")-1),TRIM(A767)))</f>
        <v/>
      </c>
      <c r="N767">
        <f>IF(L767="","",IF(ISNUMBER(INDEX(A767:H767,$P$1)),INDEX(A767:H767,$P$1),IFERROR(_xlfn.NUMBERVALUE(INDEX(A767:H767,$P$1),".",","),0)))</f>
        <v/>
      </c>
    </row>
    <row r="768">
      <c r="L768">
        <f>IF(A768="","",IF(ISNUMBER(--LEFT(A768,FIND(" - ",A768&amp;" - ")-1)),LEFT(A768,FIND(" - ",A768&amp;" - ")-1),TRIM(A768)))</f>
        <v/>
      </c>
      <c r="N768">
        <f>IF(L768="","",IF(ISNUMBER(INDEX(A768:H768,$P$1)),INDEX(A768:H768,$P$1),IFERROR(_xlfn.NUMBERVALUE(INDEX(A768:H768,$P$1),".",","),0)))</f>
        <v/>
      </c>
    </row>
    <row r="769">
      <c r="L769">
        <f>IF(A769="","",IF(ISNUMBER(--LEFT(A769,FIND(" - ",A769&amp;" - ")-1)),LEFT(A769,FIND(" - ",A769&amp;" - ")-1),TRIM(A769)))</f>
        <v/>
      </c>
      <c r="N769">
        <f>IF(L769="","",IF(ISNUMBER(INDEX(A769:H769,$P$1)),INDEX(A769:H769,$P$1),IFERROR(_xlfn.NUMBERVALUE(INDEX(A769:H769,$P$1),".",","),0)))</f>
        <v/>
      </c>
    </row>
    <row r="770">
      <c r="L770">
        <f>IF(A770="","",IF(ISNUMBER(--LEFT(A770,FIND(" - ",A770&amp;" - ")-1)),LEFT(A770,FIND(" - ",A770&amp;" - ")-1),TRIM(A770)))</f>
        <v/>
      </c>
      <c r="N770">
        <f>IF(L770="","",IF(ISNUMBER(INDEX(A770:H770,$P$1)),INDEX(A770:H770,$P$1),IFERROR(_xlfn.NUMBERVALUE(INDEX(A770:H770,$P$1),".",","),0)))</f>
        <v/>
      </c>
    </row>
    <row r="771">
      <c r="L771">
        <f>IF(A771="","",IF(ISNUMBER(--LEFT(A771,FIND(" - ",A771&amp;" - ")-1)),LEFT(A771,FIND(" - ",A771&amp;" - ")-1),TRIM(A771)))</f>
        <v/>
      </c>
      <c r="N771">
        <f>IF(L771="","",IF(ISNUMBER(INDEX(A771:H771,$P$1)),INDEX(A771:H771,$P$1),IFERROR(_xlfn.NUMBERVALUE(INDEX(A771:H771,$P$1),".",","),0)))</f>
        <v/>
      </c>
    </row>
    <row r="772">
      <c r="L772">
        <f>IF(A772="","",IF(ISNUMBER(--LEFT(A772,FIND(" - ",A772&amp;" - ")-1)),LEFT(A772,FIND(" - ",A772&amp;" - ")-1),TRIM(A772)))</f>
        <v/>
      </c>
      <c r="N772">
        <f>IF(L772="","",IF(ISNUMBER(INDEX(A772:H772,$P$1)),INDEX(A772:H772,$P$1),IFERROR(_xlfn.NUMBERVALUE(INDEX(A772:H772,$P$1),".",","),0)))</f>
        <v/>
      </c>
    </row>
    <row r="773">
      <c r="L773">
        <f>IF(A773="","",IF(ISNUMBER(--LEFT(A773,FIND(" - ",A773&amp;" - ")-1)),LEFT(A773,FIND(" - ",A773&amp;" - ")-1),TRIM(A773)))</f>
        <v/>
      </c>
      <c r="N773">
        <f>IF(L773="","",IF(ISNUMBER(INDEX(A773:H773,$P$1)),INDEX(A773:H773,$P$1),IFERROR(_xlfn.NUMBERVALUE(INDEX(A773:H773,$P$1),".",","),0)))</f>
        <v/>
      </c>
    </row>
    <row r="774">
      <c r="L774">
        <f>IF(A774="","",IF(ISNUMBER(--LEFT(A774,FIND(" - ",A774&amp;" - ")-1)),LEFT(A774,FIND(" - ",A774&amp;" - ")-1),TRIM(A774)))</f>
        <v/>
      </c>
      <c r="N774">
        <f>IF(L774="","",IF(ISNUMBER(INDEX(A774:H774,$P$1)),INDEX(A774:H774,$P$1),IFERROR(_xlfn.NUMBERVALUE(INDEX(A774:H774,$P$1),".",","),0)))</f>
        <v/>
      </c>
    </row>
    <row r="775">
      <c r="L775">
        <f>IF(A775="","",IF(ISNUMBER(--LEFT(A775,FIND(" - ",A775&amp;" - ")-1)),LEFT(A775,FIND(" - ",A775&amp;" - ")-1),TRIM(A775)))</f>
        <v/>
      </c>
      <c r="N775">
        <f>IF(L775="","",IF(ISNUMBER(INDEX(A775:H775,$P$1)),INDEX(A775:H775,$P$1),IFERROR(_xlfn.NUMBERVALUE(INDEX(A775:H775,$P$1),".",","),0)))</f>
        <v/>
      </c>
    </row>
    <row r="776">
      <c r="L776">
        <f>IF(A776="","",IF(ISNUMBER(--LEFT(A776,FIND(" - ",A776&amp;" - ")-1)),LEFT(A776,FIND(" - ",A776&amp;" - ")-1),TRIM(A776)))</f>
        <v/>
      </c>
      <c r="N776">
        <f>IF(L776="","",IF(ISNUMBER(INDEX(A776:H776,$P$1)),INDEX(A776:H776,$P$1),IFERROR(_xlfn.NUMBERVALUE(INDEX(A776:H776,$P$1),".",","),0)))</f>
        <v/>
      </c>
    </row>
    <row r="777">
      <c r="L777">
        <f>IF(A777="","",IF(ISNUMBER(--LEFT(A777,FIND(" - ",A777&amp;" - ")-1)),LEFT(A777,FIND(" - ",A777&amp;" - ")-1),TRIM(A777)))</f>
        <v/>
      </c>
      <c r="N777">
        <f>IF(L777="","",IF(ISNUMBER(INDEX(A777:H777,$P$1)),INDEX(A777:H777,$P$1),IFERROR(_xlfn.NUMBERVALUE(INDEX(A777:H777,$P$1),".",","),0)))</f>
        <v/>
      </c>
    </row>
    <row r="778">
      <c r="L778">
        <f>IF(A778="","",IF(ISNUMBER(--LEFT(A778,FIND(" - ",A778&amp;" - ")-1)),LEFT(A778,FIND(" - ",A778&amp;" - ")-1),TRIM(A778)))</f>
        <v/>
      </c>
      <c r="N778">
        <f>IF(L778="","",IF(ISNUMBER(INDEX(A778:H778,$P$1)),INDEX(A778:H778,$P$1),IFERROR(_xlfn.NUMBERVALUE(INDEX(A778:H778,$P$1),".",","),0)))</f>
        <v/>
      </c>
    </row>
    <row r="779">
      <c r="L779">
        <f>IF(A779="","",IF(ISNUMBER(--LEFT(A779,FIND(" - ",A779&amp;" - ")-1)),LEFT(A779,FIND(" - ",A779&amp;" - ")-1),TRIM(A779)))</f>
        <v/>
      </c>
      <c r="N779">
        <f>IF(L779="","",IF(ISNUMBER(INDEX(A779:H779,$P$1)),INDEX(A779:H779,$P$1),IFERROR(_xlfn.NUMBERVALUE(INDEX(A779:H779,$P$1),".",","),0)))</f>
        <v/>
      </c>
    </row>
    <row r="780">
      <c r="L780">
        <f>IF(A780="","",IF(ISNUMBER(--LEFT(A780,FIND(" - ",A780&amp;" - ")-1)),LEFT(A780,FIND(" - ",A780&amp;" - ")-1),TRIM(A780)))</f>
        <v/>
      </c>
      <c r="N780">
        <f>IF(L780="","",IF(ISNUMBER(INDEX(A780:H780,$P$1)),INDEX(A780:H780,$P$1),IFERROR(_xlfn.NUMBERVALUE(INDEX(A780:H780,$P$1),".",","),0)))</f>
        <v/>
      </c>
    </row>
    <row r="781">
      <c r="L781">
        <f>IF(A781="","",IF(ISNUMBER(--LEFT(A781,FIND(" - ",A781&amp;" - ")-1)),LEFT(A781,FIND(" - ",A781&amp;" - ")-1),TRIM(A781)))</f>
        <v/>
      </c>
      <c r="N781">
        <f>IF(L781="","",IF(ISNUMBER(INDEX(A781:H781,$P$1)),INDEX(A781:H781,$P$1),IFERROR(_xlfn.NUMBERVALUE(INDEX(A781:H781,$P$1),".",","),0)))</f>
        <v/>
      </c>
    </row>
    <row r="782">
      <c r="L782">
        <f>IF(A782="","",IF(ISNUMBER(--LEFT(A782,FIND(" - ",A782&amp;" - ")-1)),LEFT(A782,FIND(" - ",A782&amp;" - ")-1),TRIM(A782)))</f>
        <v/>
      </c>
      <c r="N782">
        <f>IF(L782="","",IF(ISNUMBER(INDEX(A782:H782,$P$1)),INDEX(A782:H782,$P$1),IFERROR(_xlfn.NUMBERVALUE(INDEX(A782:H782,$P$1),".",","),0)))</f>
        <v/>
      </c>
    </row>
    <row r="783">
      <c r="L783">
        <f>IF(A783="","",IF(ISNUMBER(--LEFT(A783,FIND(" - ",A783&amp;" - ")-1)),LEFT(A783,FIND(" - ",A783&amp;" - ")-1),TRIM(A783)))</f>
        <v/>
      </c>
      <c r="N783">
        <f>IF(L783="","",IF(ISNUMBER(INDEX(A783:H783,$P$1)),INDEX(A783:H783,$P$1),IFERROR(_xlfn.NUMBERVALUE(INDEX(A783:H783,$P$1),".",","),0)))</f>
        <v/>
      </c>
    </row>
    <row r="784">
      <c r="L784">
        <f>IF(A784="","",IF(ISNUMBER(--LEFT(A784,FIND(" - ",A784&amp;" - ")-1)),LEFT(A784,FIND(" - ",A784&amp;" - ")-1),TRIM(A784)))</f>
        <v/>
      </c>
      <c r="N784">
        <f>IF(L784="","",IF(ISNUMBER(INDEX(A784:H784,$P$1)),INDEX(A784:H784,$P$1),IFERROR(_xlfn.NUMBERVALUE(INDEX(A784:H784,$P$1),".",","),0)))</f>
        <v/>
      </c>
    </row>
    <row r="785">
      <c r="L785">
        <f>IF(A785="","",IF(ISNUMBER(--LEFT(A785,FIND(" - ",A785&amp;" - ")-1)),LEFT(A785,FIND(" - ",A785&amp;" - ")-1),TRIM(A785)))</f>
        <v/>
      </c>
      <c r="N785">
        <f>IF(L785="","",IF(ISNUMBER(INDEX(A785:H785,$P$1)),INDEX(A785:H785,$P$1),IFERROR(_xlfn.NUMBERVALUE(INDEX(A785:H785,$P$1),".",","),0)))</f>
        <v/>
      </c>
    </row>
    <row r="786">
      <c r="L786">
        <f>IF(A786="","",IF(ISNUMBER(--LEFT(A786,FIND(" - ",A786&amp;" - ")-1)),LEFT(A786,FIND(" - ",A786&amp;" - ")-1),TRIM(A786)))</f>
        <v/>
      </c>
      <c r="N786">
        <f>IF(L786="","",IF(ISNUMBER(INDEX(A786:H786,$P$1)),INDEX(A786:H786,$P$1),IFERROR(_xlfn.NUMBERVALUE(INDEX(A786:H786,$P$1),".",","),0)))</f>
        <v/>
      </c>
    </row>
    <row r="787">
      <c r="L787">
        <f>IF(A787="","",IF(ISNUMBER(--LEFT(A787,FIND(" - ",A787&amp;" - ")-1)),LEFT(A787,FIND(" - ",A787&amp;" - ")-1),TRIM(A787)))</f>
        <v/>
      </c>
      <c r="N787">
        <f>IF(L787="","",IF(ISNUMBER(INDEX(A787:H787,$P$1)),INDEX(A787:H787,$P$1),IFERROR(_xlfn.NUMBERVALUE(INDEX(A787:H787,$P$1),".",","),0)))</f>
        <v/>
      </c>
    </row>
    <row r="788">
      <c r="L788">
        <f>IF(A788="","",IF(ISNUMBER(--LEFT(A788,FIND(" - ",A788&amp;" - ")-1)),LEFT(A788,FIND(" - ",A788&amp;" - ")-1),TRIM(A788)))</f>
        <v/>
      </c>
      <c r="N788">
        <f>IF(L788="","",IF(ISNUMBER(INDEX(A788:H788,$P$1)),INDEX(A788:H788,$P$1),IFERROR(_xlfn.NUMBERVALUE(INDEX(A788:H788,$P$1),".",","),0)))</f>
        <v/>
      </c>
    </row>
    <row r="789">
      <c r="L789">
        <f>IF(A789="","",IF(ISNUMBER(--LEFT(A789,FIND(" - ",A789&amp;" - ")-1)),LEFT(A789,FIND(" - ",A789&amp;" - ")-1),TRIM(A789)))</f>
        <v/>
      </c>
      <c r="N789">
        <f>IF(L789="","",IF(ISNUMBER(INDEX(A789:H789,$P$1)),INDEX(A789:H789,$P$1),IFERROR(_xlfn.NUMBERVALUE(INDEX(A789:H789,$P$1),".",","),0)))</f>
        <v/>
      </c>
    </row>
    <row r="790">
      <c r="L790">
        <f>IF(A790="","",IF(ISNUMBER(--LEFT(A790,FIND(" - ",A790&amp;" - ")-1)),LEFT(A790,FIND(" - ",A790&amp;" - ")-1),TRIM(A790)))</f>
        <v/>
      </c>
      <c r="N790">
        <f>IF(L790="","",IF(ISNUMBER(INDEX(A790:H790,$P$1)),INDEX(A790:H790,$P$1),IFERROR(_xlfn.NUMBERVALUE(INDEX(A790:H790,$P$1),".",","),0)))</f>
        <v/>
      </c>
    </row>
    <row r="791">
      <c r="L791">
        <f>IF(A791="","",IF(ISNUMBER(--LEFT(A791,FIND(" - ",A791&amp;" - ")-1)),LEFT(A791,FIND(" - ",A791&amp;" - ")-1),TRIM(A791)))</f>
        <v/>
      </c>
      <c r="N791">
        <f>IF(L791="","",IF(ISNUMBER(INDEX(A791:H791,$P$1)),INDEX(A791:H791,$P$1),IFERROR(_xlfn.NUMBERVALUE(INDEX(A791:H791,$P$1),".",","),0)))</f>
        <v/>
      </c>
    </row>
    <row r="792">
      <c r="L792">
        <f>IF(A792="","",IF(ISNUMBER(--LEFT(A792,FIND(" - ",A792&amp;" - ")-1)),LEFT(A792,FIND(" - ",A792&amp;" - ")-1),TRIM(A792)))</f>
        <v/>
      </c>
      <c r="N792">
        <f>IF(L792="","",IF(ISNUMBER(INDEX(A792:H792,$P$1)),INDEX(A792:H792,$P$1),IFERROR(_xlfn.NUMBERVALUE(INDEX(A792:H792,$P$1),".",","),0)))</f>
        <v/>
      </c>
    </row>
    <row r="793">
      <c r="L793">
        <f>IF(A793="","",IF(ISNUMBER(--LEFT(A793,FIND(" - ",A793&amp;" - ")-1)),LEFT(A793,FIND(" - ",A793&amp;" - ")-1),TRIM(A793)))</f>
        <v/>
      </c>
      <c r="N793">
        <f>IF(L793="","",IF(ISNUMBER(INDEX(A793:H793,$P$1)),INDEX(A793:H793,$P$1),IFERROR(_xlfn.NUMBERVALUE(INDEX(A793:H793,$P$1),".",","),0)))</f>
        <v/>
      </c>
    </row>
    <row r="794">
      <c r="L794">
        <f>IF(A794="","",IF(ISNUMBER(--LEFT(A794,FIND(" - ",A794&amp;" - ")-1)),LEFT(A794,FIND(" - ",A794&amp;" - ")-1),TRIM(A794)))</f>
        <v/>
      </c>
      <c r="N794">
        <f>IF(L794="","",IF(ISNUMBER(INDEX(A794:H794,$P$1)),INDEX(A794:H794,$P$1),IFERROR(_xlfn.NUMBERVALUE(INDEX(A794:H794,$P$1),".",","),0)))</f>
        <v/>
      </c>
    </row>
    <row r="795">
      <c r="L795">
        <f>IF(A795="","",IF(ISNUMBER(--LEFT(A795,FIND(" - ",A795&amp;" - ")-1)),LEFT(A795,FIND(" - ",A795&amp;" - ")-1),TRIM(A795)))</f>
        <v/>
      </c>
      <c r="N795">
        <f>IF(L795="","",IF(ISNUMBER(INDEX(A795:H795,$P$1)),INDEX(A795:H795,$P$1),IFERROR(_xlfn.NUMBERVALUE(INDEX(A795:H795,$P$1),".",","),0)))</f>
        <v/>
      </c>
    </row>
    <row r="796">
      <c r="L796">
        <f>IF(A796="","",IF(ISNUMBER(--LEFT(A796,FIND(" - ",A796&amp;" - ")-1)),LEFT(A796,FIND(" - ",A796&amp;" - ")-1),TRIM(A796)))</f>
        <v/>
      </c>
      <c r="N796">
        <f>IF(L796="","",IF(ISNUMBER(INDEX(A796:H796,$P$1)),INDEX(A796:H796,$P$1),IFERROR(_xlfn.NUMBERVALUE(INDEX(A796:H796,$P$1),".",","),0)))</f>
        <v/>
      </c>
    </row>
    <row r="797">
      <c r="L797">
        <f>IF(A797="","",IF(ISNUMBER(--LEFT(A797,FIND(" - ",A797&amp;" - ")-1)),LEFT(A797,FIND(" - ",A797&amp;" - ")-1),TRIM(A797)))</f>
        <v/>
      </c>
      <c r="N797">
        <f>IF(L797="","",IF(ISNUMBER(INDEX(A797:H797,$P$1)),INDEX(A797:H797,$P$1),IFERROR(_xlfn.NUMBERVALUE(INDEX(A797:H797,$P$1),".",","),0)))</f>
        <v/>
      </c>
    </row>
    <row r="798">
      <c r="L798">
        <f>IF(A798="","",IF(ISNUMBER(--LEFT(A798,FIND(" - ",A798&amp;" - ")-1)),LEFT(A798,FIND(" - ",A798&amp;" - ")-1),TRIM(A798)))</f>
        <v/>
      </c>
      <c r="N798">
        <f>IF(L798="","",IF(ISNUMBER(INDEX(A798:H798,$P$1)),INDEX(A798:H798,$P$1),IFERROR(_xlfn.NUMBERVALUE(INDEX(A798:H798,$P$1),".",","),0)))</f>
        <v/>
      </c>
    </row>
    <row r="799">
      <c r="L799">
        <f>IF(A799="","",IF(ISNUMBER(--LEFT(A799,FIND(" - ",A799&amp;" - ")-1)),LEFT(A799,FIND(" - ",A799&amp;" - ")-1),TRIM(A799)))</f>
        <v/>
      </c>
      <c r="N799">
        <f>IF(L799="","",IF(ISNUMBER(INDEX(A799:H799,$P$1)),INDEX(A799:H799,$P$1),IFERROR(_xlfn.NUMBERVALUE(INDEX(A799:H799,$P$1),".",","),0)))</f>
        <v/>
      </c>
    </row>
    <row r="800">
      <c r="L800">
        <f>IF(A800="","",IF(ISNUMBER(--LEFT(A800,FIND(" - ",A800&amp;" - ")-1)),LEFT(A800,FIND(" - ",A800&amp;" - ")-1),TRIM(A800)))</f>
        <v/>
      </c>
      <c r="N800">
        <f>IF(L800="","",IF(ISNUMBER(INDEX(A800:H800,$P$1)),INDEX(A800:H800,$P$1),IFERROR(_xlfn.NUMBERVALUE(INDEX(A800:H800,$P$1),".",","),0)))</f>
        <v/>
      </c>
    </row>
    <row r="801">
      <c r="L801">
        <f>IF(A801="","",IF(ISNUMBER(--LEFT(A801,FIND(" - ",A801&amp;" - ")-1)),LEFT(A801,FIND(" - ",A801&amp;" - ")-1),TRIM(A801)))</f>
        <v/>
      </c>
      <c r="N801">
        <f>IF(L801="","",IF(ISNUMBER(INDEX(A801:H801,$P$1)),INDEX(A801:H801,$P$1),IFERROR(_xlfn.NUMBERVALUE(INDEX(A801:H801,$P$1),".",","),0)))</f>
        <v/>
      </c>
    </row>
    <row r="802">
      <c r="L802">
        <f>IF(A802="","",IF(ISNUMBER(--LEFT(A802,FIND(" - ",A802&amp;" - ")-1)),LEFT(A802,FIND(" - ",A802&amp;" - ")-1),TRIM(A802)))</f>
        <v/>
      </c>
      <c r="N802">
        <f>IF(L802="","",IF(ISNUMBER(INDEX(A802:H802,$P$1)),INDEX(A802:H802,$P$1),IFERROR(_xlfn.NUMBERVALUE(INDEX(A802:H802,$P$1),".",","),0)))</f>
        <v/>
      </c>
    </row>
    <row r="803">
      <c r="L803">
        <f>IF(A803="","",IF(ISNUMBER(--LEFT(A803,FIND(" - ",A803&amp;" - ")-1)),LEFT(A803,FIND(" - ",A803&amp;" - ")-1),TRIM(A803)))</f>
        <v/>
      </c>
      <c r="N803">
        <f>IF(L803="","",IF(ISNUMBER(INDEX(A803:H803,$P$1)),INDEX(A803:H803,$P$1),IFERROR(_xlfn.NUMBERVALUE(INDEX(A803:H803,$P$1),".",","),0)))</f>
        <v/>
      </c>
    </row>
    <row r="804">
      <c r="L804">
        <f>IF(A804="","",IF(ISNUMBER(--LEFT(A804,FIND(" - ",A804&amp;" - ")-1)),LEFT(A804,FIND(" - ",A804&amp;" - ")-1),TRIM(A804)))</f>
        <v/>
      </c>
      <c r="N804">
        <f>IF(L804="","",IF(ISNUMBER(INDEX(A804:H804,$P$1)),INDEX(A804:H804,$P$1),IFERROR(_xlfn.NUMBERVALUE(INDEX(A804:H804,$P$1),".",","),0)))</f>
        <v/>
      </c>
    </row>
    <row r="805">
      <c r="L805">
        <f>IF(A805="","",IF(ISNUMBER(--LEFT(A805,FIND(" - ",A805&amp;" - ")-1)),LEFT(A805,FIND(" - ",A805&amp;" - ")-1),TRIM(A805)))</f>
        <v/>
      </c>
      <c r="N805">
        <f>IF(L805="","",IF(ISNUMBER(INDEX(A805:H805,$P$1)),INDEX(A805:H805,$P$1),IFERROR(_xlfn.NUMBERVALUE(INDEX(A805:H805,$P$1),".",","),0)))</f>
        <v/>
      </c>
    </row>
    <row r="806">
      <c r="L806">
        <f>IF(A806="","",IF(ISNUMBER(--LEFT(A806,FIND(" - ",A806&amp;" - ")-1)),LEFT(A806,FIND(" - ",A806&amp;" - ")-1),TRIM(A806)))</f>
        <v/>
      </c>
      <c r="N806">
        <f>IF(L806="","",IF(ISNUMBER(INDEX(A806:H806,$P$1)),INDEX(A806:H806,$P$1),IFERROR(_xlfn.NUMBERVALUE(INDEX(A806:H806,$P$1),".",","),0)))</f>
        <v/>
      </c>
    </row>
    <row r="807">
      <c r="L807">
        <f>IF(A807="","",IF(ISNUMBER(--LEFT(A807,FIND(" - ",A807&amp;" - ")-1)),LEFT(A807,FIND(" - ",A807&amp;" - ")-1),TRIM(A807)))</f>
        <v/>
      </c>
      <c r="N807">
        <f>IF(L807="","",IF(ISNUMBER(INDEX(A807:H807,$P$1)),INDEX(A807:H807,$P$1),IFERROR(_xlfn.NUMBERVALUE(INDEX(A807:H807,$P$1),".",","),0)))</f>
        <v/>
      </c>
    </row>
    <row r="808">
      <c r="L808">
        <f>IF(A808="","",IF(ISNUMBER(--LEFT(A808,FIND(" - ",A808&amp;" - ")-1)),LEFT(A808,FIND(" - ",A808&amp;" - ")-1),TRIM(A808)))</f>
        <v/>
      </c>
      <c r="N808">
        <f>IF(L808="","",IF(ISNUMBER(INDEX(A808:H808,$P$1)),INDEX(A808:H808,$P$1),IFERROR(_xlfn.NUMBERVALUE(INDEX(A808:H808,$P$1),".",","),0)))</f>
        <v/>
      </c>
    </row>
    <row r="809">
      <c r="L809">
        <f>IF(A809="","",IF(ISNUMBER(--LEFT(A809,FIND(" - ",A809&amp;" - ")-1)),LEFT(A809,FIND(" - ",A809&amp;" - ")-1),TRIM(A809)))</f>
        <v/>
      </c>
      <c r="N809">
        <f>IF(L809="","",IF(ISNUMBER(INDEX(A809:H809,$P$1)),INDEX(A809:H809,$P$1),IFERROR(_xlfn.NUMBERVALUE(INDEX(A809:H809,$P$1),".",","),0)))</f>
        <v/>
      </c>
    </row>
    <row r="810">
      <c r="L810">
        <f>IF(A810="","",IF(ISNUMBER(--LEFT(A810,FIND(" - ",A810&amp;" - ")-1)),LEFT(A810,FIND(" - ",A810&amp;" - ")-1),TRIM(A810)))</f>
        <v/>
      </c>
      <c r="N810">
        <f>IF(L810="","",IF(ISNUMBER(INDEX(A810:H810,$P$1)),INDEX(A810:H810,$P$1),IFERROR(_xlfn.NUMBERVALUE(INDEX(A810:H810,$P$1),".",","),0)))</f>
        <v/>
      </c>
    </row>
    <row r="811">
      <c r="L811">
        <f>IF(A811="","",IF(ISNUMBER(--LEFT(A811,FIND(" - ",A811&amp;" - ")-1)),LEFT(A811,FIND(" - ",A811&amp;" - ")-1),TRIM(A811)))</f>
        <v/>
      </c>
      <c r="N811">
        <f>IF(L811="","",IF(ISNUMBER(INDEX(A811:H811,$P$1)),INDEX(A811:H811,$P$1),IFERROR(_xlfn.NUMBERVALUE(INDEX(A811:H811,$P$1),".",","),0)))</f>
        <v/>
      </c>
    </row>
    <row r="812">
      <c r="L812">
        <f>IF(A812="","",IF(ISNUMBER(--LEFT(A812,FIND(" - ",A812&amp;" - ")-1)),LEFT(A812,FIND(" - ",A812&amp;" - ")-1),TRIM(A812)))</f>
        <v/>
      </c>
      <c r="N812">
        <f>IF(L812="","",IF(ISNUMBER(INDEX(A812:H812,$P$1)),INDEX(A812:H812,$P$1),IFERROR(_xlfn.NUMBERVALUE(INDEX(A812:H812,$P$1),".",","),0)))</f>
        <v/>
      </c>
    </row>
    <row r="813">
      <c r="L813">
        <f>IF(A813="","",IF(ISNUMBER(--LEFT(A813,FIND(" - ",A813&amp;" - ")-1)),LEFT(A813,FIND(" - ",A813&amp;" - ")-1),TRIM(A813)))</f>
        <v/>
      </c>
      <c r="N813">
        <f>IF(L813="","",IF(ISNUMBER(INDEX(A813:H813,$P$1)),INDEX(A813:H813,$P$1),IFERROR(_xlfn.NUMBERVALUE(INDEX(A813:H813,$P$1),".",","),0)))</f>
        <v/>
      </c>
    </row>
    <row r="814">
      <c r="L814">
        <f>IF(A814="","",IF(ISNUMBER(--LEFT(A814,FIND(" - ",A814&amp;" - ")-1)),LEFT(A814,FIND(" - ",A814&amp;" - ")-1),TRIM(A814)))</f>
        <v/>
      </c>
      <c r="N814">
        <f>IF(L814="","",IF(ISNUMBER(INDEX(A814:H814,$P$1)),INDEX(A814:H814,$P$1),IFERROR(_xlfn.NUMBERVALUE(INDEX(A814:H814,$P$1),".",","),0)))</f>
        <v/>
      </c>
    </row>
    <row r="815">
      <c r="L815">
        <f>IF(A815="","",IF(ISNUMBER(--LEFT(A815,FIND(" - ",A815&amp;" - ")-1)),LEFT(A815,FIND(" - ",A815&amp;" - ")-1),TRIM(A815)))</f>
        <v/>
      </c>
      <c r="N815">
        <f>IF(L815="","",IF(ISNUMBER(INDEX(A815:H815,$P$1)),INDEX(A815:H815,$P$1),IFERROR(_xlfn.NUMBERVALUE(INDEX(A815:H815,$P$1),".",","),0)))</f>
        <v/>
      </c>
    </row>
    <row r="816">
      <c r="L816">
        <f>IF(A816="","",IF(ISNUMBER(--LEFT(A816,FIND(" - ",A816&amp;" - ")-1)),LEFT(A816,FIND(" - ",A816&amp;" - ")-1),TRIM(A816)))</f>
        <v/>
      </c>
      <c r="N816">
        <f>IF(L816="","",IF(ISNUMBER(INDEX(A816:H816,$P$1)),INDEX(A816:H816,$P$1),IFERROR(_xlfn.NUMBERVALUE(INDEX(A816:H816,$P$1),".",","),0)))</f>
        <v/>
      </c>
    </row>
    <row r="817">
      <c r="L817">
        <f>IF(A817="","",IF(ISNUMBER(--LEFT(A817,FIND(" - ",A817&amp;" - ")-1)),LEFT(A817,FIND(" - ",A817&amp;" - ")-1),TRIM(A817)))</f>
        <v/>
      </c>
      <c r="N817">
        <f>IF(L817="","",IF(ISNUMBER(INDEX(A817:H817,$P$1)),INDEX(A817:H817,$P$1),IFERROR(_xlfn.NUMBERVALUE(INDEX(A817:H817,$P$1),".",","),0)))</f>
        <v/>
      </c>
    </row>
    <row r="818">
      <c r="L818">
        <f>IF(A818="","",IF(ISNUMBER(--LEFT(A818,FIND(" - ",A818&amp;" - ")-1)),LEFT(A818,FIND(" - ",A818&amp;" - ")-1),TRIM(A818)))</f>
        <v/>
      </c>
      <c r="N818">
        <f>IF(L818="","",IF(ISNUMBER(INDEX(A818:H818,$P$1)),INDEX(A818:H818,$P$1),IFERROR(_xlfn.NUMBERVALUE(INDEX(A818:H818,$P$1),".",","),0)))</f>
        <v/>
      </c>
    </row>
    <row r="819">
      <c r="L819">
        <f>IF(A819="","",IF(ISNUMBER(--LEFT(A819,FIND(" - ",A819&amp;" - ")-1)),LEFT(A819,FIND(" - ",A819&amp;" - ")-1),TRIM(A819)))</f>
        <v/>
      </c>
      <c r="N819">
        <f>IF(L819="","",IF(ISNUMBER(INDEX(A819:H819,$P$1)),INDEX(A819:H819,$P$1),IFERROR(_xlfn.NUMBERVALUE(INDEX(A819:H819,$P$1),".",","),0)))</f>
        <v/>
      </c>
    </row>
    <row r="820">
      <c r="L820">
        <f>IF(A820="","",IF(ISNUMBER(--LEFT(A820,FIND(" - ",A820&amp;" - ")-1)),LEFT(A820,FIND(" - ",A820&amp;" - ")-1),TRIM(A820)))</f>
        <v/>
      </c>
      <c r="N820">
        <f>IF(L820="","",IF(ISNUMBER(INDEX(A820:H820,$P$1)),INDEX(A820:H820,$P$1),IFERROR(_xlfn.NUMBERVALUE(INDEX(A820:H820,$P$1),".",","),0)))</f>
        <v/>
      </c>
    </row>
    <row r="821">
      <c r="L821">
        <f>IF(A821="","",IF(ISNUMBER(--LEFT(A821,FIND(" - ",A821&amp;" - ")-1)),LEFT(A821,FIND(" - ",A821&amp;" - ")-1),TRIM(A821)))</f>
        <v/>
      </c>
      <c r="N821">
        <f>IF(L821="","",IF(ISNUMBER(INDEX(A821:H821,$P$1)),INDEX(A821:H821,$P$1),IFERROR(_xlfn.NUMBERVALUE(INDEX(A821:H821,$P$1),".",","),0)))</f>
        <v/>
      </c>
    </row>
    <row r="822">
      <c r="L822">
        <f>IF(A822="","",IF(ISNUMBER(--LEFT(A822,FIND(" - ",A822&amp;" - ")-1)),LEFT(A822,FIND(" - ",A822&amp;" - ")-1),TRIM(A822)))</f>
        <v/>
      </c>
      <c r="N822">
        <f>IF(L822="","",IF(ISNUMBER(INDEX(A822:H822,$P$1)),INDEX(A822:H822,$P$1),IFERROR(_xlfn.NUMBERVALUE(INDEX(A822:H822,$P$1),".",","),0)))</f>
        <v/>
      </c>
    </row>
    <row r="823">
      <c r="L823">
        <f>IF(A823="","",IF(ISNUMBER(--LEFT(A823,FIND(" - ",A823&amp;" - ")-1)),LEFT(A823,FIND(" - ",A823&amp;" - ")-1),TRIM(A823)))</f>
        <v/>
      </c>
      <c r="N823">
        <f>IF(L823="","",IF(ISNUMBER(INDEX(A823:H823,$P$1)),INDEX(A823:H823,$P$1),IFERROR(_xlfn.NUMBERVALUE(INDEX(A823:H823,$P$1),".",","),0)))</f>
        <v/>
      </c>
    </row>
    <row r="824">
      <c r="L824">
        <f>IF(A824="","",IF(ISNUMBER(--LEFT(A824,FIND(" - ",A824&amp;" - ")-1)),LEFT(A824,FIND(" - ",A824&amp;" - ")-1),TRIM(A824)))</f>
        <v/>
      </c>
      <c r="N824">
        <f>IF(L824="","",IF(ISNUMBER(INDEX(A824:H824,$P$1)),INDEX(A824:H824,$P$1),IFERROR(_xlfn.NUMBERVALUE(INDEX(A824:H824,$P$1),".",","),0)))</f>
        <v/>
      </c>
    </row>
    <row r="825">
      <c r="L825">
        <f>IF(A825="","",IF(ISNUMBER(--LEFT(A825,FIND(" - ",A825&amp;" - ")-1)),LEFT(A825,FIND(" - ",A825&amp;" - ")-1),TRIM(A825)))</f>
        <v/>
      </c>
      <c r="N825">
        <f>IF(L825="","",IF(ISNUMBER(INDEX(A825:H825,$P$1)),INDEX(A825:H825,$P$1),IFERROR(_xlfn.NUMBERVALUE(INDEX(A825:H825,$P$1),".",","),0)))</f>
        <v/>
      </c>
    </row>
    <row r="826">
      <c r="L826">
        <f>IF(A826="","",IF(ISNUMBER(--LEFT(A826,FIND(" - ",A826&amp;" - ")-1)),LEFT(A826,FIND(" - ",A826&amp;" - ")-1),TRIM(A826)))</f>
        <v/>
      </c>
      <c r="N826">
        <f>IF(L826="","",IF(ISNUMBER(INDEX(A826:H826,$P$1)),INDEX(A826:H826,$P$1),IFERROR(_xlfn.NUMBERVALUE(INDEX(A826:H826,$P$1),".",","),0)))</f>
        <v/>
      </c>
    </row>
    <row r="827">
      <c r="L827">
        <f>IF(A827="","",IF(ISNUMBER(--LEFT(A827,FIND(" - ",A827&amp;" - ")-1)),LEFT(A827,FIND(" - ",A827&amp;" - ")-1),TRIM(A827)))</f>
        <v/>
      </c>
      <c r="N827">
        <f>IF(L827="","",IF(ISNUMBER(INDEX(A827:H827,$P$1)),INDEX(A827:H827,$P$1),IFERROR(_xlfn.NUMBERVALUE(INDEX(A827:H827,$P$1),".",","),0)))</f>
        <v/>
      </c>
    </row>
    <row r="828">
      <c r="L828">
        <f>IF(A828="","",IF(ISNUMBER(--LEFT(A828,FIND(" - ",A828&amp;" - ")-1)),LEFT(A828,FIND(" - ",A828&amp;" - ")-1),TRIM(A828)))</f>
        <v/>
      </c>
      <c r="N828">
        <f>IF(L828="","",IF(ISNUMBER(INDEX(A828:H828,$P$1)),INDEX(A828:H828,$P$1),IFERROR(_xlfn.NUMBERVALUE(INDEX(A828:H828,$P$1),".",","),0)))</f>
        <v/>
      </c>
    </row>
    <row r="829">
      <c r="L829">
        <f>IF(A829="","",IF(ISNUMBER(--LEFT(A829,FIND(" - ",A829&amp;" - ")-1)),LEFT(A829,FIND(" - ",A829&amp;" - ")-1),TRIM(A829)))</f>
        <v/>
      </c>
      <c r="N829">
        <f>IF(L829="","",IF(ISNUMBER(INDEX(A829:H829,$P$1)),INDEX(A829:H829,$P$1),IFERROR(_xlfn.NUMBERVALUE(INDEX(A829:H829,$P$1),".",","),0)))</f>
        <v/>
      </c>
    </row>
    <row r="830">
      <c r="L830">
        <f>IF(A830="","",IF(ISNUMBER(--LEFT(A830,FIND(" - ",A830&amp;" - ")-1)),LEFT(A830,FIND(" - ",A830&amp;" - ")-1),TRIM(A830)))</f>
        <v/>
      </c>
      <c r="N830">
        <f>IF(L830="","",IF(ISNUMBER(INDEX(A830:H830,$P$1)),INDEX(A830:H830,$P$1),IFERROR(_xlfn.NUMBERVALUE(INDEX(A830:H830,$P$1),".",","),0)))</f>
        <v/>
      </c>
    </row>
    <row r="831">
      <c r="L831">
        <f>IF(A831="","",IF(ISNUMBER(--LEFT(A831,FIND(" - ",A831&amp;" - ")-1)),LEFT(A831,FIND(" - ",A831&amp;" - ")-1),TRIM(A831)))</f>
        <v/>
      </c>
      <c r="N831">
        <f>IF(L831="","",IF(ISNUMBER(INDEX(A831:H831,$P$1)),INDEX(A831:H831,$P$1),IFERROR(_xlfn.NUMBERVALUE(INDEX(A831:H831,$P$1),".",","),0)))</f>
        <v/>
      </c>
    </row>
    <row r="832">
      <c r="L832">
        <f>IF(A832="","",IF(ISNUMBER(--LEFT(A832,FIND(" - ",A832&amp;" - ")-1)),LEFT(A832,FIND(" - ",A832&amp;" - ")-1),TRIM(A832)))</f>
        <v/>
      </c>
      <c r="N832">
        <f>IF(L832="","",IF(ISNUMBER(INDEX(A832:H832,$P$1)),INDEX(A832:H832,$P$1),IFERROR(_xlfn.NUMBERVALUE(INDEX(A832:H832,$P$1),".",","),0)))</f>
        <v/>
      </c>
    </row>
    <row r="833">
      <c r="L833">
        <f>IF(A833="","",IF(ISNUMBER(--LEFT(A833,FIND(" - ",A833&amp;" - ")-1)),LEFT(A833,FIND(" - ",A833&amp;" - ")-1),TRIM(A833)))</f>
        <v/>
      </c>
      <c r="N833">
        <f>IF(L833="","",IF(ISNUMBER(INDEX(A833:H833,$P$1)),INDEX(A833:H833,$P$1),IFERROR(_xlfn.NUMBERVALUE(INDEX(A833:H833,$P$1),".",","),0)))</f>
        <v/>
      </c>
    </row>
    <row r="834">
      <c r="L834">
        <f>IF(A834="","",IF(ISNUMBER(--LEFT(A834,FIND(" - ",A834&amp;" - ")-1)),LEFT(A834,FIND(" - ",A834&amp;" - ")-1),TRIM(A834)))</f>
        <v/>
      </c>
      <c r="N834">
        <f>IF(L834="","",IF(ISNUMBER(INDEX(A834:H834,$P$1)),INDEX(A834:H834,$P$1),IFERROR(_xlfn.NUMBERVALUE(INDEX(A834:H834,$P$1),".",","),0)))</f>
        <v/>
      </c>
    </row>
    <row r="835">
      <c r="L835">
        <f>IF(A835="","",IF(ISNUMBER(--LEFT(A835,FIND(" - ",A835&amp;" - ")-1)),LEFT(A835,FIND(" - ",A835&amp;" - ")-1),TRIM(A835)))</f>
        <v/>
      </c>
      <c r="N835">
        <f>IF(L835="","",IF(ISNUMBER(INDEX(A835:H835,$P$1)),INDEX(A835:H835,$P$1),IFERROR(_xlfn.NUMBERVALUE(INDEX(A835:H835,$P$1),".",","),0)))</f>
        <v/>
      </c>
    </row>
    <row r="836">
      <c r="L836">
        <f>IF(A836="","",IF(ISNUMBER(--LEFT(A836,FIND(" - ",A836&amp;" - ")-1)),LEFT(A836,FIND(" - ",A836&amp;" - ")-1),TRIM(A836)))</f>
        <v/>
      </c>
      <c r="N836">
        <f>IF(L836="","",IF(ISNUMBER(INDEX(A836:H836,$P$1)),INDEX(A836:H836,$P$1),IFERROR(_xlfn.NUMBERVALUE(INDEX(A836:H836,$P$1),".",","),0)))</f>
        <v/>
      </c>
    </row>
    <row r="837">
      <c r="L837">
        <f>IF(A837="","",IF(ISNUMBER(--LEFT(A837,FIND(" - ",A837&amp;" - ")-1)),LEFT(A837,FIND(" - ",A837&amp;" - ")-1),TRIM(A837)))</f>
        <v/>
      </c>
      <c r="N837">
        <f>IF(L837="","",IF(ISNUMBER(INDEX(A837:H837,$P$1)),INDEX(A837:H837,$P$1),IFERROR(_xlfn.NUMBERVALUE(INDEX(A837:H837,$P$1),".",","),0)))</f>
        <v/>
      </c>
    </row>
    <row r="838">
      <c r="L838">
        <f>IF(A838="","",IF(ISNUMBER(--LEFT(A838,FIND(" - ",A838&amp;" - ")-1)),LEFT(A838,FIND(" - ",A838&amp;" - ")-1),TRIM(A838)))</f>
        <v/>
      </c>
      <c r="N838">
        <f>IF(L838="","",IF(ISNUMBER(INDEX(A838:H838,$P$1)),INDEX(A838:H838,$P$1),IFERROR(_xlfn.NUMBERVALUE(INDEX(A838:H838,$P$1),".",","),0)))</f>
        <v/>
      </c>
    </row>
    <row r="839">
      <c r="L839">
        <f>IF(A839="","",IF(ISNUMBER(--LEFT(A839,FIND(" - ",A839&amp;" - ")-1)),LEFT(A839,FIND(" - ",A839&amp;" - ")-1),TRIM(A839)))</f>
        <v/>
      </c>
      <c r="N839">
        <f>IF(L839="","",IF(ISNUMBER(INDEX(A839:H839,$P$1)),INDEX(A839:H839,$P$1),IFERROR(_xlfn.NUMBERVALUE(INDEX(A839:H839,$P$1),".",","),0)))</f>
        <v/>
      </c>
    </row>
    <row r="840">
      <c r="L840">
        <f>IF(A840="","",IF(ISNUMBER(--LEFT(A840,FIND(" - ",A840&amp;" - ")-1)),LEFT(A840,FIND(" - ",A840&amp;" - ")-1),TRIM(A840)))</f>
        <v/>
      </c>
      <c r="N840">
        <f>IF(L840="","",IF(ISNUMBER(INDEX(A840:H840,$P$1)),INDEX(A840:H840,$P$1),IFERROR(_xlfn.NUMBERVALUE(INDEX(A840:H840,$P$1),".",","),0)))</f>
        <v/>
      </c>
    </row>
    <row r="841">
      <c r="L841">
        <f>IF(A841="","",IF(ISNUMBER(--LEFT(A841,FIND(" - ",A841&amp;" - ")-1)),LEFT(A841,FIND(" - ",A841&amp;" - ")-1),TRIM(A841)))</f>
        <v/>
      </c>
      <c r="N841">
        <f>IF(L841="","",IF(ISNUMBER(INDEX(A841:H841,$P$1)),INDEX(A841:H841,$P$1),IFERROR(_xlfn.NUMBERVALUE(INDEX(A841:H841,$P$1),".",","),0)))</f>
        <v/>
      </c>
    </row>
    <row r="842">
      <c r="L842">
        <f>IF(A842="","",IF(ISNUMBER(--LEFT(A842,FIND(" - ",A842&amp;" - ")-1)),LEFT(A842,FIND(" - ",A842&amp;" - ")-1),TRIM(A842)))</f>
        <v/>
      </c>
      <c r="N842">
        <f>IF(L842="","",IF(ISNUMBER(INDEX(A842:H842,$P$1)),INDEX(A842:H842,$P$1),IFERROR(_xlfn.NUMBERVALUE(INDEX(A842:H842,$P$1),".",","),0)))</f>
        <v/>
      </c>
    </row>
    <row r="843">
      <c r="L843">
        <f>IF(A843="","",IF(ISNUMBER(--LEFT(A843,FIND(" - ",A843&amp;" - ")-1)),LEFT(A843,FIND(" - ",A843&amp;" - ")-1),TRIM(A843)))</f>
        <v/>
      </c>
      <c r="N843">
        <f>IF(L843="","",IF(ISNUMBER(INDEX(A843:H843,$P$1)),INDEX(A843:H843,$P$1),IFERROR(_xlfn.NUMBERVALUE(INDEX(A843:H843,$P$1),".",","),0)))</f>
        <v/>
      </c>
    </row>
    <row r="844">
      <c r="L844">
        <f>IF(A844="","",IF(ISNUMBER(--LEFT(A844,FIND(" - ",A844&amp;" - ")-1)),LEFT(A844,FIND(" - ",A844&amp;" - ")-1),TRIM(A844)))</f>
        <v/>
      </c>
      <c r="N844">
        <f>IF(L844="","",IF(ISNUMBER(INDEX(A844:H844,$P$1)),INDEX(A844:H844,$P$1),IFERROR(_xlfn.NUMBERVALUE(INDEX(A844:H844,$P$1),".",","),0)))</f>
        <v/>
      </c>
    </row>
    <row r="845">
      <c r="L845">
        <f>IF(A845="","",IF(ISNUMBER(--LEFT(A845,FIND(" - ",A845&amp;" - ")-1)),LEFT(A845,FIND(" - ",A845&amp;" - ")-1),TRIM(A845)))</f>
        <v/>
      </c>
      <c r="N845">
        <f>IF(L845="","",IF(ISNUMBER(INDEX(A845:H845,$P$1)),INDEX(A845:H845,$P$1),IFERROR(_xlfn.NUMBERVALUE(INDEX(A845:H845,$P$1),".",","),0)))</f>
        <v/>
      </c>
    </row>
    <row r="846">
      <c r="L846">
        <f>IF(A846="","",IF(ISNUMBER(--LEFT(A846,FIND(" - ",A846&amp;" - ")-1)),LEFT(A846,FIND(" - ",A846&amp;" - ")-1),TRIM(A846)))</f>
        <v/>
      </c>
      <c r="N846">
        <f>IF(L846="","",IF(ISNUMBER(INDEX(A846:H846,$P$1)),INDEX(A846:H846,$P$1),IFERROR(_xlfn.NUMBERVALUE(INDEX(A846:H846,$P$1),".",","),0)))</f>
        <v/>
      </c>
    </row>
    <row r="847">
      <c r="L847">
        <f>IF(A847="","",IF(ISNUMBER(--LEFT(A847,FIND(" - ",A847&amp;" - ")-1)),LEFT(A847,FIND(" - ",A847&amp;" - ")-1),TRIM(A847)))</f>
        <v/>
      </c>
      <c r="N847">
        <f>IF(L847="","",IF(ISNUMBER(INDEX(A847:H847,$P$1)),INDEX(A847:H847,$P$1),IFERROR(_xlfn.NUMBERVALUE(INDEX(A847:H847,$P$1),".",","),0)))</f>
        <v/>
      </c>
    </row>
    <row r="848">
      <c r="L848">
        <f>IF(A848="","",IF(ISNUMBER(--LEFT(A848,FIND(" - ",A848&amp;" - ")-1)),LEFT(A848,FIND(" - ",A848&amp;" - ")-1),TRIM(A848)))</f>
        <v/>
      </c>
      <c r="N848">
        <f>IF(L848="","",IF(ISNUMBER(INDEX(A848:H848,$P$1)),INDEX(A848:H848,$P$1),IFERROR(_xlfn.NUMBERVALUE(INDEX(A848:H848,$P$1),".",","),0)))</f>
        <v/>
      </c>
    </row>
    <row r="849">
      <c r="L849">
        <f>IF(A849="","",IF(ISNUMBER(--LEFT(A849,FIND(" - ",A849&amp;" - ")-1)),LEFT(A849,FIND(" - ",A849&amp;" - ")-1),TRIM(A849)))</f>
        <v/>
      </c>
      <c r="N849">
        <f>IF(L849="","",IF(ISNUMBER(INDEX(A849:H849,$P$1)),INDEX(A849:H849,$P$1),IFERROR(_xlfn.NUMBERVALUE(INDEX(A849:H849,$P$1),".",","),0)))</f>
        <v/>
      </c>
    </row>
    <row r="850">
      <c r="L850">
        <f>IF(A850="","",IF(ISNUMBER(--LEFT(A850,FIND(" - ",A850&amp;" - ")-1)),LEFT(A850,FIND(" - ",A850&amp;" - ")-1),TRIM(A850)))</f>
        <v/>
      </c>
      <c r="N850">
        <f>IF(L850="","",IF(ISNUMBER(INDEX(A850:H850,$P$1)),INDEX(A850:H850,$P$1),IFERROR(_xlfn.NUMBERVALUE(INDEX(A850:H850,$P$1),".",","),0)))</f>
        <v/>
      </c>
    </row>
    <row r="851">
      <c r="L851">
        <f>IF(A851="","",IF(ISNUMBER(--LEFT(A851,FIND(" - ",A851&amp;" - ")-1)),LEFT(A851,FIND(" - ",A851&amp;" - ")-1),TRIM(A851)))</f>
        <v/>
      </c>
      <c r="N851">
        <f>IF(L851="","",IF(ISNUMBER(INDEX(A851:H851,$P$1)),INDEX(A851:H851,$P$1),IFERROR(_xlfn.NUMBERVALUE(INDEX(A851:H851,$P$1),".",","),0)))</f>
        <v/>
      </c>
    </row>
    <row r="852">
      <c r="L852">
        <f>IF(A852="","",IF(ISNUMBER(--LEFT(A852,FIND(" - ",A852&amp;" - ")-1)),LEFT(A852,FIND(" - ",A852&amp;" - ")-1),TRIM(A852)))</f>
        <v/>
      </c>
      <c r="N852">
        <f>IF(L852="","",IF(ISNUMBER(INDEX(A852:H852,$P$1)),INDEX(A852:H852,$P$1),IFERROR(_xlfn.NUMBERVALUE(INDEX(A852:H852,$P$1),".",","),0)))</f>
        <v/>
      </c>
    </row>
    <row r="853">
      <c r="L853">
        <f>IF(A853="","",IF(ISNUMBER(--LEFT(A853,FIND(" - ",A853&amp;" - ")-1)),LEFT(A853,FIND(" - ",A853&amp;" - ")-1),TRIM(A853)))</f>
        <v/>
      </c>
      <c r="N853">
        <f>IF(L853="","",IF(ISNUMBER(INDEX(A853:H853,$P$1)),INDEX(A853:H853,$P$1),IFERROR(_xlfn.NUMBERVALUE(INDEX(A853:H853,$P$1),".",","),0)))</f>
        <v/>
      </c>
    </row>
    <row r="854">
      <c r="L854">
        <f>IF(A854="","",IF(ISNUMBER(--LEFT(A854,FIND(" - ",A854&amp;" - ")-1)),LEFT(A854,FIND(" - ",A854&amp;" - ")-1),TRIM(A854)))</f>
        <v/>
      </c>
      <c r="N854">
        <f>IF(L854="","",IF(ISNUMBER(INDEX(A854:H854,$P$1)),INDEX(A854:H854,$P$1),IFERROR(_xlfn.NUMBERVALUE(INDEX(A854:H854,$P$1),".",","),0)))</f>
        <v/>
      </c>
    </row>
    <row r="855">
      <c r="L855">
        <f>IF(A855="","",IF(ISNUMBER(--LEFT(A855,FIND(" - ",A855&amp;" - ")-1)),LEFT(A855,FIND(" - ",A855&amp;" - ")-1),TRIM(A855)))</f>
        <v/>
      </c>
      <c r="N855">
        <f>IF(L855="","",IF(ISNUMBER(INDEX(A855:H855,$P$1)),INDEX(A855:H855,$P$1),IFERROR(_xlfn.NUMBERVALUE(INDEX(A855:H855,$P$1),".",","),0)))</f>
        <v/>
      </c>
    </row>
    <row r="856">
      <c r="L856">
        <f>IF(A856="","",IF(ISNUMBER(--LEFT(A856,FIND(" - ",A856&amp;" - ")-1)),LEFT(A856,FIND(" - ",A856&amp;" - ")-1),TRIM(A856)))</f>
        <v/>
      </c>
      <c r="N856">
        <f>IF(L856="","",IF(ISNUMBER(INDEX(A856:H856,$P$1)),INDEX(A856:H856,$P$1),IFERROR(_xlfn.NUMBERVALUE(INDEX(A856:H856,$P$1),".",","),0)))</f>
        <v/>
      </c>
    </row>
    <row r="857">
      <c r="L857">
        <f>IF(A857="","",IF(ISNUMBER(--LEFT(A857,FIND(" - ",A857&amp;" - ")-1)),LEFT(A857,FIND(" - ",A857&amp;" - ")-1),TRIM(A857)))</f>
        <v/>
      </c>
      <c r="N857">
        <f>IF(L857="","",IF(ISNUMBER(INDEX(A857:H857,$P$1)),INDEX(A857:H857,$P$1),IFERROR(_xlfn.NUMBERVALUE(INDEX(A857:H857,$P$1),".",","),0)))</f>
        <v/>
      </c>
    </row>
    <row r="858">
      <c r="L858">
        <f>IF(A858="","",IF(ISNUMBER(--LEFT(A858,FIND(" - ",A858&amp;" - ")-1)),LEFT(A858,FIND(" - ",A858&amp;" - ")-1),TRIM(A858)))</f>
        <v/>
      </c>
      <c r="N858">
        <f>IF(L858="","",IF(ISNUMBER(INDEX(A858:H858,$P$1)),INDEX(A858:H858,$P$1),IFERROR(_xlfn.NUMBERVALUE(INDEX(A858:H858,$P$1),".",","),0)))</f>
        <v/>
      </c>
    </row>
    <row r="859">
      <c r="L859">
        <f>IF(A859="","",IF(ISNUMBER(--LEFT(A859,FIND(" - ",A859&amp;" - ")-1)),LEFT(A859,FIND(" - ",A859&amp;" - ")-1),TRIM(A859)))</f>
        <v/>
      </c>
      <c r="N859">
        <f>IF(L859="","",IF(ISNUMBER(INDEX(A859:H859,$P$1)),INDEX(A859:H859,$P$1),IFERROR(_xlfn.NUMBERVALUE(INDEX(A859:H859,$P$1),".",","),0)))</f>
        <v/>
      </c>
    </row>
    <row r="860">
      <c r="L860">
        <f>IF(A860="","",IF(ISNUMBER(--LEFT(A860,FIND(" - ",A860&amp;" - ")-1)),LEFT(A860,FIND(" - ",A860&amp;" - ")-1),TRIM(A860)))</f>
        <v/>
      </c>
      <c r="N860">
        <f>IF(L860="","",IF(ISNUMBER(INDEX(A860:H860,$P$1)),INDEX(A860:H860,$P$1),IFERROR(_xlfn.NUMBERVALUE(INDEX(A860:H860,$P$1),".",","),0)))</f>
        <v/>
      </c>
    </row>
    <row r="861">
      <c r="L861">
        <f>IF(A861="","",IF(ISNUMBER(--LEFT(A861,FIND(" - ",A861&amp;" - ")-1)),LEFT(A861,FIND(" - ",A861&amp;" - ")-1),TRIM(A861)))</f>
        <v/>
      </c>
      <c r="N861">
        <f>IF(L861="","",IF(ISNUMBER(INDEX(A861:H861,$P$1)),INDEX(A861:H861,$P$1),IFERROR(_xlfn.NUMBERVALUE(INDEX(A861:H861,$P$1),".",","),0)))</f>
        <v/>
      </c>
    </row>
    <row r="862">
      <c r="L862">
        <f>IF(A862="","",IF(ISNUMBER(--LEFT(A862,FIND(" - ",A862&amp;" - ")-1)),LEFT(A862,FIND(" - ",A862&amp;" - ")-1),TRIM(A862)))</f>
        <v/>
      </c>
      <c r="N862">
        <f>IF(L862="","",IF(ISNUMBER(INDEX(A862:H862,$P$1)),INDEX(A862:H862,$P$1),IFERROR(_xlfn.NUMBERVALUE(INDEX(A862:H862,$P$1),".",","),0)))</f>
        <v/>
      </c>
    </row>
    <row r="863">
      <c r="L863">
        <f>IF(A863="","",IF(ISNUMBER(--LEFT(A863,FIND(" - ",A863&amp;" - ")-1)),LEFT(A863,FIND(" - ",A863&amp;" - ")-1),TRIM(A863)))</f>
        <v/>
      </c>
      <c r="N863">
        <f>IF(L863="","",IF(ISNUMBER(INDEX(A863:H863,$P$1)),INDEX(A863:H863,$P$1),IFERROR(_xlfn.NUMBERVALUE(INDEX(A863:H863,$P$1),".",","),0)))</f>
        <v/>
      </c>
    </row>
    <row r="864">
      <c r="L864">
        <f>IF(A864="","",IF(ISNUMBER(--LEFT(A864,FIND(" - ",A864&amp;" - ")-1)),LEFT(A864,FIND(" - ",A864&amp;" - ")-1),TRIM(A864)))</f>
        <v/>
      </c>
      <c r="N864">
        <f>IF(L864="","",IF(ISNUMBER(INDEX(A864:H864,$P$1)),INDEX(A864:H864,$P$1),IFERROR(_xlfn.NUMBERVALUE(INDEX(A864:H864,$P$1),".",","),0)))</f>
        <v/>
      </c>
    </row>
    <row r="865">
      <c r="L865">
        <f>IF(A865="","",IF(ISNUMBER(--LEFT(A865,FIND(" - ",A865&amp;" - ")-1)),LEFT(A865,FIND(" - ",A865&amp;" - ")-1),TRIM(A865)))</f>
        <v/>
      </c>
      <c r="N865">
        <f>IF(L865="","",IF(ISNUMBER(INDEX(A865:H865,$P$1)),INDEX(A865:H865,$P$1),IFERROR(_xlfn.NUMBERVALUE(INDEX(A865:H865,$P$1),".",","),0)))</f>
        <v/>
      </c>
    </row>
    <row r="866">
      <c r="L866">
        <f>IF(A866="","",IF(ISNUMBER(--LEFT(A866,FIND(" - ",A866&amp;" - ")-1)),LEFT(A866,FIND(" - ",A866&amp;" - ")-1),TRIM(A866)))</f>
        <v/>
      </c>
      <c r="N866">
        <f>IF(L866="","",IF(ISNUMBER(INDEX(A866:H866,$P$1)),INDEX(A866:H866,$P$1),IFERROR(_xlfn.NUMBERVALUE(INDEX(A866:H866,$P$1),".",","),0)))</f>
        <v/>
      </c>
    </row>
    <row r="867">
      <c r="L867">
        <f>IF(A867="","",IF(ISNUMBER(--LEFT(A867,FIND(" - ",A867&amp;" - ")-1)),LEFT(A867,FIND(" - ",A867&amp;" - ")-1),TRIM(A867)))</f>
        <v/>
      </c>
      <c r="N867">
        <f>IF(L867="","",IF(ISNUMBER(INDEX(A867:H867,$P$1)),INDEX(A867:H867,$P$1),IFERROR(_xlfn.NUMBERVALUE(INDEX(A867:H867,$P$1),".",","),0)))</f>
        <v/>
      </c>
    </row>
    <row r="868">
      <c r="L868">
        <f>IF(A868="","",IF(ISNUMBER(--LEFT(A868,FIND(" - ",A868&amp;" - ")-1)),LEFT(A868,FIND(" - ",A868&amp;" - ")-1),TRIM(A868)))</f>
        <v/>
      </c>
      <c r="N868">
        <f>IF(L868="","",IF(ISNUMBER(INDEX(A868:H868,$P$1)),INDEX(A868:H868,$P$1),IFERROR(_xlfn.NUMBERVALUE(INDEX(A868:H868,$P$1),".",","),0)))</f>
        <v/>
      </c>
    </row>
    <row r="869">
      <c r="L869">
        <f>IF(A869="","",IF(ISNUMBER(--LEFT(A869,FIND(" - ",A869&amp;" - ")-1)),LEFT(A869,FIND(" - ",A869&amp;" - ")-1),TRIM(A869)))</f>
        <v/>
      </c>
      <c r="N869">
        <f>IF(L869="","",IF(ISNUMBER(INDEX(A869:H869,$P$1)),INDEX(A869:H869,$P$1),IFERROR(_xlfn.NUMBERVALUE(INDEX(A869:H869,$P$1),".",","),0)))</f>
        <v/>
      </c>
    </row>
    <row r="870">
      <c r="L870">
        <f>IF(A870="","",IF(ISNUMBER(--LEFT(A870,FIND(" - ",A870&amp;" - ")-1)),LEFT(A870,FIND(" - ",A870&amp;" - ")-1),TRIM(A870)))</f>
        <v/>
      </c>
      <c r="N870">
        <f>IF(L870="","",IF(ISNUMBER(INDEX(A870:H870,$P$1)),INDEX(A870:H870,$P$1),IFERROR(_xlfn.NUMBERVALUE(INDEX(A870:H870,$P$1),".",","),0)))</f>
        <v/>
      </c>
    </row>
    <row r="871">
      <c r="L871">
        <f>IF(A871="","",IF(ISNUMBER(--LEFT(A871,FIND(" - ",A871&amp;" - ")-1)),LEFT(A871,FIND(" - ",A871&amp;" - ")-1),TRIM(A871)))</f>
        <v/>
      </c>
      <c r="N871">
        <f>IF(L871="","",IF(ISNUMBER(INDEX(A871:H871,$P$1)),INDEX(A871:H871,$P$1),IFERROR(_xlfn.NUMBERVALUE(INDEX(A871:H871,$P$1),".",","),0)))</f>
        <v/>
      </c>
    </row>
    <row r="872">
      <c r="L872">
        <f>IF(A872="","",IF(ISNUMBER(--LEFT(A872,FIND(" - ",A872&amp;" - ")-1)),LEFT(A872,FIND(" - ",A872&amp;" - ")-1),TRIM(A872)))</f>
        <v/>
      </c>
      <c r="N872">
        <f>IF(L872="","",IF(ISNUMBER(INDEX(A872:H872,$P$1)),INDEX(A872:H872,$P$1),IFERROR(_xlfn.NUMBERVALUE(INDEX(A872:H872,$P$1),".",","),0)))</f>
        <v/>
      </c>
    </row>
    <row r="873">
      <c r="L873">
        <f>IF(A873="","",IF(ISNUMBER(--LEFT(A873,FIND(" - ",A873&amp;" - ")-1)),LEFT(A873,FIND(" - ",A873&amp;" - ")-1),TRIM(A873)))</f>
        <v/>
      </c>
      <c r="N873">
        <f>IF(L873="","",IF(ISNUMBER(INDEX(A873:H873,$P$1)),INDEX(A873:H873,$P$1),IFERROR(_xlfn.NUMBERVALUE(INDEX(A873:H873,$P$1),".",","),0)))</f>
        <v/>
      </c>
    </row>
    <row r="874">
      <c r="L874">
        <f>IF(A874="","",IF(ISNUMBER(--LEFT(A874,FIND(" - ",A874&amp;" - ")-1)),LEFT(A874,FIND(" - ",A874&amp;" - ")-1),TRIM(A874)))</f>
        <v/>
      </c>
      <c r="N874">
        <f>IF(L874="","",IF(ISNUMBER(INDEX(A874:H874,$P$1)),INDEX(A874:H874,$P$1),IFERROR(_xlfn.NUMBERVALUE(INDEX(A874:H874,$P$1),".",","),0)))</f>
        <v/>
      </c>
    </row>
    <row r="875">
      <c r="L875">
        <f>IF(A875="","",IF(ISNUMBER(--LEFT(A875,FIND(" - ",A875&amp;" - ")-1)),LEFT(A875,FIND(" - ",A875&amp;" - ")-1),TRIM(A875)))</f>
        <v/>
      </c>
      <c r="N875">
        <f>IF(L875="","",IF(ISNUMBER(INDEX(A875:H875,$P$1)),INDEX(A875:H875,$P$1),IFERROR(_xlfn.NUMBERVALUE(INDEX(A875:H875,$P$1),".",","),0)))</f>
        <v/>
      </c>
    </row>
    <row r="876">
      <c r="L876">
        <f>IF(A876="","",IF(ISNUMBER(--LEFT(A876,FIND(" - ",A876&amp;" - ")-1)),LEFT(A876,FIND(" - ",A876&amp;" - ")-1),TRIM(A876)))</f>
        <v/>
      </c>
      <c r="N876">
        <f>IF(L876="","",IF(ISNUMBER(INDEX(A876:H876,$P$1)),INDEX(A876:H876,$P$1),IFERROR(_xlfn.NUMBERVALUE(INDEX(A876:H876,$P$1),".",","),0)))</f>
        <v/>
      </c>
    </row>
    <row r="877">
      <c r="L877">
        <f>IF(A877="","",IF(ISNUMBER(--LEFT(A877,FIND(" - ",A877&amp;" - ")-1)),LEFT(A877,FIND(" - ",A877&amp;" - ")-1),TRIM(A877)))</f>
        <v/>
      </c>
      <c r="N877">
        <f>IF(L877="","",IF(ISNUMBER(INDEX(A877:H877,$P$1)),INDEX(A877:H877,$P$1),IFERROR(_xlfn.NUMBERVALUE(INDEX(A877:H877,$P$1),".",","),0)))</f>
        <v/>
      </c>
    </row>
    <row r="878">
      <c r="L878">
        <f>IF(A878="","",IF(ISNUMBER(--LEFT(A878,FIND(" - ",A878&amp;" - ")-1)),LEFT(A878,FIND(" - ",A878&amp;" - ")-1),TRIM(A878)))</f>
        <v/>
      </c>
      <c r="N878">
        <f>IF(L878="","",IF(ISNUMBER(INDEX(A878:H878,$P$1)),INDEX(A878:H878,$P$1),IFERROR(_xlfn.NUMBERVALUE(INDEX(A878:H878,$P$1),".",","),0)))</f>
        <v/>
      </c>
    </row>
    <row r="879">
      <c r="L879">
        <f>IF(A879="","",IF(ISNUMBER(--LEFT(A879,FIND(" - ",A879&amp;" - ")-1)),LEFT(A879,FIND(" - ",A879&amp;" - ")-1),TRIM(A879)))</f>
        <v/>
      </c>
      <c r="N879">
        <f>IF(L879="","",IF(ISNUMBER(INDEX(A879:H879,$P$1)),INDEX(A879:H879,$P$1),IFERROR(_xlfn.NUMBERVALUE(INDEX(A879:H879,$P$1),".",","),0)))</f>
        <v/>
      </c>
    </row>
    <row r="880">
      <c r="L880">
        <f>IF(A880="","",IF(ISNUMBER(--LEFT(A880,FIND(" - ",A880&amp;" - ")-1)),LEFT(A880,FIND(" - ",A880&amp;" - ")-1),TRIM(A880)))</f>
        <v/>
      </c>
      <c r="N880">
        <f>IF(L880="","",IF(ISNUMBER(INDEX(A880:H880,$P$1)),INDEX(A880:H880,$P$1),IFERROR(_xlfn.NUMBERVALUE(INDEX(A880:H880,$P$1),".",","),0)))</f>
        <v/>
      </c>
    </row>
    <row r="881">
      <c r="L881">
        <f>IF(A881="","",IF(ISNUMBER(--LEFT(A881,FIND(" - ",A881&amp;" - ")-1)),LEFT(A881,FIND(" - ",A881&amp;" - ")-1),TRIM(A881)))</f>
        <v/>
      </c>
      <c r="N881">
        <f>IF(L881="","",IF(ISNUMBER(INDEX(A881:H881,$P$1)),INDEX(A881:H881,$P$1),IFERROR(_xlfn.NUMBERVALUE(INDEX(A881:H881,$P$1),".",","),0)))</f>
        <v/>
      </c>
    </row>
    <row r="882">
      <c r="L882">
        <f>IF(A882="","",IF(ISNUMBER(--LEFT(A882,FIND(" - ",A882&amp;" - ")-1)),LEFT(A882,FIND(" - ",A882&amp;" - ")-1),TRIM(A882)))</f>
        <v/>
      </c>
      <c r="N882">
        <f>IF(L882="","",IF(ISNUMBER(INDEX(A882:H882,$P$1)),INDEX(A882:H882,$P$1),IFERROR(_xlfn.NUMBERVALUE(INDEX(A882:H882,$P$1),".",","),0)))</f>
        <v/>
      </c>
    </row>
    <row r="883">
      <c r="L883">
        <f>IF(A883="","",IF(ISNUMBER(--LEFT(A883,FIND(" - ",A883&amp;" - ")-1)),LEFT(A883,FIND(" - ",A883&amp;" - ")-1),TRIM(A883)))</f>
        <v/>
      </c>
      <c r="N883">
        <f>IF(L883="","",IF(ISNUMBER(INDEX(A883:H883,$P$1)),INDEX(A883:H883,$P$1),IFERROR(_xlfn.NUMBERVALUE(INDEX(A883:H883,$P$1),".",","),0)))</f>
        <v/>
      </c>
    </row>
    <row r="884">
      <c r="L884">
        <f>IF(A884="","",IF(ISNUMBER(--LEFT(A884,FIND(" - ",A884&amp;" - ")-1)),LEFT(A884,FIND(" - ",A884&amp;" - ")-1),TRIM(A884)))</f>
        <v/>
      </c>
      <c r="N884">
        <f>IF(L884="","",IF(ISNUMBER(INDEX(A884:H884,$P$1)),INDEX(A884:H884,$P$1),IFERROR(_xlfn.NUMBERVALUE(INDEX(A884:H884,$P$1),".",","),0)))</f>
        <v/>
      </c>
    </row>
    <row r="885">
      <c r="L885">
        <f>IF(A885="","",IF(ISNUMBER(--LEFT(A885,FIND(" - ",A885&amp;" - ")-1)),LEFT(A885,FIND(" - ",A885&amp;" - ")-1),TRIM(A885)))</f>
        <v/>
      </c>
      <c r="N885">
        <f>IF(L885="","",IF(ISNUMBER(INDEX(A885:H885,$P$1)),INDEX(A885:H885,$P$1),IFERROR(_xlfn.NUMBERVALUE(INDEX(A885:H885,$P$1),".",","),0)))</f>
        <v/>
      </c>
    </row>
    <row r="886">
      <c r="L886">
        <f>IF(A886="","",IF(ISNUMBER(--LEFT(A886,FIND(" - ",A886&amp;" - ")-1)),LEFT(A886,FIND(" - ",A886&amp;" - ")-1),TRIM(A886)))</f>
        <v/>
      </c>
      <c r="N886">
        <f>IF(L886="","",IF(ISNUMBER(INDEX(A886:H886,$P$1)),INDEX(A886:H886,$P$1),IFERROR(_xlfn.NUMBERVALUE(INDEX(A886:H886,$P$1),".",","),0)))</f>
        <v/>
      </c>
    </row>
    <row r="887">
      <c r="L887">
        <f>IF(A887="","",IF(ISNUMBER(--LEFT(A887,FIND(" - ",A887&amp;" - ")-1)),LEFT(A887,FIND(" - ",A887&amp;" - ")-1),TRIM(A887)))</f>
        <v/>
      </c>
      <c r="N887">
        <f>IF(L887="","",IF(ISNUMBER(INDEX(A887:H887,$P$1)),INDEX(A887:H887,$P$1),IFERROR(_xlfn.NUMBERVALUE(INDEX(A887:H887,$P$1),".",","),0)))</f>
        <v/>
      </c>
    </row>
    <row r="888">
      <c r="L888">
        <f>IF(A888="","",IF(ISNUMBER(--LEFT(A888,FIND(" - ",A888&amp;" - ")-1)),LEFT(A888,FIND(" - ",A888&amp;" - ")-1),TRIM(A888)))</f>
        <v/>
      </c>
      <c r="N888">
        <f>IF(L888="","",IF(ISNUMBER(INDEX(A888:H888,$P$1)),INDEX(A888:H888,$P$1),IFERROR(_xlfn.NUMBERVALUE(INDEX(A888:H888,$P$1),".",","),0)))</f>
        <v/>
      </c>
    </row>
    <row r="889">
      <c r="L889">
        <f>IF(A889="","",IF(ISNUMBER(--LEFT(A889,FIND(" - ",A889&amp;" - ")-1)),LEFT(A889,FIND(" - ",A889&amp;" - ")-1),TRIM(A889)))</f>
        <v/>
      </c>
      <c r="N889">
        <f>IF(L889="","",IF(ISNUMBER(INDEX(A889:H889,$P$1)),INDEX(A889:H889,$P$1),IFERROR(_xlfn.NUMBERVALUE(INDEX(A889:H889,$P$1),".",","),0)))</f>
        <v/>
      </c>
    </row>
    <row r="890">
      <c r="L890">
        <f>IF(A890="","",IF(ISNUMBER(--LEFT(A890,FIND(" - ",A890&amp;" - ")-1)),LEFT(A890,FIND(" - ",A890&amp;" - ")-1),TRIM(A890)))</f>
        <v/>
      </c>
      <c r="N890">
        <f>IF(L890="","",IF(ISNUMBER(INDEX(A890:H890,$P$1)),INDEX(A890:H890,$P$1),IFERROR(_xlfn.NUMBERVALUE(INDEX(A890:H890,$P$1),".",","),0)))</f>
        <v/>
      </c>
    </row>
    <row r="891">
      <c r="L891">
        <f>IF(A891="","",IF(ISNUMBER(--LEFT(A891,FIND(" - ",A891&amp;" - ")-1)),LEFT(A891,FIND(" - ",A891&amp;" - ")-1),TRIM(A891)))</f>
        <v/>
      </c>
      <c r="N891">
        <f>IF(L891="","",IF(ISNUMBER(INDEX(A891:H891,$P$1)),INDEX(A891:H891,$P$1),IFERROR(_xlfn.NUMBERVALUE(INDEX(A891:H891,$P$1),".",","),0)))</f>
        <v/>
      </c>
    </row>
    <row r="892">
      <c r="L892">
        <f>IF(A892="","",IF(ISNUMBER(--LEFT(A892,FIND(" - ",A892&amp;" - ")-1)),LEFT(A892,FIND(" - ",A892&amp;" - ")-1),TRIM(A892)))</f>
        <v/>
      </c>
      <c r="N892">
        <f>IF(L892="","",IF(ISNUMBER(INDEX(A892:H892,$P$1)),INDEX(A892:H892,$P$1),IFERROR(_xlfn.NUMBERVALUE(INDEX(A892:H892,$P$1),".",","),0)))</f>
        <v/>
      </c>
    </row>
    <row r="893">
      <c r="L893">
        <f>IF(A893="","",IF(ISNUMBER(--LEFT(A893,FIND(" - ",A893&amp;" - ")-1)),LEFT(A893,FIND(" - ",A893&amp;" - ")-1),TRIM(A893)))</f>
        <v/>
      </c>
      <c r="N893">
        <f>IF(L893="","",IF(ISNUMBER(INDEX(A893:H893,$P$1)),INDEX(A893:H893,$P$1),IFERROR(_xlfn.NUMBERVALUE(INDEX(A893:H893,$P$1),".",","),0)))</f>
        <v/>
      </c>
    </row>
    <row r="894">
      <c r="L894">
        <f>IF(A894="","",IF(ISNUMBER(--LEFT(A894,FIND(" - ",A894&amp;" - ")-1)),LEFT(A894,FIND(" - ",A894&amp;" - ")-1),TRIM(A894)))</f>
        <v/>
      </c>
      <c r="N894">
        <f>IF(L894="","",IF(ISNUMBER(INDEX(A894:H894,$P$1)),INDEX(A894:H894,$P$1),IFERROR(_xlfn.NUMBERVALUE(INDEX(A894:H894,$P$1),".",","),0)))</f>
        <v/>
      </c>
    </row>
    <row r="895">
      <c r="L895">
        <f>IF(A895="","",IF(ISNUMBER(--LEFT(A895,FIND(" - ",A895&amp;" - ")-1)),LEFT(A895,FIND(" - ",A895&amp;" - ")-1),TRIM(A895)))</f>
        <v/>
      </c>
      <c r="N895">
        <f>IF(L895="","",IF(ISNUMBER(INDEX(A895:H895,$P$1)),INDEX(A895:H895,$P$1),IFERROR(_xlfn.NUMBERVALUE(INDEX(A895:H895,$P$1),".",","),0)))</f>
        <v/>
      </c>
    </row>
    <row r="896">
      <c r="L896">
        <f>IF(A896="","",IF(ISNUMBER(--LEFT(A896,FIND(" - ",A896&amp;" - ")-1)),LEFT(A896,FIND(" - ",A896&amp;" - ")-1),TRIM(A896)))</f>
        <v/>
      </c>
      <c r="N896">
        <f>IF(L896="","",IF(ISNUMBER(INDEX(A896:H896,$P$1)),INDEX(A896:H896,$P$1),IFERROR(_xlfn.NUMBERVALUE(INDEX(A896:H896,$P$1),".",","),0)))</f>
        <v/>
      </c>
    </row>
    <row r="897">
      <c r="L897">
        <f>IF(A897="","",IF(ISNUMBER(--LEFT(A897,FIND(" - ",A897&amp;" - ")-1)),LEFT(A897,FIND(" - ",A897&amp;" - ")-1),TRIM(A897)))</f>
        <v/>
      </c>
      <c r="N897">
        <f>IF(L897="","",IF(ISNUMBER(INDEX(A897:H897,$P$1)),INDEX(A897:H897,$P$1),IFERROR(_xlfn.NUMBERVALUE(INDEX(A897:H897,$P$1),".",","),0)))</f>
        <v/>
      </c>
    </row>
    <row r="898">
      <c r="L898">
        <f>IF(A898="","",IF(ISNUMBER(--LEFT(A898,FIND(" - ",A898&amp;" - ")-1)),LEFT(A898,FIND(" - ",A898&amp;" - ")-1),TRIM(A898)))</f>
        <v/>
      </c>
      <c r="N898">
        <f>IF(L898="","",IF(ISNUMBER(INDEX(A898:H898,$P$1)),INDEX(A898:H898,$P$1),IFERROR(_xlfn.NUMBERVALUE(INDEX(A898:H898,$P$1),".",","),0)))</f>
        <v/>
      </c>
    </row>
    <row r="899">
      <c r="L899">
        <f>IF(A899="","",IF(ISNUMBER(--LEFT(A899,FIND(" - ",A899&amp;" - ")-1)),LEFT(A899,FIND(" - ",A899&amp;" - ")-1),TRIM(A899)))</f>
        <v/>
      </c>
      <c r="N899">
        <f>IF(L899="","",IF(ISNUMBER(INDEX(A899:H899,$P$1)),INDEX(A899:H899,$P$1),IFERROR(_xlfn.NUMBERVALUE(INDEX(A899:H899,$P$1),".",","),0)))</f>
        <v/>
      </c>
    </row>
    <row r="900">
      <c r="L900">
        <f>IF(A900="","",IF(ISNUMBER(--LEFT(A900,FIND(" - ",A900&amp;" - ")-1)),LEFT(A900,FIND(" - ",A900&amp;" - ")-1),TRIM(A900)))</f>
        <v/>
      </c>
      <c r="N900">
        <f>IF(L900="","",IF(ISNUMBER(INDEX(A900:H900,$P$1)),INDEX(A900:H900,$P$1),IFERROR(_xlfn.NUMBERVALUE(INDEX(A900:H900,$P$1),".",","),0)))</f>
        <v/>
      </c>
    </row>
    <row r="901">
      <c r="L901">
        <f>IF(A901="","",IF(ISNUMBER(--LEFT(A901,FIND(" - ",A901&amp;" - ")-1)),LEFT(A901,FIND(" - ",A901&amp;" - ")-1),TRIM(A901)))</f>
        <v/>
      </c>
      <c r="N901">
        <f>IF(L901="","",IF(ISNUMBER(INDEX(A901:H901,$P$1)),INDEX(A901:H901,$P$1),IFERROR(_xlfn.NUMBERVALUE(INDEX(A901:H901,$P$1),".",","),0)))</f>
        <v/>
      </c>
    </row>
    <row r="902">
      <c r="L902">
        <f>IF(A902="","",IF(ISNUMBER(--LEFT(A902,FIND(" - ",A902&amp;" - ")-1)),LEFT(A902,FIND(" - ",A902&amp;" - ")-1),TRIM(A902)))</f>
        <v/>
      </c>
      <c r="N902">
        <f>IF(L902="","",IF(ISNUMBER(INDEX(A902:H902,$P$1)),INDEX(A902:H902,$P$1),IFERROR(_xlfn.NUMBERVALUE(INDEX(A902:H902,$P$1),".",","),0)))</f>
        <v/>
      </c>
    </row>
    <row r="903">
      <c r="L903">
        <f>IF(A903="","",IF(ISNUMBER(--LEFT(A903,FIND(" - ",A903&amp;" - ")-1)),LEFT(A903,FIND(" - ",A903&amp;" - ")-1),TRIM(A903)))</f>
        <v/>
      </c>
      <c r="N903">
        <f>IF(L903="","",IF(ISNUMBER(INDEX(A903:H903,$P$1)),INDEX(A903:H903,$P$1),IFERROR(_xlfn.NUMBERVALUE(INDEX(A903:H903,$P$1),".",","),0)))</f>
        <v/>
      </c>
    </row>
    <row r="904">
      <c r="L904">
        <f>IF(A904="","",IF(ISNUMBER(--LEFT(A904,FIND(" - ",A904&amp;" - ")-1)),LEFT(A904,FIND(" - ",A904&amp;" - ")-1),TRIM(A904)))</f>
        <v/>
      </c>
      <c r="N904">
        <f>IF(L904="","",IF(ISNUMBER(INDEX(A904:H904,$P$1)),INDEX(A904:H904,$P$1),IFERROR(_xlfn.NUMBERVALUE(INDEX(A904:H904,$P$1),".",","),0)))</f>
        <v/>
      </c>
    </row>
    <row r="905">
      <c r="L905">
        <f>IF(A905="","",IF(ISNUMBER(--LEFT(A905,FIND(" - ",A905&amp;" - ")-1)),LEFT(A905,FIND(" - ",A905&amp;" - ")-1),TRIM(A905)))</f>
        <v/>
      </c>
      <c r="N905">
        <f>IF(L905="","",IF(ISNUMBER(INDEX(A905:H905,$P$1)),INDEX(A905:H905,$P$1),IFERROR(_xlfn.NUMBERVALUE(INDEX(A905:H905,$P$1),".",","),0)))</f>
        <v/>
      </c>
    </row>
    <row r="906">
      <c r="L906">
        <f>IF(A906="","",IF(ISNUMBER(--LEFT(A906,FIND(" - ",A906&amp;" - ")-1)),LEFT(A906,FIND(" - ",A906&amp;" - ")-1),TRIM(A906)))</f>
        <v/>
      </c>
      <c r="N906">
        <f>IF(L906="","",IF(ISNUMBER(INDEX(A906:H906,$P$1)),INDEX(A906:H906,$P$1),IFERROR(_xlfn.NUMBERVALUE(INDEX(A906:H906,$P$1),".",","),0)))</f>
        <v/>
      </c>
    </row>
    <row r="907">
      <c r="L907">
        <f>IF(A907="","",IF(ISNUMBER(--LEFT(A907,FIND(" - ",A907&amp;" - ")-1)),LEFT(A907,FIND(" - ",A907&amp;" - ")-1),TRIM(A907)))</f>
        <v/>
      </c>
      <c r="N907">
        <f>IF(L907="","",IF(ISNUMBER(INDEX(A907:H907,$P$1)),INDEX(A907:H907,$P$1),IFERROR(_xlfn.NUMBERVALUE(INDEX(A907:H907,$P$1),".",","),0)))</f>
        <v/>
      </c>
    </row>
    <row r="908">
      <c r="L908">
        <f>IF(A908="","",IF(ISNUMBER(--LEFT(A908,FIND(" - ",A908&amp;" - ")-1)),LEFT(A908,FIND(" - ",A908&amp;" - ")-1),TRIM(A908)))</f>
        <v/>
      </c>
      <c r="N908">
        <f>IF(L908="","",IF(ISNUMBER(INDEX(A908:H908,$P$1)),INDEX(A908:H908,$P$1),IFERROR(_xlfn.NUMBERVALUE(INDEX(A908:H908,$P$1),".",","),0)))</f>
        <v/>
      </c>
    </row>
    <row r="909">
      <c r="L909">
        <f>IF(A909="","",IF(ISNUMBER(--LEFT(A909,FIND(" - ",A909&amp;" - ")-1)),LEFT(A909,FIND(" - ",A909&amp;" - ")-1),TRIM(A909)))</f>
        <v/>
      </c>
      <c r="N909">
        <f>IF(L909="","",IF(ISNUMBER(INDEX(A909:H909,$P$1)),INDEX(A909:H909,$P$1),IFERROR(_xlfn.NUMBERVALUE(INDEX(A909:H909,$P$1),".",","),0)))</f>
        <v/>
      </c>
    </row>
    <row r="910">
      <c r="L910">
        <f>IF(A910="","",IF(ISNUMBER(--LEFT(A910,FIND(" - ",A910&amp;" - ")-1)),LEFT(A910,FIND(" - ",A910&amp;" - ")-1),TRIM(A910)))</f>
        <v/>
      </c>
      <c r="N910">
        <f>IF(L910="","",IF(ISNUMBER(INDEX(A910:H910,$P$1)),INDEX(A910:H910,$P$1),IFERROR(_xlfn.NUMBERVALUE(INDEX(A910:H910,$P$1),".",","),0)))</f>
        <v/>
      </c>
    </row>
    <row r="911">
      <c r="L911">
        <f>IF(A911="","",IF(ISNUMBER(--LEFT(A911,FIND(" - ",A911&amp;" - ")-1)),LEFT(A911,FIND(" - ",A911&amp;" - ")-1),TRIM(A911)))</f>
        <v/>
      </c>
      <c r="N911">
        <f>IF(L911="","",IF(ISNUMBER(INDEX(A911:H911,$P$1)),INDEX(A911:H911,$P$1),IFERROR(_xlfn.NUMBERVALUE(INDEX(A911:H911,$P$1),".",","),0)))</f>
        <v/>
      </c>
    </row>
    <row r="912">
      <c r="L912">
        <f>IF(A912="","",IF(ISNUMBER(--LEFT(A912,FIND(" - ",A912&amp;" - ")-1)),LEFT(A912,FIND(" - ",A912&amp;" - ")-1),TRIM(A912)))</f>
        <v/>
      </c>
      <c r="N912">
        <f>IF(L912="","",IF(ISNUMBER(INDEX(A912:H912,$P$1)),INDEX(A912:H912,$P$1),IFERROR(_xlfn.NUMBERVALUE(INDEX(A912:H912,$P$1),".",","),0)))</f>
        <v/>
      </c>
    </row>
    <row r="913">
      <c r="L913">
        <f>IF(A913="","",IF(ISNUMBER(--LEFT(A913,FIND(" - ",A913&amp;" - ")-1)),LEFT(A913,FIND(" - ",A913&amp;" - ")-1),TRIM(A913)))</f>
        <v/>
      </c>
      <c r="N913">
        <f>IF(L913="","",IF(ISNUMBER(INDEX(A913:H913,$P$1)),INDEX(A913:H913,$P$1),IFERROR(_xlfn.NUMBERVALUE(INDEX(A913:H913,$P$1),".",","),0)))</f>
        <v/>
      </c>
    </row>
    <row r="914">
      <c r="L914">
        <f>IF(A914="","",IF(ISNUMBER(--LEFT(A914,FIND(" - ",A914&amp;" - ")-1)),LEFT(A914,FIND(" - ",A914&amp;" - ")-1),TRIM(A914)))</f>
        <v/>
      </c>
      <c r="N914">
        <f>IF(L914="","",IF(ISNUMBER(INDEX(A914:H914,$P$1)),INDEX(A914:H914,$P$1),IFERROR(_xlfn.NUMBERVALUE(INDEX(A914:H914,$P$1),".",","),0)))</f>
        <v/>
      </c>
    </row>
    <row r="915">
      <c r="L915">
        <f>IF(A915="","",IF(ISNUMBER(--LEFT(A915,FIND(" - ",A915&amp;" - ")-1)),LEFT(A915,FIND(" - ",A915&amp;" - ")-1),TRIM(A915)))</f>
        <v/>
      </c>
      <c r="N915">
        <f>IF(L915="","",IF(ISNUMBER(INDEX(A915:H915,$P$1)),INDEX(A915:H915,$P$1),IFERROR(_xlfn.NUMBERVALUE(INDEX(A915:H915,$P$1),".",","),0)))</f>
        <v/>
      </c>
    </row>
    <row r="916">
      <c r="L916">
        <f>IF(A916="","",IF(ISNUMBER(--LEFT(A916,FIND(" - ",A916&amp;" - ")-1)),LEFT(A916,FIND(" - ",A916&amp;" - ")-1),TRIM(A916)))</f>
        <v/>
      </c>
      <c r="N916">
        <f>IF(L916="","",IF(ISNUMBER(INDEX(A916:H916,$P$1)),INDEX(A916:H916,$P$1),IFERROR(_xlfn.NUMBERVALUE(INDEX(A916:H916,$P$1),".",","),0)))</f>
        <v/>
      </c>
    </row>
    <row r="917">
      <c r="L917">
        <f>IF(A917="","",IF(ISNUMBER(--LEFT(A917,FIND(" - ",A917&amp;" - ")-1)),LEFT(A917,FIND(" - ",A917&amp;" - ")-1),TRIM(A917)))</f>
        <v/>
      </c>
      <c r="N917">
        <f>IF(L917="","",IF(ISNUMBER(INDEX(A917:H917,$P$1)),INDEX(A917:H917,$P$1),IFERROR(_xlfn.NUMBERVALUE(INDEX(A917:H917,$P$1),".",","),0)))</f>
        <v/>
      </c>
    </row>
    <row r="918">
      <c r="L918">
        <f>IF(A918="","",IF(ISNUMBER(--LEFT(A918,FIND(" - ",A918&amp;" - ")-1)),LEFT(A918,FIND(" - ",A918&amp;" - ")-1),TRIM(A918)))</f>
        <v/>
      </c>
      <c r="N918">
        <f>IF(L918="","",IF(ISNUMBER(INDEX(A918:H918,$P$1)),INDEX(A918:H918,$P$1),IFERROR(_xlfn.NUMBERVALUE(INDEX(A918:H918,$P$1),".",","),0)))</f>
        <v/>
      </c>
    </row>
    <row r="919">
      <c r="L919">
        <f>IF(A919="","",IF(ISNUMBER(--LEFT(A919,FIND(" - ",A919&amp;" - ")-1)),LEFT(A919,FIND(" - ",A919&amp;" - ")-1),TRIM(A919)))</f>
        <v/>
      </c>
      <c r="N919">
        <f>IF(L919="","",IF(ISNUMBER(INDEX(A919:H919,$P$1)),INDEX(A919:H919,$P$1),IFERROR(_xlfn.NUMBERVALUE(INDEX(A919:H919,$P$1),".",","),0)))</f>
        <v/>
      </c>
    </row>
    <row r="920">
      <c r="L920">
        <f>IF(A920="","",IF(ISNUMBER(--LEFT(A920,FIND(" - ",A920&amp;" - ")-1)),LEFT(A920,FIND(" - ",A920&amp;" - ")-1),TRIM(A920)))</f>
        <v/>
      </c>
      <c r="N920">
        <f>IF(L920="","",IF(ISNUMBER(INDEX(A920:H920,$P$1)),INDEX(A920:H920,$P$1),IFERROR(_xlfn.NUMBERVALUE(INDEX(A920:H920,$P$1),".",","),0)))</f>
        <v/>
      </c>
    </row>
    <row r="921">
      <c r="L921">
        <f>IF(A921="","",IF(ISNUMBER(--LEFT(A921,FIND(" - ",A921&amp;" - ")-1)),LEFT(A921,FIND(" - ",A921&amp;" - ")-1),TRIM(A921)))</f>
        <v/>
      </c>
      <c r="N921">
        <f>IF(L921="","",IF(ISNUMBER(INDEX(A921:H921,$P$1)),INDEX(A921:H921,$P$1),IFERROR(_xlfn.NUMBERVALUE(INDEX(A921:H921,$P$1),".",","),0)))</f>
        <v/>
      </c>
    </row>
    <row r="922">
      <c r="L922">
        <f>IF(A922="","",IF(ISNUMBER(--LEFT(A922,FIND(" - ",A922&amp;" - ")-1)),LEFT(A922,FIND(" - ",A922&amp;" - ")-1),TRIM(A922)))</f>
        <v/>
      </c>
      <c r="N922">
        <f>IF(L922="","",IF(ISNUMBER(INDEX(A922:H922,$P$1)),INDEX(A922:H922,$P$1),IFERROR(_xlfn.NUMBERVALUE(INDEX(A922:H922,$P$1),".",","),0)))</f>
        <v/>
      </c>
    </row>
    <row r="923">
      <c r="L923">
        <f>IF(A923="","",IF(ISNUMBER(--LEFT(A923,FIND(" - ",A923&amp;" - ")-1)),LEFT(A923,FIND(" - ",A923&amp;" - ")-1),TRIM(A923)))</f>
        <v/>
      </c>
      <c r="N923">
        <f>IF(L923="","",IF(ISNUMBER(INDEX(A923:H923,$P$1)),INDEX(A923:H923,$P$1),IFERROR(_xlfn.NUMBERVALUE(INDEX(A923:H923,$P$1),".",","),0)))</f>
        <v/>
      </c>
    </row>
    <row r="924">
      <c r="L924">
        <f>IF(A924="","",IF(ISNUMBER(--LEFT(A924,FIND(" - ",A924&amp;" - ")-1)),LEFT(A924,FIND(" - ",A924&amp;" - ")-1),TRIM(A924)))</f>
        <v/>
      </c>
      <c r="N924">
        <f>IF(L924="","",IF(ISNUMBER(INDEX(A924:H924,$P$1)),INDEX(A924:H924,$P$1),IFERROR(_xlfn.NUMBERVALUE(INDEX(A924:H924,$P$1),".",","),0)))</f>
        <v/>
      </c>
    </row>
    <row r="925">
      <c r="L925">
        <f>IF(A925="","",IF(ISNUMBER(--LEFT(A925,FIND(" - ",A925&amp;" - ")-1)),LEFT(A925,FIND(" - ",A925&amp;" - ")-1),TRIM(A925)))</f>
        <v/>
      </c>
      <c r="N925">
        <f>IF(L925="","",IF(ISNUMBER(INDEX(A925:H925,$P$1)),INDEX(A925:H925,$P$1),IFERROR(_xlfn.NUMBERVALUE(INDEX(A925:H925,$P$1),".",","),0)))</f>
        <v/>
      </c>
    </row>
    <row r="926">
      <c r="L926">
        <f>IF(A926="","",IF(ISNUMBER(--LEFT(A926,FIND(" - ",A926&amp;" - ")-1)),LEFT(A926,FIND(" - ",A926&amp;" - ")-1),TRIM(A926)))</f>
        <v/>
      </c>
      <c r="N926">
        <f>IF(L926="","",IF(ISNUMBER(INDEX(A926:H926,$P$1)),INDEX(A926:H926,$P$1),IFERROR(_xlfn.NUMBERVALUE(INDEX(A926:H926,$P$1),".",","),0)))</f>
        <v/>
      </c>
    </row>
    <row r="927">
      <c r="L927">
        <f>IF(A927="","",IF(ISNUMBER(--LEFT(A927,FIND(" - ",A927&amp;" - ")-1)),LEFT(A927,FIND(" - ",A927&amp;" - ")-1),TRIM(A927)))</f>
        <v/>
      </c>
      <c r="N927">
        <f>IF(L927="","",IF(ISNUMBER(INDEX(A927:H927,$P$1)),INDEX(A927:H927,$P$1),IFERROR(_xlfn.NUMBERVALUE(INDEX(A927:H927,$P$1),".",","),0)))</f>
        <v/>
      </c>
    </row>
    <row r="928">
      <c r="L928">
        <f>IF(A928="","",IF(ISNUMBER(--LEFT(A928,FIND(" - ",A928&amp;" - ")-1)),LEFT(A928,FIND(" - ",A928&amp;" - ")-1),TRIM(A928)))</f>
        <v/>
      </c>
      <c r="N928">
        <f>IF(L928="","",IF(ISNUMBER(INDEX(A928:H928,$P$1)),INDEX(A928:H928,$P$1),IFERROR(_xlfn.NUMBERVALUE(INDEX(A928:H928,$P$1),".",","),0)))</f>
        <v/>
      </c>
    </row>
    <row r="929">
      <c r="L929">
        <f>IF(A929="","",IF(ISNUMBER(--LEFT(A929,FIND(" - ",A929&amp;" - ")-1)),LEFT(A929,FIND(" - ",A929&amp;" - ")-1),TRIM(A929)))</f>
        <v/>
      </c>
      <c r="N929">
        <f>IF(L929="","",IF(ISNUMBER(INDEX(A929:H929,$P$1)),INDEX(A929:H929,$P$1),IFERROR(_xlfn.NUMBERVALUE(INDEX(A929:H929,$P$1),".",","),0)))</f>
        <v/>
      </c>
    </row>
    <row r="930">
      <c r="L930">
        <f>IF(A930="","",IF(ISNUMBER(--LEFT(A930,FIND(" - ",A930&amp;" - ")-1)),LEFT(A930,FIND(" - ",A930&amp;" - ")-1),TRIM(A930)))</f>
        <v/>
      </c>
      <c r="N930">
        <f>IF(L930="","",IF(ISNUMBER(INDEX(A930:H930,$P$1)),INDEX(A930:H930,$P$1),IFERROR(_xlfn.NUMBERVALUE(INDEX(A930:H930,$P$1),".",","),0)))</f>
        <v/>
      </c>
    </row>
    <row r="931">
      <c r="L931">
        <f>IF(A931="","",IF(ISNUMBER(--LEFT(A931,FIND(" - ",A931&amp;" - ")-1)),LEFT(A931,FIND(" - ",A931&amp;" - ")-1),TRIM(A931)))</f>
        <v/>
      </c>
      <c r="N931">
        <f>IF(L931="","",IF(ISNUMBER(INDEX(A931:H931,$P$1)),INDEX(A931:H931,$P$1),IFERROR(_xlfn.NUMBERVALUE(INDEX(A931:H931,$P$1),".",","),0)))</f>
        <v/>
      </c>
    </row>
    <row r="932">
      <c r="L932">
        <f>IF(A932="","",IF(ISNUMBER(--LEFT(A932,FIND(" - ",A932&amp;" - ")-1)),LEFT(A932,FIND(" - ",A932&amp;" - ")-1),TRIM(A932)))</f>
        <v/>
      </c>
      <c r="N932">
        <f>IF(L932="","",IF(ISNUMBER(INDEX(A932:H932,$P$1)),INDEX(A932:H932,$P$1),IFERROR(_xlfn.NUMBERVALUE(INDEX(A932:H932,$P$1),".",","),0)))</f>
        <v/>
      </c>
    </row>
    <row r="933">
      <c r="L933">
        <f>IF(A933="","",IF(ISNUMBER(--LEFT(A933,FIND(" - ",A933&amp;" - ")-1)),LEFT(A933,FIND(" - ",A933&amp;" - ")-1),TRIM(A933)))</f>
        <v/>
      </c>
      <c r="N933">
        <f>IF(L933="","",IF(ISNUMBER(INDEX(A933:H933,$P$1)),INDEX(A933:H933,$P$1),IFERROR(_xlfn.NUMBERVALUE(INDEX(A933:H933,$P$1),".",","),0)))</f>
        <v/>
      </c>
    </row>
    <row r="934">
      <c r="L934">
        <f>IF(A934="","",IF(ISNUMBER(--LEFT(A934,FIND(" - ",A934&amp;" - ")-1)),LEFT(A934,FIND(" - ",A934&amp;" - ")-1),TRIM(A934)))</f>
        <v/>
      </c>
      <c r="N934">
        <f>IF(L934="","",IF(ISNUMBER(INDEX(A934:H934,$P$1)),INDEX(A934:H934,$P$1),IFERROR(_xlfn.NUMBERVALUE(INDEX(A934:H934,$P$1),".",","),0)))</f>
        <v/>
      </c>
    </row>
    <row r="935">
      <c r="L935">
        <f>IF(A935="","",IF(ISNUMBER(--LEFT(A935,FIND(" - ",A935&amp;" - ")-1)),LEFT(A935,FIND(" - ",A935&amp;" - ")-1),TRIM(A935)))</f>
        <v/>
      </c>
      <c r="N935">
        <f>IF(L935="","",IF(ISNUMBER(INDEX(A935:H935,$P$1)),INDEX(A935:H935,$P$1),IFERROR(_xlfn.NUMBERVALUE(INDEX(A935:H935,$P$1),".",","),0)))</f>
        <v/>
      </c>
    </row>
    <row r="936">
      <c r="L936">
        <f>IF(A936="","",IF(ISNUMBER(--LEFT(A936,FIND(" - ",A936&amp;" - ")-1)),LEFT(A936,FIND(" - ",A936&amp;" - ")-1),TRIM(A936)))</f>
        <v/>
      </c>
      <c r="N936">
        <f>IF(L936="","",IF(ISNUMBER(INDEX(A936:H936,$P$1)),INDEX(A936:H936,$P$1),IFERROR(_xlfn.NUMBERVALUE(INDEX(A936:H936,$P$1),".",","),0)))</f>
        <v/>
      </c>
    </row>
    <row r="937">
      <c r="L937">
        <f>IF(A937="","",IF(ISNUMBER(--LEFT(A937,FIND(" - ",A937&amp;" - ")-1)),LEFT(A937,FIND(" - ",A937&amp;" - ")-1),TRIM(A937)))</f>
        <v/>
      </c>
      <c r="N937">
        <f>IF(L937="","",IF(ISNUMBER(INDEX(A937:H937,$P$1)),INDEX(A937:H937,$P$1),IFERROR(_xlfn.NUMBERVALUE(INDEX(A937:H937,$P$1),".",","),0)))</f>
        <v/>
      </c>
    </row>
    <row r="938">
      <c r="L938">
        <f>IF(A938="","",IF(ISNUMBER(--LEFT(A938,FIND(" - ",A938&amp;" - ")-1)),LEFT(A938,FIND(" - ",A938&amp;" - ")-1),TRIM(A938)))</f>
        <v/>
      </c>
      <c r="N938">
        <f>IF(L938="","",IF(ISNUMBER(INDEX(A938:H938,$P$1)),INDEX(A938:H938,$P$1),IFERROR(_xlfn.NUMBERVALUE(INDEX(A938:H938,$P$1),".",","),0)))</f>
        <v/>
      </c>
    </row>
    <row r="939">
      <c r="L939">
        <f>IF(A939="","",IF(ISNUMBER(--LEFT(A939,FIND(" - ",A939&amp;" - ")-1)),LEFT(A939,FIND(" - ",A939&amp;" - ")-1),TRIM(A939)))</f>
        <v/>
      </c>
      <c r="N939">
        <f>IF(L939="","",IF(ISNUMBER(INDEX(A939:H939,$P$1)),INDEX(A939:H939,$P$1),IFERROR(_xlfn.NUMBERVALUE(INDEX(A939:H939,$P$1),".",","),0)))</f>
        <v/>
      </c>
    </row>
    <row r="940">
      <c r="L940">
        <f>IF(A940="","",IF(ISNUMBER(--LEFT(A940,FIND(" - ",A940&amp;" - ")-1)),LEFT(A940,FIND(" - ",A940&amp;" - ")-1),TRIM(A940)))</f>
        <v/>
      </c>
      <c r="N940">
        <f>IF(L940="","",IF(ISNUMBER(INDEX(A940:H940,$P$1)),INDEX(A940:H940,$P$1),IFERROR(_xlfn.NUMBERVALUE(INDEX(A940:H940,$P$1),".",","),0)))</f>
        <v/>
      </c>
    </row>
    <row r="941">
      <c r="L941">
        <f>IF(A941="","",IF(ISNUMBER(--LEFT(A941,FIND(" - ",A941&amp;" - ")-1)),LEFT(A941,FIND(" - ",A941&amp;" - ")-1),TRIM(A941)))</f>
        <v/>
      </c>
      <c r="N941">
        <f>IF(L941="","",IF(ISNUMBER(INDEX(A941:H941,$P$1)),INDEX(A941:H941,$P$1),IFERROR(_xlfn.NUMBERVALUE(INDEX(A941:H941,$P$1),".",","),0)))</f>
        <v/>
      </c>
    </row>
    <row r="942">
      <c r="L942">
        <f>IF(A942="","",IF(ISNUMBER(--LEFT(A942,FIND(" - ",A942&amp;" - ")-1)),LEFT(A942,FIND(" - ",A942&amp;" - ")-1),TRIM(A942)))</f>
        <v/>
      </c>
      <c r="N942">
        <f>IF(L942="","",IF(ISNUMBER(INDEX(A942:H942,$P$1)),INDEX(A942:H942,$P$1),IFERROR(_xlfn.NUMBERVALUE(INDEX(A942:H942,$P$1),".",","),0)))</f>
        <v/>
      </c>
    </row>
    <row r="943">
      <c r="L943">
        <f>IF(A943="","",IF(ISNUMBER(--LEFT(A943,FIND(" - ",A943&amp;" - ")-1)),LEFT(A943,FIND(" - ",A943&amp;" - ")-1),TRIM(A943)))</f>
        <v/>
      </c>
      <c r="N943">
        <f>IF(L943="","",IF(ISNUMBER(INDEX(A943:H943,$P$1)),INDEX(A943:H943,$P$1),IFERROR(_xlfn.NUMBERVALUE(INDEX(A943:H943,$P$1),".",","),0)))</f>
        <v/>
      </c>
    </row>
    <row r="944">
      <c r="L944">
        <f>IF(A944="","",IF(ISNUMBER(--LEFT(A944,FIND(" - ",A944&amp;" - ")-1)),LEFT(A944,FIND(" - ",A944&amp;" - ")-1),TRIM(A944)))</f>
        <v/>
      </c>
      <c r="N944">
        <f>IF(L944="","",IF(ISNUMBER(INDEX(A944:H944,$P$1)),INDEX(A944:H944,$P$1),IFERROR(_xlfn.NUMBERVALUE(INDEX(A944:H944,$P$1),".",","),0)))</f>
        <v/>
      </c>
    </row>
    <row r="945">
      <c r="L945">
        <f>IF(A945="","",IF(ISNUMBER(--LEFT(A945,FIND(" - ",A945&amp;" - ")-1)),LEFT(A945,FIND(" - ",A945&amp;" - ")-1),TRIM(A945)))</f>
        <v/>
      </c>
      <c r="N945">
        <f>IF(L945="","",IF(ISNUMBER(INDEX(A945:H945,$P$1)),INDEX(A945:H945,$P$1),IFERROR(_xlfn.NUMBERVALUE(INDEX(A945:H945,$P$1),".",","),0)))</f>
        <v/>
      </c>
    </row>
    <row r="946">
      <c r="L946">
        <f>IF(A946="","",IF(ISNUMBER(--LEFT(A946,FIND(" - ",A946&amp;" - ")-1)),LEFT(A946,FIND(" - ",A946&amp;" - ")-1),TRIM(A946)))</f>
        <v/>
      </c>
      <c r="N946">
        <f>IF(L946="","",IF(ISNUMBER(INDEX(A946:H946,$P$1)),INDEX(A946:H946,$P$1),IFERROR(_xlfn.NUMBERVALUE(INDEX(A946:H946,$P$1),".",","),0)))</f>
        <v/>
      </c>
    </row>
    <row r="947">
      <c r="L947">
        <f>IF(A947="","",IF(ISNUMBER(--LEFT(A947,FIND(" - ",A947&amp;" - ")-1)),LEFT(A947,FIND(" - ",A947&amp;" - ")-1),TRIM(A947)))</f>
        <v/>
      </c>
      <c r="N947">
        <f>IF(L947="","",IF(ISNUMBER(INDEX(A947:H947,$P$1)),INDEX(A947:H947,$P$1),IFERROR(_xlfn.NUMBERVALUE(INDEX(A947:H947,$P$1),".",","),0)))</f>
        <v/>
      </c>
    </row>
    <row r="948">
      <c r="L948">
        <f>IF(A948="","",IF(ISNUMBER(--LEFT(A948,FIND(" - ",A948&amp;" - ")-1)),LEFT(A948,FIND(" - ",A948&amp;" - ")-1),TRIM(A948)))</f>
        <v/>
      </c>
      <c r="N948">
        <f>IF(L948="","",IF(ISNUMBER(INDEX(A948:H948,$P$1)),INDEX(A948:H948,$P$1),IFERROR(_xlfn.NUMBERVALUE(INDEX(A948:H948,$P$1),".",","),0)))</f>
        <v/>
      </c>
    </row>
    <row r="949">
      <c r="L949">
        <f>IF(A949="","",IF(ISNUMBER(--LEFT(A949,FIND(" - ",A949&amp;" - ")-1)),LEFT(A949,FIND(" - ",A949&amp;" - ")-1),TRIM(A949)))</f>
        <v/>
      </c>
      <c r="N949">
        <f>IF(L949="","",IF(ISNUMBER(INDEX(A949:H949,$P$1)),INDEX(A949:H949,$P$1),IFERROR(_xlfn.NUMBERVALUE(INDEX(A949:H949,$P$1),".",","),0)))</f>
        <v/>
      </c>
    </row>
    <row r="950">
      <c r="L950">
        <f>IF(A950="","",IF(ISNUMBER(--LEFT(A950,FIND(" - ",A950&amp;" - ")-1)),LEFT(A950,FIND(" - ",A950&amp;" - ")-1),TRIM(A950)))</f>
        <v/>
      </c>
      <c r="N950">
        <f>IF(L950="","",IF(ISNUMBER(INDEX(A950:H950,$P$1)),INDEX(A950:H950,$P$1),IFERROR(_xlfn.NUMBERVALUE(INDEX(A950:H950,$P$1),".",","),0)))</f>
        <v/>
      </c>
    </row>
    <row r="951">
      <c r="L951">
        <f>IF(A951="","",IF(ISNUMBER(--LEFT(A951,FIND(" - ",A951&amp;" - ")-1)),LEFT(A951,FIND(" - ",A951&amp;" - ")-1),TRIM(A951)))</f>
        <v/>
      </c>
      <c r="N951">
        <f>IF(L951="","",IF(ISNUMBER(INDEX(A951:H951,$P$1)),INDEX(A951:H951,$P$1),IFERROR(_xlfn.NUMBERVALUE(INDEX(A951:H951,$P$1),".",","),0)))</f>
        <v/>
      </c>
    </row>
    <row r="952">
      <c r="L952">
        <f>IF(A952="","",IF(ISNUMBER(--LEFT(A952,FIND(" - ",A952&amp;" - ")-1)),LEFT(A952,FIND(" - ",A952&amp;" - ")-1),TRIM(A952)))</f>
        <v/>
      </c>
      <c r="N952">
        <f>IF(L952="","",IF(ISNUMBER(INDEX(A952:H952,$P$1)),INDEX(A952:H952,$P$1),IFERROR(_xlfn.NUMBERVALUE(INDEX(A952:H952,$P$1),".",","),0)))</f>
        <v/>
      </c>
    </row>
    <row r="953">
      <c r="L953">
        <f>IF(A953="","",IF(ISNUMBER(--LEFT(A953,FIND(" - ",A953&amp;" - ")-1)),LEFT(A953,FIND(" - ",A953&amp;" - ")-1),TRIM(A953)))</f>
        <v/>
      </c>
      <c r="N953">
        <f>IF(L953="","",IF(ISNUMBER(INDEX(A953:H953,$P$1)),INDEX(A953:H953,$P$1),IFERROR(_xlfn.NUMBERVALUE(INDEX(A953:H953,$P$1),".",","),0)))</f>
        <v/>
      </c>
    </row>
    <row r="954">
      <c r="L954">
        <f>IF(A954="","",IF(ISNUMBER(--LEFT(A954,FIND(" - ",A954&amp;" - ")-1)),LEFT(A954,FIND(" - ",A954&amp;" - ")-1),TRIM(A954)))</f>
        <v/>
      </c>
      <c r="N954">
        <f>IF(L954="","",IF(ISNUMBER(INDEX(A954:H954,$P$1)),INDEX(A954:H954,$P$1),IFERROR(_xlfn.NUMBERVALUE(INDEX(A954:H954,$P$1),".",","),0)))</f>
        <v/>
      </c>
    </row>
    <row r="955">
      <c r="L955">
        <f>IF(A955="","",IF(ISNUMBER(--LEFT(A955,FIND(" - ",A955&amp;" - ")-1)),LEFT(A955,FIND(" - ",A955&amp;" - ")-1),TRIM(A955)))</f>
        <v/>
      </c>
      <c r="N955">
        <f>IF(L955="","",IF(ISNUMBER(INDEX(A955:H955,$P$1)),INDEX(A955:H955,$P$1),IFERROR(_xlfn.NUMBERVALUE(INDEX(A955:H955,$P$1),".",","),0)))</f>
        <v/>
      </c>
    </row>
    <row r="956">
      <c r="L956">
        <f>IF(A956="","",IF(ISNUMBER(--LEFT(A956,FIND(" - ",A956&amp;" - ")-1)),LEFT(A956,FIND(" - ",A956&amp;" - ")-1),TRIM(A956)))</f>
        <v/>
      </c>
      <c r="N956">
        <f>IF(L956="","",IF(ISNUMBER(INDEX(A956:H956,$P$1)),INDEX(A956:H956,$P$1),IFERROR(_xlfn.NUMBERVALUE(INDEX(A956:H956,$P$1),".",","),0)))</f>
        <v/>
      </c>
    </row>
    <row r="957">
      <c r="L957">
        <f>IF(A957="","",IF(ISNUMBER(--LEFT(A957,FIND(" - ",A957&amp;" - ")-1)),LEFT(A957,FIND(" - ",A957&amp;" - ")-1),TRIM(A957)))</f>
        <v/>
      </c>
      <c r="N957">
        <f>IF(L957="","",IF(ISNUMBER(INDEX(A957:H957,$P$1)),INDEX(A957:H957,$P$1),IFERROR(_xlfn.NUMBERVALUE(INDEX(A957:H957,$P$1),".",","),0)))</f>
        <v/>
      </c>
    </row>
    <row r="958">
      <c r="L958">
        <f>IF(A958="","",IF(ISNUMBER(--LEFT(A958,FIND(" - ",A958&amp;" - ")-1)),LEFT(A958,FIND(" - ",A958&amp;" - ")-1),TRIM(A958)))</f>
        <v/>
      </c>
      <c r="N958">
        <f>IF(L958="","",IF(ISNUMBER(INDEX(A958:H958,$P$1)),INDEX(A958:H958,$P$1),IFERROR(_xlfn.NUMBERVALUE(INDEX(A958:H958,$P$1),".",","),0)))</f>
        <v/>
      </c>
    </row>
    <row r="959">
      <c r="L959">
        <f>IF(A959="","",IF(ISNUMBER(--LEFT(A959,FIND(" - ",A959&amp;" - ")-1)),LEFT(A959,FIND(" - ",A959&amp;" - ")-1),TRIM(A959)))</f>
        <v/>
      </c>
      <c r="N959">
        <f>IF(L959="","",IF(ISNUMBER(INDEX(A959:H959,$P$1)),INDEX(A959:H959,$P$1),IFERROR(_xlfn.NUMBERVALUE(INDEX(A959:H959,$P$1),".",","),0)))</f>
        <v/>
      </c>
    </row>
    <row r="960">
      <c r="L960">
        <f>IF(A960="","",IF(ISNUMBER(--LEFT(A960,FIND(" - ",A960&amp;" - ")-1)),LEFT(A960,FIND(" - ",A960&amp;" - ")-1),TRIM(A960)))</f>
        <v/>
      </c>
      <c r="N960">
        <f>IF(L960="","",IF(ISNUMBER(INDEX(A960:H960,$P$1)),INDEX(A960:H960,$P$1),IFERROR(_xlfn.NUMBERVALUE(INDEX(A960:H960,$P$1),".",","),0)))</f>
        <v/>
      </c>
    </row>
    <row r="961">
      <c r="L961">
        <f>IF(A961="","",IF(ISNUMBER(--LEFT(A961,FIND(" - ",A961&amp;" - ")-1)),LEFT(A961,FIND(" - ",A961&amp;" - ")-1),TRIM(A961)))</f>
        <v/>
      </c>
      <c r="N961">
        <f>IF(L961="","",IF(ISNUMBER(INDEX(A961:H961,$P$1)),INDEX(A961:H961,$P$1),IFERROR(_xlfn.NUMBERVALUE(INDEX(A961:H961,$P$1),".",","),0)))</f>
        <v/>
      </c>
    </row>
    <row r="962">
      <c r="L962">
        <f>IF(A962="","",IF(ISNUMBER(--LEFT(A962,FIND(" - ",A962&amp;" - ")-1)),LEFT(A962,FIND(" - ",A962&amp;" - ")-1),TRIM(A962)))</f>
        <v/>
      </c>
      <c r="N962">
        <f>IF(L962="","",IF(ISNUMBER(INDEX(A962:H962,$P$1)),INDEX(A962:H962,$P$1),IFERROR(_xlfn.NUMBERVALUE(INDEX(A962:H962,$P$1),".",","),0)))</f>
        <v/>
      </c>
    </row>
    <row r="963">
      <c r="L963">
        <f>IF(A963="","",IF(ISNUMBER(--LEFT(A963,FIND(" - ",A963&amp;" - ")-1)),LEFT(A963,FIND(" - ",A963&amp;" - ")-1),TRIM(A963)))</f>
        <v/>
      </c>
      <c r="N963">
        <f>IF(L963="","",IF(ISNUMBER(INDEX(A963:H963,$P$1)),INDEX(A963:H963,$P$1),IFERROR(_xlfn.NUMBERVALUE(INDEX(A963:H963,$P$1),".",","),0)))</f>
        <v/>
      </c>
    </row>
    <row r="964">
      <c r="L964">
        <f>IF(A964="","",IF(ISNUMBER(--LEFT(A964,FIND(" - ",A964&amp;" - ")-1)),LEFT(A964,FIND(" - ",A964&amp;" - ")-1),TRIM(A964)))</f>
        <v/>
      </c>
      <c r="N964">
        <f>IF(L964="","",IF(ISNUMBER(INDEX(A964:H964,$P$1)),INDEX(A964:H964,$P$1),IFERROR(_xlfn.NUMBERVALUE(INDEX(A964:H964,$P$1),".",","),0)))</f>
        <v/>
      </c>
    </row>
    <row r="965">
      <c r="L965">
        <f>IF(A965="","",IF(ISNUMBER(--LEFT(A965,FIND(" - ",A965&amp;" - ")-1)),LEFT(A965,FIND(" - ",A965&amp;" - ")-1),TRIM(A965)))</f>
        <v/>
      </c>
      <c r="N965">
        <f>IF(L965="","",IF(ISNUMBER(INDEX(A965:H965,$P$1)),INDEX(A965:H965,$P$1),IFERROR(_xlfn.NUMBERVALUE(INDEX(A965:H965,$P$1),".",","),0)))</f>
        <v/>
      </c>
    </row>
    <row r="966">
      <c r="L966">
        <f>IF(A966="","",IF(ISNUMBER(--LEFT(A966,FIND(" - ",A966&amp;" - ")-1)),LEFT(A966,FIND(" - ",A966&amp;" - ")-1),TRIM(A966)))</f>
        <v/>
      </c>
      <c r="N966">
        <f>IF(L966="","",IF(ISNUMBER(INDEX(A966:H966,$P$1)),INDEX(A966:H966,$P$1),IFERROR(_xlfn.NUMBERVALUE(INDEX(A966:H966,$P$1),".",","),0)))</f>
        <v/>
      </c>
    </row>
    <row r="967">
      <c r="L967">
        <f>IF(A967="","",IF(ISNUMBER(--LEFT(A967,FIND(" - ",A967&amp;" - ")-1)),LEFT(A967,FIND(" - ",A967&amp;" - ")-1),TRIM(A967)))</f>
        <v/>
      </c>
      <c r="N967">
        <f>IF(L967="","",IF(ISNUMBER(INDEX(A967:H967,$P$1)),INDEX(A967:H967,$P$1),IFERROR(_xlfn.NUMBERVALUE(INDEX(A967:H967,$P$1),".",","),0)))</f>
        <v/>
      </c>
    </row>
    <row r="968">
      <c r="L968">
        <f>IF(A968="","",IF(ISNUMBER(--LEFT(A968,FIND(" - ",A968&amp;" - ")-1)),LEFT(A968,FIND(" - ",A968&amp;" - ")-1),TRIM(A968)))</f>
        <v/>
      </c>
      <c r="N968">
        <f>IF(L968="","",IF(ISNUMBER(INDEX(A968:H968,$P$1)),INDEX(A968:H968,$P$1),IFERROR(_xlfn.NUMBERVALUE(INDEX(A968:H968,$P$1),".",","),0)))</f>
        <v/>
      </c>
    </row>
    <row r="969">
      <c r="L969">
        <f>IF(A969="","",IF(ISNUMBER(--LEFT(A969,FIND(" - ",A969&amp;" - ")-1)),LEFT(A969,FIND(" - ",A969&amp;" - ")-1),TRIM(A969)))</f>
        <v/>
      </c>
      <c r="N969">
        <f>IF(L969="","",IF(ISNUMBER(INDEX(A969:H969,$P$1)),INDEX(A969:H969,$P$1),IFERROR(_xlfn.NUMBERVALUE(INDEX(A969:H969,$P$1),".",","),0)))</f>
        <v/>
      </c>
    </row>
    <row r="970">
      <c r="L970">
        <f>IF(A970="","",IF(ISNUMBER(--LEFT(A970,FIND(" - ",A970&amp;" - ")-1)),LEFT(A970,FIND(" - ",A970&amp;" - ")-1),TRIM(A970)))</f>
        <v/>
      </c>
      <c r="N970">
        <f>IF(L970="","",IF(ISNUMBER(INDEX(A970:H970,$P$1)),INDEX(A970:H970,$P$1),IFERROR(_xlfn.NUMBERVALUE(INDEX(A970:H970,$P$1),".",","),0)))</f>
        <v/>
      </c>
    </row>
    <row r="971">
      <c r="L971">
        <f>IF(A971="","",IF(ISNUMBER(--LEFT(A971,FIND(" - ",A971&amp;" - ")-1)),LEFT(A971,FIND(" - ",A971&amp;" - ")-1),TRIM(A971)))</f>
        <v/>
      </c>
      <c r="N971">
        <f>IF(L971="","",IF(ISNUMBER(INDEX(A971:H971,$P$1)),INDEX(A971:H971,$P$1),IFERROR(_xlfn.NUMBERVALUE(INDEX(A971:H971,$P$1),".",","),0)))</f>
        <v/>
      </c>
    </row>
    <row r="972">
      <c r="L972">
        <f>IF(A972="","",IF(ISNUMBER(--LEFT(A972,FIND(" - ",A972&amp;" - ")-1)),LEFT(A972,FIND(" - ",A972&amp;" - ")-1),TRIM(A972)))</f>
        <v/>
      </c>
      <c r="N972">
        <f>IF(L972="","",IF(ISNUMBER(INDEX(A972:H972,$P$1)),INDEX(A972:H972,$P$1),IFERROR(_xlfn.NUMBERVALUE(INDEX(A972:H972,$P$1),".",","),0)))</f>
        <v/>
      </c>
    </row>
    <row r="973">
      <c r="L973">
        <f>IF(A973="","",IF(ISNUMBER(--LEFT(A973,FIND(" - ",A973&amp;" - ")-1)),LEFT(A973,FIND(" - ",A973&amp;" - ")-1),TRIM(A973)))</f>
        <v/>
      </c>
      <c r="N973">
        <f>IF(L973="","",IF(ISNUMBER(INDEX(A973:H973,$P$1)),INDEX(A973:H973,$P$1),IFERROR(_xlfn.NUMBERVALUE(INDEX(A973:H973,$P$1),".",","),0)))</f>
        <v/>
      </c>
    </row>
    <row r="974">
      <c r="L974">
        <f>IF(A974="","",IF(ISNUMBER(--LEFT(A974,FIND(" - ",A974&amp;" - ")-1)),LEFT(A974,FIND(" - ",A974&amp;" - ")-1),TRIM(A974)))</f>
        <v/>
      </c>
      <c r="N974">
        <f>IF(L974="","",IF(ISNUMBER(INDEX(A974:H974,$P$1)),INDEX(A974:H974,$P$1),IFERROR(_xlfn.NUMBERVALUE(INDEX(A974:H974,$P$1),".",","),0)))</f>
        <v/>
      </c>
    </row>
    <row r="975">
      <c r="L975">
        <f>IF(A975="","",IF(ISNUMBER(--LEFT(A975,FIND(" - ",A975&amp;" - ")-1)),LEFT(A975,FIND(" - ",A975&amp;" - ")-1),TRIM(A975)))</f>
        <v/>
      </c>
      <c r="N975">
        <f>IF(L975="","",IF(ISNUMBER(INDEX(A975:H975,$P$1)),INDEX(A975:H975,$P$1),IFERROR(_xlfn.NUMBERVALUE(INDEX(A975:H975,$P$1),".",","),0)))</f>
        <v/>
      </c>
    </row>
    <row r="976">
      <c r="L976">
        <f>IF(A976="","",IF(ISNUMBER(--LEFT(A976,FIND(" - ",A976&amp;" - ")-1)),LEFT(A976,FIND(" - ",A976&amp;" - ")-1),TRIM(A976)))</f>
        <v/>
      </c>
      <c r="N976">
        <f>IF(L976="","",IF(ISNUMBER(INDEX(A976:H976,$P$1)),INDEX(A976:H976,$P$1),IFERROR(_xlfn.NUMBERVALUE(INDEX(A976:H976,$P$1),".",","),0)))</f>
        <v/>
      </c>
    </row>
    <row r="977">
      <c r="L977">
        <f>IF(A977="","",IF(ISNUMBER(--LEFT(A977,FIND(" - ",A977&amp;" - ")-1)),LEFT(A977,FIND(" - ",A977&amp;" - ")-1),TRIM(A977)))</f>
        <v/>
      </c>
      <c r="N977">
        <f>IF(L977="","",IF(ISNUMBER(INDEX(A977:H977,$P$1)),INDEX(A977:H977,$P$1),IFERROR(_xlfn.NUMBERVALUE(INDEX(A977:H977,$P$1),".",","),0)))</f>
        <v/>
      </c>
    </row>
    <row r="978">
      <c r="L978">
        <f>IF(A978="","",IF(ISNUMBER(--LEFT(A978,FIND(" - ",A978&amp;" - ")-1)),LEFT(A978,FIND(" - ",A978&amp;" - ")-1),TRIM(A978)))</f>
        <v/>
      </c>
      <c r="N978">
        <f>IF(L978="","",IF(ISNUMBER(INDEX(A978:H978,$P$1)),INDEX(A978:H978,$P$1),IFERROR(_xlfn.NUMBERVALUE(INDEX(A978:H978,$P$1),".",","),0)))</f>
        <v/>
      </c>
    </row>
    <row r="979">
      <c r="L979">
        <f>IF(A979="","",IF(ISNUMBER(--LEFT(A979,FIND(" - ",A979&amp;" - ")-1)),LEFT(A979,FIND(" - ",A979&amp;" - ")-1),TRIM(A979)))</f>
        <v/>
      </c>
      <c r="N979">
        <f>IF(L979="","",IF(ISNUMBER(INDEX(A979:H979,$P$1)),INDEX(A979:H979,$P$1),IFERROR(_xlfn.NUMBERVALUE(INDEX(A979:H979,$P$1),".",","),0)))</f>
        <v/>
      </c>
    </row>
    <row r="980">
      <c r="L980">
        <f>IF(A980="","",IF(ISNUMBER(--LEFT(A980,FIND(" - ",A980&amp;" - ")-1)),LEFT(A980,FIND(" - ",A980&amp;" - ")-1),TRIM(A980)))</f>
        <v/>
      </c>
      <c r="N980">
        <f>IF(L980="","",IF(ISNUMBER(INDEX(A980:H980,$P$1)),INDEX(A980:H980,$P$1),IFERROR(_xlfn.NUMBERVALUE(INDEX(A980:H980,$P$1),".",","),0)))</f>
        <v/>
      </c>
    </row>
    <row r="981">
      <c r="L981">
        <f>IF(A981="","",IF(ISNUMBER(--LEFT(A981,FIND(" - ",A981&amp;" - ")-1)),LEFT(A981,FIND(" - ",A981&amp;" - ")-1),TRIM(A981)))</f>
        <v/>
      </c>
      <c r="N981">
        <f>IF(L981="","",IF(ISNUMBER(INDEX(A981:H981,$P$1)),INDEX(A981:H981,$P$1),IFERROR(_xlfn.NUMBERVALUE(INDEX(A981:H981,$P$1),".",","),0)))</f>
        <v/>
      </c>
    </row>
    <row r="982">
      <c r="L982">
        <f>IF(A982="","",IF(ISNUMBER(--LEFT(A982,FIND(" - ",A982&amp;" - ")-1)),LEFT(A982,FIND(" - ",A982&amp;" - ")-1),TRIM(A982)))</f>
        <v/>
      </c>
      <c r="N982">
        <f>IF(L982="","",IF(ISNUMBER(INDEX(A982:H982,$P$1)),INDEX(A982:H982,$P$1),IFERROR(_xlfn.NUMBERVALUE(INDEX(A982:H982,$P$1),".",","),0)))</f>
        <v/>
      </c>
    </row>
    <row r="983">
      <c r="L983">
        <f>IF(A983="","",IF(ISNUMBER(--LEFT(A983,FIND(" - ",A983&amp;" - ")-1)),LEFT(A983,FIND(" - ",A983&amp;" - ")-1),TRIM(A983)))</f>
        <v/>
      </c>
      <c r="N983">
        <f>IF(L983="","",IF(ISNUMBER(INDEX(A983:H983,$P$1)),INDEX(A983:H983,$P$1),IFERROR(_xlfn.NUMBERVALUE(INDEX(A983:H983,$P$1),".",","),0)))</f>
        <v/>
      </c>
    </row>
    <row r="984">
      <c r="L984">
        <f>IF(A984="","",IF(ISNUMBER(--LEFT(A984,FIND(" - ",A984&amp;" - ")-1)),LEFT(A984,FIND(" - ",A984&amp;" - ")-1),TRIM(A984)))</f>
        <v/>
      </c>
      <c r="N984">
        <f>IF(L984="","",IF(ISNUMBER(INDEX(A984:H984,$P$1)),INDEX(A984:H984,$P$1),IFERROR(_xlfn.NUMBERVALUE(INDEX(A984:H984,$P$1),".",","),0)))</f>
        <v/>
      </c>
    </row>
    <row r="985">
      <c r="L985">
        <f>IF(A985="","",IF(ISNUMBER(--LEFT(A985,FIND(" - ",A985&amp;" - ")-1)),LEFT(A985,FIND(" - ",A985&amp;" - ")-1),TRIM(A985)))</f>
        <v/>
      </c>
      <c r="N985">
        <f>IF(L985="","",IF(ISNUMBER(INDEX(A985:H985,$P$1)),INDEX(A985:H985,$P$1),IFERROR(_xlfn.NUMBERVALUE(INDEX(A985:H985,$P$1),".",","),0)))</f>
        <v/>
      </c>
    </row>
    <row r="986">
      <c r="L986">
        <f>IF(A986="","",IF(ISNUMBER(--LEFT(A986,FIND(" - ",A986&amp;" - ")-1)),LEFT(A986,FIND(" - ",A986&amp;" - ")-1),TRIM(A986)))</f>
        <v/>
      </c>
      <c r="N986">
        <f>IF(L986="","",IF(ISNUMBER(INDEX(A986:H986,$P$1)),INDEX(A986:H986,$P$1),IFERROR(_xlfn.NUMBERVALUE(INDEX(A986:H986,$P$1),".",","),0)))</f>
        <v/>
      </c>
    </row>
    <row r="987">
      <c r="L987">
        <f>IF(A987="","",IF(ISNUMBER(--LEFT(A987,FIND(" - ",A987&amp;" - ")-1)),LEFT(A987,FIND(" - ",A987&amp;" - ")-1),TRIM(A987)))</f>
        <v/>
      </c>
      <c r="N987">
        <f>IF(L987="","",IF(ISNUMBER(INDEX(A987:H987,$P$1)),INDEX(A987:H987,$P$1),IFERROR(_xlfn.NUMBERVALUE(INDEX(A987:H987,$P$1),".",","),0)))</f>
        <v/>
      </c>
    </row>
    <row r="988">
      <c r="L988">
        <f>IF(A988="","",IF(ISNUMBER(--LEFT(A988,FIND(" - ",A988&amp;" - ")-1)),LEFT(A988,FIND(" - ",A988&amp;" - ")-1),TRIM(A988)))</f>
        <v/>
      </c>
      <c r="N988">
        <f>IF(L988="","",IF(ISNUMBER(INDEX(A988:H988,$P$1)),INDEX(A988:H988,$P$1),IFERROR(_xlfn.NUMBERVALUE(INDEX(A988:H988,$P$1),".",","),0)))</f>
        <v/>
      </c>
    </row>
    <row r="989">
      <c r="L989">
        <f>IF(A989="","",IF(ISNUMBER(--LEFT(A989,FIND(" - ",A989&amp;" - ")-1)),LEFT(A989,FIND(" - ",A989&amp;" - ")-1),TRIM(A989)))</f>
        <v/>
      </c>
      <c r="N989">
        <f>IF(L989="","",IF(ISNUMBER(INDEX(A989:H989,$P$1)),INDEX(A989:H989,$P$1),IFERROR(_xlfn.NUMBERVALUE(INDEX(A989:H989,$P$1),".",","),0)))</f>
        <v/>
      </c>
    </row>
    <row r="990">
      <c r="L990">
        <f>IF(A990="","",IF(ISNUMBER(--LEFT(A990,FIND(" - ",A990&amp;" - ")-1)),LEFT(A990,FIND(" - ",A990&amp;" - ")-1),TRIM(A990)))</f>
        <v/>
      </c>
      <c r="N990">
        <f>IF(L990="","",IF(ISNUMBER(INDEX(A990:H990,$P$1)),INDEX(A990:H990,$P$1),IFERROR(_xlfn.NUMBERVALUE(INDEX(A990:H990,$P$1),".",","),0)))</f>
        <v/>
      </c>
    </row>
    <row r="991">
      <c r="L991">
        <f>IF(A991="","",IF(ISNUMBER(--LEFT(A991,FIND(" - ",A991&amp;" - ")-1)),LEFT(A991,FIND(" - ",A991&amp;" - ")-1),TRIM(A991)))</f>
        <v/>
      </c>
      <c r="N991">
        <f>IF(L991="","",IF(ISNUMBER(INDEX(A991:H991,$P$1)),INDEX(A991:H991,$P$1),IFERROR(_xlfn.NUMBERVALUE(INDEX(A991:H991,$P$1),".",","),0)))</f>
        <v/>
      </c>
    </row>
    <row r="992">
      <c r="L992">
        <f>IF(A992="","",IF(ISNUMBER(--LEFT(A992,FIND(" - ",A992&amp;" - ")-1)),LEFT(A992,FIND(" - ",A992&amp;" - ")-1),TRIM(A992)))</f>
        <v/>
      </c>
      <c r="N992">
        <f>IF(L992="","",IF(ISNUMBER(INDEX(A992:H992,$P$1)),INDEX(A992:H992,$P$1),IFERROR(_xlfn.NUMBERVALUE(INDEX(A992:H992,$P$1),".",","),0)))</f>
        <v/>
      </c>
    </row>
    <row r="993">
      <c r="L993">
        <f>IF(A993="","",IF(ISNUMBER(--LEFT(A993,FIND(" - ",A993&amp;" - ")-1)),LEFT(A993,FIND(" - ",A993&amp;" - ")-1),TRIM(A993)))</f>
        <v/>
      </c>
      <c r="N993">
        <f>IF(L993="","",IF(ISNUMBER(INDEX(A993:H993,$P$1)),INDEX(A993:H993,$P$1),IFERROR(_xlfn.NUMBERVALUE(INDEX(A993:H993,$P$1),".",","),0)))</f>
        <v/>
      </c>
    </row>
    <row r="994">
      <c r="L994">
        <f>IF(A994="","",IF(ISNUMBER(--LEFT(A994,FIND(" - ",A994&amp;" - ")-1)),LEFT(A994,FIND(" - ",A994&amp;" - ")-1),TRIM(A994)))</f>
        <v/>
      </c>
      <c r="N994">
        <f>IF(L994="","",IF(ISNUMBER(INDEX(A994:H994,$P$1)),INDEX(A994:H994,$P$1),IFERROR(_xlfn.NUMBERVALUE(INDEX(A994:H994,$P$1),".",","),0)))</f>
        <v/>
      </c>
    </row>
    <row r="995">
      <c r="L995">
        <f>IF(A995="","",IF(ISNUMBER(--LEFT(A995,FIND(" - ",A995&amp;" - ")-1)),LEFT(A995,FIND(" - ",A995&amp;" - ")-1),TRIM(A995)))</f>
        <v/>
      </c>
      <c r="N995">
        <f>IF(L995="","",IF(ISNUMBER(INDEX(A995:H995,$P$1)),INDEX(A995:H995,$P$1),IFERROR(_xlfn.NUMBERVALUE(INDEX(A995:H995,$P$1),".",","),0)))</f>
        <v/>
      </c>
    </row>
    <row r="996">
      <c r="L996">
        <f>IF(A996="","",IF(ISNUMBER(--LEFT(A996,FIND(" - ",A996&amp;" - ")-1)),LEFT(A996,FIND(" - ",A996&amp;" - ")-1),TRIM(A996)))</f>
        <v/>
      </c>
      <c r="N996">
        <f>IF(L996="","",IF(ISNUMBER(INDEX(A996:H996,$P$1)),INDEX(A996:H996,$P$1),IFERROR(_xlfn.NUMBERVALUE(INDEX(A996:H996,$P$1),".",","),0)))</f>
        <v/>
      </c>
    </row>
    <row r="997">
      <c r="L997">
        <f>IF(A997="","",IF(ISNUMBER(--LEFT(A997,FIND(" - ",A997&amp;" - ")-1)),LEFT(A997,FIND(" - ",A997&amp;" - ")-1),TRIM(A997)))</f>
        <v/>
      </c>
      <c r="N997">
        <f>IF(L997="","",IF(ISNUMBER(INDEX(A997:H997,$P$1)),INDEX(A997:H997,$P$1),IFERROR(_xlfn.NUMBERVALUE(INDEX(A997:H997,$P$1),".",","),0)))</f>
        <v/>
      </c>
    </row>
    <row r="998">
      <c r="L998">
        <f>IF(A998="","",IF(ISNUMBER(--LEFT(A998,FIND(" - ",A998&amp;" - ")-1)),LEFT(A998,FIND(" - ",A998&amp;" - ")-1),TRIM(A998)))</f>
        <v/>
      </c>
      <c r="N998">
        <f>IF(L998="","",IF(ISNUMBER(INDEX(A998:H998,$P$1)),INDEX(A998:H998,$P$1),IFERROR(_xlfn.NUMBERVALUE(INDEX(A998:H998,$P$1),".",","),0)))</f>
        <v/>
      </c>
    </row>
    <row r="999">
      <c r="L999">
        <f>IF(A999="","",IF(ISNUMBER(--LEFT(A999,FIND(" - ",A999&amp;" - ")-1)),LEFT(A999,FIND(" - ",A999&amp;" - ")-1),TRIM(A999)))</f>
        <v/>
      </c>
      <c r="N999">
        <f>IF(L999="","",IF(ISNUMBER(INDEX(A999:H999,$P$1)),INDEX(A999:H999,$P$1),IFERROR(_xlfn.NUMBERVALUE(INDEX(A999:H999,$P$1),".",","),0)))</f>
        <v/>
      </c>
    </row>
    <row r="1000">
      <c r="L1000">
        <f>IF(A1000="","",IF(ISNUMBER(--LEFT(A1000,FIND(" - ",A1000&amp;" - ")-1)),LEFT(A1000,FIND(" - ",A1000&amp;" - ")-1),TRIM(A1000)))</f>
        <v/>
      </c>
      <c r="N1000">
        <f>IF(L1000="","",IF(ISNUMBER(INDEX(A1000:H1000,$P$1)),INDEX(A1000:H1000,$P$1),IFERROR(_xlfn.NUMBERVALUE(INDEX(A1000:H1000,$P$1),".",","),0)))</f>
        <v/>
      </c>
    </row>
    <row r="1001">
      <c r="L1001">
        <f>IF(A1001="","",IF(ISNUMBER(--LEFT(A1001,FIND(" - ",A1001&amp;" - ")-1)),LEFT(A1001,FIND(" - ",A1001&amp;" - ")-1),TRIM(A1001)))</f>
        <v/>
      </c>
      <c r="N1001">
        <f>IF(L1001="","",IF(ISNUMBER(INDEX(A1001:H1001,$P$1)),INDEX(A1001:H1001,$P$1),IFERROR(_xlfn.NUMBERVALUE(INDEX(A1001:H1001,$P$1),".",","),0)))</f>
        <v/>
      </c>
    </row>
    <row r="1002">
      <c r="L1002">
        <f>IF(A1002="","",IF(ISNUMBER(--LEFT(A1002,FIND(" - ",A1002&amp;" - ")-1)),LEFT(A1002,FIND(" - ",A1002&amp;" - ")-1),TRIM(A1002)))</f>
        <v/>
      </c>
      <c r="N1002">
        <f>IF(L1002="","",IF(ISNUMBER(INDEX(A1002:H1002,$P$1)),INDEX(A1002:H1002,$P$1),IFERROR(_xlfn.NUMBERVALUE(INDEX(A1002:H1002,$P$1),".",","),0)))</f>
        <v/>
      </c>
    </row>
    <row r="1003">
      <c r="L1003">
        <f>IF(A1003="","",IF(ISNUMBER(--LEFT(A1003,FIND(" - ",A1003&amp;" - ")-1)),LEFT(A1003,FIND(" - ",A1003&amp;" - ")-1),TRIM(A1003)))</f>
        <v/>
      </c>
      <c r="N1003">
        <f>IF(L1003="","",IF(ISNUMBER(INDEX(A1003:H1003,$P$1)),INDEX(A1003:H1003,$P$1),IFERROR(_xlfn.NUMBERVALUE(INDEX(A1003:H1003,$P$1),".",","),0)))</f>
        <v/>
      </c>
    </row>
    <row r="1004">
      <c r="L1004">
        <f>IF(A1004="","",IF(ISNUMBER(--LEFT(A1004,FIND(" - ",A1004&amp;" - ")-1)),LEFT(A1004,FIND(" - ",A1004&amp;" - ")-1),TRIM(A1004)))</f>
        <v/>
      </c>
      <c r="N1004">
        <f>IF(L1004="","",IF(ISNUMBER(INDEX(A1004:H1004,$P$1)),INDEX(A1004:H1004,$P$1),IFERROR(_xlfn.NUMBERVALUE(INDEX(A1004:H1004,$P$1),".",","),0)))</f>
        <v/>
      </c>
    </row>
    <row r="1005">
      <c r="L1005">
        <f>IF(A1005="","",IF(ISNUMBER(--LEFT(A1005,FIND(" - ",A1005&amp;" - ")-1)),LEFT(A1005,FIND(" - ",A1005&amp;" - ")-1),TRIM(A1005)))</f>
        <v/>
      </c>
      <c r="N1005">
        <f>IF(L1005="","",IF(ISNUMBER(INDEX(A1005:H1005,$P$1)),INDEX(A1005:H1005,$P$1),IFERROR(_xlfn.NUMBERVALUE(INDEX(A1005:H1005,$P$1),".",","),0)))</f>
        <v/>
      </c>
    </row>
    <row r="1006">
      <c r="L1006">
        <f>IF(A1006="","",IF(ISNUMBER(--LEFT(A1006,FIND(" - ",A1006&amp;" - ")-1)),LEFT(A1006,FIND(" - ",A1006&amp;" - ")-1),TRIM(A1006)))</f>
        <v/>
      </c>
      <c r="N1006">
        <f>IF(L1006="","",IF(ISNUMBER(INDEX(A1006:H1006,$P$1)),INDEX(A1006:H1006,$P$1),IFERROR(_xlfn.NUMBERVALUE(INDEX(A1006:H1006,$P$1),".",","),0)))</f>
        <v/>
      </c>
    </row>
    <row r="1007">
      <c r="L1007">
        <f>IF(A1007="","",IF(ISNUMBER(--LEFT(A1007,FIND(" - ",A1007&amp;" - ")-1)),LEFT(A1007,FIND(" - ",A1007&amp;" - ")-1),TRIM(A1007)))</f>
        <v/>
      </c>
      <c r="N1007">
        <f>IF(L1007="","",IF(ISNUMBER(INDEX(A1007:H1007,$P$1)),INDEX(A1007:H1007,$P$1),IFERROR(_xlfn.NUMBERVALUE(INDEX(A1007:H1007,$P$1),".",","),0)))</f>
        <v/>
      </c>
    </row>
    <row r="1008">
      <c r="L1008">
        <f>IF(A1008="","",IF(ISNUMBER(--LEFT(A1008,FIND(" - ",A1008&amp;" - ")-1)),LEFT(A1008,FIND(" - ",A1008&amp;" - ")-1),TRIM(A1008)))</f>
        <v/>
      </c>
      <c r="N1008">
        <f>IF(L1008="","",IF(ISNUMBER(INDEX(A1008:H1008,$P$1)),INDEX(A1008:H1008,$P$1),IFERROR(_xlfn.NUMBERVALUE(INDEX(A1008:H1008,$P$1),".",","),0)))</f>
        <v/>
      </c>
    </row>
    <row r="1009">
      <c r="L1009">
        <f>IF(A1009="","",IF(ISNUMBER(--LEFT(A1009,FIND(" - ",A1009&amp;" - ")-1)),LEFT(A1009,FIND(" - ",A1009&amp;" - ")-1),TRIM(A1009)))</f>
        <v/>
      </c>
      <c r="N1009">
        <f>IF(L1009="","",IF(ISNUMBER(INDEX(A1009:H1009,$P$1)),INDEX(A1009:H1009,$P$1),IFERROR(_xlfn.NUMBERVALUE(INDEX(A1009:H1009,$P$1),".",","),0)))</f>
        <v/>
      </c>
    </row>
    <row r="1010">
      <c r="L1010">
        <f>IF(A1010="","",IF(ISNUMBER(--LEFT(A1010,FIND(" - ",A1010&amp;" - ")-1)),LEFT(A1010,FIND(" - ",A1010&amp;" - ")-1),TRIM(A1010)))</f>
        <v/>
      </c>
      <c r="N1010">
        <f>IF(L1010="","",IF(ISNUMBER(INDEX(A1010:H1010,$P$1)),INDEX(A1010:H1010,$P$1),IFERROR(_xlfn.NUMBERVALUE(INDEX(A1010:H1010,$P$1),".",","),0)))</f>
        <v/>
      </c>
    </row>
    <row r="1011">
      <c r="L1011">
        <f>IF(A1011="","",IF(ISNUMBER(--LEFT(A1011,FIND(" - ",A1011&amp;" - ")-1)),LEFT(A1011,FIND(" - ",A1011&amp;" - ")-1),TRIM(A1011)))</f>
        <v/>
      </c>
      <c r="N1011">
        <f>IF(L1011="","",IF(ISNUMBER(INDEX(A1011:H1011,$P$1)),INDEX(A1011:H1011,$P$1),IFERROR(_xlfn.NUMBERVALUE(INDEX(A1011:H1011,$P$1),".",","),0)))</f>
        <v/>
      </c>
    </row>
    <row r="1012">
      <c r="L1012">
        <f>IF(A1012="","",IF(ISNUMBER(--LEFT(A1012,FIND(" - ",A1012&amp;" - ")-1)),LEFT(A1012,FIND(" - ",A1012&amp;" - ")-1),TRIM(A1012)))</f>
        <v/>
      </c>
      <c r="N1012">
        <f>IF(L1012="","",IF(ISNUMBER(INDEX(A1012:H1012,$P$1)),INDEX(A1012:H1012,$P$1),IFERROR(_xlfn.NUMBERVALUE(INDEX(A1012:H1012,$P$1),".",","),0)))</f>
        <v/>
      </c>
    </row>
    <row r="1013">
      <c r="L1013">
        <f>IF(A1013="","",IF(ISNUMBER(--LEFT(A1013,FIND(" - ",A1013&amp;" - ")-1)),LEFT(A1013,FIND(" - ",A1013&amp;" - ")-1),TRIM(A1013)))</f>
        <v/>
      </c>
      <c r="N1013">
        <f>IF(L1013="","",IF(ISNUMBER(INDEX(A1013:H1013,$P$1)),INDEX(A1013:H1013,$P$1),IFERROR(_xlfn.NUMBERVALUE(INDEX(A1013:H1013,$P$1),".",","),0)))</f>
        <v/>
      </c>
    </row>
    <row r="1014">
      <c r="L1014">
        <f>IF(A1014="","",IF(ISNUMBER(--LEFT(A1014,FIND(" - ",A1014&amp;" - ")-1)),LEFT(A1014,FIND(" - ",A1014&amp;" - ")-1),TRIM(A1014)))</f>
        <v/>
      </c>
      <c r="N1014">
        <f>IF(L1014="","",IF(ISNUMBER(INDEX(A1014:H1014,$P$1)),INDEX(A1014:H1014,$P$1),IFERROR(_xlfn.NUMBERVALUE(INDEX(A1014:H1014,$P$1),".",","),0)))</f>
        <v/>
      </c>
    </row>
    <row r="1015">
      <c r="L1015">
        <f>IF(A1015="","",IF(ISNUMBER(--LEFT(A1015,FIND(" - ",A1015&amp;" - ")-1)),LEFT(A1015,FIND(" - ",A1015&amp;" - ")-1),TRIM(A1015)))</f>
        <v/>
      </c>
      <c r="N1015">
        <f>IF(L1015="","",IF(ISNUMBER(INDEX(A1015:H1015,$P$1)),INDEX(A1015:H1015,$P$1),IFERROR(_xlfn.NUMBERVALUE(INDEX(A1015:H1015,$P$1),".",","),0)))</f>
        <v/>
      </c>
    </row>
    <row r="1016">
      <c r="L1016">
        <f>IF(A1016="","",IF(ISNUMBER(--LEFT(A1016,FIND(" - ",A1016&amp;" - ")-1)),LEFT(A1016,FIND(" - ",A1016&amp;" - ")-1),TRIM(A1016)))</f>
        <v/>
      </c>
      <c r="N1016">
        <f>IF(L1016="","",IF(ISNUMBER(INDEX(A1016:H1016,$P$1)),INDEX(A1016:H1016,$P$1),IFERROR(_xlfn.NUMBERVALUE(INDEX(A1016:H1016,$P$1),".",","),0)))</f>
        <v/>
      </c>
    </row>
    <row r="1017">
      <c r="L1017">
        <f>IF(A1017="","",IF(ISNUMBER(--LEFT(A1017,FIND(" - ",A1017&amp;" - ")-1)),LEFT(A1017,FIND(" - ",A1017&amp;" - ")-1),TRIM(A1017)))</f>
        <v/>
      </c>
      <c r="N1017">
        <f>IF(L1017="","",IF(ISNUMBER(INDEX(A1017:H1017,$P$1)),INDEX(A1017:H1017,$P$1),IFERROR(_xlfn.NUMBERVALUE(INDEX(A1017:H1017,$P$1),".",","),0)))</f>
        <v/>
      </c>
    </row>
    <row r="1018">
      <c r="L1018">
        <f>IF(A1018="","",IF(ISNUMBER(--LEFT(A1018,FIND(" - ",A1018&amp;" - ")-1)),LEFT(A1018,FIND(" - ",A1018&amp;" - ")-1),TRIM(A1018)))</f>
        <v/>
      </c>
      <c r="N1018">
        <f>IF(L1018="","",IF(ISNUMBER(INDEX(A1018:H1018,$P$1)),INDEX(A1018:H1018,$P$1),IFERROR(_xlfn.NUMBERVALUE(INDEX(A1018:H1018,$P$1),".",","),0)))</f>
        <v/>
      </c>
    </row>
    <row r="1019">
      <c r="L1019">
        <f>IF(A1019="","",IF(ISNUMBER(--LEFT(A1019,FIND(" - ",A1019&amp;" - ")-1)),LEFT(A1019,FIND(" - ",A1019&amp;" - ")-1),TRIM(A1019)))</f>
        <v/>
      </c>
      <c r="N1019">
        <f>IF(L1019="","",IF(ISNUMBER(INDEX(A1019:H1019,$P$1)),INDEX(A1019:H1019,$P$1),IFERROR(_xlfn.NUMBERVALUE(INDEX(A1019:H1019,$P$1),".",","),0)))</f>
        <v/>
      </c>
    </row>
    <row r="1020">
      <c r="L1020">
        <f>IF(A1020="","",IF(ISNUMBER(--LEFT(A1020,FIND(" - ",A1020&amp;" - ")-1)),LEFT(A1020,FIND(" - ",A1020&amp;" - ")-1),TRIM(A1020)))</f>
        <v/>
      </c>
      <c r="N1020">
        <f>IF(L1020="","",IF(ISNUMBER(INDEX(A1020:H1020,$P$1)),INDEX(A1020:H1020,$P$1),IFERROR(_xlfn.NUMBERVALUE(INDEX(A1020:H1020,$P$1),".",","),0)))</f>
        <v/>
      </c>
    </row>
    <row r="1021">
      <c r="L1021">
        <f>IF(A1021="","",IF(ISNUMBER(--LEFT(A1021,FIND(" - ",A1021&amp;" - ")-1)),LEFT(A1021,FIND(" - ",A1021&amp;" - ")-1),TRIM(A1021)))</f>
        <v/>
      </c>
      <c r="N1021">
        <f>IF(L1021="","",IF(ISNUMBER(INDEX(A1021:H1021,$P$1)),INDEX(A1021:H1021,$P$1),IFERROR(_xlfn.NUMBERVALUE(INDEX(A1021:H1021,$P$1),".",","),0)))</f>
        <v/>
      </c>
    </row>
    <row r="1022">
      <c r="L1022">
        <f>IF(A1022="","",IF(ISNUMBER(--LEFT(A1022,FIND(" - ",A1022&amp;" - ")-1)),LEFT(A1022,FIND(" - ",A1022&amp;" - ")-1),TRIM(A1022)))</f>
        <v/>
      </c>
      <c r="N1022">
        <f>IF(L1022="","",IF(ISNUMBER(INDEX(A1022:H1022,$P$1)),INDEX(A1022:H1022,$P$1),IFERROR(_xlfn.NUMBERVALUE(INDEX(A1022:H1022,$P$1),".",","),0)))</f>
        <v/>
      </c>
    </row>
    <row r="1023">
      <c r="L1023">
        <f>IF(A1023="","",IF(ISNUMBER(--LEFT(A1023,FIND(" - ",A1023&amp;" - ")-1)),LEFT(A1023,FIND(" - ",A1023&amp;" - ")-1),TRIM(A1023)))</f>
        <v/>
      </c>
      <c r="N1023">
        <f>IF(L1023="","",IF(ISNUMBER(INDEX(A1023:H1023,$P$1)),INDEX(A1023:H1023,$P$1),IFERROR(_xlfn.NUMBERVALUE(INDEX(A1023:H1023,$P$1),".",","),0)))</f>
        <v/>
      </c>
    </row>
    <row r="1024">
      <c r="L1024">
        <f>IF(A1024="","",IF(ISNUMBER(--LEFT(A1024,FIND(" - ",A1024&amp;" - ")-1)),LEFT(A1024,FIND(" - ",A1024&amp;" - ")-1),TRIM(A1024)))</f>
        <v/>
      </c>
      <c r="N1024">
        <f>IF(L1024="","",IF(ISNUMBER(INDEX(A1024:H1024,$P$1)),INDEX(A1024:H1024,$P$1),IFERROR(_xlfn.NUMBERVALUE(INDEX(A1024:H1024,$P$1),".",","),0)))</f>
        <v/>
      </c>
    </row>
    <row r="1025">
      <c r="L1025">
        <f>IF(A1025="","",IF(ISNUMBER(--LEFT(A1025,FIND(" - ",A1025&amp;" - ")-1)),LEFT(A1025,FIND(" - ",A1025&amp;" - ")-1),TRIM(A1025)))</f>
        <v/>
      </c>
      <c r="N1025">
        <f>IF(L1025="","",IF(ISNUMBER(INDEX(A1025:H1025,$P$1)),INDEX(A1025:H1025,$P$1),IFERROR(_xlfn.NUMBERVALUE(INDEX(A1025:H1025,$P$1),".",","),0)))</f>
        <v/>
      </c>
    </row>
    <row r="1026">
      <c r="L1026">
        <f>IF(A1026="","",IF(ISNUMBER(--LEFT(A1026,FIND(" - ",A1026&amp;" - ")-1)),LEFT(A1026,FIND(" - ",A1026&amp;" - ")-1),TRIM(A1026)))</f>
        <v/>
      </c>
      <c r="N1026">
        <f>IF(L1026="","",IF(ISNUMBER(INDEX(A1026:H1026,$P$1)),INDEX(A1026:H1026,$P$1),IFERROR(_xlfn.NUMBERVALUE(INDEX(A1026:H1026,$P$1),".",","),0)))</f>
        <v/>
      </c>
    </row>
    <row r="1027">
      <c r="L1027">
        <f>IF(A1027="","",IF(ISNUMBER(--LEFT(A1027,FIND(" - ",A1027&amp;" - ")-1)),LEFT(A1027,FIND(" - ",A1027&amp;" - ")-1),TRIM(A1027)))</f>
        <v/>
      </c>
      <c r="N1027">
        <f>IF(L1027="","",IF(ISNUMBER(INDEX(A1027:H1027,$P$1)),INDEX(A1027:H1027,$P$1),IFERROR(_xlfn.NUMBERVALUE(INDEX(A1027:H1027,$P$1),".",","),0)))</f>
        <v/>
      </c>
    </row>
    <row r="1028">
      <c r="L1028">
        <f>IF(A1028="","",IF(ISNUMBER(--LEFT(A1028,FIND(" - ",A1028&amp;" - ")-1)),LEFT(A1028,FIND(" - ",A1028&amp;" - ")-1),TRIM(A1028)))</f>
        <v/>
      </c>
      <c r="N1028">
        <f>IF(L1028="","",IF(ISNUMBER(INDEX(A1028:H1028,$P$1)),INDEX(A1028:H1028,$P$1),IFERROR(_xlfn.NUMBERVALUE(INDEX(A1028:H1028,$P$1),".",","),0)))</f>
        <v/>
      </c>
    </row>
    <row r="1029">
      <c r="L1029">
        <f>IF(A1029="","",IF(ISNUMBER(--LEFT(A1029,FIND(" - ",A1029&amp;" - ")-1)),LEFT(A1029,FIND(" - ",A1029&amp;" - ")-1),TRIM(A1029)))</f>
        <v/>
      </c>
      <c r="N1029">
        <f>IF(L1029="","",IF(ISNUMBER(INDEX(A1029:H1029,$P$1)),INDEX(A1029:H1029,$P$1),IFERROR(_xlfn.NUMBERVALUE(INDEX(A1029:H1029,$P$1),".",","),0)))</f>
        <v/>
      </c>
    </row>
    <row r="1030">
      <c r="L1030">
        <f>IF(A1030="","",IF(ISNUMBER(--LEFT(A1030,FIND(" - ",A1030&amp;" - ")-1)),LEFT(A1030,FIND(" - ",A1030&amp;" - ")-1),TRIM(A1030)))</f>
        <v/>
      </c>
      <c r="N1030">
        <f>IF(L1030="","",IF(ISNUMBER(INDEX(A1030:H1030,$P$1)),INDEX(A1030:H1030,$P$1),IFERROR(_xlfn.NUMBERVALUE(INDEX(A1030:H1030,$P$1),".",","),0)))</f>
        <v/>
      </c>
    </row>
    <row r="1031">
      <c r="L1031">
        <f>IF(A1031="","",IF(ISNUMBER(--LEFT(A1031,FIND(" - ",A1031&amp;" - ")-1)),LEFT(A1031,FIND(" - ",A1031&amp;" - ")-1),TRIM(A1031)))</f>
        <v/>
      </c>
      <c r="N1031">
        <f>IF(L1031="","",IF(ISNUMBER(INDEX(A1031:H1031,$P$1)),INDEX(A1031:H1031,$P$1),IFERROR(_xlfn.NUMBERVALUE(INDEX(A1031:H1031,$P$1),".",","),0)))</f>
        <v/>
      </c>
    </row>
    <row r="1032">
      <c r="L1032">
        <f>IF(A1032="","",IF(ISNUMBER(--LEFT(A1032,FIND(" - ",A1032&amp;" - ")-1)),LEFT(A1032,FIND(" - ",A1032&amp;" - ")-1),TRIM(A1032)))</f>
        <v/>
      </c>
      <c r="N1032">
        <f>IF(L1032="","",IF(ISNUMBER(INDEX(A1032:H1032,$P$1)),INDEX(A1032:H1032,$P$1),IFERROR(_xlfn.NUMBERVALUE(INDEX(A1032:H1032,$P$1),".",","),0)))</f>
        <v/>
      </c>
    </row>
    <row r="1033">
      <c r="L1033">
        <f>IF(A1033="","",IF(ISNUMBER(--LEFT(A1033,FIND(" - ",A1033&amp;" - ")-1)),LEFT(A1033,FIND(" - ",A1033&amp;" - ")-1),TRIM(A1033)))</f>
        <v/>
      </c>
      <c r="N1033">
        <f>IF(L1033="","",IF(ISNUMBER(INDEX(A1033:H1033,$P$1)),INDEX(A1033:H1033,$P$1),IFERROR(_xlfn.NUMBERVALUE(INDEX(A1033:H1033,$P$1),".",","),0)))</f>
        <v/>
      </c>
    </row>
    <row r="1034">
      <c r="L1034">
        <f>IF(A1034="","",IF(ISNUMBER(--LEFT(A1034,FIND(" - ",A1034&amp;" - ")-1)),LEFT(A1034,FIND(" - ",A1034&amp;" - ")-1),TRIM(A1034)))</f>
        <v/>
      </c>
      <c r="N1034">
        <f>IF(L1034="","",IF(ISNUMBER(INDEX(A1034:H1034,$P$1)),INDEX(A1034:H1034,$P$1),IFERROR(_xlfn.NUMBERVALUE(INDEX(A1034:H1034,$P$1),".",","),0)))</f>
        <v/>
      </c>
    </row>
    <row r="1035">
      <c r="L1035">
        <f>IF(A1035="","",IF(ISNUMBER(--LEFT(A1035,FIND(" - ",A1035&amp;" - ")-1)),LEFT(A1035,FIND(" - ",A1035&amp;" - ")-1),TRIM(A1035)))</f>
        <v/>
      </c>
      <c r="N1035">
        <f>IF(L1035="","",IF(ISNUMBER(INDEX(A1035:H1035,$P$1)),INDEX(A1035:H1035,$P$1),IFERROR(_xlfn.NUMBERVALUE(INDEX(A1035:H1035,$P$1),".",","),0)))</f>
        <v/>
      </c>
    </row>
    <row r="1036">
      <c r="L1036">
        <f>IF(A1036="","",IF(ISNUMBER(--LEFT(A1036,FIND(" - ",A1036&amp;" - ")-1)),LEFT(A1036,FIND(" - ",A1036&amp;" - ")-1),TRIM(A1036)))</f>
        <v/>
      </c>
      <c r="N1036">
        <f>IF(L1036="","",IF(ISNUMBER(INDEX(A1036:H1036,$P$1)),INDEX(A1036:H1036,$P$1),IFERROR(_xlfn.NUMBERVALUE(INDEX(A1036:H1036,$P$1),".",","),0)))</f>
        <v/>
      </c>
    </row>
    <row r="1037">
      <c r="L1037">
        <f>IF(A1037="","",IF(ISNUMBER(--LEFT(A1037,FIND(" - ",A1037&amp;" - ")-1)),LEFT(A1037,FIND(" - ",A1037&amp;" - ")-1),TRIM(A1037)))</f>
        <v/>
      </c>
      <c r="N1037">
        <f>IF(L1037="","",IF(ISNUMBER(INDEX(A1037:H1037,$P$1)),INDEX(A1037:H1037,$P$1),IFERROR(_xlfn.NUMBERVALUE(INDEX(A1037:H1037,$P$1),".",","),0)))</f>
        <v/>
      </c>
    </row>
    <row r="1038">
      <c r="L1038">
        <f>IF(A1038="","",IF(ISNUMBER(--LEFT(A1038,FIND(" - ",A1038&amp;" - ")-1)),LEFT(A1038,FIND(" - ",A1038&amp;" - ")-1),TRIM(A1038)))</f>
        <v/>
      </c>
      <c r="N1038">
        <f>IF(L1038="","",IF(ISNUMBER(INDEX(A1038:H1038,$P$1)),INDEX(A1038:H1038,$P$1),IFERROR(_xlfn.NUMBERVALUE(INDEX(A1038:H1038,$P$1),".",","),0)))</f>
        <v/>
      </c>
    </row>
    <row r="1039">
      <c r="L1039">
        <f>IF(A1039="","",IF(ISNUMBER(--LEFT(A1039,FIND(" - ",A1039&amp;" - ")-1)),LEFT(A1039,FIND(" - ",A1039&amp;" - ")-1),TRIM(A1039)))</f>
        <v/>
      </c>
      <c r="N1039">
        <f>IF(L1039="","",IF(ISNUMBER(INDEX(A1039:H1039,$P$1)),INDEX(A1039:H1039,$P$1),IFERROR(_xlfn.NUMBERVALUE(INDEX(A1039:H1039,$P$1),".",","),0)))</f>
        <v/>
      </c>
    </row>
    <row r="1040">
      <c r="L1040">
        <f>IF(A1040="","",IF(ISNUMBER(--LEFT(A1040,FIND(" - ",A1040&amp;" - ")-1)),LEFT(A1040,FIND(" - ",A1040&amp;" - ")-1),TRIM(A1040)))</f>
        <v/>
      </c>
      <c r="N1040">
        <f>IF(L1040="","",IF(ISNUMBER(INDEX(A1040:H1040,$P$1)),INDEX(A1040:H1040,$P$1),IFERROR(_xlfn.NUMBERVALUE(INDEX(A1040:H1040,$P$1),".",","),0)))</f>
        <v/>
      </c>
    </row>
    <row r="1041">
      <c r="L1041">
        <f>IF(A1041="","",IF(ISNUMBER(--LEFT(A1041,FIND(" - ",A1041&amp;" - ")-1)),LEFT(A1041,FIND(" - ",A1041&amp;" - ")-1),TRIM(A1041)))</f>
        <v/>
      </c>
      <c r="N1041">
        <f>IF(L1041="","",IF(ISNUMBER(INDEX(A1041:H1041,$P$1)),INDEX(A1041:H1041,$P$1),IFERROR(_xlfn.NUMBERVALUE(INDEX(A1041:H1041,$P$1),".",","),0)))</f>
        <v/>
      </c>
    </row>
    <row r="1042">
      <c r="L1042">
        <f>IF(A1042="","",IF(ISNUMBER(--LEFT(A1042,FIND(" - ",A1042&amp;" - ")-1)),LEFT(A1042,FIND(" - ",A1042&amp;" - ")-1),TRIM(A1042)))</f>
        <v/>
      </c>
      <c r="N1042">
        <f>IF(L1042="","",IF(ISNUMBER(INDEX(A1042:H1042,$P$1)),INDEX(A1042:H1042,$P$1),IFERROR(_xlfn.NUMBERVALUE(INDEX(A1042:H1042,$P$1),".",","),0)))</f>
        <v/>
      </c>
    </row>
    <row r="1043">
      <c r="L1043">
        <f>IF(A1043="","",IF(ISNUMBER(--LEFT(A1043,FIND(" - ",A1043&amp;" - ")-1)),LEFT(A1043,FIND(" - ",A1043&amp;" - ")-1),TRIM(A1043)))</f>
        <v/>
      </c>
      <c r="N1043">
        <f>IF(L1043="","",IF(ISNUMBER(INDEX(A1043:H1043,$P$1)),INDEX(A1043:H1043,$P$1),IFERROR(_xlfn.NUMBERVALUE(INDEX(A1043:H1043,$P$1),".",","),0)))</f>
        <v/>
      </c>
    </row>
    <row r="1044">
      <c r="L1044">
        <f>IF(A1044="","",IF(ISNUMBER(--LEFT(A1044,FIND(" - ",A1044&amp;" - ")-1)),LEFT(A1044,FIND(" - ",A1044&amp;" - ")-1),TRIM(A1044)))</f>
        <v/>
      </c>
      <c r="N1044">
        <f>IF(L1044="","",IF(ISNUMBER(INDEX(A1044:H1044,$P$1)),INDEX(A1044:H1044,$P$1),IFERROR(_xlfn.NUMBERVALUE(INDEX(A1044:H1044,$P$1),".",","),0)))</f>
        <v/>
      </c>
    </row>
    <row r="1045">
      <c r="L1045">
        <f>IF(A1045="","",IF(ISNUMBER(--LEFT(A1045,FIND(" - ",A1045&amp;" - ")-1)),LEFT(A1045,FIND(" - ",A1045&amp;" - ")-1),TRIM(A1045)))</f>
        <v/>
      </c>
      <c r="N1045">
        <f>IF(L1045="","",IF(ISNUMBER(INDEX(A1045:H1045,$P$1)),INDEX(A1045:H1045,$P$1),IFERROR(_xlfn.NUMBERVALUE(INDEX(A1045:H1045,$P$1),".",","),0)))</f>
        <v/>
      </c>
    </row>
    <row r="1046">
      <c r="L1046">
        <f>IF(A1046="","",IF(ISNUMBER(--LEFT(A1046,FIND(" - ",A1046&amp;" - ")-1)),LEFT(A1046,FIND(" - ",A1046&amp;" - ")-1),TRIM(A1046)))</f>
        <v/>
      </c>
      <c r="N1046">
        <f>IF(L1046="","",IF(ISNUMBER(INDEX(A1046:H1046,$P$1)),INDEX(A1046:H1046,$P$1),IFERROR(_xlfn.NUMBERVALUE(INDEX(A1046:H1046,$P$1),".",","),0)))</f>
        <v/>
      </c>
    </row>
    <row r="1047">
      <c r="L1047">
        <f>IF(A1047="","",IF(ISNUMBER(--LEFT(A1047,FIND(" - ",A1047&amp;" - ")-1)),LEFT(A1047,FIND(" - ",A1047&amp;" - ")-1),TRIM(A1047)))</f>
        <v/>
      </c>
      <c r="N1047">
        <f>IF(L1047="","",IF(ISNUMBER(INDEX(A1047:H1047,$P$1)),INDEX(A1047:H1047,$P$1),IFERROR(_xlfn.NUMBERVALUE(INDEX(A1047:H1047,$P$1),".",","),0)))</f>
        <v/>
      </c>
    </row>
    <row r="1048">
      <c r="L1048">
        <f>IF(A1048="","",IF(ISNUMBER(--LEFT(A1048,FIND(" - ",A1048&amp;" - ")-1)),LEFT(A1048,FIND(" - ",A1048&amp;" - ")-1),TRIM(A1048)))</f>
        <v/>
      </c>
      <c r="N1048">
        <f>IF(L1048="","",IF(ISNUMBER(INDEX(A1048:H1048,$P$1)),INDEX(A1048:H1048,$P$1),IFERROR(_xlfn.NUMBERVALUE(INDEX(A1048:H1048,$P$1),".",","),0)))</f>
        <v/>
      </c>
    </row>
    <row r="1049">
      <c r="L1049">
        <f>IF(A1049="","",IF(ISNUMBER(--LEFT(A1049,FIND(" - ",A1049&amp;" - ")-1)),LEFT(A1049,FIND(" - ",A1049&amp;" - ")-1),TRIM(A1049)))</f>
        <v/>
      </c>
      <c r="N1049">
        <f>IF(L1049="","",IF(ISNUMBER(INDEX(A1049:H1049,$P$1)),INDEX(A1049:H1049,$P$1),IFERROR(_xlfn.NUMBERVALUE(INDEX(A1049:H1049,$P$1),".",","),0)))</f>
        <v/>
      </c>
    </row>
    <row r="1050">
      <c r="L1050">
        <f>IF(A1050="","",IF(ISNUMBER(--LEFT(A1050,FIND(" - ",A1050&amp;" - ")-1)),LEFT(A1050,FIND(" - ",A1050&amp;" - ")-1),TRIM(A1050)))</f>
        <v/>
      </c>
      <c r="N1050">
        <f>IF(L1050="","",IF(ISNUMBER(INDEX(A1050:H1050,$P$1)),INDEX(A1050:H1050,$P$1),IFERROR(_xlfn.NUMBERVALUE(INDEX(A1050:H1050,$P$1),".",","),0)))</f>
        <v/>
      </c>
    </row>
    <row r="1051">
      <c r="L1051">
        <f>IF(A1051="","",IF(ISNUMBER(--LEFT(A1051,FIND(" - ",A1051&amp;" - ")-1)),LEFT(A1051,FIND(" - ",A1051&amp;" - ")-1),TRIM(A1051)))</f>
        <v/>
      </c>
      <c r="N1051">
        <f>IF(L1051="","",IF(ISNUMBER(INDEX(A1051:H1051,$P$1)),INDEX(A1051:H1051,$P$1),IFERROR(_xlfn.NUMBERVALUE(INDEX(A1051:H1051,$P$1),".",","),0)))</f>
        <v/>
      </c>
    </row>
    <row r="1052">
      <c r="L1052">
        <f>IF(A1052="","",IF(ISNUMBER(--LEFT(A1052,FIND(" - ",A1052&amp;" - ")-1)),LEFT(A1052,FIND(" - ",A1052&amp;" - ")-1),TRIM(A1052)))</f>
        <v/>
      </c>
      <c r="N1052">
        <f>IF(L1052="","",IF(ISNUMBER(INDEX(A1052:H1052,$P$1)),INDEX(A1052:H1052,$P$1),IFERROR(_xlfn.NUMBERVALUE(INDEX(A1052:H1052,$P$1),".",","),0)))</f>
        <v/>
      </c>
    </row>
    <row r="1053">
      <c r="L1053">
        <f>IF(A1053="","",IF(ISNUMBER(--LEFT(A1053,FIND(" - ",A1053&amp;" - ")-1)),LEFT(A1053,FIND(" - ",A1053&amp;" - ")-1),TRIM(A1053)))</f>
        <v/>
      </c>
      <c r="N1053">
        <f>IF(L1053="","",IF(ISNUMBER(INDEX(A1053:H1053,$P$1)),INDEX(A1053:H1053,$P$1),IFERROR(_xlfn.NUMBERVALUE(INDEX(A1053:H1053,$P$1),".",","),0)))</f>
        <v/>
      </c>
    </row>
    <row r="1054">
      <c r="L1054">
        <f>IF(A1054="","",IF(ISNUMBER(--LEFT(A1054,FIND(" - ",A1054&amp;" - ")-1)),LEFT(A1054,FIND(" - ",A1054&amp;" - ")-1),TRIM(A1054)))</f>
        <v/>
      </c>
      <c r="N1054">
        <f>IF(L1054="","",IF(ISNUMBER(INDEX(A1054:H1054,$P$1)),INDEX(A1054:H1054,$P$1),IFERROR(_xlfn.NUMBERVALUE(INDEX(A1054:H1054,$P$1),".",","),0)))</f>
        <v/>
      </c>
    </row>
    <row r="1055">
      <c r="L1055">
        <f>IF(A1055="","",IF(ISNUMBER(--LEFT(A1055,FIND(" - ",A1055&amp;" - ")-1)),LEFT(A1055,FIND(" - ",A1055&amp;" - ")-1),TRIM(A1055)))</f>
        <v/>
      </c>
      <c r="N1055">
        <f>IF(L1055="","",IF(ISNUMBER(INDEX(A1055:H1055,$P$1)),INDEX(A1055:H1055,$P$1),IFERROR(_xlfn.NUMBERVALUE(INDEX(A1055:H1055,$P$1),".",","),0)))</f>
        <v/>
      </c>
    </row>
    <row r="1056">
      <c r="L1056">
        <f>IF(A1056="","",IF(ISNUMBER(--LEFT(A1056,FIND(" - ",A1056&amp;" - ")-1)),LEFT(A1056,FIND(" - ",A1056&amp;" - ")-1),TRIM(A1056)))</f>
        <v/>
      </c>
      <c r="N1056">
        <f>IF(L1056="","",IF(ISNUMBER(INDEX(A1056:H1056,$P$1)),INDEX(A1056:H1056,$P$1),IFERROR(_xlfn.NUMBERVALUE(INDEX(A1056:H1056,$P$1),".",","),0)))</f>
        <v/>
      </c>
    </row>
    <row r="1057">
      <c r="L1057">
        <f>IF(A1057="","",IF(ISNUMBER(--LEFT(A1057,FIND(" - ",A1057&amp;" - ")-1)),LEFT(A1057,FIND(" - ",A1057&amp;" - ")-1),TRIM(A1057)))</f>
        <v/>
      </c>
      <c r="N1057">
        <f>IF(L1057="","",IF(ISNUMBER(INDEX(A1057:H1057,$P$1)),INDEX(A1057:H1057,$P$1),IFERROR(_xlfn.NUMBERVALUE(INDEX(A1057:H1057,$P$1),".",","),0)))</f>
        <v/>
      </c>
    </row>
    <row r="1058">
      <c r="L1058">
        <f>IF(A1058="","",IF(ISNUMBER(--LEFT(A1058,FIND(" - ",A1058&amp;" - ")-1)),LEFT(A1058,FIND(" - ",A1058&amp;" - ")-1),TRIM(A1058)))</f>
        <v/>
      </c>
      <c r="N1058">
        <f>IF(L1058="","",IF(ISNUMBER(INDEX(A1058:H1058,$P$1)),INDEX(A1058:H1058,$P$1),IFERROR(_xlfn.NUMBERVALUE(INDEX(A1058:H1058,$P$1),".",","),0)))</f>
        <v/>
      </c>
    </row>
    <row r="1059">
      <c r="L1059">
        <f>IF(A1059="","",IF(ISNUMBER(--LEFT(A1059,FIND(" - ",A1059&amp;" - ")-1)),LEFT(A1059,FIND(" - ",A1059&amp;" - ")-1),TRIM(A1059)))</f>
        <v/>
      </c>
      <c r="N1059">
        <f>IF(L1059="","",IF(ISNUMBER(INDEX(A1059:H1059,$P$1)),INDEX(A1059:H1059,$P$1),IFERROR(_xlfn.NUMBERVALUE(INDEX(A1059:H1059,$P$1),".",","),0)))</f>
        <v/>
      </c>
    </row>
    <row r="1060">
      <c r="L1060">
        <f>IF(A1060="","",IF(ISNUMBER(--LEFT(A1060,FIND(" - ",A1060&amp;" - ")-1)),LEFT(A1060,FIND(" - ",A1060&amp;" - ")-1),TRIM(A1060)))</f>
        <v/>
      </c>
      <c r="N1060">
        <f>IF(L1060="","",IF(ISNUMBER(INDEX(A1060:H1060,$P$1)),INDEX(A1060:H1060,$P$1),IFERROR(_xlfn.NUMBERVALUE(INDEX(A1060:H1060,$P$1),".",","),0)))</f>
        <v/>
      </c>
    </row>
    <row r="1061">
      <c r="L1061">
        <f>IF(A1061="","",IF(ISNUMBER(--LEFT(A1061,FIND(" - ",A1061&amp;" - ")-1)),LEFT(A1061,FIND(" - ",A1061&amp;" - ")-1),TRIM(A1061)))</f>
        <v/>
      </c>
      <c r="N1061">
        <f>IF(L1061="","",IF(ISNUMBER(INDEX(A1061:H1061,$P$1)),INDEX(A1061:H1061,$P$1),IFERROR(_xlfn.NUMBERVALUE(INDEX(A1061:H1061,$P$1),".",","),0)))</f>
        <v/>
      </c>
    </row>
    <row r="1062">
      <c r="L1062">
        <f>IF(A1062="","",IF(ISNUMBER(--LEFT(A1062,FIND(" - ",A1062&amp;" - ")-1)),LEFT(A1062,FIND(" - ",A1062&amp;" - ")-1),TRIM(A1062)))</f>
        <v/>
      </c>
      <c r="N1062">
        <f>IF(L1062="","",IF(ISNUMBER(INDEX(A1062:H1062,$P$1)),INDEX(A1062:H1062,$P$1),IFERROR(_xlfn.NUMBERVALUE(INDEX(A1062:H1062,$P$1),".",","),0)))</f>
        <v/>
      </c>
    </row>
    <row r="1063">
      <c r="L1063">
        <f>IF(A1063="","",IF(ISNUMBER(--LEFT(A1063,FIND(" - ",A1063&amp;" - ")-1)),LEFT(A1063,FIND(" - ",A1063&amp;" - ")-1),TRIM(A1063)))</f>
        <v/>
      </c>
      <c r="N1063">
        <f>IF(L1063="","",IF(ISNUMBER(INDEX(A1063:H1063,$P$1)),INDEX(A1063:H1063,$P$1),IFERROR(_xlfn.NUMBERVALUE(INDEX(A1063:H1063,$P$1),".",","),0)))</f>
        <v/>
      </c>
    </row>
    <row r="1064">
      <c r="L1064">
        <f>IF(A1064="","",IF(ISNUMBER(--LEFT(A1064,FIND(" - ",A1064&amp;" - ")-1)),LEFT(A1064,FIND(" - ",A1064&amp;" - ")-1),TRIM(A1064)))</f>
        <v/>
      </c>
      <c r="N1064">
        <f>IF(L1064="","",IF(ISNUMBER(INDEX(A1064:H1064,$P$1)),INDEX(A1064:H1064,$P$1),IFERROR(_xlfn.NUMBERVALUE(INDEX(A1064:H1064,$P$1),".",","),0)))</f>
        <v/>
      </c>
    </row>
    <row r="1065">
      <c r="L1065">
        <f>IF(A1065="","",IF(ISNUMBER(--LEFT(A1065,FIND(" - ",A1065&amp;" - ")-1)),LEFT(A1065,FIND(" - ",A1065&amp;" - ")-1),TRIM(A1065)))</f>
        <v/>
      </c>
      <c r="N1065">
        <f>IF(L1065="","",IF(ISNUMBER(INDEX(A1065:H1065,$P$1)),INDEX(A1065:H1065,$P$1),IFERROR(_xlfn.NUMBERVALUE(INDEX(A1065:H1065,$P$1),".",","),0)))</f>
        <v/>
      </c>
    </row>
    <row r="1066">
      <c r="L1066">
        <f>IF(A1066="","",IF(ISNUMBER(--LEFT(A1066,FIND(" - ",A1066&amp;" - ")-1)),LEFT(A1066,FIND(" - ",A1066&amp;" - ")-1),TRIM(A1066)))</f>
        <v/>
      </c>
      <c r="N1066">
        <f>IF(L1066="","",IF(ISNUMBER(INDEX(A1066:H1066,$P$1)),INDEX(A1066:H1066,$P$1),IFERROR(_xlfn.NUMBERVALUE(INDEX(A1066:H1066,$P$1),".",","),0)))</f>
        <v/>
      </c>
    </row>
    <row r="1067">
      <c r="L1067">
        <f>IF(A1067="","",IF(ISNUMBER(--LEFT(A1067,FIND(" - ",A1067&amp;" - ")-1)),LEFT(A1067,FIND(" - ",A1067&amp;" - ")-1),TRIM(A1067)))</f>
        <v/>
      </c>
      <c r="N1067">
        <f>IF(L1067="","",IF(ISNUMBER(INDEX(A1067:H1067,$P$1)),INDEX(A1067:H1067,$P$1),IFERROR(_xlfn.NUMBERVALUE(INDEX(A1067:H1067,$P$1),".",","),0)))</f>
        <v/>
      </c>
    </row>
    <row r="1068">
      <c r="L1068">
        <f>IF(A1068="","",IF(ISNUMBER(--LEFT(A1068,FIND(" - ",A1068&amp;" - ")-1)),LEFT(A1068,FIND(" - ",A1068&amp;" - ")-1),TRIM(A1068)))</f>
        <v/>
      </c>
      <c r="N1068">
        <f>IF(L1068="","",IF(ISNUMBER(INDEX(A1068:H1068,$P$1)),INDEX(A1068:H1068,$P$1),IFERROR(_xlfn.NUMBERVALUE(INDEX(A1068:H1068,$P$1),".",","),0)))</f>
        <v/>
      </c>
    </row>
    <row r="1069">
      <c r="L1069">
        <f>IF(A1069="","",IF(ISNUMBER(--LEFT(A1069,FIND(" - ",A1069&amp;" - ")-1)),LEFT(A1069,FIND(" - ",A1069&amp;" - ")-1),TRIM(A1069)))</f>
        <v/>
      </c>
      <c r="N1069">
        <f>IF(L1069="","",IF(ISNUMBER(INDEX(A1069:H1069,$P$1)),INDEX(A1069:H1069,$P$1),IFERROR(_xlfn.NUMBERVALUE(INDEX(A1069:H1069,$P$1),".",","),0)))</f>
        <v/>
      </c>
    </row>
    <row r="1070">
      <c r="L1070">
        <f>IF(A1070="","",IF(ISNUMBER(--LEFT(A1070,FIND(" - ",A1070&amp;" - ")-1)),LEFT(A1070,FIND(" - ",A1070&amp;" - ")-1),TRIM(A1070)))</f>
        <v/>
      </c>
      <c r="N1070">
        <f>IF(L1070="","",IF(ISNUMBER(INDEX(A1070:H1070,$P$1)),INDEX(A1070:H1070,$P$1),IFERROR(_xlfn.NUMBERVALUE(INDEX(A1070:H1070,$P$1),".",","),0)))</f>
        <v/>
      </c>
    </row>
    <row r="1071">
      <c r="L1071">
        <f>IF(A1071="","",IF(ISNUMBER(--LEFT(A1071,FIND(" - ",A1071&amp;" - ")-1)),LEFT(A1071,FIND(" - ",A1071&amp;" - ")-1),TRIM(A1071)))</f>
        <v/>
      </c>
      <c r="N1071">
        <f>IF(L1071="","",IF(ISNUMBER(INDEX(A1071:H1071,$P$1)),INDEX(A1071:H1071,$P$1),IFERROR(_xlfn.NUMBERVALUE(INDEX(A1071:H1071,$P$1),".",","),0)))</f>
        <v/>
      </c>
    </row>
    <row r="1072">
      <c r="L1072">
        <f>IF(A1072="","",IF(ISNUMBER(--LEFT(A1072,FIND(" - ",A1072&amp;" - ")-1)),LEFT(A1072,FIND(" - ",A1072&amp;" - ")-1),TRIM(A1072)))</f>
        <v/>
      </c>
      <c r="N1072">
        <f>IF(L1072="","",IF(ISNUMBER(INDEX(A1072:H1072,$P$1)),INDEX(A1072:H1072,$P$1),IFERROR(_xlfn.NUMBERVALUE(INDEX(A1072:H1072,$P$1),".",","),0)))</f>
        <v/>
      </c>
    </row>
    <row r="1073">
      <c r="L1073">
        <f>IF(A1073="","",IF(ISNUMBER(--LEFT(A1073,FIND(" - ",A1073&amp;" - ")-1)),LEFT(A1073,FIND(" - ",A1073&amp;" - ")-1),TRIM(A1073)))</f>
        <v/>
      </c>
      <c r="N1073">
        <f>IF(L1073="","",IF(ISNUMBER(INDEX(A1073:H1073,$P$1)),INDEX(A1073:H1073,$P$1),IFERROR(_xlfn.NUMBERVALUE(INDEX(A1073:H1073,$P$1),".",","),0)))</f>
        <v/>
      </c>
    </row>
    <row r="1074">
      <c r="L1074">
        <f>IF(A1074="","",IF(ISNUMBER(--LEFT(A1074,FIND(" - ",A1074&amp;" - ")-1)),LEFT(A1074,FIND(" - ",A1074&amp;" - ")-1),TRIM(A1074)))</f>
        <v/>
      </c>
      <c r="N1074">
        <f>IF(L1074="","",IF(ISNUMBER(INDEX(A1074:H1074,$P$1)),INDEX(A1074:H1074,$P$1),IFERROR(_xlfn.NUMBERVALUE(INDEX(A1074:H1074,$P$1),".",","),0)))</f>
        <v/>
      </c>
    </row>
    <row r="1075">
      <c r="L1075">
        <f>IF(A1075="","",IF(ISNUMBER(--LEFT(A1075,FIND(" - ",A1075&amp;" - ")-1)),LEFT(A1075,FIND(" - ",A1075&amp;" - ")-1),TRIM(A1075)))</f>
        <v/>
      </c>
      <c r="N1075">
        <f>IF(L1075="","",IF(ISNUMBER(INDEX(A1075:H1075,$P$1)),INDEX(A1075:H1075,$P$1),IFERROR(_xlfn.NUMBERVALUE(INDEX(A1075:H1075,$P$1),".",","),0)))</f>
        <v/>
      </c>
    </row>
    <row r="1076">
      <c r="L1076">
        <f>IF(A1076="","",IF(ISNUMBER(--LEFT(A1076,FIND(" - ",A1076&amp;" - ")-1)),LEFT(A1076,FIND(" - ",A1076&amp;" - ")-1),TRIM(A1076)))</f>
        <v/>
      </c>
      <c r="N1076">
        <f>IF(L1076="","",IF(ISNUMBER(INDEX(A1076:H1076,$P$1)),INDEX(A1076:H1076,$P$1),IFERROR(_xlfn.NUMBERVALUE(INDEX(A1076:H1076,$P$1),".",","),0)))</f>
        <v/>
      </c>
    </row>
    <row r="1077">
      <c r="L1077">
        <f>IF(A1077="","",IF(ISNUMBER(--LEFT(A1077,FIND(" - ",A1077&amp;" - ")-1)),LEFT(A1077,FIND(" - ",A1077&amp;" - ")-1),TRIM(A1077)))</f>
        <v/>
      </c>
      <c r="N1077">
        <f>IF(L1077="","",IF(ISNUMBER(INDEX(A1077:H1077,$P$1)),INDEX(A1077:H1077,$P$1),IFERROR(_xlfn.NUMBERVALUE(INDEX(A1077:H1077,$P$1),".",","),0)))</f>
        <v/>
      </c>
    </row>
    <row r="1078">
      <c r="L1078">
        <f>IF(A1078="","",IF(ISNUMBER(--LEFT(A1078,FIND(" - ",A1078&amp;" - ")-1)),LEFT(A1078,FIND(" - ",A1078&amp;" - ")-1),TRIM(A1078)))</f>
        <v/>
      </c>
      <c r="N1078">
        <f>IF(L1078="","",IF(ISNUMBER(INDEX(A1078:H1078,$P$1)),INDEX(A1078:H1078,$P$1),IFERROR(_xlfn.NUMBERVALUE(INDEX(A1078:H1078,$P$1),".",","),0)))</f>
        <v/>
      </c>
    </row>
    <row r="1079">
      <c r="L1079">
        <f>IF(A1079="","",IF(ISNUMBER(--LEFT(A1079,FIND(" - ",A1079&amp;" - ")-1)),LEFT(A1079,FIND(" - ",A1079&amp;" - ")-1),TRIM(A1079)))</f>
        <v/>
      </c>
      <c r="N1079">
        <f>IF(L1079="","",IF(ISNUMBER(INDEX(A1079:H1079,$P$1)),INDEX(A1079:H1079,$P$1),IFERROR(_xlfn.NUMBERVALUE(INDEX(A1079:H1079,$P$1),".",","),0)))</f>
        <v/>
      </c>
    </row>
    <row r="1080">
      <c r="L1080">
        <f>IF(A1080="","",IF(ISNUMBER(--LEFT(A1080,FIND(" - ",A1080&amp;" - ")-1)),LEFT(A1080,FIND(" - ",A1080&amp;" - ")-1),TRIM(A1080)))</f>
        <v/>
      </c>
      <c r="N1080">
        <f>IF(L1080="","",IF(ISNUMBER(INDEX(A1080:H1080,$P$1)),INDEX(A1080:H1080,$P$1),IFERROR(_xlfn.NUMBERVALUE(INDEX(A1080:H1080,$P$1),".",","),0)))</f>
        <v/>
      </c>
    </row>
    <row r="1081">
      <c r="L1081">
        <f>IF(A1081="","",IF(ISNUMBER(--LEFT(A1081,FIND(" - ",A1081&amp;" - ")-1)),LEFT(A1081,FIND(" - ",A1081&amp;" - ")-1),TRIM(A1081)))</f>
        <v/>
      </c>
      <c r="N1081">
        <f>IF(L1081="","",IF(ISNUMBER(INDEX(A1081:H1081,$P$1)),INDEX(A1081:H1081,$P$1),IFERROR(_xlfn.NUMBERVALUE(INDEX(A1081:H1081,$P$1),".",","),0)))</f>
        <v/>
      </c>
    </row>
    <row r="1082">
      <c r="L1082">
        <f>IF(A1082="","",IF(ISNUMBER(--LEFT(A1082,FIND(" - ",A1082&amp;" - ")-1)),LEFT(A1082,FIND(" - ",A1082&amp;" - ")-1),TRIM(A1082)))</f>
        <v/>
      </c>
      <c r="N1082">
        <f>IF(L1082="","",IF(ISNUMBER(INDEX(A1082:H1082,$P$1)),INDEX(A1082:H1082,$P$1),IFERROR(_xlfn.NUMBERVALUE(INDEX(A1082:H1082,$P$1),".",","),0)))</f>
        <v/>
      </c>
    </row>
    <row r="1083">
      <c r="L1083">
        <f>IF(A1083="","",IF(ISNUMBER(--LEFT(A1083,FIND(" - ",A1083&amp;" - ")-1)),LEFT(A1083,FIND(" - ",A1083&amp;" - ")-1),TRIM(A1083)))</f>
        <v/>
      </c>
      <c r="N1083">
        <f>IF(L1083="","",IF(ISNUMBER(INDEX(A1083:H1083,$P$1)),INDEX(A1083:H1083,$P$1),IFERROR(_xlfn.NUMBERVALUE(INDEX(A1083:H1083,$P$1),".",","),0)))</f>
        <v/>
      </c>
    </row>
    <row r="1084">
      <c r="L1084">
        <f>IF(A1084="","",IF(ISNUMBER(--LEFT(A1084,FIND(" - ",A1084&amp;" - ")-1)),LEFT(A1084,FIND(" - ",A1084&amp;" - ")-1),TRIM(A1084)))</f>
        <v/>
      </c>
      <c r="N1084">
        <f>IF(L1084="","",IF(ISNUMBER(INDEX(A1084:H1084,$P$1)),INDEX(A1084:H1084,$P$1),IFERROR(_xlfn.NUMBERVALUE(INDEX(A1084:H1084,$P$1),".",","),0)))</f>
        <v/>
      </c>
    </row>
    <row r="1085">
      <c r="L1085">
        <f>IF(A1085="","",IF(ISNUMBER(--LEFT(A1085,FIND(" - ",A1085&amp;" - ")-1)),LEFT(A1085,FIND(" - ",A1085&amp;" - ")-1),TRIM(A1085)))</f>
        <v/>
      </c>
      <c r="N1085">
        <f>IF(L1085="","",IF(ISNUMBER(INDEX(A1085:H1085,$P$1)),INDEX(A1085:H1085,$P$1),IFERROR(_xlfn.NUMBERVALUE(INDEX(A1085:H1085,$P$1),".",","),0)))</f>
        <v/>
      </c>
    </row>
    <row r="1086">
      <c r="L1086">
        <f>IF(A1086="","",IF(ISNUMBER(--LEFT(A1086,FIND(" - ",A1086&amp;" - ")-1)),LEFT(A1086,FIND(" - ",A1086&amp;" - ")-1),TRIM(A1086)))</f>
        <v/>
      </c>
      <c r="N1086">
        <f>IF(L1086="","",IF(ISNUMBER(INDEX(A1086:H1086,$P$1)),INDEX(A1086:H1086,$P$1),IFERROR(_xlfn.NUMBERVALUE(INDEX(A1086:H1086,$P$1),".",","),0)))</f>
        <v/>
      </c>
    </row>
    <row r="1087">
      <c r="L1087">
        <f>IF(A1087="","",IF(ISNUMBER(--LEFT(A1087,FIND(" - ",A1087&amp;" - ")-1)),LEFT(A1087,FIND(" - ",A1087&amp;" - ")-1),TRIM(A1087)))</f>
        <v/>
      </c>
      <c r="N1087">
        <f>IF(L1087="","",IF(ISNUMBER(INDEX(A1087:H1087,$P$1)),INDEX(A1087:H1087,$P$1),IFERROR(_xlfn.NUMBERVALUE(INDEX(A1087:H1087,$P$1),".",","),0)))</f>
        <v/>
      </c>
    </row>
    <row r="1088">
      <c r="L1088">
        <f>IF(A1088="","",IF(ISNUMBER(--LEFT(A1088,FIND(" - ",A1088&amp;" - ")-1)),LEFT(A1088,FIND(" - ",A1088&amp;" - ")-1),TRIM(A1088)))</f>
        <v/>
      </c>
      <c r="N1088">
        <f>IF(L1088="","",IF(ISNUMBER(INDEX(A1088:H1088,$P$1)),INDEX(A1088:H1088,$P$1),IFERROR(_xlfn.NUMBERVALUE(INDEX(A1088:H1088,$P$1),".",","),0)))</f>
        <v/>
      </c>
    </row>
    <row r="1089">
      <c r="L1089">
        <f>IF(A1089="","",IF(ISNUMBER(--LEFT(A1089,FIND(" - ",A1089&amp;" - ")-1)),LEFT(A1089,FIND(" - ",A1089&amp;" - ")-1),TRIM(A1089)))</f>
        <v/>
      </c>
      <c r="N1089">
        <f>IF(L1089="","",IF(ISNUMBER(INDEX(A1089:H1089,$P$1)),INDEX(A1089:H1089,$P$1),IFERROR(_xlfn.NUMBERVALUE(INDEX(A1089:H1089,$P$1),".",","),0)))</f>
        <v/>
      </c>
    </row>
    <row r="1090">
      <c r="L1090">
        <f>IF(A1090="","",IF(ISNUMBER(--LEFT(A1090,FIND(" - ",A1090&amp;" - ")-1)),LEFT(A1090,FIND(" - ",A1090&amp;" - ")-1),TRIM(A1090)))</f>
        <v/>
      </c>
      <c r="N1090">
        <f>IF(L1090="","",IF(ISNUMBER(INDEX(A1090:H1090,$P$1)),INDEX(A1090:H1090,$P$1),IFERROR(_xlfn.NUMBERVALUE(INDEX(A1090:H1090,$P$1),".",","),0)))</f>
        <v/>
      </c>
    </row>
    <row r="1091">
      <c r="L1091">
        <f>IF(A1091="","",IF(ISNUMBER(--LEFT(A1091,FIND(" - ",A1091&amp;" - ")-1)),LEFT(A1091,FIND(" - ",A1091&amp;" - ")-1),TRIM(A1091)))</f>
        <v/>
      </c>
      <c r="N1091">
        <f>IF(L1091="","",IF(ISNUMBER(INDEX(A1091:H1091,$P$1)),INDEX(A1091:H1091,$P$1),IFERROR(_xlfn.NUMBERVALUE(INDEX(A1091:H1091,$P$1),".",","),0)))</f>
        <v/>
      </c>
    </row>
    <row r="1092">
      <c r="L1092">
        <f>IF(A1092="","",IF(ISNUMBER(--LEFT(A1092,FIND(" - ",A1092&amp;" - ")-1)),LEFT(A1092,FIND(" - ",A1092&amp;" - ")-1),TRIM(A1092)))</f>
        <v/>
      </c>
      <c r="N1092">
        <f>IF(L1092="","",IF(ISNUMBER(INDEX(A1092:H1092,$P$1)),INDEX(A1092:H1092,$P$1),IFERROR(_xlfn.NUMBERVALUE(INDEX(A1092:H1092,$P$1),".",","),0)))</f>
        <v/>
      </c>
    </row>
    <row r="1093">
      <c r="L1093">
        <f>IF(A1093="","",IF(ISNUMBER(--LEFT(A1093,FIND(" - ",A1093&amp;" - ")-1)),LEFT(A1093,FIND(" - ",A1093&amp;" - ")-1),TRIM(A1093)))</f>
        <v/>
      </c>
      <c r="N1093">
        <f>IF(L1093="","",IF(ISNUMBER(INDEX(A1093:H1093,$P$1)),INDEX(A1093:H1093,$P$1),IFERROR(_xlfn.NUMBERVALUE(INDEX(A1093:H1093,$P$1),".",","),0)))</f>
        <v/>
      </c>
    </row>
    <row r="1094">
      <c r="L1094">
        <f>IF(A1094="","",IF(ISNUMBER(--LEFT(A1094,FIND(" - ",A1094&amp;" - ")-1)),LEFT(A1094,FIND(" - ",A1094&amp;" - ")-1),TRIM(A1094)))</f>
        <v/>
      </c>
      <c r="N1094">
        <f>IF(L1094="","",IF(ISNUMBER(INDEX(A1094:H1094,$P$1)),INDEX(A1094:H1094,$P$1),IFERROR(_xlfn.NUMBERVALUE(INDEX(A1094:H1094,$P$1),".",","),0)))</f>
        <v/>
      </c>
    </row>
    <row r="1095">
      <c r="L1095">
        <f>IF(A1095="","",IF(ISNUMBER(--LEFT(A1095,FIND(" - ",A1095&amp;" - ")-1)),LEFT(A1095,FIND(" - ",A1095&amp;" - ")-1),TRIM(A1095)))</f>
        <v/>
      </c>
      <c r="N1095">
        <f>IF(L1095="","",IF(ISNUMBER(INDEX(A1095:H1095,$P$1)),INDEX(A1095:H1095,$P$1),IFERROR(_xlfn.NUMBERVALUE(INDEX(A1095:H1095,$P$1),".",","),0)))</f>
        <v/>
      </c>
    </row>
    <row r="1096">
      <c r="L1096">
        <f>IF(A1096="","",IF(ISNUMBER(--LEFT(A1096,FIND(" - ",A1096&amp;" - ")-1)),LEFT(A1096,FIND(" - ",A1096&amp;" - ")-1),TRIM(A1096)))</f>
        <v/>
      </c>
      <c r="N1096">
        <f>IF(L1096="","",IF(ISNUMBER(INDEX(A1096:H1096,$P$1)),INDEX(A1096:H1096,$P$1),IFERROR(_xlfn.NUMBERVALUE(INDEX(A1096:H1096,$P$1),".",","),0)))</f>
        <v/>
      </c>
    </row>
    <row r="1097">
      <c r="L1097">
        <f>IF(A1097="","",IF(ISNUMBER(--LEFT(A1097,FIND(" - ",A1097&amp;" - ")-1)),LEFT(A1097,FIND(" - ",A1097&amp;" - ")-1),TRIM(A1097)))</f>
        <v/>
      </c>
      <c r="N1097">
        <f>IF(L1097="","",IF(ISNUMBER(INDEX(A1097:H1097,$P$1)),INDEX(A1097:H1097,$P$1),IFERROR(_xlfn.NUMBERVALUE(INDEX(A1097:H1097,$P$1),".",","),0)))</f>
        <v/>
      </c>
    </row>
    <row r="1098">
      <c r="L1098">
        <f>IF(A1098="","",IF(ISNUMBER(--LEFT(A1098,FIND(" - ",A1098&amp;" - ")-1)),LEFT(A1098,FIND(" - ",A1098&amp;" - ")-1),TRIM(A1098)))</f>
        <v/>
      </c>
      <c r="N1098">
        <f>IF(L1098="","",IF(ISNUMBER(INDEX(A1098:H1098,$P$1)),INDEX(A1098:H1098,$P$1),IFERROR(_xlfn.NUMBERVALUE(INDEX(A1098:H1098,$P$1),".",","),0)))</f>
        <v/>
      </c>
    </row>
    <row r="1099">
      <c r="L1099">
        <f>IF(A1099="","",IF(ISNUMBER(--LEFT(A1099,FIND(" - ",A1099&amp;" - ")-1)),LEFT(A1099,FIND(" - ",A1099&amp;" - ")-1),TRIM(A1099)))</f>
        <v/>
      </c>
      <c r="N1099">
        <f>IF(L1099="","",IF(ISNUMBER(INDEX(A1099:H1099,$P$1)),INDEX(A1099:H1099,$P$1),IFERROR(_xlfn.NUMBERVALUE(INDEX(A1099:H1099,$P$1),".",","),0)))</f>
        <v/>
      </c>
    </row>
    <row r="1100">
      <c r="L1100">
        <f>IF(A1100="","",IF(ISNUMBER(--LEFT(A1100,FIND(" - ",A1100&amp;" - ")-1)),LEFT(A1100,FIND(" - ",A1100&amp;" - ")-1),TRIM(A1100)))</f>
        <v/>
      </c>
      <c r="N1100">
        <f>IF(L1100="","",IF(ISNUMBER(INDEX(A1100:H1100,$P$1)),INDEX(A1100:H1100,$P$1),IFERROR(_xlfn.NUMBERVALUE(INDEX(A1100:H1100,$P$1),".",","),0)))</f>
        <v/>
      </c>
    </row>
    <row r="1101">
      <c r="L1101">
        <f>IF(A1101="","",IF(ISNUMBER(--LEFT(A1101,FIND(" - ",A1101&amp;" - ")-1)),LEFT(A1101,FIND(" - ",A1101&amp;" - ")-1),TRIM(A1101)))</f>
        <v/>
      </c>
      <c r="N1101">
        <f>IF(L1101="","",IF(ISNUMBER(INDEX(A1101:H1101,$P$1)),INDEX(A1101:H1101,$P$1),IFERROR(_xlfn.NUMBERVALUE(INDEX(A1101:H1101,$P$1),".",","),0)))</f>
        <v/>
      </c>
    </row>
    <row r="1102">
      <c r="L1102">
        <f>IF(A1102="","",IF(ISNUMBER(--LEFT(A1102,FIND(" - ",A1102&amp;" - ")-1)),LEFT(A1102,FIND(" - ",A1102&amp;" - ")-1),TRIM(A1102)))</f>
        <v/>
      </c>
      <c r="N1102">
        <f>IF(L1102="","",IF(ISNUMBER(INDEX(A1102:H1102,$P$1)),INDEX(A1102:H1102,$P$1),IFERROR(_xlfn.NUMBERVALUE(INDEX(A1102:H1102,$P$1),".",","),0)))</f>
        <v/>
      </c>
    </row>
    <row r="1103">
      <c r="L1103">
        <f>IF(A1103="","",IF(ISNUMBER(--LEFT(A1103,FIND(" - ",A1103&amp;" - ")-1)),LEFT(A1103,FIND(" - ",A1103&amp;" - ")-1),TRIM(A1103)))</f>
        <v/>
      </c>
      <c r="N1103">
        <f>IF(L1103="","",IF(ISNUMBER(INDEX(A1103:H1103,$P$1)),INDEX(A1103:H1103,$P$1),IFERROR(_xlfn.NUMBERVALUE(INDEX(A1103:H1103,$P$1),".",","),0)))</f>
        <v/>
      </c>
    </row>
    <row r="1104">
      <c r="L1104">
        <f>IF(A1104="","",IF(ISNUMBER(--LEFT(A1104,FIND(" - ",A1104&amp;" - ")-1)),LEFT(A1104,FIND(" - ",A1104&amp;" - ")-1),TRIM(A1104)))</f>
        <v/>
      </c>
      <c r="N1104">
        <f>IF(L1104="","",IF(ISNUMBER(INDEX(A1104:H1104,$P$1)),INDEX(A1104:H1104,$P$1),IFERROR(_xlfn.NUMBERVALUE(INDEX(A1104:H1104,$P$1),".",","),0)))</f>
        <v/>
      </c>
    </row>
    <row r="1105">
      <c r="L1105">
        <f>IF(A1105="","",IF(ISNUMBER(--LEFT(A1105,FIND(" - ",A1105&amp;" - ")-1)),LEFT(A1105,FIND(" - ",A1105&amp;" - ")-1),TRIM(A1105)))</f>
        <v/>
      </c>
      <c r="N1105">
        <f>IF(L1105="","",IF(ISNUMBER(INDEX(A1105:H1105,$P$1)),INDEX(A1105:H1105,$P$1),IFERROR(_xlfn.NUMBERVALUE(INDEX(A1105:H1105,$P$1),".",","),0)))</f>
        <v/>
      </c>
    </row>
    <row r="1106">
      <c r="L1106">
        <f>IF(A1106="","",IF(ISNUMBER(--LEFT(A1106,FIND(" - ",A1106&amp;" - ")-1)),LEFT(A1106,FIND(" - ",A1106&amp;" - ")-1),TRIM(A1106)))</f>
        <v/>
      </c>
      <c r="N1106">
        <f>IF(L1106="","",IF(ISNUMBER(INDEX(A1106:H1106,$P$1)),INDEX(A1106:H1106,$P$1),IFERROR(_xlfn.NUMBERVALUE(INDEX(A1106:H1106,$P$1),".",","),0)))</f>
        <v/>
      </c>
    </row>
    <row r="1107">
      <c r="L1107">
        <f>IF(A1107="","",IF(ISNUMBER(--LEFT(A1107,FIND(" - ",A1107&amp;" - ")-1)),LEFT(A1107,FIND(" - ",A1107&amp;" - ")-1),TRIM(A1107)))</f>
        <v/>
      </c>
      <c r="N1107">
        <f>IF(L1107="","",IF(ISNUMBER(INDEX(A1107:H1107,$P$1)),INDEX(A1107:H1107,$P$1),IFERROR(_xlfn.NUMBERVALUE(INDEX(A1107:H1107,$P$1),".",","),0)))</f>
        <v/>
      </c>
    </row>
    <row r="1108">
      <c r="L1108">
        <f>IF(A1108="","",IF(ISNUMBER(--LEFT(A1108,FIND(" - ",A1108&amp;" - ")-1)),LEFT(A1108,FIND(" - ",A1108&amp;" - ")-1),TRIM(A1108)))</f>
        <v/>
      </c>
      <c r="N1108">
        <f>IF(L1108="","",IF(ISNUMBER(INDEX(A1108:H1108,$P$1)),INDEX(A1108:H1108,$P$1),IFERROR(_xlfn.NUMBERVALUE(INDEX(A1108:H1108,$P$1),".",","),0)))</f>
        <v/>
      </c>
    </row>
    <row r="1109">
      <c r="L1109">
        <f>IF(A1109="","",IF(ISNUMBER(--LEFT(A1109,FIND(" - ",A1109&amp;" - ")-1)),LEFT(A1109,FIND(" - ",A1109&amp;" - ")-1),TRIM(A1109)))</f>
        <v/>
      </c>
      <c r="N1109">
        <f>IF(L1109="","",IF(ISNUMBER(INDEX(A1109:H1109,$P$1)),INDEX(A1109:H1109,$P$1),IFERROR(_xlfn.NUMBERVALUE(INDEX(A1109:H1109,$P$1),".",","),0)))</f>
        <v/>
      </c>
    </row>
    <row r="1110">
      <c r="L1110">
        <f>IF(A1110="","",IF(ISNUMBER(--LEFT(A1110,FIND(" - ",A1110&amp;" - ")-1)),LEFT(A1110,FIND(" - ",A1110&amp;" - ")-1),TRIM(A1110)))</f>
        <v/>
      </c>
      <c r="N1110">
        <f>IF(L1110="","",IF(ISNUMBER(INDEX(A1110:H1110,$P$1)),INDEX(A1110:H1110,$P$1),IFERROR(_xlfn.NUMBERVALUE(INDEX(A1110:H1110,$P$1),".",","),0)))</f>
        <v/>
      </c>
    </row>
    <row r="1111">
      <c r="L1111">
        <f>IF(A1111="","",IF(ISNUMBER(--LEFT(A1111,FIND(" - ",A1111&amp;" - ")-1)),LEFT(A1111,FIND(" - ",A1111&amp;" - ")-1),TRIM(A1111)))</f>
        <v/>
      </c>
      <c r="N1111">
        <f>IF(L1111="","",IF(ISNUMBER(INDEX(A1111:H1111,$P$1)),INDEX(A1111:H1111,$P$1),IFERROR(_xlfn.NUMBERVALUE(INDEX(A1111:H1111,$P$1),".",","),0)))</f>
        <v/>
      </c>
    </row>
    <row r="1112">
      <c r="L1112">
        <f>IF(A1112="","",IF(ISNUMBER(--LEFT(A1112,FIND(" - ",A1112&amp;" - ")-1)),LEFT(A1112,FIND(" - ",A1112&amp;" - ")-1),TRIM(A1112)))</f>
        <v/>
      </c>
      <c r="N1112">
        <f>IF(L1112="","",IF(ISNUMBER(INDEX(A1112:H1112,$P$1)),INDEX(A1112:H1112,$P$1),IFERROR(_xlfn.NUMBERVALUE(INDEX(A1112:H1112,$P$1),".",","),0)))</f>
        <v/>
      </c>
    </row>
    <row r="1113">
      <c r="L1113">
        <f>IF(A1113="","",IF(ISNUMBER(--LEFT(A1113,FIND(" - ",A1113&amp;" - ")-1)),LEFT(A1113,FIND(" - ",A1113&amp;" - ")-1),TRIM(A1113)))</f>
        <v/>
      </c>
      <c r="N1113">
        <f>IF(L1113="","",IF(ISNUMBER(INDEX(A1113:H1113,$P$1)),INDEX(A1113:H1113,$P$1),IFERROR(_xlfn.NUMBERVALUE(INDEX(A1113:H1113,$P$1),".",","),0)))</f>
        <v/>
      </c>
    </row>
    <row r="1114">
      <c r="L1114">
        <f>IF(A1114="","",IF(ISNUMBER(--LEFT(A1114,FIND(" - ",A1114&amp;" - ")-1)),LEFT(A1114,FIND(" - ",A1114&amp;" - ")-1),TRIM(A1114)))</f>
        <v/>
      </c>
      <c r="N1114">
        <f>IF(L1114="","",IF(ISNUMBER(INDEX(A1114:H1114,$P$1)),INDEX(A1114:H1114,$P$1),IFERROR(_xlfn.NUMBERVALUE(INDEX(A1114:H1114,$P$1),".",","),0)))</f>
        <v/>
      </c>
    </row>
    <row r="1115">
      <c r="L1115">
        <f>IF(A1115="","",IF(ISNUMBER(--LEFT(A1115,FIND(" - ",A1115&amp;" - ")-1)),LEFT(A1115,FIND(" - ",A1115&amp;" - ")-1),TRIM(A1115)))</f>
        <v/>
      </c>
      <c r="N1115">
        <f>IF(L1115="","",IF(ISNUMBER(INDEX(A1115:H1115,$P$1)),INDEX(A1115:H1115,$P$1),IFERROR(_xlfn.NUMBERVALUE(INDEX(A1115:H1115,$P$1),".",","),0)))</f>
        <v/>
      </c>
    </row>
    <row r="1116">
      <c r="L1116">
        <f>IF(A1116="","",IF(ISNUMBER(--LEFT(A1116,FIND(" - ",A1116&amp;" - ")-1)),LEFT(A1116,FIND(" - ",A1116&amp;" - ")-1),TRIM(A1116)))</f>
        <v/>
      </c>
      <c r="N1116">
        <f>IF(L1116="","",IF(ISNUMBER(INDEX(A1116:H1116,$P$1)),INDEX(A1116:H1116,$P$1),IFERROR(_xlfn.NUMBERVALUE(INDEX(A1116:H1116,$P$1),".",","),0)))</f>
        <v/>
      </c>
    </row>
    <row r="1117">
      <c r="L1117">
        <f>IF(A1117="","",IF(ISNUMBER(--LEFT(A1117,FIND(" - ",A1117&amp;" - ")-1)),LEFT(A1117,FIND(" - ",A1117&amp;" - ")-1),TRIM(A1117)))</f>
        <v/>
      </c>
      <c r="N1117">
        <f>IF(L1117="","",IF(ISNUMBER(INDEX(A1117:H1117,$P$1)),INDEX(A1117:H1117,$P$1),IFERROR(_xlfn.NUMBERVALUE(INDEX(A1117:H1117,$P$1),".",","),0)))</f>
        <v/>
      </c>
    </row>
    <row r="1118">
      <c r="L1118">
        <f>IF(A1118="","",IF(ISNUMBER(--LEFT(A1118,FIND(" - ",A1118&amp;" - ")-1)),LEFT(A1118,FIND(" - ",A1118&amp;" - ")-1),TRIM(A1118)))</f>
        <v/>
      </c>
      <c r="N1118">
        <f>IF(L1118="","",IF(ISNUMBER(INDEX(A1118:H1118,$P$1)),INDEX(A1118:H1118,$P$1),IFERROR(_xlfn.NUMBERVALUE(INDEX(A1118:H1118,$P$1),".",","),0)))</f>
        <v/>
      </c>
    </row>
    <row r="1119">
      <c r="L1119">
        <f>IF(A1119="","",IF(ISNUMBER(--LEFT(A1119,FIND(" - ",A1119&amp;" - ")-1)),LEFT(A1119,FIND(" - ",A1119&amp;" - ")-1),TRIM(A1119)))</f>
        <v/>
      </c>
      <c r="N1119">
        <f>IF(L1119="","",IF(ISNUMBER(INDEX(A1119:H1119,$P$1)),INDEX(A1119:H1119,$P$1),IFERROR(_xlfn.NUMBERVALUE(INDEX(A1119:H1119,$P$1),".",","),0)))</f>
        <v/>
      </c>
    </row>
    <row r="1120">
      <c r="L1120">
        <f>IF(A1120="","",IF(ISNUMBER(--LEFT(A1120,FIND(" - ",A1120&amp;" - ")-1)),LEFT(A1120,FIND(" - ",A1120&amp;" - ")-1),TRIM(A1120)))</f>
        <v/>
      </c>
      <c r="N1120">
        <f>IF(L1120="","",IF(ISNUMBER(INDEX(A1120:H1120,$P$1)),INDEX(A1120:H1120,$P$1),IFERROR(_xlfn.NUMBERVALUE(INDEX(A1120:H1120,$P$1),".",","),0)))</f>
        <v/>
      </c>
    </row>
    <row r="1121">
      <c r="L1121">
        <f>IF(A1121="","",IF(ISNUMBER(--LEFT(A1121,FIND(" - ",A1121&amp;" - ")-1)),LEFT(A1121,FIND(" - ",A1121&amp;" - ")-1),TRIM(A1121)))</f>
        <v/>
      </c>
      <c r="N1121">
        <f>IF(L1121="","",IF(ISNUMBER(INDEX(A1121:H1121,$P$1)),INDEX(A1121:H1121,$P$1),IFERROR(_xlfn.NUMBERVALUE(INDEX(A1121:H1121,$P$1),".",","),0)))</f>
        <v/>
      </c>
    </row>
    <row r="1122">
      <c r="L1122">
        <f>IF(A1122="","",IF(ISNUMBER(--LEFT(A1122,FIND(" - ",A1122&amp;" - ")-1)),LEFT(A1122,FIND(" - ",A1122&amp;" - ")-1),TRIM(A1122)))</f>
        <v/>
      </c>
      <c r="N1122">
        <f>IF(L1122="","",IF(ISNUMBER(INDEX(A1122:H1122,$P$1)),INDEX(A1122:H1122,$P$1),IFERROR(_xlfn.NUMBERVALUE(INDEX(A1122:H1122,$P$1),".",","),0)))</f>
        <v/>
      </c>
    </row>
    <row r="1123">
      <c r="L1123">
        <f>IF(A1123="","",IF(ISNUMBER(--LEFT(A1123,FIND(" - ",A1123&amp;" - ")-1)),LEFT(A1123,FIND(" - ",A1123&amp;" - ")-1),TRIM(A1123)))</f>
        <v/>
      </c>
      <c r="N1123">
        <f>IF(L1123="","",IF(ISNUMBER(INDEX(A1123:H1123,$P$1)),INDEX(A1123:H1123,$P$1),IFERROR(_xlfn.NUMBERVALUE(INDEX(A1123:H1123,$P$1),".",","),0)))</f>
        <v/>
      </c>
    </row>
    <row r="1124">
      <c r="L1124">
        <f>IF(A1124="","",IF(ISNUMBER(--LEFT(A1124,FIND(" - ",A1124&amp;" - ")-1)),LEFT(A1124,FIND(" - ",A1124&amp;" - ")-1),TRIM(A1124)))</f>
        <v/>
      </c>
      <c r="N1124">
        <f>IF(L1124="","",IF(ISNUMBER(INDEX(A1124:H1124,$P$1)),INDEX(A1124:H1124,$P$1),IFERROR(_xlfn.NUMBERVALUE(INDEX(A1124:H1124,$P$1),".",","),0)))</f>
        <v/>
      </c>
    </row>
    <row r="1125">
      <c r="L1125">
        <f>IF(A1125="","",IF(ISNUMBER(--LEFT(A1125,FIND(" - ",A1125&amp;" - ")-1)),LEFT(A1125,FIND(" - ",A1125&amp;" - ")-1),TRIM(A1125)))</f>
        <v/>
      </c>
      <c r="N1125">
        <f>IF(L1125="","",IF(ISNUMBER(INDEX(A1125:H1125,$P$1)),INDEX(A1125:H1125,$P$1),IFERROR(_xlfn.NUMBERVALUE(INDEX(A1125:H1125,$P$1),".",","),0)))</f>
        <v/>
      </c>
    </row>
    <row r="1126">
      <c r="L1126">
        <f>IF(A1126="","",IF(ISNUMBER(--LEFT(A1126,FIND(" - ",A1126&amp;" - ")-1)),LEFT(A1126,FIND(" - ",A1126&amp;" - ")-1),TRIM(A1126)))</f>
        <v/>
      </c>
      <c r="N1126">
        <f>IF(L1126="","",IF(ISNUMBER(INDEX(A1126:H1126,$P$1)),INDEX(A1126:H1126,$P$1),IFERROR(_xlfn.NUMBERVALUE(INDEX(A1126:H1126,$P$1),".",","),0)))</f>
        <v/>
      </c>
    </row>
    <row r="1127">
      <c r="L1127">
        <f>IF(A1127="","",IF(ISNUMBER(--LEFT(A1127,FIND(" - ",A1127&amp;" - ")-1)),LEFT(A1127,FIND(" - ",A1127&amp;" - ")-1),TRIM(A1127)))</f>
        <v/>
      </c>
      <c r="N1127">
        <f>IF(L1127="","",IF(ISNUMBER(INDEX(A1127:H1127,$P$1)),INDEX(A1127:H1127,$P$1),IFERROR(_xlfn.NUMBERVALUE(INDEX(A1127:H1127,$P$1),".",","),0)))</f>
        <v/>
      </c>
    </row>
    <row r="1128">
      <c r="L1128">
        <f>IF(A1128="","",IF(ISNUMBER(--LEFT(A1128,FIND(" - ",A1128&amp;" - ")-1)),LEFT(A1128,FIND(" - ",A1128&amp;" - ")-1),TRIM(A1128)))</f>
        <v/>
      </c>
      <c r="N1128">
        <f>IF(L1128="","",IF(ISNUMBER(INDEX(A1128:H1128,$P$1)),INDEX(A1128:H1128,$P$1),IFERROR(_xlfn.NUMBERVALUE(INDEX(A1128:H1128,$P$1),".",","),0)))</f>
        <v/>
      </c>
    </row>
    <row r="1129">
      <c r="L1129">
        <f>IF(A1129="","",IF(ISNUMBER(--LEFT(A1129,FIND(" - ",A1129&amp;" - ")-1)),LEFT(A1129,FIND(" - ",A1129&amp;" - ")-1),TRIM(A1129)))</f>
        <v/>
      </c>
      <c r="N1129">
        <f>IF(L1129="","",IF(ISNUMBER(INDEX(A1129:H1129,$P$1)),INDEX(A1129:H1129,$P$1),IFERROR(_xlfn.NUMBERVALUE(INDEX(A1129:H1129,$P$1),".",","),0)))</f>
        <v/>
      </c>
    </row>
    <row r="1130">
      <c r="L1130">
        <f>IF(A1130="","",IF(ISNUMBER(--LEFT(A1130,FIND(" - ",A1130&amp;" - ")-1)),LEFT(A1130,FIND(" - ",A1130&amp;" - ")-1),TRIM(A1130)))</f>
        <v/>
      </c>
      <c r="N1130">
        <f>IF(L1130="","",IF(ISNUMBER(INDEX(A1130:H1130,$P$1)),INDEX(A1130:H1130,$P$1),IFERROR(_xlfn.NUMBERVALUE(INDEX(A1130:H1130,$P$1),".",","),0)))</f>
        <v/>
      </c>
    </row>
    <row r="1131">
      <c r="L1131">
        <f>IF(A1131="","",IF(ISNUMBER(--LEFT(A1131,FIND(" - ",A1131&amp;" - ")-1)),LEFT(A1131,FIND(" - ",A1131&amp;" - ")-1),TRIM(A1131)))</f>
        <v/>
      </c>
      <c r="N1131">
        <f>IF(L1131="","",IF(ISNUMBER(INDEX(A1131:H1131,$P$1)),INDEX(A1131:H1131,$P$1),IFERROR(_xlfn.NUMBERVALUE(INDEX(A1131:H1131,$P$1),".",","),0)))</f>
        <v/>
      </c>
    </row>
    <row r="1132">
      <c r="L1132">
        <f>IF(A1132="","",IF(ISNUMBER(--LEFT(A1132,FIND(" - ",A1132&amp;" - ")-1)),LEFT(A1132,FIND(" - ",A1132&amp;" - ")-1),TRIM(A1132)))</f>
        <v/>
      </c>
      <c r="N1132">
        <f>IF(L1132="","",IF(ISNUMBER(INDEX(A1132:H1132,$P$1)),INDEX(A1132:H1132,$P$1),IFERROR(_xlfn.NUMBERVALUE(INDEX(A1132:H1132,$P$1),".",","),0)))</f>
        <v/>
      </c>
    </row>
    <row r="1133">
      <c r="L1133">
        <f>IF(A1133="","",IF(ISNUMBER(--LEFT(A1133,FIND(" - ",A1133&amp;" - ")-1)),LEFT(A1133,FIND(" - ",A1133&amp;" - ")-1),TRIM(A1133)))</f>
        <v/>
      </c>
      <c r="N1133">
        <f>IF(L1133="","",IF(ISNUMBER(INDEX(A1133:H1133,$P$1)),INDEX(A1133:H1133,$P$1),IFERROR(_xlfn.NUMBERVALUE(INDEX(A1133:H1133,$P$1),".",","),0)))</f>
        <v/>
      </c>
    </row>
    <row r="1134">
      <c r="L1134">
        <f>IF(A1134="","",IF(ISNUMBER(--LEFT(A1134,FIND(" - ",A1134&amp;" - ")-1)),LEFT(A1134,FIND(" - ",A1134&amp;" - ")-1),TRIM(A1134)))</f>
        <v/>
      </c>
      <c r="N1134">
        <f>IF(L1134="","",IF(ISNUMBER(INDEX(A1134:H1134,$P$1)),INDEX(A1134:H1134,$P$1),IFERROR(_xlfn.NUMBERVALUE(INDEX(A1134:H1134,$P$1),".",","),0)))</f>
        <v/>
      </c>
    </row>
    <row r="1135">
      <c r="L1135">
        <f>IF(A1135="","",IF(ISNUMBER(--LEFT(A1135,FIND(" - ",A1135&amp;" - ")-1)),LEFT(A1135,FIND(" - ",A1135&amp;" - ")-1),TRIM(A1135)))</f>
        <v/>
      </c>
      <c r="N1135">
        <f>IF(L1135="","",IF(ISNUMBER(INDEX(A1135:H1135,$P$1)),INDEX(A1135:H1135,$P$1),IFERROR(_xlfn.NUMBERVALUE(INDEX(A1135:H1135,$P$1),".",","),0)))</f>
        <v/>
      </c>
    </row>
    <row r="1136">
      <c r="L1136">
        <f>IF(A1136="","",IF(ISNUMBER(--LEFT(A1136,FIND(" - ",A1136&amp;" - ")-1)),LEFT(A1136,FIND(" - ",A1136&amp;" - ")-1),TRIM(A1136)))</f>
        <v/>
      </c>
      <c r="N1136">
        <f>IF(L1136="","",IF(ISNUMBER(INDEX(A1136:H1136,$P$1)),INDEX(A1136:H1136,$P$1),IFERROR(_xlfn.NUMBERVALUE(INDEX(A1136:H1136,$P$1),".",","),0)))</f>
        <v/>
      </c>
    </row>
    <row r="1137">
      <c r="L1137">
        <f>IF(A1137="","",IF(ISNUMBER(--LEFT(A1137,FIND(" - ",A1137&amp;" - ")-1)),LEFT(A1137,FIND(" - ",A1137&amp;" - ")-1),TRIM(A1137)))</f>
        <v/>
      </c>
      <c r="N1137">
        <f>IF(L1137="","",IF(ISNUMBER(INDEX(A1137:H1137,$P$1)),INDEX(A1137:H1137,$P$1),IFERROR(_xlfn.NUMBERVALUE(INDEX(A1137:H1137,$P$1),".",","),0)))</f>
        <v/>
      </c>
    </row>
    <row r="1138">
      <c r="L1138">
        <f>IF(A1138="","",IF(ISNUMBER(--LEFT(A1138,FIND(" - ",A1138&amp;" - ")-1)),LEFT(A1138,FIND(" - ",A1138&amp;" - ")-1),TRIM(A1138)))</f>
        <v/>
      </c>
      <c r="N1138">
        <f>IF(L1138="","",IF(ISNUMBER(INDEX(A1138:H1138,$P$1)),INDEX(A1138:H1138,$P$1),IFERROR(_xlfn.NUMBERVALUE(INDEX(A1138:H1138,$P$1),".",","),0)))</f>
        <v/>
      </c>
    </row>
    <row r="1139">
      <c r="L1139">
        <f>IF(A1139="","",IF(ISNUMBER(--LEFT(A1139,FIND(" - ",A1139&amp;" - ")-1)),LEFT(A1139,FIND(" - ",A1139&amp;" - ")-1),TRIM(A1139)))</f>
        <v/>
      </c>
      <c r="N1139">
        <f>IF(L1139="","",IF(ISNUMBER(INDEX(A1139:H1139,$P$1)),INDEX(A1139:H1139,$P$1),IFERROR(_xlfn.NUMBERVALUE(INDEX(A1139:H1139,$P$1),".",","),0)))</f>
        <v/>
      </c>
    </row>
    <row r="1140">
      <c r="L1140">
        <f>IF(A1140="","",IF(ISNUMBER(--LEFT(A1140,FIND(" - ",A1140&amp;" - ")-1)),LEFT(A1140,FIND(" - ",A1140&amp;" - ")-1),TRIM(A1140)))</f>
        <v/>
      </c>
      <c r="N1140">
        <f>IF(L1140="","",IF(ISNUMBER(INDEX(A1140:H1140,$P$1)),INDEX(A1140:H1140,$P$1),IFERROR(_xlfn.NUMBERVALUE(INDEX(A1140:H1140,$P$1),".",","),0)))</f>
        <v/>
      </c>
    </row>
    <row r="1141">
      <c r="L1141">
        <f>IF(A1141="","",IF(ISNUMBER(--LEFT(A1141,FIND(" - ",A1141&amp;" - ")-1)),LEFT(A1141,FIND(" - ",A1141&amp;" - ")-1),TRIM(A1141)))</f>
        <v/>
      </c>
      <c r="N1141">
        <f>IF(L1141="","",IF(ISNUMBER(INDEX(A1141:H1141,$P$1)),INDEX(A1141:H1141,$P$1),IFERROR(_xlfn.NUMBERVALUE(INDEX(A1141:H1141,$P$1),".",","),0)))</f>
        <v/>
      </c>
    </row>
    <row r="1142">
      <c r="L1142">
        <f>IF(A1142="","",IF(ISNUMBER(--LEFT(A1142,FIND(" - ",A1142&amp;" - ")-1)),LEFT(A1142,FIND(" - ",A1142&amp;" - ")-1),TRIM(A1142)))</f>
        <v/>
      </c>
      <c r="N1142">
        <f>IF(L1142="","",IF(ISNUMBER(INDEX(A1142:H1142,$P$1)),INDEX(A1142:H1142,$P$1),IFERROR(_xlfn.NUMBERVALUE(INDEX(A1142:H1142,$P$1),".",","),0)))</f>
        <v/>
      </c>
    </row>
    <row r="1143">
      <c r="L1143">
        <f>IF(A1143="","",IF(ISNUMBER(--LEFT(A1143,FIND(" - ",A1143&amp;" - ")-1)),LEFT(A1143,FIND(" - ",A1143&amp;" - ")-1),TRIM(A1143)))</f>
        <v/>
      </c>
      <c r="N1143">
        <f>IF(L1143="","",IF(ISNUMBER(INDEX(A1143:H1143,$P$1)),INDEX(A1143:H1143,$P$1),IFERROR(_xlfn.NUMBERVALUE(INDEX(A1143:H1143,$P$1),".",","),0)))</f>
        <v/>
      </c>
    </row>
    <row r="1144">
      <c r="L1144">
        <f>IF(A1144="","",IF(ISNUMBER(--LEFT(A1144,FIND(" - ",A1144&amp;" - ")-1)),LEFT(A1144,FIND(" - ",A1144&amp;" - ")-1),TRIM(A1144)))</f>
        <v/>
      </c>
      <c r="N1144">
        <f>IF(L1144="","",IF(ISNUMBER(INDEX(A1144:H1144,$P$1)),INDEX(A1144:H1144,$P$1),IFERROR(_xlfn.NUMBERVALUE(INDEX(A1144:H1144,$P$1),".",","),0)))</f>
        <v/>
      </c>
    </row>
    <row r="1145">
      <c r="L1145">
        <f>IF(A1145="","",IF(ISNUMBER(--LEFT(A1145,FIND(" - ",A1145&amp;" - ")-1)),LEFT(A1145,FIND(" - ",A1145&amp;" - ")-1),TRIM(A1145)))</f>
        <v/>
      </c>
      <c r="N1145">
        <f>IF(L1145="","",IF(ISNUMBER(INDEX(A1145:H1145,$P$1)),INDEX(A1145:H1145,$P$1),IFERROR(_xlfn.NUMBERVALUE(INDEX(A1145:H1145,$P$1),".",","),0)))</f>
        <v/>
      </c>
    </row>
    <row r="1146">
      <c r="L1146">
        <f>IF(A1146="","",IF(ISNUMBER(--LEFT(A1146,FIND(" - ",A1146&amp;" - ")-1)),LEFT(A1146,FIND(" - ",A1146&amp;" - ")-1),TRIM(A1146)))</f>
        <v/>
      </c>
      <c r="N1146">
        <f>IF(L1146="","",IF(ISNUMBER(INDEX(A1146:H1146,$P$1)),INDEX(A1146:H1146,$P$1),IFERROR(_xlfn.NUMBERVALUE(INDEX(A1146:H1146,$P$1),".",","),0)))</f>
        <v/>
      </c>
    </row>
    <row r="1147">
      <c r="L1147">
        <f>IF(A1147="","",IF(ISNUMBER(--LEFT(A1147,FIND(" - ",A1147&amp;" - ")-1)),LEFT(A1147,FIND(" - ",A1147&amp;" - ")-1),TRIM(A1147)))</f>
        <v/>
      </c>
      <c r="N1147">
        <f>IF(L1147="","",IF(ISNUMBER(INDEX(A1147:H1147,$P$1)),INDEX(A1147:H1147,$P$1),IFERROR(_xlfn.NUMBERVALUE(INDEX(A1147:H1147,$P$1),".",","),0)))</f>
        <v/>
      </c>
    </row>
    <row r="1148">
      <c r="L1148">
        <f>IF(A1148="","",IF(ISNUMBER(--LEFT(A1148,FIND(" - ",A1148&amp;" - ")-1)),LEFT(A1148,FIND(" - ",A1148&amp;" - ")-1),TRIM(A1148)))</f>
        <v/>
      </c>
      <c r="N1148">
        <f>IF(L1148="","",IF(ISNUMBER(INDEX(A1148:H1148,$P$1)),INDEX(A1148:H1148,$P$1),IFERROR(_xlfn.NUMBERVALUE(INDEX(A1148:H1148,$P$1),".",","),0)))</f>
        <v/>
      </c>
    </row>
    <row r="1149">
      <c r="L1149">
        <f>IF(A1149="","",IF(ISNUMBER(--LEFT(A1149,FIND(" - ",A1149&amp;" - ")-1)),LEFT(A1149,FIND(" - ",A1149&amp;" - ")-1),TRIM(A1149)))</f>
        <v/>
      </c>
      <c r="N1149">
        <f>IF(L1149="","",IF(ISNUMBER(INDEX(A1149:H1149,$P$1)),INDEX(A1149:H1149,$P$1),IFERROR(_xlfn.NUMBERVALUE(INDEX(A1149:H1149,$P$1),".",","),0)))</f>
        <v/>
      </c>
    </row>
    <row r="1150">
      <c r="L1150">
        <f>IF(A1150="","",IF(ISNUMBER(--LEFT(A1150,FIND(" - ",A1150&amp;" - ")-1)),LEFT(A1150,FIND(" - ",A1150&amp;" - ")-1),TRIM(A1150)))</f>
        <v/>
      </c>
      <c r="N1150">
        <f>IF(L1150="","",IF(ISNUMBER(INDEX(A1150:H1150,$P$1)),INDEX(A1150:H1150,$P$1),IFERROR(_xlfn.NUMBERVALUE(INDEX(A1150:H1150,$P$1),".",","),0)))</f>
        <v/>
      </c>
    </row>
    <row r="1151">
      <c r="L1151">
        <f>IF(A1151="","",IF(ISNUMBER(--LEFT(A1151,FIND(" - ",A1151&amp;" - ")-1)),LEFT(A1151,FIND(" - ",A1151&amp;" - ")-1),TRIM(A1151)))</f>
        <v/>
      </c>
      <c r="N1151">
        <f>IF(L1151="","",IF(ISNUMBER(INDEX(A1151:H1151,$P$1)),INDEX(A1151:H1151,$P$1),IFERROR(_xlfn.NUMBERVALUE(INDEX(A1151:H1151,$P$1),".",","),0)))</f>
        <v/>
      </c>
    </row>
    <row r="1152">
      <c r="L1152">
        <f>IF(A1152="","",IF(ISNUMBER(--LEFT(A1152,FIND(" - ",A1152&amp;" - ")-1)),LEFT(A1152,FIND(" - ",A1152&amp;" - ")-1),TRIM(A1152)))</f>
        <v/>
      </c>
      <c r="N1152">
        <f>IF(L1152="","",IF(ISNUMBER(INDEX(A1152:H1152,$P$1)),INDEX(A1152:H1152,$P$1),IFERROR(_xlfn.NUMBERVALUE(INDEX(A1152:H1152,$P$1),".",","),0)))</f>
        <v/>
      </c>
    </row>
    <row r="1153">
      <c r="L1153">
        <f>IF(A1153="","",IF(ISNUMBER(--LEFT(A1153,FIND(" - ",A1153&amp;" - ")-1)),LEFT(A1153,FIND(" - ",A1153&amp;" - ")-1),TRIM(A1153)))</f>
        <v/>
      </c>
      <c r="N1153">
        <f>IF(L1153="","",IF(ISNUMBER(INDEX(A1153:H1153,$P$1)),INDEX(A1153:H1153,$P$1),IFERROR(_xlfn.NUMBERVALUE(INDEX(A1153:H1153,$P$1),".",","),0)))</f>
        <v/>
      </c>
    </row>
    <row r="1154">
      <c r="L1154">
        <f>IF(A1154="","",IF(ISNUMBER(--LEFT(A1154,FIND(" - ",A1154&amp;" - ")-1)),LEFT(A1154,FIND(" - ",A1154&amp;" - ")-1),TRIM(A1154)))</f>
        <v/>
      </c>
      <c r="N1154">
        <f>IF(L1154="","",IF(ISNUMBER(INDEX(A1154:H1154,$P$1)),INDEX(A1154:H1154,$P$1),IFERROR(_xlfn.NUMBERVALUE(INDEX(A1154:H1154,$P$1),".",","),0)))</f>
        <v/>
      </c>
    </row>
    <row r="1155">
      <c r="L1155">
        <f>IF(A1155="","",IF(ISNUMBER(--LEFT(A1155,FIND(" - ",A1155&amp;" - ")-1)),LEFT(A1155,FIND(" - ",A1155&amp;" - ")-1),TRIM(A1155)))</f>
        <v/>
      </c>
      <c r="N1155">
        <f>IF(L1155="","",IF(ISNUMBER(INDEX(A1155:H1155,$P$1)),INDEX(A1155:H1155,$P$1),IFERROR(_xlfn.NUMBERVALUE(INDEX(A1155:H1155,$P$1),".",","),0)))</f>
        <v/>
      </c>
    </row>
    <row r="1156">
      <c r="L1156">
        <f>IF(A1156="","",IF(ISNUMBER(--LEFT(A1156,FIND(" - ",A1156&amp;" - ")-1)),LEFT(A1156,FIND(" - ",A1156&amp;" - ")-1),TRIM(A1156)))</f>
        <v/>
      </c>
      <c r="N1156">
        <f>IF(L1156="","",IF(ISNUMBER(INDEX(A1156:H1156,$P$1)),INDEX(A1156:H1156,$P$1),IFERROR(_xlfn.NUMBERVALUE(INDEX(A1156:H1156,$P$1),".",","),0)))</f>
        <v/>
      </c>
    </row>
    <row r="1157">
      <c r="L1157">
        <f>IF(A1157="","",IF(ISNUMBER(--LEFT(A1157,FIND(" - ",A1157&amp;" - ")-1)),LEFT(A1157,FIND(" - ",A1157&amp;" - ")-1),TRIM(A1157)))</f>
        <v/>
      </c>
      <c r="N1157">
        <f>IF(L1157="","",IF(ISNUMBER(INDEX(A1157:H1157,$P$1)),INDEX(A1157:H1157,$P$1),IFERROR(_xlfn.NUMBERVALUE(INDEX(A1157:H1157,$P$1),".",","),0)))</f>
        <v/>
      </c>
    </row>
    <row r="1158">
      <c r="L1158">
        <f>IF(A1158="","",IF(ISNUMBER(--LEFT(A1158,FIND(" - ",A1158&amp;" - ")-1)),LEFT(A1158,FIND(" - ",A1158&amp;" - ")-1),TRIM(A1158)))</f>
        <v/>
      </c>
      <c r="N1158">
        <f>IF(L1158="","",IF(ISNUMBER(INDEX(A1158:H1158,$P$1)),INDEX(A1158:H1158,$P$1),IFERROR(_xlfn.NUMBERVALUE(INDEX(A1158:H1158,$P$1),".",","),0)))</f>
        <v/>
      </c>
    </row>
    <row r="1159">
      <c r="L1159">
        <f>IF(A1159="","",IF(ISNUMBER(--LEFT(A1159,FIND(" - ",A1159&amp;" - ")-1)),LEFT(A1159,FIND(" - ",A1159&amp;" - ")-1),TRIM(A1159)))</f>
        <v/>
      </c>
      <c r="N1159">
        <f>IF(L1159="","",IF(ISNUMBER(INDEX(A1159:H1159,$P$1)),INDEX(A1159:H1159,$P$1),IFERROR(_xlfn.NUMBERVALUE(INDEX(A1159:H1159,$P$1),".",","),0)))</f>
        <v/>
      </c>
    </row>
    <row r="1160">
      <c r="L1160">
        <f>IF(A1160="","",IF(ISNUMBER(--LEFT(A1160,FIND(" - ",A1160&amp;" - ")-1)),LEFT(A1160,FIND(" - ",A1160&amp;" - ")-1),TRIM(A1160)))</f>
        <v/>
      </c>
      <c r="N1160">
        <f>IF(L1160="","",IF(ISNUMBER(INDEX(A1160:H1160,$P$1)),INDEX(A1160:H1160,$P$1),IFERROR(_xlfn.NUMBERVALUE(INDEX(A1160:H1160,$P$1),".",","),0)))</f>
        <v/>
      </c>
    </row>
    <row r="1161">
      <c r="L1161">
        <f>IF(A1161="","",IF(ISNUMBER(--LEFT(A1161,FIND(" - ",A1161&amp;" - ")-1)),LEFT(A1161,FIND(" - ",A1161&amp;" - ")-1),TRIM(A1161)))</f>
        <v/>
      </c>
      <c r="N1161">
        <f>IF(L1161="","",IF(ISNUMBER(INDEX(A1161:H1161,$P$1)),INDEX(A1161:H1161,$P$1),IFERROR(_xlfn.NUMBERVALUE(INDEX(A1161:H1161,$P$1),".",","),0)))</f>
        <v/>
      </c>
    </row>
    <row r="1162">
      <c r="L1162">
        <f>IF(A1162="","",IF(ISNUMBER(--LEFT(A1162,FIND(" - ",A1162&amp;" - ")-1)),LEFT(A1162,FIND(" - ",A1162&amp;" - ")-1),TRIM(A1162)))</f>
        <v/>
      </c>
      <c r="N1162">
        <f>IF(L1162="","",IF(ISNUMBER(INDEX(A1162:H1162,$P$1)),INDEX(A1162:H1162,$P$1),IFERROR(_xlfn.NUMBERVALUE(INDEX(A1162:H1162,$P$1),".",","),0)))</f>
        <v/>
      </c>
    </row>
    <row r="1163">
      <c r="L1163">
        <f>IF(A1163="","",IF(ISNUMBER(--LEFT(A1163,FIND(" - ",A1163&amp;" - ")-1)),LEFT(A1163,FIND(" - ",A1163&amp;" - ")-1),TRIM(A1163)))</f>
        <v/>
      </c>
      <c r="N1163">
        <f>IF(L1163="","",IF(ISNUMBER(INDEX(A1163:H1163,$P$1)),INDEX(A1163:H1163,$P$1),IFERROR(_xlfn.NUMBERVALUE(INDEX(A1163:H1163,$P$1),".",","),0)))</f>
        <v/>
      </c>
    </row>
    <row r="1164">
      <c r="L1164">
        <f>IF(A1164="","",IF(ISNUMBER(--LEFT(A1164,FIND(" - ",A1164&amp;" - ")-1)),LEFT(A1164,FIND(" - ",A1164&amp;" - ")-1),TRIM(A1164)))</f>
        <v/>
      </c>
      <c r="N1164">
        <f>IF(L1164="","",IF(ISNUMBER(INDEX(A1164:H1164,$P$1)),INDEX(A1164:H1164,$P$1),IFERROR(_xlfn.NUMBERVALUE(INDEX(A1164:H1164,$P$1),".",","),0)))</f>
        <v/>
      </c>
    </row>
    <row r="1165">
      <c r="L1165">
        <f>IF(A1165="","",IF(ISNUMBER(--LEFT(A1165,FIND(" - ",A1165&amp;" - ")-1)),LEFT(A1165,FIND(" - ",A1165&amp;" - ")-1),TRIM(A1165)))</f>
        <v/>
      </c>
      <c r="N1165">
        <f>IF(L1165="","",IF(ISNUMBER(INDEX(A1165:H1165,$P$1)),INDEX(A1165:H1165,$P$1),IFERROR(_xlfn.NUMBERVALUE(INDEX(A1165:H1165,$P$1),".",","),0)))</f>
        <v/>
      </c>
    </row>
    <row r="1166">
      <c r="L1166">
        <f>IF(A1166="","",IF(ISNUMBER(--LEFT(A1166,FIND(" - ",A1166&amp;" - ")-1)),LEFT(A1166,FIND(" - ",A1166&amp;" - ")-1),TRIM(A1166)))</f>
        <v/>
      </c>
      <c r="N1166">
        <f>IF(L1166="","",IF(ISNUMBER(INDEX(A1166:H1166,$P$1)),INDEX(A1166:H1166,$P$1),IFERROR(_xlfn.NUMBERVALUE(INDEX(A1166:H1166,$P$1),".",","),0)))</f>
        <v/>
      </c>
    </row>
    <row r="1167">
      <c r="L1167">
        <f>IF(A1167="","",IF(ISNUMBER(--LEFT(A1167,FIND(" - ",A1167&amp;" - ")-1)),LEFT(A1167,FIND(" - ",A1167&amp;" - ")-1),TRIM(A1167)))</f>
        <v/>
      </c>
      <c r="N1167">
        <f>IF(L1167="","",IF(ISNUMBER(INDEX(A1167:H1167,$P$1)),INDEX(A1167:H1167,$P$1),IFERROR(_xlfn.NUMBERVALUE(INDEX(A1167:H1167,$P$1),".",","),0)))</f>
        <v/>
      </c>
    </row>
    <row r="1168">
      <c r="L1168">
        <f>IF(A1168="","",IF(ISNUMBER(--LEFT(A1168,FIND(" - ",A1168&amp;" - ")-1)),LEFT(A1168,FIND(" - ",A1168&amp;" - ")-1),TRIM(A1168)))</f>
        <v/>
      </c>
      <c r="N1168">
        <f>IF(L1168="","",IF(ISNUMBER(INDEX(A1168:H1168,$P$1)),INDEX(A1168:H1168,$P$1),IFERROR(_xlfn.NUMBERVALUE(INDEX(A1168:H1168,$P$1),".",","),0)))</f>
        <v/>
      </c>
    </row>
    <row r="1169">
      <c r="L1169">
        <f>IF(A1169="","",IF(ISNUMBER(--LEFT(A1169,FIND(" - ",A1169&amp;" - ")-1)),LEFT(A1169,FIND(" - ",A1169&amp;" - ")-1),TRIM(A1169)))</f>
        <v/>
      </c>
      <c r="N1169">
        <f>IF(L1169="","",IF(ISNUMBER(INDEX(A1169:H1169,$P$1)),INDEX(A1169:H1169,$P$1),IFERROR(_xlfn.NUMBERVALUE(INDEX(A1169:H1169,$P$1),".",","),0)))</f>
        <v/>
      </c>
    </row>
    <row r="1170">
      <c r="L1170">
        <f>IF(A1170="","",IF(ISNUMBER(--LEFT(A1170,FIND(" - ",A1170&amp;" - ")-1)),LEFT(A1170,FIND(" - ",A1170&amp;" - ")-1),TRIM(A1170)))</f>
        <v/>
      </c>
      <c r="N1170">
        <f>IF(L1170="","",IF(ISNUMBER(INDEX(A1170:H1170,$P$1)),INDEX(A1170:H1170,$P$1),IFERROR(_xlfn.NUMBERVALUE(INDEX(A1170:H1170,$P$1),".",","),0)))</f>
        <v/>
      </c>
    </row>
    <row r="1171">
      <c r="L1171">
        <f>IF(A1171="","",IF(ISNUMBER(--LEFT(A1171,FIND(" - ",A1171&amp;" - ")-1)),LEFT(A1171,FIND(" - ",A1171&amp;" - ")-1),TRIM(A1171)))</f>
        <v/>
      </c>
      <c r="N1171">
        <f>IF(L1171="","",IF(ISNUMBER(INDEX(A1171:H1171,$P$1)),INDEX(A1171:H1171,$P$1),IFERROR(_xlfn.NUMBERVALUE(INDEX(A1171:H1171,$P$1),".",","),0)))</f>
        <v/>
      </c>
    </row>
    <row r="1172">
      <c r="L1172">
        <f>IF(A1172="","",IF(ISNUMBER(--LEFT(A1172,FIND(" - ",A1172&amp;" - ")-1)),LEFT(A1172,FIND(" - ",A1172&amp;" - ")-1),TRIM(A1172)))</f>
        <v/>
      </c>
      <c r="N1172">
        <f>IF(L1172="","",IF(ISNUMBER(INDEX(A1172:H1172,$P$1)),INDEX(A1172:H1172,$P$1),IFERROR(_xlfn.NUMBERVALUE(INDEX(A1172:H1172,$P$1),".",","),0)))</f>
        <v/>
      </c>
    </row>
    <row r="1173">
      <c r="L1173">
        <f>IF(A1173="","",IF(ISNUMBER(--LEFT(A1173,FIND(" - ",A1173&amp;" - ")-1)),LEFT(A1173,FIND(" - ",A1173&amp;" - ")-1),TRIM(A1173)))</f>
        <v/>
      </c>
      <c r="N1173">
        <f>IF(L1173="","",IF(ISNUMBER(INDEX(A1173:H1173,$P$1)),INDEX(A1173:H1173,$P$1),IFERROR(_xlfn.NUMBERVALUE(INDEX(A1173:H1173,$P$1),".",","),0)))</f>
        <v/>
      </c>
    </row>
    <row r="1174">
      <c r="L1174">
        <f>IF(A1174="","",IF(ISNUMBER(--LEFT(A1174,FIND(" - ",A1174&amp;" - ")-1)),LEFT(A1174,FIND(" - ",A1174&amp;" - ")-1),TRIM(A1174)))</f>
        <v/>
      </c>
      <c r="N1174">
        <f>IF(L1174="","",IF(ISNUMBER(INDEX(A1174:H1174,$P$1)),INDEX(A1174:H1174,$P$1),IFERROR(_xlfn.NUMBERVALUE(INDEX(A1174:H1174,$P$1),".",","),0)))</f>
        <v/>
      </c>
    </row>
    <row r="1175">
      <c r="L1175">
        <f>IF(A1175="","",IF(ISNUMBER(--LEFT(A1175,FIND(" - ",A1175&amp;" - ")-1)),LEFT(A1175,FIND(" - ",A1175&amp;" - ")-1),TRIM(A1175)))</f>
        <v/>
      </c>
      <c r="N1175">
        <f>IF(L1175="","",IF(ISNUMBER(INDEX(A1175:H1175,$P$1)),INDEX(A1175:H1175,$P$1),IFERROR(_xlfn.NUMBERVALUE(INDEX(A1175:H1175,$P$1),".",","),0)))</f>
        <v/>
      </c>
    </row>
    <row r="1176">
      <c r="L1176">
        <f>IF(A1176="","",IF(ISNUMBER(--LEFT(A1176,FIND(" - ",A1176&amp;" - ")-1)),LEFT(A1176,FIND(" - ",A1176&amp;" - ")-1),TRIM(A1176)))</f>
        <v/>
      </c>
      <c r="N1176">
        <f>IF(L1176="","",IF(ISNUMBER(INDEX(A1176:H1176,$P$1)),INDEX(A1176:H1176,$P$1),IFERROR(_xlfn.NUMBERVALUE(INDEX(A1176:H1176,$P$1),".",","),0)))</f>
        <v/>
      </c>
    </row>
    <row r="1177">
      <c r="L1177">
        <f>IF(A1177="","",IF(ISNUMBER(--LEFT(A1177,FIND(" - ",A1177&amp;" - ")-1)),LEFT(A1177,FIND(" - ",A1177&amp;" - ")-1),TRIM(A1177)))</f>
        <v/>
      </c>
      <c r="N1177">
        <f>IF(L1177="","",IF(ISNUMBER(INDEX(A1177:H1177,$P$1)),INDEX(A1177:H1177,$P$1),IFERROR(_xlfn.NUMBERVALUE(INDEX(A1177:H1177,$P$1),".",","),0)))</f>
        <v/>
      </c>
    </row>
    <row r="1178">
      <c r="L1178">
        <f>IF(A1178="","",IF(ISNUMBER(--LEFT(A1178,FIND(" - ",A1178&amp;" - ")-1)),LEFT(A1178,FIND(" - ",A1178&amp;" - ")-1),TRIM(A1178)))</f>
        <v/>
      </c>
      <c r="N1178">
        <f>IF(L1178="","",IF(ISNUMBER(INDEX(A1178:H1178,$P$1)),INDEX(A1178:H1178,$P$1),IFERROR(_xlfn.NUMBERVALUE(INDEX(A1178:H1178,$P$1),".",","),0)))</f>
        <v/>
      </c>
    </row>
    <row r="1179">
      <c r="L1179">
        <f>IF(A1179="","",IF(ISNUMBER(--LEFT(A1179,FIND(" - ",A1179&amp;" - ")-1)),LEFT(A1179,FIND(" - ",A1179&amp;" - ")-1),TRIM(A1179)))</f>
        <v/>
      </c>
      <c r="N1179">
        <f>IF(L1179="","",IF(ISNUMBER(INDEX(A1179:H1179,$P$1)),INDEX(A1179:H1179,$P$1),IFERROR(_xlfn.NUMBERVALUE(INDEX(A1179:H1179,$P$1),".",","),0)))</f>
        <v/>
      </c>
    </row>
    <row r="1180">
      <c r="L1180">
        <f>IF(A1180="","",IF(ISNUMBER(--LEFT(A1180,FIND(" - ",A1180&amp;" - ")-1)),LEFT(A1180,FIND(" - ",A1180&amp;" - ")-1),TRIM(A1180)))</f>
        <v/>
      </c>
      <c r="N1180">
        <f>IF(L1180="","",IF(ISNUMBER(INDEX(A1180:H1180,$P$1)),INDEX(A1180:H1180,$P$1),IFERROR(_xlfn.NUMBERVALUE(INDEX(A1180:H1180,$P$1),".",","),0)))</f>
        <v/>
      </c>
    </row>
    <row r="1181">
      <c r="L1181">
        <f>IF(A1181="","",IF(ISNUMBER(--LEFT(A1181,FIND(" - ",A1181&amp;" - ")-1)),LEFT(A1181,FIND(" - ",A1181&amp;" - ")-1),TRIM(A1181)))</f>
        <v/>
      </c>
      <c r="N1181">
        <f>IF(L1181="","",IF(ISNUMBER(INDEX(A1181:H1181,$P$1)),INDEX(A1181:H1181,$P$1),IFERROR(_xlfn.NUMBERVALUE(INDEX(A1181:H1181,$P$1),".",","),0)))</f>
        <v/>
      </c>
    </row>
    <row r="1182">
      <c r="L1182">
        <f>IF(A1182="","",IF(ISNUMBER(--LEFT(A1182,FIND(" - ",A1182&amp;" - ")-1)),LEFT(A1182,FIND(" - ",A1182&amp;" - ")-1),TRIM(A1182)))</f>
        <v/>
      </c>
      <c r="N1182">
        <f>IF(L1182="","",IF(ISNUMBER(INDEX(A1182:H1182,$P$1)),INDEX(A1182:H1182,$P$1),IFERROR(_xlfn.NUMBERVALUE(INDEX(A1182:H1182,$P$1),".",","),0)))</f>
        <v/>
      </c>
    </row>
    <row r="1183">
      <c r="L1183">
        <f>IF(A1183="","",IF(ISNUMBER(--LEFT(A1183,FIND(" - ",A1183&amp;" - ")-1)),LEFT(A1183,FIND(" - ",A1183&amp;" - ")-1),TRIM(A1183)))</f>
        <v/>
      </c>
      <c r="N1183">
        <f>IF(L1183="","",IF(ISNUMBER(INDEX(A1183:H1183,$P$1)),INDEX(A1183:H1183,$P$1),IFERROR(_xlfn.NUMBERVALUE(INDEX(A1183:H1183,$P$1),".",","),0)))</f>
        <v/>
      </c>
    </row>
    <row r="1184">
      <c r="L1184">
        <f>IF(A1184="","",IF(ISNUMBER(--LEFT(A1184,FIND(" - ",A1184&amp;" - ")-1)),LEFT(A1184,FIND(" - ",A1184&amp;" - ")-1),TRIM(A1184)))</f>
        <v/>
      </c>
      <c r="N1184">
        <f>IF(L1184="","",IF(ISNUMBER(INDEX(A1184:H1184,$P$1)),INDEX(A1184:H1184,$P$1),IFERROR(_xlfn.NUMBERVALUE(INDEX(A1184:H1184,$P$1),".",","),0)))</f>
        <v/>
      </c>
    </row>
    <row r="1185">
      <c r="L1185">
        <f>IF(A1185="","",IF(ISNUMBER(--LEFT(A1185,FIND(" - ",A1185&amp;" - ")-1)),LEFT(A1185,FIND(" - ",A1185&amp;" - ")-1),TRIM(A1185)))</f>
        <v/>
      </c>
      <c r="N1185">
        <f>IF(L1185="","",IF(ISNUMBER(INDEX(A1185:H1185,$P$1)),INDEX(A1185:H1185,$P$1),IFERROR(_xlfn.NUMBERVALUE(INDEX(A1185:H1185,$P$1),".",","),0)))</f>
        <v/>
      </c>
    </row>
    <row r="1186">
      <c r="L1186">
        <f>IF(A1186="","",IF(ISNUMBER(--LEFT(A1186,FIND(" - ",A1186&amp;" - ")-1)),LEFT(A1186,FIND(" - ",A1186&amp;" - ")-1),TRIM(A1186)))</f>
        <v/>
      </c>
      <c r="N1186">
        <f>IF(L1186="","",IF(ISNUMBER(INDEX(A1186:H1186,$P$1)),INDEX(A1186:H1186,$P$1),IFERROR(_xlfn.NUMBERVALUE(INDEX(A1186:H1186,$P$1),".",","),0)))</f>
        <v/>
      </c>
    </row>
    <row r="1187">
      <c r="L1187">
        <f>IF(A1187="","",IF(ISNUMBER(--LEFT(A1187,FIND(" - ",A1187&amp;" - ")-1)),LEFT(A1187,FIND(" - ",A1187&amp;" - ")-1),TRIM(A1187)))</f>
        <v/>
      </c>
      <c r="N1187">
        <f>IF(L1187="","",IF(ISNUMBER(INDEX(A1187:H1187,$P$1)),INDEX(A1187:H1187,$P$1),IFERROR(_xlfn.NUMBERVALUE(INDEX(A1187:H1187,$P$1),".",","),0)))</f>
        <v/>
      </c>
    </row>
    <row r="1188">
      <c r="L1188">
        <f>IF(A1188="","",IF(ISNUMBER(--LEFT(A1188,FIND(" - ",A1188&amp;" - ")-1)),LEFT(A1188,FIND(" - ",A1188&amp;" - ")-1),TRIM(A1188)))</f>
        <v/>
      </c>
      <c r="N1188">
        <f>IF(L1188="","",IF(ISNUMBER(INDEX(A1188:H1188,$P$1)),INDEX(A1188:H1188,$P$1),IFERROR(_xlfn.NUMBERVALUE(INDEX(A1188:H1188,$P$1),".",","),0)))</f>
        <v/>
      </c>
    </row>
    <row r="1189">
      <c r="L1189">
        <f>IF(A1189="","",IF(ISNUMBER(--LEFT(A1189,FIND(" - ",A1189&amp;" - ")-1)),LEFT(A1189,FIND(" - ",A1189&amp;" - ")-1),TRIM(A1189)))</f>
        <v/>
      </c>
      <c r="N1189">
        <f>IF(L1189="","",IF(ISNUMBER(INDEX(A1189:H1189,$P$1)),INDEX(A1189:H1189,$P$1),IFERROR(_xlfn.NUMBERVALUE(INDEX(A1189:H1189,$P$1),".",","),0)))</f>
        <v/>
      </c>
    </row>
    <row r="1190">
      <c r="L1190">
        <f>IF(A1190="","",IF(ISNUMBER(--LEFT(A1190,FIND(" - ",A1190&amp;" - ")-1)),LEFT(A1190,FIND(" - ",A1190&amp;" - ")-1),TRIM(A1190)))</f>
        <v/>
      </c>
      <c r="N1190">
        <f>IF(L1190="","",IF(ISNUMBER(INDEX(A1190:H1190,$P$1)),INDEX(A1190:H1190,$P$1),IFERROR(_xlfn.NUMBERVALUE(INDEX(A1190:H1190,$P$1),".",","),0)))</f>
        <v/>
      </c>
    </row>
    <row r="1191">
      <c r="L1191">
        <f>IF(A1191="","",IF(ISNUMBER(--LEFT(A1191,FIND(" - ",A1191&amp;" - ")-1)),LEFT(A1191,FIND(" - ",A1191&amp;" - ")-1),TRIM(A1191)))</f>
        <v/>
      </c>
      <c r="N1191">
        <f>IF(L1191="","",IF(ISNUMBER(INDEX(A1191:H1191,$P$1)),INDEX(A1191:H1191,$P$1),IFERROR(_xlfn.NUMBERVALUE(INDEX(A1191:H1191,$P$1),".",","),0)))</f>
        <v/>
      </c>
    </row>
    <row r="1192">
      <c r="L1192">
        <f>IF(A1192="","",IF(ISNUMBER(--LEFT(A1192,FIND(" - ",A1192&amp;" - ")-1)),LEFT(A1192,FIND(" - ",A1192&amp;" - ")-1),TRIM(A1192)))</f>
        <v/>
      </c>
      <c r="N1192">
        <f>IF(L1192="","",IF(ISNUMBER(INDEX(A1192:H1192,$P$1)),INDEX(A1192:H1192,$P$1),IFERROR(_xlfn.NUMBERVALUE(INDEX(A1192:H1192,$P$1),".",","),0)))</f>
        <v/>
      </c>
    </row>
    <row r="1193">
      <c r="L1193">
        <f>IF(A1193="","",IF(ISNUMBER(--LEFT(A1193,FIND(" - ",A1193&amp;" - ")-1)),LEFT(A1193,FIND(" - ",A1193&amp;" - ")-1),TRIM(A1193)))</f>
        <v/>
      </c>
      <c r="N1193">
        <f>IF(L1193="","",IF(ISNUMBER(INDEX(A1193:H1193,$P$1)),INDEX(A1193:H1193,$P$1),IFERROR(_xlfn.NUMBERVALUE(INDEX(A1193:H1193,$P$1),".",","),0)))</f>
        <v/>
      </c>
    </row>
    <row r="1194">
      <c r="L1194">
        <f>IF(A1194="","",IF(ISNUMBER(--LEFT(A1194,FIND(" - ",A1194&amp;" - ")-1)),LEFT(A1194,FIND(" - ",A1194&amp;" - ")-1),TRIM(A1194)))</f>
        <v/>
      </c>
      <c r="N1194">
        <f>IF(L1194="","",IF(ISNUMBER(INDEX(A1194:H1194,$P$1)),INDEX(A1194:H1194,$P$1),IFERROR(_xlfn.NUMBERVALUE(INDEX(A1194:H1194,$P$1),".",","),0)))</f>
        <v/>
      </c>
    </row>
    <row r="1195">
      <c r="L1195">
        <f>IF(A1195="","",IF(ISNUMBER(--LEFT(A1195,FIND(" - ",A1195&amp;" - ")-1)),LEFT(A1195,FIND(" - ",A1195&amp;" - ")-1),TRIM(A1195)))</f>
        <v/>
      </c>
      <c r="N1195">
        <f>IF(L1195="","",IF(ISNUMBER(INDEX(A1195:H1195,$P$1)),INDEX(A1195:H1195,$P$1),IFERROR(_xlfn.NUMBERVALUE(INDEX(A1195:H1195,$P$1),".",","),0)))</f>
        <v/>
      </c>
    </row>
    <row r="1196">
      <c r="L1196">
        <f>IF(A1196="","",IF(ISNUMBER(--LEFT(A1196,FIND(" - ",A1196&amp;" - ")-1)),LEFT(A1196,FIND(" - ",A1196&amp;" - ")-1),TRIM(A1196)))</f>
        <v/>
      </c>
      <c r="N1196">
        <f>IF(L1196="","",IF(ISNUMBER(INDEX(A1196:H1196,$P$1)),INDEX(A1196:H1196,$P$1),IFERROR(_xlfn.NUMBERVALUE(INDEX(A1196:H1196,$P$1),".",","),0)))</f>
        <v/>
      </c>
    </row>
    <row r="1197">
      <c r="L1197">
        <f>IF(A1197="","",IF(ISNUMBER(--LEFT(A1197,FIND(" - ",A1197&amp;" - ")-1)),LEFT(A1197,FIND(" - ",A1197&amp;" - ")-1),TRIM(A1197)))</f>
        <v/>
      </c>
      <c r="N1197">
        <f>IF(L1197="","",IF(ISNUMBER(INDEX(A1197:H1197,$P$1)),INDEX(A1197:H1197,$P$1),IFERROR(_xlfn.NUMBERVALUE(INDEX(A1197:H1197,$P$1),".",","),0)))</f>
        <v/>
      </c>
    </row>
    <row r="1198">
      <c r="L1198">
        <f>IF(A1198="","",IF(ISNUMBER(--LEFT(A1198,FIND(" - ",A1198&amp;" - ")-1)),LEFT(A1198,FIND(" - ",A1198&amp;" - ")-1),TRIM(A1198)))</f>
        <v/>
      </c>
      <c r="N1198">
        <f>IF(L1198="","",IF(ISNUMBER(INDEX(A1198:H1198,$P$1)),INDEX(A1198:H1198,$P$1),IFERROR(_xlfn.NUMBERVALUE(INDEX(A1198:H1198,$P$1),".",","),0)))</f>
        <v/>
      </c>
    </row>
    <row r="1199">
      <c r="L1199">
        <f>IF(A1199="","",IF(ISNUMBER(--LEFT(A1199,FIND(" - ",A1199&amp;" - ")-1)),LEFT(A1199,FIND(" - ",A1199&amp;" - ")-1),TRIM(A1199)))</f>
        <v/>
      </c>
      <c r="N1199">
        <f>IF(L1199="","",IF(ISNUMBER(INDEX(A1199:H1199,$P$1)),INDEX(A1199:H1199,$P$1),IFERROR(_xlfn.NUMBERVALUE(INDEX(A1199:H1199,$P$1),".",","),0)))</f>
        <v/>
      </c>
    </row>
    <row r="1200">
      <c r="L1200">
        <f>IF(A1200="","",IF(ISNUMBER(--LEFT(A1200,FIND(" - ",A1200&amp;" - ")-1)),LEFT(A1200,FIND(" - ",A1200&amp;" - ")-1),TRIM(A1200)))</f>
        <v/>
      </c>
      <c r="N1200">
        <f>IF(L1200="","",IF(ISNUMBER(INDEX(A1200:H1200,$P$1)),INDEX(A1200:H1200,$P$1),IFERROR(_xlfn.NUMBERVALUE(INDEX(A1200:H1200,$P$1),".",","),0)))</f>
        <v/>
      </c>
    </row>
    <row r="1201">
      <c r="L1201">
        <f>IF(A1201="","",IF(ISNUMBER(--LEFT(A1201,FIND(" - ",A1201&amp;" - ")-1)),LEFT(A1201,FIND(" - ",A1201&amp;" - ")-1),TRIM(A1201)))</f>
        <v/>
      </c>
      <c r="N1201">
        <f>IF(L1201="","",IF(ISNUMBER(INDEX(A1201:H1201,$P$1)),INDEX(A1201:H1201,$P$1),IFERROR(_xlfn.NUMBERVALUE(INDEX(A1201:H1201,$P$1),".",","),0)))</f>
        <v/>
      </c>
    </row>
    <row r="1202">
      <c r="L1202">
        <f>IF(A1202="","",IF(ISNUMBER(--LEFT(A1202,FIND(" - ",A1202&amp;" - ")-1)),LEFT(A1202,FIND(" - ",A1202&amp;" - ")-1),TRIM(A1202)))</f>
        <v/>
      </c>
      <c r="N1202">
        <f>IF(L1202="","",IF(ISNUMBER(INDEX(A1202:H1202,$P$1)),INDEX(A1202:H1202,$P$1),IFERROR(_xlfn.NUMBERVALUE(INDEX(A1202:H1202,$P$1),".",","),0)))</f>
        <v/>
      </c>
    </row>
    <row r="1203">
      <c r="L1203">
        <f>IF(A1203="","",IF(ISNUMBER(--LEFT(A1203,FIND(" - ",A1203&amp;" - ")-1)),LEFT(A1203,FIND(" - ",A1203&amp;" - ")-1),TRIM(A1203)))</f>
        <v/>
      </c>
      <c r="N1203">
        <f>IF(L1203="","",IF(ISNUMBER(INDEX(A1203:H1203,$P$1)),INDEX(A1203:H1203,$P$1),IFERROR(_xlfn.NUMBERVALUE(INDEX(A1203:H1203,$P$1),".",","),0)))</f>
        <v/>
      </c>
    </row>
    <row r="1204">
      <c r="L1204">
        <f>IF(A1204="","",IF(ISNUMBER(--LEFT(A1204,FIND(" - ",A1204&amp;" - ")-1)),LEFT(A1204,FIND(" - ",A1204&amp;" - ")-1),TRIM(A1204)))</f>
        <v/>
      </c>
      <c r="N1204">
        <f>IF(L1204="","",IF(ISNUMBER(INDEX(A1204:H1204,$P$1)),INDEX(A1204:H1204,$P$1),IFERROR(_xlfn.NUMBERVALUE(INDEX(A1204:H1204,$P$1),".",","),0)))</f>
        <v/>
      </c>
    </row>
    <row r="1205">
      <c r="L1205">
        <f>IF(A1205="","",IF(ISNUMBER(--LEFT(A1205,FIND(" - ",A1205&amp;" - ")-1)),LEFT(A1205,FIND(" - ",A1205&amp;" - ")-1),TRIM(A1205)))</f>
        <v/>
      </c>
      <c r="N1205">
        <f>IF(L1205="","",IF(ISNUMBER(INDEX(A1205:H1205,$P$1)),INDEX(A1205:H1205,$P$1),IFERROR(_xlfn.NUMBERVALUE(INDEX(A1205:H1205,$P$1),".",","),0)))</f>
        <v/>
      </c>
    </row>
    <row r="1206">
      <c r="L1206">
        <f>IF(A1206="","",IF(ISNUMBER(--LEFT(A1206,FIND(" - ",A1206&amp;" - ")-1)),LEFT(A1206,FIND(" - ",A1206&amp;" - ")-1),TRIM(A1206)))</f>
        <v/>
      </c>
      <c r="N1206">
        <f>IF(L1206="","",IF(ISNUMBER(INDEX(A1206:H1206,$P$1)),INDEX(A1206:H1206,$P$1),IFERROR(_xlfn.NUMBERVALUE(INDEX(A1206:H1206,$P$1),".",","),0)))</f>
        <v/>
      </c>
    </row>
    <row r="1207">
      <c r="L1207">
        <f>IF(A1207="","",IF(ISNUMBER(--LEFT(A1207,FIND(" - ",A1207&amp;" - ")-1)),LEFT(A1207,FIND(" - ",A1207&amp;" - ")-1),TRIM(A1207)))</f>
        <v/>
      </c>
      <c r="N1207">
        <f>IF(L1207="","",IF(ISNUMBER(INDEX(A1207:H1207,$P$1)),INDEX(A1207:H1207,$P$1),IFERROR(_xlfn.NUMBERVALUE(INDEX(A1207:H1207,$P$1),".",","),0)))</f>
        <v/>
      </c>
    </row>
    <row r="1208">
      <c r="L1208">
        <f>IF(A1208="","",IF(ISNUMBER(--LEFT(A1208,FIND(" - ",A1208&amp;" - ")-1)),LEFT(A1208,FIND(" - ",A1208&amp;" - ")-1),TRIM(A1208)))</f>
        <v/>
      </c>
      <c r="N1208">
        <f>IF(L1208="","",IF(ISNUMBER(INDEX(A1208:H1208,$P$1)),INDEX(A1208:H1208,$P$1),IFERROR(_xlfn.NUMBERVALUE(INDEX(A1208:H1208,$P$1),".",","),0)))</f>
        <v/>
      </c>
    </row>
    <row r="1209">
      <c r="L1209">
        <f>IF(A1209="","",IF(ISNUMBER(--LEFT(A1209,FIND(" - ",A1209&amp;" - ")-1)),LEFT(A1209,FIND(" - ",A1209&amp;" - ")-1),TRIM(A1209)))</f>
        <v/>
      </c>
      <c r="N1209">
        <f>IF(L1209="","",IF(ISNUMBER(INDEX(A1209:H1209,$P$1)),INDEX(A1209:H1209,$P$1),IFERROR(_xlfn.NUMBERVALUE(INDEX(A1209:H1209,$P$1),".",","),0)))</f>
        <v/>
      </c>
    </row>
    <row r="1210">
      <c r="L1210">
        <f>IF(A1210="","",IF(ISNUMBER(--LEFT(A1210,FIND(" - ",A1210&amp;" - ")-1)),LEFT(A1210,FIND(" - ",A1210&amp;" - ")-1),TRIM(A1210)))</f>
        <v/>
      </c>
      <c r="N1210">
        <f>IF(L1210="","",IF(ISNUMBER(INDEX(A1210:H1210,$P$1)),INDEX(A1210:H1210,$P$1),IFERROR(_xlfn.NUMBERVALUE(INDEX(A1210:H1210,$P$1),".",","),0)))</f>
        <v/>
      </c>
    </row>
    <row r="1211">
      <c r="L1211">
        <f>IF(A1211="","",IF(ISNUMBER(--LEFT(A1211,FIND(" - ",A1211&amp;" - ")-1)),LEFT(A1211,FIND(" - ",A1211&amp;" - ")-1),TRIM(A1211)))</f>
        <v/>
      </c>
      <c r="N1211">
        <f>IF(L1211="","",IF(ISNUMBER(INDEX(A1211:H1211,$P$1)),INDEX(A1211:H1211,$P$1),IFERROR(_xlfn.NUMBERVALUE(INDEX(A1211:H1211,$P$1),".",","),0)))</f>
        <v/>
      </c>
    </row>
    <row r="1212">
      <c r="L1212">
        <f>IF(A1212="","",IF(ISNUMBER(--LEFT(A1212,FIND(" - ",A1212&amp;" - ")-1)),LEFT(A1212,FIND(" - ",A1212&amp;" - ")-1),TRIM(A1212)))</f>
        <v/>
      </c>
      <c r="N1212">
        <f>IF(L1212="","",IF(ISNUMBER(INDEX(A1212:H1212,$P$1)),INDEX(A1212:H1212,$P$1),IFERROR(_xlfn.NUMBERVALUE(INDEX(A1212:H1212,$P$1),".",","),0)))</f>
        <v/>
      </c>
    </row>
    <row r="1213">
      <c r="L1213">
        <f>IF(A1213="","",IF(ISNUMBER(--LEFT(A1213,FIND(" - ",A1213&amp;" - ")-1)),LEFT(A1213,FIND(" - ",A1213&amp;" - ")-1),TRIM(A1213)))</f>
        <v/>
      </c>
      <c r="N1213">
        <f>IF(L1213="","",IF(ISNUMBER(INDEX(A1213:H1213,$P$1)),INDEX(A1213:H1213,$P$1),IFERROR(_xlfn.NUMBERVALUE(INDEX(A1213:H1213,$P$1),".",","),0)))</f>
        <v/>
      </c>
    </row>
    <row r="1214">
      <c r="L1214">
        <f>IF(A1214="","",IF(ISNUMBER(--LEFT(A1214,FIND(" - ",A1214&amp;" - ")-1)),LEFT(A1214,FIND(" - ",A1214&amp;" - ")-1),TRIM(A1214)))</f>
        <v/>
      </c>
      <c r="N1214">
        <f>IF(L1214="","",IF(ISNUMBER(INDEX(A1214:H1214,$P$1)),INDEX(A1214:H1214,$P$1),IFERROR(_xlfn.NUMBERVALUE(INDEX(A1214:H1214,$P$1),".",","),0)))</f>
        <v/>
      </c>
    </row>
    <row r="1215">
      <c r="L1215">
        <f>IF(A1215="","",IF(ISNUMBER(--LEFT(A1215,FIND(" - ",A1215&amp;" - ")-1)),LEFT(A1215,FIND(" - ",A1215&amp;" - ")-1),TRIM(A1215)))</f>
        <v/>
      </c>
      <c r="N1215">
        <f>IF(L1215="","",IF(ISNUMBER(INDEX(A1215:H1215,$P$1)),INDEX(A1215:H1215,$P$1),IFERROR(_xlfn.NUMBERVALUE(INDEX(A1215:H1215,$P$1),".",","),0)))</f>
        <v/>
      </c>
    </row>
    <row r="1216">
      <c r="L1216">
        <f>IF(A1216="","",IF(ISNUMBER(--LEFT(A1216,FIND(" - ",A1216&amp;" - ")-1)),LEFT(A1216,FIND(" - ",A1216&amp;" - ")-1),TRIM(A1216)))</f>
        <v/>
      </c>
      <c r="N1216">
        <f>IF(L1216="","",IF(ISNUMBER(INDEX(A1216:H1216,$P$1)),INDEX(A1216:H1216,$P$1),IFERROR(_xlfn.NUMBERVALUE(INDEX(A1216:H1216,$P$1),".",","),0)))</f>
        <v/>
      </c>
    </row>
    <row r="1217">
      <c r="L1217">
        <f>IF(A1217="","",IF(ISNUMBER(--LEFT(A1217,FIND(" - ",A1217&amp;" - ")-1)),LEFT(A1217,FIND(" - ",A1217&amp;" - ")-1),TRIM(A1217)))</f>
        <v/>
      </c>
      <c r="N1217">
        <f>IF(L1217="","",IF(ISNUMBER(INDEX(A1217:H1217,$P$1)),INDEX(A1217:H1217,$P$1),IFERROR(_xlfn.NUMBERVALUE(INDEX(A1217:H1217,$P$1),".",","),0)))</f>
        <v/>
      </c>
    </row>
    <row r="1218">
      <c r="L1218">
        <f>IF(A1218="","",IF(ISNUMBER(--LEFT(A1218,FIND(" - ",A1218&amp;" - ")-1)),LEFT(A1218,FIND(" - ",A1218&amp;" - ")-1),TRIM(A1218)))</f>
        <v/>
      </c>
      <c r="N1218">
        <f>IF(L1218="","",IF(ISNUMBER(INDEX(A1218:H1218,$P$1)),INDEX(A1218:H1218,$P$1),IFERROR(_xlfn.NUMBERVALUE(INDEX(A1218:H1218,$P$1),".",","),0)))</f>
        <v/>
      </c>
    </row>
    <row r="1219">
      <c r="L1219">
        <f>IF(A1219="","",IF(ISNUMBER(--LEFT(A1219,FIND(" - ",A1219&amp;" - ")-1)),LEFT(A1219,FIND(" - ",A1219&amp;" - ")-1),TRIM(A1219)))</f>
        <v/>
      </c>
      <c r="N1219">
        <f>IF(L1219="","",IF(ISNUMBER(INDEX(A1219:H1219,$P$1)),INDEX(A1219:H1219,$P$1),IFERROR(_xlfn.NUMBERVALUE(INDEX(A1219:H1219,$P$1),".",","),0)))</f>
        <v/>
      </c>
    </row>
    <row r="1220">
      <c r="L1220">
        <f>IF(A1220="","",IF(ISNUMBER(--LEFT(A1220,FIND(" - ",A1220&amp;" - ")-1)),LEFT(A1220,FIND(" - ",A1220&amp;" - ")-1),TRIM(A1220)))</f>
        <v/>
      </c>
      <c r="N1220">
        <f>IF(L1220="","",IF(ISNUMBER(INDEX(A1220:H1220,$P$1)),INDEX(A1220:H1220,$P$1),IFERROR(_xlfn.NUMBERVALUE(INDEX(A1220:H1220,$P$1),".",","),0)))</f>
        <v/>
      </c>
    </row>
    <row r="1221">
      <c r="L1221">
        <f>IF(A1221="","",IF(ISNUMBER(--LEFT(A1221,FIND(" - ",A1221&amp;" - ")-1)),LEFT(A1221,FIND(" - ",A1221&amp;" - ")-1),TRIM(A1221)))</f>
        <v/>
      </c>
      <c r="N1221">
        <f>IF(L1221="","",IF(ISNUMBER(INDEX(A1221:H1221,$P$1)),INDEX(A1221:H1221,$P$1),IFERROR(_xlfn.NUMBERVALUE(INDEX(A1221:H1221,$P$1),".",","),0)))</f>
        <v/>
      </c>
    </row>
    <row r="1222">
      <c r="L1222">
        <f>IF(A1222="","",IF(ISNUMBER(--LEFT(A1222,FIND(" - ",A1222&amp;" - ")-1)),LEFT(A1222,FIND(" - ",A1222&amp;" - ")-1),TRIM(A1222)))</f>
        <v/>
      </c>
      <c r="N1222">
        <f>IF(L1222="","",IF(ISNUMBER(INDEX(A1222:H1222,$P$1)),INDEX(A1222:H1222,$P$1),IFERROR(_xlfn.NUMBERVALUE(INDEX(A1222:H1222,$P$1),".",","),0)))</f>
        <v/>
      </c>
    </row>
    <row r="1223">
      <c r="L1223">
        <f>IF(A1223="","",IF(ISNUMBER(--LEFT(A1223,FIND(" - ",A1223&amp;" - ")-1)),LEFT(A1223,FIND(" - ",A1223&amp;" - ")-1),TRIM(A1223)))</f>
        <v/>
      </c>
      <c r="N1223">
        <f>IF(L1223="","",IF(ISNUMBER(INDEX(A1223:H1223,$P$1)),INDEX(A1223:H1223,$P$1),IFERROR(_xlfn.NUMBERVALUE(INDEX(A1223:H1223,$P$1),".",","),0)))</f>
        <v/>
      </c>
    </row>
    <row r="1224">
      <c r="L1224">
        <f>IF(A1224="","",IF(ISNUMBER(--LEFT(A1224,FIND(" - ",A1224&amp;" - ")-1)),LEFT(A1224,FIND(" - ",A1224&amp;" - ")-1),TRIM(A1224)))</f>
        <v/>
      </c>
      <c r="N1224">
        <f>IF(L1224="","",IF(ISNUMBER(INDEX(A1224:H1224,$P$1)),INDEX(A1224:H1224,$P$1),IFERROR(_xlfn.NUMBERVALUE(INDEX(A1224:H1224,$P$1),".",","),0)))</f>
        <v/>
      </c>
    </row>
    <row r="1225">
      <c r="L1225">
        <f>IF(A1225="","",IF(ISNUMBER(--LEFT(A1225,FIND(" - ",A1225&amp;" - ")-1)),LEFT(A1225,FIND(" - ",A1225&amp;" - ")-1),TRIM(A1225)))</f>
        <v/>
      </c>
      <c r="N1225">
        <f>IF(L1225="","",IF(ISNUMBER(INDEX(A1225:H1225,$P$1)),INDEX(A1225:H1225,$P$1),IFERROR(_xlfn.NUMBERVALUE(INDEX(A1225:H1225,$P$1),".",","),0)))</f>
        <v/>
      </c>
    </row>
    <row r="1226">
      <c r="L1226">
        <f>IF(A1226="","",IF(ISNUMBER(--LEFT(A1226,FIND(" - ",A1226&amp;" - ")-1)),LEFT(A1226,FIND(" - ",A1226&amp;" - ")-1),TRIM(A1226)))</f>
        <v/>
      </c>
      <c r="N1226">
        <f>IF(L1226="","",IF(ISNUMBER(INDEX(A1226:H1226,$P$1)),INDEX(A1226:H1226,$P$1),IFERROR(_xlfn.NUMBERVALUE(INDEX(A1226:H1226,$P$1),".",","),0)))</f>
        <v/>
      </c>
    </row>
    <row r="1227">
      <c r="L1227">
        <f>IF(A1227="","",IF(ISNUMBER(--LEFT(A1227,FIND(" - ",A1227&amp;" - ")-1)),LEFT(A1227,FIND(" - ",A1227&amp;" - ")-1),TRIM(A1227)))</f>
        <v/>
      </c>
      <c r="N1227">
        <f>IF(L1227="","",IF(ISNUMBER(INDEX(A1227:H1227,$P$1)),INDEX(A1227:H1227,$P$1),IFERROR(_xlfn.NUMBERVALUE(INDEX(A1227:H1227,$P$1),".",","),0)))</f>
        <v/>
      </c>
    </row>
    <row r="1228">
      <c r="L1228">
        <f>IF(A1228="","",IF(ISNUMBER(--LEFT(A1228,FIND(" - ",A1228&amp;" - ")-1)),LEFT(A1228,FIND(" - ",A1228&amp;" - ")-1),TRIM(A1228)))</f>
        <v/>
      </c>
      <c r="N1228">
        <f>IF(L1228="","",IF(ISNUMBER(INDEX(A1228:H1228,$P$1)),INDEX(A1228:H1228,$P$1),IFERROR(_xlfn.NUMBERVALUE(INDEX(A1228:H1228,$P$1),".",","),0)))</f>
        <v/>
      </c>
    </row>
    <row r="1229">
      <c r="L1229">
        <f>IF(A1229="","",IF(ISNUMBER(--LEFT(A1229,FIND(" - ",A1229&amp;" - ")-1)),LEFT(A1229,FIND(" - ",A1229&amp;" - ")-1),TRIM(A1229)))</f>
        <v/>
      </c>
      <c r="N1229">
        <f>IF(L1229="","",IF(ISNUMBER(INDEX(A1229:H1229,$P$1)),INDEX(A1229:H1229,$P$1),IFERROR(_xlfn.NUMBERVALUE(INDEX(A1229:H1229,$P$1),".",","),0)))</f>
        <v/>
      </c>
    </row>
    <row r="1230">
      <c r="L1230">
        <f>IF(A1230="","",IF(ISNUMBER(--LEFT(A1230,FIND(" - ",A1230&amp;" - ")-1)),LEFT(A1230,FIND(" - ",A1230&amp;" - ")-1),TRIM(A1230)))</f>
        <v/>
      </c>
      <c r="N1230">
        <f>IF(L1230="","",IF(ISNUMBER(INDEX(A1230:H1230,$P$1)),INDEX(A1230:H1230,$P$1),IFERROR(_xlfn.NUMBERVALUE(INDEX(A1230:H1230,$P$1),".",","),0)))</f>
        <v/>
      </c>
    </row>
    <row r="1231">
      <c r="L1231">
        <f>IF(A1231="","",IF(ISNUMBER(--LEFT(A1231,FIND(" - ",A1231&amp;" - ")-1)),LEFT(A1231,FIND(" - ",A1231&amp;" - ")-1),TRIM(A1231)))</f>
        <v/>
      </c>
      <c r="N1231">
        <f>IF(L1231="","",IF(ISNUMBER(INDEX(A1231:H1231,$P$1)),INDEX(A1231:H1231,$P$1),IFERROR(_xlfn.NUMBERVALUE(INDEX(A1231:H1231,$P$1),".",","),0)))</f>
        <v/>
      </c>
    </row>
    <row r="1232">
      <c r="L1232">
        <f>IF(A1232="","",IF(ISNUMBER(--LEFT(A1232,FIND(" - ",A1232&amp;" - ")-1)),LEFT(A1232,FIND(" - ",A1232&amp;" - ")-1),TRIM(A1232)))</f>
        <v/>
      </c>
      <c r="N1232">
        <f>IF(L1232="","",IF(ISNUMBER(INDEX(A1232:H1232,$P$1)),INDEX(A1232:H1232,$P$1),IFERROR(_xlfn.NUMBERVALUE(INDEX(A1232:H1232,$P$1),".",","),0)))</f>
        <v/>
      </c>
    </row>
    <row r="1233">
      <c r="L1233">
        <f>IF(A1233="","",IF(ISNUMBER(--LEFT(A1233,FIND(" - ",A1233&amp;" - ")-1)),LEFT(A1233,FIND(" - ",A1233&amp;" - ")-1),TRIM(A1233)))</f>
        <v/>
      </c>
      <c r="N1233">
        <f>IF(L1233="","",IF(ISNUMBER(INDEX(A1233:H1233,$P$1)),INDEX(A1233:H1233,$P$1),IFERROR(_xlfn.NUMBERVALUE(INDEX(A1233:H1233,$P$1),".",","),0)))</f>
        <v/>
      </c>
    </row>
    <row r="1234">
      <c r="L1234">
        <f>IF(A1234="","",IF(ISNUMBER(--LEFT(A1234,FIND(" - ",A1234&amp;" - ")-1)),LEFT(A1234,FIND(" - ",A1234&amp;" - ")-1),TRIM(A1234)))</f>
        <v/>
      </c>
      <c r="N1234">
        <f>IF(L1234="","",IF(ISNUMBER(INDEX(A1234:H1234,$P$1)),INDEX(A1234:H1234,$P$1),IFERROR(_xlfn.NUMBERVALUE(INDEX(A1234:H1234,$P$1),".",","),0)))</f>
        <v/>
      </c>
    </row>
    <row r="1235">
      <c r="L1235">
        <f>IF(A1235="","",IF(ISNUMBER(--LEFT(A1235,FIND(" - ",A1235&amp;" - ")-1)),LEFT(A1235,FIND(" - ",A1235&amp;" - ")-1),TRIM(A1235)))</f>
        <v/>
      </c>
      <c r="N1235">
        <f>IF(L1235="","",IF(ISNUMBER(INDEX(A1235:H1235,$P$1)),INDEX(A1235:H1235,$P$1),IFERROR(_xlfn.NUMBERVALUE(INDEX(A1235:H1235,$P$1),".",","),0)))</f>
        <v/>
      </c>
    </row>
    <row r="1236">
      <c r="L1236">
        <f>IF(A1236="","",IF(ISNUMBER(--LEFT(A1236,FIND(" - ",A1236&amp;" - ")-1)),LEFT(A1236,FIND(" - ",A1236&amp;" - ")-1),TRIM(A1236)))</f>
        <v/>
      </c>
      <c r="N1236">
        <f>IF(L1236="","",IF(ISNUMBER(INDEX(A1236:H1236,$P$1)),INDEX(A1236:H1236,$P$1),IFERROR(_xlfn.NUMBERVALUE(INDEX(A1236:H1236,$P$1),".",","),0)))</f>
        <v/>
      </c>
    </row>
    <row r="1237">
      <c r="L1237">
        <f>IF(A1237="","",IF(ISNUMBER(--LEFT(A1237,FIND(" - ",A1237&amp;" - ")-1)),LEFT(A1237,FIND(" - ",A1237&amp;" - ")-1),TRIM(A1237)))</f>
        <v/>
      </c>
      <c r="N1237">
        <f>IF(L1237="","",IF(ISNUMBER(INDEX(A1237:H1237,$P$1)),INDEX(A1237:H1237,$P$1),IFERROR(_xlfn.NUMBERVALUE(INDEX(A1237:H1237,$P$1),".",","),0)))</f>
        <v/>
      </c>
    </row>
    <row r="1238">
      <c r="L1238">
        <f>IF(A1238="","",IF(ISNUMBER(--LEFT(A1238,FIND(" - ",A1238&amp;" - ")-1)),LEFT(A1238,FIND(" - ",A1238&amp;" - ")-1),TRIM(A1238)))</f>
        <v/>
      </c>
      <c r="N1238">
        <f>IF(L1238="","",IF(ISNUMBER(INDEX(A1238:H1238,$P$1)),INDEX(A1238:H1238,$P$1),IFERROR(_xlfn.NUMBERVALUE(INDEX(A1238:H1238,$P$1),".",","),0)))</f>
        <v/>
      </c>
    </row>
    <row r="1239">
      <c r="L1239">
        <f>IF(A1239="","",IF(ISNUMBER(--LEFT(A1239,FIND(" - ",A1239&amp;" - ")-1)),LEFT(A1239,FIND(" - ",A1239&amp;" - ")-1),TRIM(A1239)))</f>
        <v/>
      </c>
      <c r="N1239">
        <f>IF(L1239="","",IF(ISNUMBER(INDEX(A1239:H1239,$P$1)),INDEX(A1239:H1239,$P$1),IFERROR(_xlfn.NUMBERVALUE(INDEX(A1239:H1239,$P$1),".",","),0)))</f>
        <v/>
      </c>
    </row>
    <row r="1240">
      <c r="L1240">
        <f>IF(A1240="","",IF(ISNUMBER(--LEFT(A1240,FIND(" - ",A1240&amp;" - ")-1)),LEFT(A1240,FIND(" - ",A1240&amp;" - ")-1),TRIM(A1240)))</f>
        <v/>
      </c>
      <c r="N1240">
        <f>IF(L1240="","",IF(ISNUMBER(INDEX(A1240:H1240,$P$1)),INDEX(A1240:H1240,$P$1),IFERROR(_xlfn.NUMBERVALUE(INDEX(A1240:H1240,$P$1),".",","),0)))</f>
        <v/>
      </c>
    </row>
    <row r="1241">
      <c r="L1241">
        <f>IF(A1241="","",IF(ISNUMBER(--LEFT(A1241,FIND(" - ",A1241&amp;" - ")-1)),LEFT(A1241,FIND(" - ",A1241&amp;" - ")-1),TRIM(A1241)))</f>
        <v/>
      </c>
      <c r="N1241">
        <f>IF(L1241="","",IF(ISNUMBER(INDEX(A1241:H1241,$P$1)),INDEX(A1241:H1241,$P$1),IFERROR(_xlfn.NUMBERVALUE(INDEX(A1241:H1241,$P$1),".",","),0)))</f>
        <v/>
      </c>
    </row>
    <row r="1242">
      <c r="L1242">
        <f>IF(A1242="","",IF(ISNUMBER(--LEFT(A1242,FIND(" - ",A1242&amp;" - ")-1)),LEFT(A1242,FIND(" - ",A1242&amp;" - ")-1),TRIM(A1242)))</f>
        <v/>
      </c>
      <c r="N1242">
        <f>IF(L1242="","",IF(ISNUMBER(INDEX(A1242:H1242,$P$1)),INDEX(A1242:H1242,$P$1),IFERROR(_xlfn.NUMBERVALUE(INDEX(A1242:H1242,$P$1),".",","),0)))</f>
        <v/>
      </c>
    </row>
    <row r="1243">
      <c r="L1243">
        <f>IF(A1243="","",IF(ISNUMBER(--LEFT(A1243,FIND(" - ",A1243&amp;" - ")-1)),LEFT(A1243,FIND(" - ",A1243&amp;" - ")-1),TRIM(A1243)))</f>
        <v/>
      </c>
      <c r="N1243">
        <f>IF(L1243="","",IF(ISNUMBER(INDEX(A1243:H1243,$P$1)),INDEX(A1243:H1243,$P$1),IFERROR(_xlfn.NUMBERVALUE(INDEX(A1243:H1243,$P$1),".",","),0)))</f>
        <v/>
      </c>
    </row>
    <row r="1244">
      <c r="L1244">
        <f>IF(A1244="","",IF(ISNUMBER(--LEFT(A1244,FIND(" - ",A1244&amp;" - ")-1)),LEFT(A1244,FIND(" - ",A1244&amp;" - ")-1),TRIM(A1244)))</f>
        <v/>
      </c>
      <c r="N1244">
        <f>IF(L1244="","",IF(ISNUMBER(INDEX(A1244:H1244,$P$1)),INDEX(A1244:H1244,$P$1),IFERROR(_xlfn.NUMBERVALUE(INDEX(A1244:H1244,$P$1),".",","),0)))</f>
        <v/>
      </c>
    </row>
    <row r="1245">
      <c r="L1245">
        <f>IF(A1245="","",IF(ISNUMBER(--LEFT(A1245,FIND(" - ",A1245&amp;" - ")-1)),LEFT(A1245,FIND(" - ",A1245&amp;" - ")-1),TRIM(A1245)))</f>
        <v/>
      </c>
      <c r="N1245">
        <f>IF(L1245="","",IF(ISNUMBER(INDEX(A1245:H1245,$P$1)),INDEX(A1245:H1245,$P$1),IFERROR(_xlfn.NUMBERVALUE(INDEX(A1245:H1245,$P$1),".",","),0)))</f>
        <v/>
      </c>
    </row>
    <row r="1246">
      <c r="L1246">
        <f>IF(A1246="","",IF(ISNUMBER(--LEFT(A1246,FIND(" - ",A1246&amp;" - ")-1)),LEFT(A1246,FIND(" - ",A1246&amp;" - ")-1),TRIM(A1246)))</f>
        <v/>
      </c>
      <c r="N1246">
        <f>IF(L1246="","",IF(ISNUMBER(INDEX(A1246:H1246,$P$1)),INDEX(A1246:H1246,$P$1),IFERROR(_xlfn.NUMBERVALUE(INDEX(A1246:H1246,$P$1),".",","),0)))</f>
        <v/>
      </c>
    </row>
    <row r="1247">
      <c r="L1247">
        <f>IF(A1247="","",IF(ISNUMBER(--LEFT(A1247,FIND(" - ",A1247&amp;" - ")-1)),LEFT(A1247,FIND(" - ",A1247&amp;" - ")-1),TRIM(A1247)))</f>
        <v/>
      </c>
      <c r="N1247">
        <f>IF(L1247="","",IF(ISNUMBER(INDEX(A1247:H1247,$P$1)),INDEX(A1247:H1247,$P$1),IFERROR(_xlfn.NUMBERVALUE(INDEX(A1247:H1247,$P$1),".",","),0)))</f>
        <v/>
      </c>
    </row>
    <row r="1248">
      <c r="L1248">
        <f>IF(A1248="","",IF(ISNUMBER(--LEFT(A1248,FIND(" - ",A1248&amp;" - ")-1)),LEFT(A1248,FIND(" - ",A1248&amp;" - ")-1),TRIM(A1248)))</f>
        <v/>
      </c>
      <c r="N1248">
        <f>IF(L1248="","",IF(ISNUMBER(INDEX(A1248:H1248,$P$1)),INDEX(A1248:H1248,$P$1),IFERROR(_xlfn.NUMBERVALUE(INDEX(A1248:H1248,$P$1),".",","),0)))</f>
        <v/>
      </c>
    </row>
    <row r="1249">
      <c r="L1249">
        <f>IF(A1249="","",IF(ISNUMBER(--LEFT(A1249,FIND(" - ",A1249&amp;" - ")-1)),LEFT(A1249,FIND(" - ",A1249&amp;" - ")-1),TRIM(A1249)))</f>
        <v/>
      </c>
      <c r="N1249">
        <f>IF(L1249="","",IF(ISNUMBER(INDEX(A1249:H1249,$P$1)),INDEX(A1249:H1249,$P$1),IFERROR(_xlfn.NUMBERVALUE(INDEX(A1249:H1249,$P$1),".",","),0)))</f>
        <v/>
      </c>
    </row>
    <row r="1250">
      <c r="L1250">
        <f>IF(A1250="","",IF(ISNUMBER(--LEFT(A1250,FIND(" - ",A1250&amp;" - ")-1)),LEFT(A1250,FIND(" - ",A1250&amp;" - ")-1),TRIM(A1250)))</f>
        <v/>
      </c>
      <c r="N1250">
        <f>IF(L1250="","",IF(ISNUMBER(INDEX(A1250:H1250,$P$1)),INDEX(A1250:H1250,$P$1),IFERROR(_xlfn.NUMBERVALUE(INDEX(A1250:H1250,$P$1),".",","),0)))</f>
        <v/>
      </c>
    </row>
    <row r="1251">
      <c r="L1251">
        <f>IF(A1251="","",IF(ISNUMBER(--LEFT(A1251,FIND(" - ",A1251&amp;" - ")-1)),LEFT(A1251,FIND(" - ",A1251&amp;" - ")-1),TRIM(A1251)))</f>
        <v/>
      </c>
      <c r="N1251">
        <f>IF(L1251="","",IF(ISNUMBER(INDEX(A1251:H1251,$P$1)),INDEX(A1251:H1251,$P$1),IFERROR(_xlfn.NUMBERVALUE(INDEX(A1251:H1251,$P$1),".",","),0)))</f>
        <v/>
      </c>
    </row>
    <row r="1252">
      <c r="L1252">
        <f>IF(A1252="","",IF(ISNUMBER(--LEFT(A1252,FIND(" - ",A1252&amp;" - ")-1)),LEFT(A1252,FIND(" - ",A1252&amp;" - ")-1),TRIM(A1252)))</f>
        <v/>
      </c>
      <c r="N1252">
        <f>IF(L1252="","",IF(ISNUMBER(INDEX(A1252:H1252,$P$1)),INDEX(A1252:H1252,$P$1),IFERROR(_xlfn.NUMBERVALUE(INDEX(A1252:H1252,$P$1),".",","),0)))</f>
        <v/>
      </c>
    </row>
    <row r="1253">
      <c r="L1253">
        <f>IF(A1253="","",IF(ISNUMBER(--LEFT(A1253,FIND(" - ",A1253&amp;" - ")-1)),LEFT(A1253,FIND(" - ",A1253&amp;" - ")-1),TRIM(A1253)))</f>
        <v/>
      </c>
      <c r="N1253">
        <f>IF(L1253="","",IF(ISNUMBER(INDEX(A1253:H1253,$P$1)),INDEX(A1253:H1253,$P$1),IFERROR(_xlfn.NUMBERVALUE(INDEX(A1253:H1253,$P$1),".",","),0)))</f>
        <v/>
      </c>
    </row>
    <row r="1254">
      <c r="L1254">
        <f>IF(A1254="","",IF(ISNUMBER(--LEFT(A1254,FIND(" - ",A1254&amp;" - ")-1)),LEFT(A1254,FIND(" - ",A1254&amp;" - ")-1),TRIM(A1254)))</f>
        <v/>
      </c>
      <c r="N1254">
        <f>IF(L1254="","",IF(ISNUMBER(INDEX(A1254:H1254,$P$1)),INDEX(A1254:H1254,$P$1),IFERROR(_xlfn.NUMBERVALUE(INDEX(A1254:H1254,$P$1),".",","),0)))</f>
        <v/>
      </c>
    </row>
    <row r="1255">
      <c r="L1255">
        <f>IF(A1255="","",IF(ISNUMBER(--LEFT(A1255,FIND(" - ",A1255&amp;" - ")-1)),LEFT(A1255,FIND(" - ",A1255&amp;" - ")-1),TRIM(A1255)))</f>
        <v/>
      </c>
      <c r="N1255">
        <f>IF(L1255="","",IF(ISNUMBER(INDEX(A1255:H1255,$P$1)),INDEX(A1255:H1255,$P$1),IFERROR(_xlfn.NUMBERVALUE(INDEX(A1255:H1255,$P$1),".",","),0)))</f>
        <v/>
      </c>
    </row>
    <row r="1256">
      <c r="L1256">
        <f>IF(A1256="","",IF(ISNUMBER(--LEFT(A1256,FIND(" - ",A1256&amp;" - ")-1)),LEFT(A1256,FIND(" - ",A1256&amp;" - ")-1),TRIM(A1256)))</f>
        <v/>
      </c>
      <c r="N1256">
        <f>IF(L1256="","",IF(ISNUMBER(INDEX(A1256:H1256,$P$1)),INDEX(A1256:H1256,$P$1),IFERROR(_xlfn.NUMBERVALUE(INDEX(A1256:H1256,$P$1),".",","),0)))</f>
        <v/>
      </c>
    </row>
    <row r="1257">
      <c r="L1257">
        <f>IF(A1257="","",IF(ISNUMBER(--LEFT(A1257,FIND(" - ",A1257&amp;" - ")-1)),LEFT(A1257,FIND(" - ",A1257&amp;" - ")-1),TRIM(A1257)))</f>
        <v/>
      </c>
      <c r="N1257">
        <f>IF(L1257="","",IF(ISNUMBER(INDEX(A1257:H1257,$P$1)),INDEX(A1257:H1257,$P$1),IFERROR(_xlfn.NUMBERVALUE(INDEX(A1257:H1257,$P$1),".",","),0)))</f>
        <v/>
      </c>
    </row>
    <row r="1258">
      <c r="L1258">
        <f>IF(A1258="","",IF(ISNUMBER(--LEFT(A1258,FIND(" - ",A1258&amp;" - ")-1)),LEFT(A1258,FIND(" - ",A1258&amp;" - ")-1),TRIM(A1258)))</f>
        <v/>
      </c>
      <c r="N1258">
        <f>IF(L1258="","",IF(ISNUMBER(INDEX(A1258:H1258,$P$1)),INDEX(A1258:H1258,$P$1),IFERROR(_xlfn.NUMBERVALUE(INDEX(A1258:H1258,$P$1),".",","),0)))</f>
        <v/>
      </c>
    </row>
    <row r="1259">
      <c r="L1259">
        <f>IF(A1259="","",IF(ISNUMBER(--LEFT(A1259,FIND(" - ",A1259&amp;" - ")-1)),LEFT(A1259,FIND(" - ",A1259&amp;" - ")-1),TRIM(A1259)))</f>
        <v/>
      </c>
      <c r="N1259">
        <f>IF(L1259="","",IF(ISNUMBER(INDEX(A1259:H1259,$P$1)),INDEX(A1259:H1259,$P$1),IFERROR(_xlfn.NUMBERVALUE(INDEX(A1259:H1259,$P$1),".",","),0)))</f>
        <v/>
      </c>
    </row>
    <row r="1260">
      <c r="L1260">
        <f>IF(A1260="","",IF(ISNUMBER(--LEFT(A1260,FIND(" - ",A1260&amp;" - ")-1)),LEFT(A1260,FIND(" - ",A1260&amp;" - ")-1),TRIM(A1260)))</f>
        <v/>
      </c>
      <c r="N1260">
        <f>IF(L1260="","",IF(ISNUMBER(INDEX(A1260:H1260,$P$1)),INDEX(A1260:H1260,$P$1),IFERROR(_xlfn.NUMBERVALUE(INDEX(A1260:H1260,$P$1),".",","),0)))</f>
        <v/>
      </c>
    </row>
    <row r="1261">
      <c r="L1261">
        <f>IF(A1261="","",IF(ISNUMBER(--LEFT(A1261,FIND(" - ",A1261&amp;" - ")-1)),LEFT(A1261,FIND(" - ",A1261&amp;" - ")-1),TRIM(A1261)))</f>
        <v/>
      </c>
      <c r="N1261">
        <f>IF(L1261="","",IF(ISNUMBER(INDEX(A1261:H1261,$P$1)),INDEX(A1261:H1261,$P$1),IFERROR(_xlfn.NUMBERVALUE(INDEX(A1261:H1261,$P$1),".",","),0)))</f>
        <v/>
      </c>
    </row>
    <row r="1262">
      <c r="L1262">
        <f>IF(A1262="","",IF(ISNUMBER(--LEFT(A1262,FIND(" - ",A1262&amp;" - ")-1)),LEFT(A1262,FIND(" - ",A1262&amp;" - ")-1),TRIM(A1262)))</f>
        <v/>
      </c>
      <c r="N1262">
        <f>IF(L1262="","",IF(ISNUMBER(INDEX(A1262:H1262,$P$1)),INDEX(A1262:H1262,$P$1),IFERROR(_xlfn.NUMBERVALUE(INDEX(A1262:H1262,$P$1),".",","),0)))</f>
        <v/>
      </c>
    </row>
    <row r="1263">
      <c r="L1263">
        <f>IF(A1263="","",IF(ISNUMBER(--LEFT(A1263,FIND(" - ",A1263&amp;" - ")-1)),LEFT(A1263,FIND(" - ",A1263&amp;" - ")-1),TRIM(A1263)))</f>
        <v/>
      </c>
      <c r="N1263">
        <f>IF(L1263="","",IF(ISNUMBER(INDEX(A1263:H1263,$P$1)),INDEX(A1263:H1263,$P$1),IFERROR(_xlfn.NUMBERVALUE(INDEX(A1263:H1263,$P$1),".",","),0)))</f>
        <v/>
      </c>
    </row>
    <row r="1264">
      <c r="L1264">
        <f>IF(A1264="","",IF(ISNUMBER(--LEFT(A1264,FIND(" - ",A1264&amp;" - ")-1)),LEFT(A1264,FIND(" - ",A1264&amp;" - ")-1),TRIM(A1264)))</f>
        <v/>
      </c>
      <c r="N1264">
        <f>IF(L1264="","",IF(ISNUMBER(INDEX(A1264:H1264,$P$1)),INDEX(A1264:H1264,$P$1),IFERROR(_xlfn.NUMBERVALUE(INDEX(A1264:H1264,$P$1),".",","),0)))</f>
        <v/>
      </c>
    </row>
    <row r="1265">
      <c r="L1265">
        <f>IF(A1265="","",IF(ISNUMBER(--LEFT(A1265,FIND(" - ",A1265&amp;" - ")-1)),LEFT(A1265,FIND(" - ",A1265&amp;" - ")-1),TRIM(A1265)))</f>
        <v/>
      </c>
      <c r="N1265">
        <f>IF(L1265="","",IF(ISNUMBER(INDEX(A1265:H1265,$P$1)),INDEX(A1265:H1265,$P$1),IFERROR(_xlfn.NUMBERVALUE(INDEX(A1265:H1265,$P$1),".",","),0)))</f>
        <v/>
      </c>
    </row>
    <row r="1266">
      <c r="L1266">
        <f>IF(A1266="","",IF(ISNUMBER(--LEFT(A1266,FIND(" - ",A1266&amp;" - ")-1)),LEFT(A1266,FIND(" - ",A1266&amp;" - ")-1),TRIM(A1266)))</f>
        <v/>
      </c>
      <c r="N1266">
        <f>IF(L1266="","",IF(ISNUMBER(INDEX(A1266:H1266,$P$1)),INDEX(A1266:H1266,$P$1),IFERROR(_xlfn.NUMBERVALUE(INDEX(A1266:H1266,$P$1),".",","),0)))</f>
        <v/>
      </c>
    </row>
    <row r="1267">
      <c r="L1267">
        <f>IF(A1267="","",IF(ISNUMBER(--LEFT(A1267,FIND(" - ",A1267&amp;" - ")-1)),LEFT(A1267,FIND(" - ",A1267&amp;" - ")-1),TRIM(A1267)))</f>
        <v/>
      </c>
      <c r="N1267">
        <f>IF(L1267="","",IF(ISNUMBER(INDEX(A1267:H1267,$P$1)),INDEX(A1267:H1267,$P$1),IFERROR(_xlfn.NUMBERVALUE(INDEX(A1267:H1267,$P$1),".",","),0)))</f>
        <v/>
      </c>
    </row>
    <row r="1268">
      <c r="L1268">
        <f>IF(A1268="","",IF(ISNUMBER(--LEFT(A1268,FIND(" - ",A1268&amp;" - ")-1)),LEFT(A1268,FIND(" - ",A1268&amp;" - ")-1),TRIM(A1268)))</f>
        <v/>
      </c>
      <c r="N1268">
        <f>IF(L1268="","",IF(ISNUMBER(INDEX(A1268:H1268,$P$1)),INDEX(A1268:H1268,$P$1),IFERROR(_xlfn.NUMBERVALUE(INDEX(A1268:H1268,$P$1),".",","),0)))</f>
        <v/>
      </c>
    </row>
    <row r="1269">
      <c r="L1269">
        <f>IF(A1269="","",IF(ISNUMBER(--LEFT(A1269,FIND(" - ",A1269&amp;" - ")-1)),LEFT(A1269,FIND(" - ",A1269&amp;" - ")-1),TRIM(A1269)))</f>
        <v/>
      </c>
      <c r="N1269">
        <f>IF(L1269="","",IF(ISNUMBER(INDEX(A1269:H1269,$P$1)),INDEX(A1269:H1269,$P$1),IFERROR(_xlfn.NUMBERVALUE(INDEX(A1269:H1269,$P$1),".",","),0)))</f>
        <v/>
      </c>
    </row>
    <row r="1270">
      <c r="L1270">
        <f>IF(A1270="","",IF(ISNUMBER(--LEFT(A1270,FIND(" - ",A1270&amp;" - ")-1)),LEFT(A1270,FIND(" - ",A1270&amp;" - ")-1),TRIM(A1270)))</f>
        <v/>
      </c>
      <c r="N1270">
        <f>IF(L1270="","",IF(ISNUMBER(INDEX(A1270:H1270,$P$1)),INDEX(A1270:H1270,$P$1),IFERROR(_xlfn.NUMBERVALUE(INDEX(A1270:H1270,$P$1),".",","),0)))</f>
        <v/>
      </c>
    </row>
    <row r="1271">
      <c r="L1271">
        <f>IF(A1271="","",IF(ISNUMBER(--LEFT(A1271,FIND(" - ",A1271&amp;" - ")-1)),LEFT(A1271,FIND(" - ",A1271&amp;" - ")-1),TRIM(A1271)))</f>
        <v/>
      </c>
      <c r="N1271">
        <f>IF(L1271="","",IF(ISNUMBER(INDEX(A1271:H1271,$P$1)),INDEX(A1271:H1271,$P$1),IFERROR(_xlfn.NUMBERVALUE(INDEX(A1271:H1271,$P$1),".",","),0)))</f>
        <v/>
      </c>
    </row>
    <row r="1272">
      <c r="L1272">
        <f>IF(A1272="","",IF(ISNUMBER(--LEFT(A1272,FIND(" - ",A1272&amp;" - ")-1)),LEFT(A1272,FIND(" - ",A1272&amp;" - ")-1),TRIM(A1272)))</f>
        <v/>
      </c>
      <c r="N1272">
        <f>IF(L1272="","",IF(ISNUMBER(INDEX(A1272:H1272,$P$1)),INDEX(A1272:H1272,$P$1),IFERROR(_xlfn.NUMBERVALUE(INDEX(A1272:H1272,$P$1),".",","),0)))</f>
        <v/>
      </c>
    </row>
    <row r="1273">
      <c r="L1273">
        <f>IF(A1273="","",IF(ISNUMBER(--LEFT(A1273,FIND(" - ",A1273&amp;" - ")-1)),LEFT(A1273,FIND(" - ",A1273&amp;" - ")-1),TRIM(A1273)))</f>
        <v/>
      </c>
      <c r="N1273">
        <f>IF(L1273="","",IF(ISNUMBER(INDEX(A1273:H1273,$P$1)),INDEX(A1273:H1273,$P$1),IFERROR(_xlfn.NUMBERVALUE(INDEX(A1273:H1273,$P$1),".",","),0)))</f>
        <v/>
      </c>
    </row>
    <row r="1274">
      <c r="L1274">
        <f>IF(A1274="","",IF(ISNUMBER(--LEFT(A1274,FIND(" - ",A1274&amp;" - ")-1)),LEFT(A1274,FIND(" - ",A1274&amp;" - ")-1),TRIM(A1274)))</f>
        <v/>
      </c>
      <c r="N1274">
        <f>IF(L1274="","",IF(ISNUMBER(INDEX(A1274:H1274,$P$1)),INDEX(A1274:H1274,$P$1),IFERROR(_xlfn.NUMBERVALUE(INDEX(A1274:H1274,$P$1),".",","),0)))</f>
        <v/>
      </c>
    </row>
    <row r="1275">
      <c r="L1275">
        <f>IF(A1275="","",IF(ISNUMBER(--LEFT(A1275,FIND(" - ",A1275&amp;" - ")-1)),LEFT(A1275,FIND(" - ",A1275&amp;" - ")-1),TRIM(A1275)))</f>
        <v/>
      </c>
      <c r="N1275">
        <f>IF(L1275="","",IF(ISNUMBER(INDEX(A1275:H1275,$P$1)),INDEX(A1275:H1275,$P$1),IFERROR(_xlfn.NUMBERVALUE(INDEX(A1275:H1275,$P$1),".",","),0)))</f>
        <v/>
      </c>
    </row>
    <row r="1276">
      <c r="L1276">
        <f>IF(A1276="","",IF(ISNUMBER(--LEFT(A1276,FIND(" - ",A1276&amp;" - ")-1)),LEFT(A1276,FIND(" - ",A1276&amp;" - ")-1),TRIM(A1276)))</f>
        <v/>
      </c>
      <c r="N1276">
        <f>IF(L1276="","",IF(ISNUMBER(INDEX(A1276:H1276,$P$1)),INDEX(A1276:H1276,$P$1),IFERROR(_xlfn.NUMBERVALUE(INDEX(A1276:H1276,$P$1),".",","),0)))</f>
        <v/>
      </c>
    </row>
    <row r="1277">
      <c r="L1277">
        <f>IF(A1277="","",IF(ISNUMBER(--LEFT(A1277,FIND(" - ",A1277&amp;" - ")-1)),LEFT(A1277,FIND(" - ",A1277&amp;" - ")-1),TRIM(A1277)))</f>
        <v/>
      </c>
      <c r="N1277">
        <f>IF(L1277="","",IF(ISNUMBER(INDEX(A1277:H1277,$P$1)),INDEX(A1277:H1277,$P$1),IFERROR(_xlfn.NUMBERVALUE(INDEX(A1277:H1277,$P$1),".",","),0)))</f>
        <v/>
      </c>
    </row>
    <row r="1278">
      <c r="L1278">
        <f>IF(A1278="","",IF(ISNUMBER(--LEFT(A1278,FIND(" - ",A1278&amp;" - ")-1)),LEFT(A1278,FIND(" - ",A1278&amp;" - ")-1),TRIM(A1278)))</f>
        <v/>
      </c>
      <c r="N1278">
        <f>IF(L1278="","",IF(ISNUMBER(INDEX(A1278:H1278,$P$1)),INDEX(A1278:H1278,$P$1),IFERROR(_xlfn.NUMBERVALUE(INDEX(A1278:H1278,$P$1),".",","),0)))</f>
        <v/>
      </c>
    </row>
    <row r="1279">
      <c r="L1279">
        <f>IF(A1279="","",IF(ISNUMBER(--LEFT(A1279,FIND(" - ",A1279&amp;" - ")-1)),LEFT(A1279,FIND(" - ",A1279&amp;" - ")-1),TRIM(A1279)))</f>
        <v/>
      </c>
      <c r="N1279">
        <f>IF(L1279="","",IF(ISNUMBER(INDEX(A1279:H1279,$P$1)),INDEX(A1279:H1279,$P$1),IFERROR(_xlfn.NUMBERVALUE(INDEX(A1279:H1279,$P$1),".",","),0)))</f>
        <v/>
      </c>
    </row>
    <row r="1280">
      <c r="L1280">
        <f>IF(A1280="","",IF(ISNUMBER(--LEFT(A1280,FIND(" - ",A1280&amp;" - ")-1)),LEFT(A1280,FIND(" - ",A1280&amp;" - ")-1),TRIM(A1280)))</f>
        <v/>
      </c>
      <c r="N1280">
        <f>IF(L1280="","",IF(ISNUMBER(INDEX(A1280:H1280,$P$1)),INDEX(A1280:H1280,$P$1),IFERROR(_xlfn.NUMBERVALUE(INDEX(A1280:H1280,$P$1),".",","),0)))</f>
        <v/>
      </c>
    </row>
    <row r="1281">
      <c r="L1281">
        <f>IF(A1281="","",IF(ISNUMBER(--LEFT(A1281,FIND(" - ",A1281&amp;" - ")-1)),LEFT(A1281,FIND(" - ",A1281&amp;" - ")-1),TRIM(A1281)))</f>
        <v/>
      </c>
      <c r="N1281">
        <f>IF(L1281="","",IF(ISNUMBER(INDEX(A1281:H1281,$P$1)),INDEX(A1281:H1281,$P$1),IFERROR(_xlfn.NUMBERVALUE(INDEX(A1281:H1281,$P$1),".",","),0)))</f>
        <v/>
      </c>
    </row>
    <row r="1282">
      <c r="L1282">
        <f>IF(A1282="","",IF(ISNUMBER(--LEFT(A1282,FIND(" - ",A1282&amp;" - ")-1)),LEFT(A1282,FIND(" - ",A1282&amp;" - ")-1),TRIM(A1282)))</f>
        <v/>
      </c>
      <c r="N1282">
        <f>IF(L1282="","",IF(ISNUMBER(INDEX(A1282:H1282,$P$1)),INDEX(A1282:H1282,$P$1),IFERROR(_xlfn.NUMBERVALUE(INDEX(A1282:H1282,$P$1),".",","),0)))</f>
        <v/>
      </c>
    </row>
    <row r="1283">
      <c r="L1283">
        <f>IF(A1283="","",IF(ISNUMBER(--LEFT(A1283,FIND(" - ",A1283&amp;" - ")-1)),LEFT(A1283,FIND(" - ",A1283&amp;" - ")-1),TRIM(A1283)))</f>
        <v/>
      </c>
      <c r="N1283">
        <f>IF(L1283="","",IF(ISNUMBER(INDEX(A1283:H1283,$P$1)),INDEX(A1283:H1283,$P$1),IFERROR(_xlfn.NUMBERVALUE(INDEX(A1283:H1283,$P$1),".",","),0)))</f>
        <v/>
      </c>
    </row>
    <row r="1284">
      <c r="L1284">
        <f>IF(A1284="","",IF(ISNUMBER(--LEFT(A1284,FIND(" - ",A1284&amp;" - ")-1)),LEFT(A1284,FIND(" - ",A1284&amp;" - ")-1),TRIM(A1284)))</f>
        <v/>
      </c>
      <c r="N1284">
        <f>IF(L1284="","",IF(ISNUMBER(INDEX(A1284:H1284,$P$1)),INDEX(A1284:H1284,$P$1),IFERROR(_xlfn.NUMBERVALUE(INDEX(A1284:H1284,$P$1),".",","),0)))</f>
        <v/>
      </c>
    </row>
    <row r="1285">
      <c r="L1285">
        <f>IF(A1285="","",IF(ISNUMBER(--LEFT(A1285,FIND(" - ",A1285&amp;" - ")-1)),LEFT(A1285,FIND(" - ",A1285&amp;" - ")-1),TRIM(A1285)))</f>
        <v/>
      </c>
      <c r="N1285">
        <f>IF(L1285="","",IF(ISNUMBER(INDEX(A1285:H1285,$P$1)),INDEX(A1285:H1285,$P$1),IFERROR(_xlfn.NUMBERVALUE(INDEX(A1285:H1285,$P$1),".",","),0)))</f>
        <v/>
      </c>
    </row>
    <row r="1286">
      <c r="L1286">
        <f>IF(A1286="","",IF(ISNUMBER(--LEFT(A1286,FIND(" - ",A1286&amp;" - ")-1)),LEFT(A1286,FIND(" - ",A1286&amp;" - ")-1),TRIM(A1286)))</f>
        <v/>
      </c>
      <c r="N1286">
        <f>IF(L1286="","",IF(ISNUMBER(INDEX(A1286:H1286,$P$1)),INDEX(A1286:H1286,$P$1),IFERROR(_xlfn.NUMBERVALUE(INDEX(A1286:H1286,$P$1),".",","),0)))</f>
        <v/>
      </c>
    </row>
    <row r="1287">
      <c r="L1287">
        <f>IF(A1287="","",IF(ISNUMBER(--LEFT(A1287,FIND(" - ",A1287&amp;" - ")-1)),LEFT(A1287,FIND(" - ",A1287&amp;" - ")-1),TRIM(A1287)))</f>
        <v/>
      </c>
      <c r="N1287">
        <f>IF(L1287="","",IF(ISNUMBER(INDEX(A1287:H1287,$P$1)),INDEX(A1287:H1287,$P$1),IFERROR(_xlfn.NUMBERVALUE(INDEX(A1287:H1287,$P$1),".",","),0)))</f>
        <v/>
      </c>
    </row>
    <row r="1288">
      <c r="L1288">
        <f>IF(A1288="","",IF(ISNUMBER(--LEFT(A1288,FIND(" - ",A1288&amp;" - ")-1)),LEFT(A1288,FIND(" - ",A1288&amp;" - ")-1),TRIM(A1288)))</f>
        <v/>
      </c>
      <c r="N1288">
        <f>IF(L1288="","",IF(ISNUMBER(INDEX(A1288:H1288,$P$1)),INDEX(A1288:H1288,$P$1),IFERROR(_xlfn.NUMBERVALUE(INDEX(A1288:H1288,$P$1),".",","),0)))</f>
        <v/>
      </c>
    </row>
    <row r="1289">
      <c r="L1289">
        <f>IF(A1289="","",IF(ISNUMBER(--LEFT(A1289,FIND(" - ",A1289&amp;" - ")-1)),LEFT(A1289,FIND(" - ",A1289&amp;" - ")-1),TRIM(A1289)))</f>
        <v/>
      </c>
      <c r="N1289">
        <f>IF(L1289="","",IF(ISNUMBER(INDEX(A1289:H1289,$P$1)),INDEX(A1289:H1289,$P$1),IFERROR(_xlfn.NUMBERVALUE(INDEX(A1289:H1289,$P$1),".",","),0)))</f>
        <v/>
      </c>
    </row>
    <row r="1290">
      <c r="L1290">
        <f>IF(A1290="","",IF(ISNUMBER(--LEFT(A1290,FIND(" - ",A1290&amp;" - ")-1)),LEFT(A1290,FIND(" - ",A1290&amp;" - ")-1),TRIM(A1290)))</f>
        <v/>
      </c>
      <c r="N1290">
        <f>IF(L1290="","",IF(ISNUMBER(INDEX(A1290:H1290,$P$1)),INDEX(A1290:H1290,$P$1),IFERROR(_xlfn.NUMBERVALUE(INDEX(A1290:H1290,$P$1),".",","),0)))</f>
        <v/>
      </c>
    </row>
    <row r="1291">
      <c r="L1291">
        <f>IF(A1291="","",IF(ISNUMBER(--LEFT(A1291,FIND(" - ",A1291&amp;" - ")-1)),LEFT(A1291,FIND(" - ",A1291&amp;" - ")-1),TRIM(A1291)))</f>
        <v/>
      </c>
      <c r="N1291">
        <f>IF(L1291="","",IF(ISNUMBER(INDEX(A1291:H1291,$P$1)),INDEX(A1291:H1291,$P$1),IFERROR(_xlfn.NUMBERVALUE(INDEX(A1291:H1291,$P$1),".",","),0)))</f>
        <v/>
      </c>
    </row>
    <row r="1292">
      <c r="L1292">
        <f>IF(A1292="","",IF(ISNUMBER(--LEFT(A1292,FIND(" - ",A1292&amp;" - ")-1)),LEFT(A1292,FIND(" - ",A1292&amp;" - ")-1),TRIM(A1292)))</f>
        <v/>
      </c>
      <c r="N1292">
        <f>IF(L1292="","",IF(ISNUMBER(INDEX(A1292:H1292,$P$1)),INDEX(A1292:H1292,$P$1),IFERROR(_xlfn.NUMBERVALUE(INDEX(A1292:H1292,$P$1),".",","),0)))</f>
        <v/>
      </c>
    </row>
    <row r="1293">
      <c r="L1293">
        <f>IF(A1293="","",IF(ISNUMBER(--LEFT(A1293,FIND(" - ",A1293&amp;" - ")-1)),LEFT(A1293,FIND(" - ",A1293&amp;" - ")-1),TRIM(A1293)))</f>
        <v/>
      </c>
      <c r="N1293">
        <f>IF(L1293="","",IF(ISNUMBER(INDEX(A1293:H1293,$P$1)),INDEX(A1293:H1293,$P$1),IFERROR(_xlfn.NUMBERVALUE(INDEX(A1293:H1293,$P$1),".",","),0)))</f>
        <v/>
      </c>
    </row>
    <row r="1294">
      <c r="L1294">
        <f>IF(A1294="","",IF(ISNUMBER(--LEFT(A1294,FIND(" - ",A1294&amp;" - ")-1)),LEFT(A1294,FIND(" - ",A1294&amp;" - ")-1),TRIM(A1294)))</f>
        <v/>
      </c>
      <c r="N1294">
        <f>IF(L1294="","",IF(ISNUMBER(INDEX(A1294:H1294,$P$1)),INDEX(A1294:H1294,$P$1),IFERROR(_xlfn.NUMBERVALUE(INDEX(A1294:H1294,$P$1),".",","),0)))</f>
        <v/>
      </c>
    </row>
    <row r="1295">
      <c r="L1295">
        <f>IF(A1295="","",IF(ISNUMBER(--LEFT(A1295,FIND(" - ",A1295&amp;" - ")-1)),LEFT(A1295,FIND(" - ",A1295&amp;" - ")-1),TRIM(A1295)))</f>
        <v/>
      </c>
      <c r="N1295">
        <f>IF(L1295="","",IF(ISNUMBER(INDEX(A1295:H1295,$P$1)),INDEX(A1295:H1295,$P$1),IFERROR(_xlfn.NUMBERVALUE(INDEX(A1295:H1295,$P$1),".",","),0)))</f>
        <v/>
      </c>
    </row>
    <row r="1296">
      <c r="L1296">
        <f>IF(A1296="","",IF(ISNUMBER(--LEFT(A1296,FIND(" - ",A1296&amp;" - ")-1)),LEFT(A1296,FIND(" - ",A1296&amp;" - ")-1),TRIM(A1296)))</f>
        <v/>
      </c>
      <c r="N1296">
        <f>IF(L1296="","",IF(ISNUMBER(INDEX(A1296:H1296,$P$1)),INDEX(A1296:H1296,$P$1),IFERROR(_xlfn.NUMBERVALUE(INDEX(A1296:H1296,$P$1),".",","),0)))</f>
        <v/>
      </c>
    </row>
    <row r="1297">
      <c r="L1297">
        <f>IF(A1297="","",IF(ISNUMBER(--LEFT(A1297,FIND(" - ",A1297&amp;" - ")-1)),LEFT(A1297,FIND(" - ",A1297&amp;" - ")-1),TRIM(A1297)))</f>
        <v/>
      </c>
      <c r="N1297">
        <f>IF(L1297="","",IF(ISNUMBER(INDEX(A1297:H1297,$P$1)),INDEX(A1297:H1297,$P$1),IFERROR(_xlfn.NUMBERVALUE(INDEX(A1297:H1297,$P$1),".",","),0)))</f>
        <v/>
      </c>
    </row>
    <row r="1298">
      <c r="L1298">
        <f>IF(A1298="","",IF(ISNUMBER(--LEFT(A1298,FIND(" - ",A1298&amp;" - ")-1)),LEFT(A1298,FIND(" - ",A1298&amp;" - ")-1),TRIM(A1298)))</f>
        <v/>
      </c>
      <c r="N1298">
        <f>IF(L1298="","",IF(ISNUMBER(INDEX(A1298:H1298,$P$1)),INDEX(A1298:H1298,$P$1),IFERROR(_xlfn.NUMBERVALUE(INDEX(A1298:H1298,$P$1),".",","),0)))</f>
        <v/>
      </c>
    </row>
    <row r="1299">
      <c r="L1299">
        <f>IF(A1299="","",IF(ISNUMBER(--LEFT(A1299,FIND(" - ",A1299&amp;" - ")-1)),LEFT(A1299,FIND(" - ",A1299&amp;" - ")-1),TRIM(A1299)))</f>
        <v/>
      </c>
      <c r="N1299">
        <f>IF(L1299="","",IF(ISNUMBER(INDEX(A1299:H1299,$P$1)),INDEX(A1299:H1299,$P$1),IFERROR(_xlfn.NUMBERVALUE(INDEX(A1299:H1299,$P$1),".",","),0)))</f>
        <v/>
      </c>
    </row>
    <row r="1300">
      <c r="L1300">
        <f>IF(A1300="","",IF(ISNUMBER(--LEFT(A1300,FIND(" - ",A1300&amp;" - ")-1)),LEFT(A1300,FIND(" - ",A1300&amp;" - ")-1),TRIM(A1300)))</f>
        <v/>
      </c>
      <c r="N1300">
        <f>IF(L1300="","",IF(ISNUMBER(INDEX(A1300:H1300,$P$1)),INDEX(A1300:H1300,$P$1),IFERROR(_xlfn.NUMBERVALUE(INDEX(A1300:H1300,$P$1),".",","),0)))</f>
        <v/>
      </c>
    </row>
    <row r="1301">
      <c r="L1301">
        <f>IF(A1301="","",IF(ISNUMBER(--LEFT(A1301,FIND(" - ",A1301&amp;" - ")-1)),LEFT(A1301,FIND(" - ",A1301&amp;" - ")-1),TRIM(A1301)))</f>
        <v/>
      </c>
      <c r="N1301">
        <f>IF(L1301="","",IF(ISNUMBER(INDEX(A1301:H1301,$P$1)),INDEX(A1301:H1301,$P$1),IFERROR(_xlfn.NUMBERVALUE(INDEX(A1301:H1301,$P$1),".",","),0)))</f>
        <v/>
      </c>
    </row>
    <row r="1302">
      <c r="L1302">
        <f>IF(A1302="","",IF(ISNUMBER(--LEFT(A1302,FIND(" - ",A1302&amp;" - ")-1)),LEFT(A1302,FIND(" - ",A1302&amp;" - ")-1),TRIM(A1302)))</f>
        <v/>
      </c>
      <c r="N1302">
        <f>IF(L1302="","",IF(ISNUMBER(INDEX(A1302:H1302,$P$1)),INDEX(A1302:H1302,$P$1),IFERROR(_xlfn.NUMBERVALUE(INDEX(A1302:H1302,$P$1),".",","),0)))</f>
        <v/>
      </c>
    </row>
    <row r="1303">
      <c r="L1303">
        <f>IF(A1303="","",IF(ISNUMBER(--LEFT(A1303,FIND(" - ",A1303&amp;" - ")-1)),LEFT(A1303,FIND(" - ",A1303&amp;" - ")-1),TRIM(A1303)))</f>
        <v/>
      </c>
      <c r="N1303">
        <f>IF(L1303="","",IF(ISNUMBER(INDEX(A1303:H1303,$P$1)),INDEX(A1303:H1303,$P$1),IFERROR(_xlfn.NUMBERVALUE(INDEX(A1303:H1303,$P$1),".",","),0)))</f>
        <v/>
      </c>
    </row>
    <row r="1304">
      <c r="L1304">
        <f>IF(A1304="","",IF(ISNUMBER(--LEFT(A1304,FIND(" - ",A1304&amp;" - ")-1)),LEFT(A1304,FIND(" - ",A1304&amp;" - ")-1),TRIM(A1304)))</f>
        <v/>
      </c>
      <c r="N1304">
        <f>IF(L1304="","",IF(ISNUMBER(INDEX(A1304:H1304,$P$1)),INDEX(A1304:H1304,$P$1),IFERROR(_xlfn.NUMBERVALUE(INDEX(A1304:H1304,$P$1),".",","),0)))</f>
        <v/>
      </c>
    </row>
    <row r="1305">
      <c r="L1305">
        <f>IF(A1305="","",IF(ISNUMBER(--LEFT(A1305,FIND(" - ",A1305&amp;" - ")-1)),LEFT(A1305,FIND(" - ",A1305&amp;" - ")-1),TRIM(A1305)))</f>
        <v/>
      </c>
      <c r="N1305">
        <f>IF(L1305="","",IF(ISNUMBER(INDEX(A1305:H1305,$P$1)),INDEX(A1305:H1305,$P$1),IFERROR(_xlfn.NUMBERVALUE(INDEX(A1305:H1305,$P$1),".",","),0)))</f>
        <v/>
      </c>
    </row>
    <row r="1306">
      <c r="L1306">
        <f>IF(A1306="","",IF(ISNUMBER(--LEFT(A1306,FIND(" - ",A1306&amp;" - ")-1)),LEFT(A1306,FIND(" - ",A1306&amp;" - ")-1),TRIM(A1306)))</f>
        <v/>
      </c>
      <c r="N1306">
        <f>IF(L1306="","",IF(ISNUMBER(INDEX(A1306:H1306,$P$1)),INDEX(A1306:H1306,$P$1),IFERROR(_xlfn.NUMBERVALUE(INDEX(A1306:H1306,$P$1),".",","),0)))</f>
        <v/>
      </c>
    </row>
    <row r="1307">
      <c r="L1307">
        <f>IF(A1307="","",IF(ISNUMBER(--LEFT(A1307,FIND(" - ",A1307&amp;" - ")-1)),LEFT(A1307,FIND(" - ",A1307&amp;" - ")-1),TRIM(A1307)))</f>
        <v/>
      </c>
      <c r="N1307">
        <f>IF(L1307="","",IF(ISNUMBER(INDEX(A1307:H1307,$P$1)),INDEX(A1307:H1307,$P$1),IFERROR(_xlfn.NUMBERVALUE(INDEX(A1307:H1307,$P$1),".",","),0)))</f>
        <v/>
      </c>
    </row>
    <row r="1308">
      <c r="L1308">
        <f>IF(A1308="","",IF(ISNUMBER(--LEFT(A1308,FIND(" - ",A1308&amp;" - ")-1)),LEFT(A1308,FIND(" - ",A1308&amp;" - ")-1),TRIM(A1308)))</f>
        <v/>
      </c>
      <c r="N1308">
        <f>IF(L1308="","",IF(ISNUMBER(INDEX(A1308:H1308,$P$1)),INDEX(A1308:H1308,$P$1),IFERROR(_xlfn.NUMBERVALUE(INDEX(A1308:H1308,$P$1),".",","),0)))</f>
        <v/>
      </c>
    </row>
    <row r="1309">
      <c r="L1309">
        <f>IF(A1309="","",IF(ISNUMBER(--LEFT(A1309,FIND(" - ",A1309&amp;" - ")-1)),LEFT(A1309,FIND(" - ",A1309&amp;" - ")-1),TRIM(A1309)))</f>
        <v/>
      </c>
      <c r="N1309">
        <f>IF(L1309="","",IF(ISNUMBER(INDEX(A1309:H1309,$P$1)),INDEX(A1309:H1309,$P$1),IFERROR(_xlfn.NUMBERVALUE(INDEX(A1309:H1309,$P$1),".",","),0)))</f>
        <v/>
      </c>
    </row>
    <row r="1310">
      <c r="L1310">
        <f>IF(A1310="","",IF(ISNUMBER(--LEFT(A1310,FIND(" - ",A1310&amp;" - ")-1)),LEFT(A1310,FIND(" - ",A1310&amp;" - ")-1),TRIM(A1310)))</f>
        <v/>
      </c>
      <c r="N1310">
        <f>IF(L1310="","",IF(ISNUMBER(INDEX(A1310:H1310,$P$1)),INDEX(A1310:H1310,$P$1),IFERROR(_xlfn.NUMBERVALUE(INDEX(A1310:H1310,$P$1),".",","),0)))</f>
        <v/>
      </c>
    </row>
    <row r="1311">
      <c r="L1311">
        <f>IF(A1311="","",IF(ISNUMBER(--LEFT(A1311,FIND(" - ",A1311&amp;" - ")-1)),LEFT(A1311,FIND(" - ",A1311&amp;" - ")-1),TRIM(A1311)))</f>
        <v/>
      </c>
      <c r="N1311">
        <f>IF(L1311="","",IF(ISNUMBER(INDEX(A1311:H1311,$P$1)),INDEX(A1311:H1311,$P$1),IFERROR(_xlfn.NUMBERVALUE(INDEX(A1311:H1311,$P$1),".",","),0)))</f>
        <v/>
      </c>
    </row>
    <row r="1312">
      <c r="L1312">
        <f>IF(A1312="","",IF(ISNUMBER(--LEFT(A1312,FIND(" - ",A1312&amp;" - ")-1)),LEFT(A1312,FIND(" - ",A1312&amp;" - ")-1),TRIM(A1312)))</f>
        <v/>
      </c>
      <c r="N1312">
        <f>IF(L1312="","",IF(ISNUMBER(INDEX(A1312:H1312,$P$1)),INDEX(A1312:H1312,$P$1),IFERROR(_xlfn.NUMBERVALUE(INDEX(A1312:H1312,$P$1),".",","),0)))</f>
        <v/>
      </c>
    </row>
    <row r="1313">
      <c r="L1313">
        <f>IF(A1313="","",IF(ISNUMBER(--LEFT(A1313,FIND(" - ",A1313&amp;" - ")-1)),LEFT(A1313,FIND(" - ",A1313&amp;" - ")-1),TRIM(A1313)))</f>
        <v/>
      </c>
      <c r="N1313">
        <f>IF(L1313="","",IF(ISNUMBER(INDEX(A1313:H1313,$P$1)),INDEX(A1313:H1313,$P$1),IFERROR(_xlfn.NUMBERVALUE(INDEX(A1313:H1313,$P$1),".",","),0)))</f>
        <v/>
      </c>
    </row>
    <row r="1314">
      <c r="L1314">
        <f>IF(A1314="","",IF(ISNUMBER(--LEFT(A1314,FIND(" - ",A1314&amp;" - ")-1)),LEFT(A1314,FIND(" - ",A1314&amp;" - ")-1),TRIM(A1314)))</f>
        <v/>
      </c>
      <c r="N1314">
        <f>IF(L1314="","",IF(ISNUMBER(INDEX(A1314:H1314,$P$1)),INDEX(A1314:H1314,$P$1),IFERROR(_xlfn.NUMBERVALUE(INDEX(A1314:H1314,$P$1),".",","),0)))</f>
        <v/>
      </c>
    </row>
    <row r="1315">
      <c r="L1315">
        <f>IF(A1315="","",IF(ISNUMBER(--LEFT(A1315,FIND(" - ",A1315&amp;" - ")-1)),LEFT(A1315,FIND(" - ",A1315&amp;" - ")-1),TRIM(A1315)))</f>
        <v/>
      </c>
      <c r="N1315">
        <f>IF(L1315="","",IF(ISNUMBER(INDEX(A1315:H1315,$P$1)),INDEX(A1315:H1315,$P$1),IFERROR(_xlfn.NUMBERVALUE(INDEX(A1315:H1315,$P$1),".",","),0)))</f>
        <v/>
      </c>
    </row>
    <row r="1316">
      <c r="L1316">
        <f>IF(A1316="","",IF(ISNUMBER(--LEFT(A1316,FIND(" - ",A1316&amp;" - ")-1)),LEFT(A1316,FIND(" - ",A1316&amp;" - ")-1),TRIM(A1316)))</f>
        <v/>
      </c>
      <c r="N1316">
        <f>IF(L1316="","",IF(ISNUMBER(INDEX(A1316:H1316,$P$1)),INDEX(A1316:H1316,$P$1),IFERROR(_xlfn.NUMBERVALUE(INDEX(A1316:H1316,$P$1),".",","),0)))</f>
        <v/>
      </c>
    </row>
    <row r="1317">
      <c r="L1317">
        <f>IF(A1317="","",IF(ISNUMBER(--LEFT(A1317,FIND(" - ",A1317&amp;" - ")-1)),LEFT(A1317,FIND(" - ",A1317&amp;" - ")-1),TRIM(A1317)))</f>
        <v/>
      </c>
      <c r="N1317">
        <f>IF(L1317="","",IF(ISNUMBER(INDEX(A1317:H1317,$P$1)),INDEX(A1317:H1317,$P$1),IFERROR(_xlfn.NUMBERVALUE(INDEX(A1317:H1317,$P$1),".",","),0)))</f>
        <v/>
      </c>
    </row>
    <row r="1318">
      <c r="L1318">
        <f>IF(A1318="","",IF(ISNUMBER(--LEFT(A1318,FIND(" - ",A1318&amp;" - ")-1)),LEFT(A1318,FIND(" - ",A1318&amp;" - ")-1),TRIM(A1318)))</f>
        <v/>
      </c>
      <c r="N1318">
        <f>IF(L1318="","",IF(ISNUMBER(INDEX(A1318:H1318,$P$1)),INDEX(A1318:H1318,$P$1),IFERROR(_xlfn.NUMBERVALUE(INDEX(A1318:H1318,$P$1),".",","),0)))</f>
        <v/>
      </c>
    </row>
    <row r="1319">
      <c r="L1319">
        <f>IF(A1319="","",IF(ISNUMBER(--LEFT(A1319,FIND(" - ",A1319&amp;" - ")-1)),LEFT(A1319,FIND(" - ",A1319&amp;" - ")-1),TRIM(A1319)))</f>
        <v/>
      </c>
      <c r="N1319">
        <f>IF(L1319="","",IF(ISNUMBER(INDEX(A1319:H1319,$P$1)),INDEX(A1319:H1319,$P$1),IFERROR(_xlfn.NUMBERVALUE(INDEX(A1319:H1319,$P$1),".",","),0)))</f>
        <v/>
      </c>
    </row>
    <row r="1320">
      <c r="L1320">
        <f>IF(A1320="","",IF(ISNUMBER(--LEFT(A1320,FIND(" - ",A1320&amp;" - ")-1)),LEFT(A1320,FIND(" - ",A1320&amp;" - ")-1),TRIM(A1320)))</f>
        <v/>
      </c>
      <c r="N1320">
        <f>IF(L1320="","",IF(ISNUMBER(INDEX(A1320:H1320,$P$1)),INDEX(A1320:H1320,$P$1),IFERROR(_xlfn.NUMBERVALUE(INDEX(A1320:H1320,$P$1),".",","),0)))</f>
        <v/>
      </c>
    </row>
    <row r="1321">
      <c r="L1321">
        <f>IF(A1321="","",IF(ISNUMBER(--LEFT(A1321,FIND(" - ",A1321&amp;" - ")-1)),LEFT(A1321,FIND(" - ",A1321&amp;" - ")-1),TRIM(A1321)))</f>
        <v/>
      </c>
      <c r="N1321">
        <f>IF(L1321="","",IF(ISNUMBER(INDEX(A1321:H1321,$P$1)),INDEX(A1321:H1321,$P$1),IFERROR(_xlfn.NUMBERVALUE(INDEX(A1321:H1321,$P$1),".",","),0)))</f>
        <v/>
      </c>
    </row>
    <row r="1322">
      <c r="L1322">
        <f>IF(A1322="","",IF(ISNUMBER(--LEFT(A1322,FIND(" - ",A1322&amp;" - ")-1)),LEFT(A1322,FIND(" - ",A1322&amp;" - ")-1),TRIM(A1322)))</f>
        <v/>
      </c>
      <c r="N1322">
        <f>IF(L1322="","",IF(ISNUMBER(INDEX(A1322:H1322,$P$1)),INDEX(A1322:H1322,$P$1),IFERROR(_xlfn.NUMBERVALUE(INDEX(A1322:H1322,$P$1),".",","),0)))</f>
        <v/>
      </c>
    </row>
    <row r="1323">
      <c r="L1323">
        <f>IF(A1323="","",IF(ISNUMBER(--LEFT(A1323,FIND(" - ",A1323&amp;" - ")-1)),LEFT(A1323,FIND(" - ",A1323&amp;" - ")-1),TRIM(A1323)))</f>
        <v/>
      </c>
      <c r="N1323">
        <f>IF(L1323="","",IF(ISNUMBER(INDEX(A1323:H1323,$P$1)),INDEX(A1323:H1323,$P$1),IFERROR(_xlfn.NUMBERVALUE(INDEX(A1323:H1323,$P$1),".",","),0)))</f>
        <v/>
      </c>
    </row>
    <row r="1324">
      <c r="L1324">
        <f>IF(A1324="","",IF(ISNUMBER(--LEFT(A1324,FIND(" - ",A1324&amp;" - ")-1)),LEFT(A1324,FIND(" - ",A1324&amp;" - ")-1),TRIM(A1324)))</f>
        <v/>
      </c>
      <c r="N1324">
        <f>IF(L1324="","",IF(ISNUMBER(INDEX(A1324:H1324,$P$1)),INDEX(A1324:H1324,$P$1),IFERROR(_xlfn.NUMBERVALUE(INDEX(A1324:H1324,$P$1),".",","),0)))</f>
        <v/>
      </c>
    </row>
    <row r="1325">
      <c r="L1325">
        <f>IF(A1325="","",IF(ISNUMBER(--LEFT(A1325,FIND(" - ",A1325&amp;" - ")-1)),LEFT(A1325,FIND(" - ",A1325&amp;" - ")-1),TRIM(A1325)))</f>
        <v/>
      </c>
      <c r="N1325">
        <f>IF(L1325="","",IF(ISNUMBER(INDEX(A1325:H1325,$P$1)),INDEX(A1325:H1325,$P$1),IFERROR(_xlfn.NUMBERVALUE(INDEX(A1325:H1325,$P$1),".",","),0)))</f>
        <v/>
      </c>
    </row>
    <row r="1326">
      <c r="L1326">
        <f>IF(A1326="","",IF(ISNUMBER(--LEFT(A1326,FIND(" - ",A1326&amp;" - ")-1)),LEFT(A1326,FIND(" - ",A1326&amp;" - ")-1),TRIM(A1326)))</f>
        <v/>
      </c>
      <c r="N1326">
        <f>IF(L1326="","",IF(ISNUMBER(INDEX(A1326:H1326,$P$1)),INDEX(A1326:H1326,$P$1),IFERROR(_xlfn.NUMBERVALUE(INDEX(A1326:H1326,$P$1),".",","),0)))</f>
        <v/>
      </c>
    </row>
    <row r="1327">
      <c r="L1327">
        <f>IF(A1327="","",IF(ISNUMBER(--LEFT(A1327,FIND(" - ",A1327&amp;" - ")-1)),LEFT(A1327,FIND(" - ",A1327&amp;" - ")-1),TRIM(A1327)))</f>
        <v/>
      </c>
      <c r="N1327">
        <f>IF(L1327="","",IF(ISNUMBER(INDEX(A1327:H1327,$P$1)),INDEX(A1327:H1327,$P$1),IFERROR(_xlfn.NUMBERVALUE(INDEX(A1327:H1327,$P$1),".",","),0)))</f>
        <v/>
      </c>
    </row>
    <row r="1328">
      <c r="L1328">
        <f>IF(A1328="","",IF(ISNUMBER(--LEFT(A1328,FIND(" - ",A1328&amp;" - ")-1)),LEFT(A1328,FIND(" - ",A1328&amp;" - ")-1),TRIM(A1328)))</f>
        <v/>
      </c>
      <c r="N1328">
        <f>IF(L1328="","",IF(ISNUMBER(INDEX(A1328:H1328,$P$1)),INDEX(A1328:H1328,$P$1),IFERROR(_xlfn.NUMBERVALUE(INDEX(A1328:H1328,$P$1),".",","),0)))</f>
        <v/>
      </c>
    </row>
    <row r="1329">
      <c r="L1329">
        <f>IF(A1329="","",IF(ISNUMBER(--LEFT(A1329,FIND(" - ",A1329&amp;" - ")-1)),LEFT(A1329,FIND(" - ",A1329&amp;" - ")-1),TRIM(A1329)))</f>
        <v/>
      </c>
      <c r="N1329">
        <f>IF(L1329="","",IF(ISNUMBER(INDEX(A1329:H1329,$P$1)),INDEX(A1329:H1329,$P$1),IFERROR(_xlfn.NUMBERVALUE(INDEX(A1329:H1329,$P$1),".",","),0)))</f>
        <v/>
      </c>
    </row>
    <row r="1330">
      <c r="L1330">
        <f>IF(A1330="","",IF(ISNUMBER(--LEFT(A1330,FIND(" - ",A1330&amp;" - ")-1)),LEFT(A1330,FIND(" - ",A1330&amp;" - ")-1),TRIM(A1330)))</f>
        <v/>
      </c>
      <c r="N1330">
        <f>IF(L1330="","",IF(ISNUMBER(INDEX(A1330:H1330,$P$1)),INDEX(A1330:H1330,$P$1),IFERROR(_xlfn.NUMBERVALUE(INDEX(A1330:H1330,$P$1),".",","),0)))</f>
        <v/>
      </c>
    </row>
    <row r="1331">
      <c r="L1331">
        <f>IF(A1331="","",IF(ISNUMBER(--LEFT(A1331,FIND(" - ",A1331&amp;" - ")-1)),LEFT(A1331,FIND(" - ",A1331&amp;" - ")-1),TRIM(A1331)))</f>
        <v/>
      </c>
      <c r="N1331">
        <f>IF(L1331="","",IF(ISNUMBER(INDEX(A1331:H1331,$P$1)),INDEX(A1331:H1331,$P$1),IFERROR(_xlfn.NUMBERVALUE(INDEX(A1331:H1331,$P$1),".",","),0)))</f>
        <v/>
      </c>
    </row>
    <row r="1332">
      <c r="L1332">
        <f>IF(A1332="","",IF(ISNUMBER(--LEFT(A1332,FIND(" - ",A1332&amp;" - ")-1)),LEFT(A1332,FIND(" - ",A1332&amp;" - ")-1),TRIM(A1332)))</f>
        <v/>
      </c>
      <c r="N1332">
        <f>IF(L1332="","",IF(ISNUMBER(INDEX(A1332:H1332,$P$1)),INDEX(A1332:H1332,$P$1),IFERROR(_xlfn.NUMBERVALUE(INDEX(A1332:H1332,$P$1),".",","),0)))</f>
        <v/>
      </c>
    </row>
    <row r="1333">
      <c r="L1333">
        <f>IF(A1333="","",IF(ISNUMBER(--LEFT(A1333,FIND(" - ",A1333&amp;" - ")-1)),LEFT(A1333,FIND(" - ",A1333&amp;" - ")-1),TRIM(A1333)))</f>
        <v/>
      </c>
      <c r="N1333">
        <f>IF(L1333="","",IF(ISNUMBER(INDEX(A1333:H1333,$P$1)),INDEX(A1333:H1333,$P$1),IFERROR(_xlfn.NUMBERVALUE(INDEX(A1333:H1333,$P$1),".",","),0)))</f>
        <v/>
      </c>
    </row>
    <row r="1334">
      <c r="L1334">
        <f>IF(A1334="","",IF(ISNUMBER(--LEFT(A1334,FIND(" - ",A1334&amp;" - ")-1)),LEFT(A1334,FIND(" - ",A1334&amp;" - ")-1),TRIM(A1334)))</f>
        <v/>
      </c>
      <c r="N1334">
        <f>IF(L1334="","",IF(ISNUMBER(INDEX(A1334:H1334,$P$1)),INDEX(A1334:H1334,$P$1),IFERROR(_xlfn.NUMBERVALUE(INDEX(A1334:H1334,$P$1),".",","),0)))</f>
        <v/>
      </c>
    </row>
    <row r="1335">
      <c r="L1335">
        <f>IF(A1335="","",IF(ISNUMBER(--LEFT(A1335,FIND(" - ",A1335&amp;" - ")-1)),LEFT(A1335,FIND(" - ",A1335&amp;" - ")-1),TRIM(A1335)))</f>
        <v/>
      </c>
      <c r="N1335">
        <f>IF(L1335="","",IF(ISNUMBER(INDEX(A1335:H1335,$P$1)),INDEX(A1335:H1335,$P$1),IFERROR(_xlfn.NUMBERVALUE(INDEX(A1335:H1335,$P$1),".",","),0)))</f>
        <v/>
      </c>
    </row>
    <row r="1336">
      <c r="L1336">
        <f>IF(A1336="","",IF(ISNUMBER(--LEFT(A1336,FIND(" - ",A1336&amp;" - ")-1)),LEFT(A1336,FIND(" - ",A1336&amp;" - ")-1),TRIM(A1336)))</f>
        <v/>
      </c>
      <c r="N1336">
        <f>IF(L1336="","",IF(ISNUMBER(INDEX(A1336:H1336,$P$1)),INDEX(A1336:H1336,$P$1),IFERROR(_xlfn.NUMBERVALUE(INDEX(A1336:H1336,$P$1),".",","),0)))</f>
        <v/>
      </c>
    </row>
    <row r="1337">
      <c r="L1337">
        <f>IF(A1337="","",IF(ISNUMBER(--LEFT(A1337,FIND(" - ",A1337&amp;" - ")-1)),LEFT(A1337,FIND(" - ",A1337&amp;" - ")-1),TRIM(A1337)))</f>
        <v/>
      </c>
      <c r="N1337">
        <f>IF(L1337="","",IF(ISNUMBER(INDEX(A1337:H1337,$P$1)),INDEX(A1337:H1337,$P$1),IFERROR(_xlfn.NUMBERVALUE(INDEX(A1337:H1337,$P$1),".",","),0)))</f>
        <v/>
      </c>
    </row>
    <row r="1338">
      <c r="L1338">
        <f>IF(A1338="","",IF(ISNUMBER(--LEFT(A1338,FIND(" - ",A1338&amp;" - ")-1)),LEFT(A1338,FIND(" - ",A1338&amp;" - ")-1),TRIM(A1338)))</f>
        <v/>
      </c>
      <c r="N1338">
        <f>IF(L1338="","",IF(ISNUMBER(INDEX(A1338:H1338,$P$1)),INDEX(A1338:H1338,$P$1),IFERROR(_xlfn.NUMBERVALUE(INDEX(A1338:H1338,$P$1),".",","),0)))</f>
        <v/>
      </c>
    </row>
    <row r="1339">
      <c r="L1339">
        <f>IF(A1339="","",IF(ISNUMBER(--LEFT(A1339,FIND(" - ",A1339&amp;" - ")-1)),LEFT(A1339,FIND(" - ",A1339&amp;" - ")-1),TRIM(A1339)))</f>
        <v/>
      </c>
      <c r="N1339">
        <f>IF(L1339="","",IF(ISNUMBER(INDEX(A1339:H1339,$P$1)),INDEX(A1339:H1339,$P$1),IFERROR(_xlfn.NUMBERVALUE(INDEX(A1339:H1339,$P$1),".",","),0)))</f>
        <v/>
      </c>
    </row>
    <row r="1340">
      <c r="L1340">
        <f>IF(A1340="","",IF(ISNUMBER(--LEFT(A1340,FIND(" - ",A1340&amp;" - ")-1)),LEFT(A1340,FIND(" - ",A1340&amp;" - ")-1),TRIM(A1340)))</f>
        <v/>
      </c>
      <c r="N1340">
        <f>IF(L1340="","",IF(ISNUMBER(INDEX(A1340:H1340,$P$1)),INDEX(A1340:H1340,$P$1),IFERROR(_xlfn.NUMBERVALUE(INDEX(A1340:H1340,$P$1),".",","),0)))</f>
        <v/>
      </c>
    </row>
    <row r="1341">
      <c r="L1341">
        <f>IF(A1341="","",IF(ISNUMBER(--LEFT(A1341,FIND(" - ",A1341&amp;" - ")-1)),LEFT(A1341,FIND(" - ",A1341&amp;" - ")-1),TRIM(A1341)))</f>
        <v/>
      </c>
      <c r="N1341">
        <f>IF(L1341="","",IF(ISNUMBER(INDEX(A1341:H1341,$P$1)),INDEX(A1341:H1341,$P$1),IFERROR(_xlfn.NUMBERVALUE(INDEX(A1341:H1341,$P$1),".",","),0)))</f>
        <v/>
      </c>
    </row>
    <row r="1342">
      <c r="L1342">
        <f>IF(A1342="","",IF(ISNUMBER(--LEFT(A1342,FIND(" - ",A1342&amp;" - ")-1)),LEFT(A1342,FIND(" - ",A1342&amp;" - ")-1),TRIM(A1342)))</f>
        <v/>
      </c>
      <c r="N1342">
        <f>IF(L1342="","",IF(ISNUMBER(INDEX(A1342:H1342,$P$1)),INDEX(A1342:H1342,$P$1),IFERROR(_xlfn.NUMBERVALUE(INDEX(A1342:H1342,$P$1),".",","),0)))</f>
        <v/>
      </c>
    </row>
    <row r="1343">
      <c r="L1343">
        <f>IF(A1343="","",IF(ISNUMBER(--LEFT(A1343,FIND(" - ",A1343&amp;" - ")-1)),LEFT(A1343,FIND(" - ",A1343&amp;" - ")-1),TRIM(A1343)))</f>
        <v/>
      </c>
      <c r="N1343">
        <f>IF(L1343="","",IF(ISNUMBER(INDEX(A1343:H1343,$P$1)),INDEX(A1343:H1343,$P$1),IFERROR(_xlfn.NUMBERVALUE(INDEX(A1343:H1343,$P$1),".",","),0)))</f>
        <v/>
      </c>
    </row>
    <row r="1344">
      <c r="L1344">
        <f>IF(A1344="","",IF(ISNUMBER(--LEFT(A1344,FIND(" - ",A1344&amp;" - ")-1)),LEFT(A1344,FIND(" - ",A1344&amp;" - ")-1),TRIM(A1344)))</f>
        <v/>
      </c>
      <c r="N1344">
        <f>IF(L1344="","",IF(ISNUMBER(INDEX(A1344:H1344,$P$1)),INDEX(A1344:H1344,$P$1),IFERROR(_xlfn.NUMBERVALUE(INDEX(A1344:H1344,$P$1),".",","),0)))</f>
        <v/>
      </c>
    </row>
    <row r="1345">
      <c r="L1345">
        <f>IF(A1345="","",IF(ISNUMBER(--LEFT(A1345,FIND(" - ",A1345&amp;" - ")-1)),LEFT(A1345,FIND(" - ",A1345&amp;" - ")-1),TRIM(A1345)))</f>
        <v/>
      </c>
      <c r="N1345">
        <f>IF(L1345="","",IF(ISNUMBER(INDEX(A1345:H1345,$P$1)),INDEX(A1345:H1345,$P$1),IFERROR(_xlfn.NUMBERVALUE(INDEX(A1345:H1345,$P$1),".",","),0)))</f>
        <v/>
      </c>
    </row>
    <row r="1346">
      <c r="L1346">
        <f>IF(A1346="","",IF(ISNUMBER(--LEFT(A1346,FIND(" - ",A1346&amp;" - ")-1)),LEFT(A1346,FIND(" - ",A1346&amp;" - ")-1),TRIM(A1346)))</f>
        <v/>
      </c>
      <c r="N1346">
        <f>IF(L1346="","",IF(ISNUMBER(INDEX(A1346:H1346,$P$1)),INDEX(A1346:H1346,$P$1),IFERROR(_xlfn.NUMBERVALUE(INDEX(A1346:H1346,$P$1),".",","),0)))</f>
        <v/>
      </c>
    </row>
    <row r="1347">
      <c r="L1347">
        <f>IF(A1347="","",IF(ISNUMBER(--LEFT(A1347,FIND(" - ",A1347&amp;" - ")-1)),LEFT(A1347,FIND(" - ",A1347&amp;" - ")-1),TRIM(A1347)))</f>
        <v/>
      </c>
      <c r="N1347">
        <f>IF(L1347="","",IF(ISNUMBER(INDEX(A1347:H1347,$P$1)),INDEX(A1347:H1347,$P$1),IFERROR(_xlfn.NUMBERVALUE(INDEX(A1347:H1347,$P$1),".",","),0)))</f>
        <v/>
      </c>
    </row>
    <row r="1348">
      <c r="L1348">
        <f>IF(A1348="","",IF(ISNUMBER(--LEFT(A1348,FIND(" - ",A1348&amp;" - ")-1)),LEFT(A1348,FIND(" - ",A1348&amp;" - ")-1),TRIM(A1348)))</f>
        <v/>
      </c>
      <c r="N1348">
        <f>IF(L1348="","",IF(ISNUMBER(INDEX(A1348:H1348,$P$1)),INDEX(A1348:H1348,$P$1),IFERROR(_xlfn.NUMBERVALUE(INDEX(A1348:H1348,$P$1),".",","),0)))</f>
        <v/>
      </c>
    </row>
    <row r="1349">
      <c r="L1349">
        <f>IF(A1349="","",IF(ISNUMBER(--LEFT(A1349,FIND(" - ",A1349&amp;" - ")-1)),LEFT(A1349,FIND(" - ",A1349&amp;" - ")-1),TRIM(A1349)))</f>
        <v/>
      </c>
      <c r="N1349">
        <f>IF(L1349="","",IF(ISNUMBER(INDEX(A1349:H1349,$P$1)),INDEX(A1349:H1349,$P$1),IFERROR(_xlfn.NUMBERVALUE(INDEX(A1349:H1349,$P$1),".",","),0)))</f>
        <v/>
      </c>
    </row>
    <row r="1350">
      <c r="L1350">
        <f>IF(A1350="","",IF(ISNUMBER(--LEFT(A1350,FIND(" - ",A1350&amp;" - ")-1)),LEFT(A1350,FIND(" - ",A1350&amp;" - ")-1),TRIM(A1350)))</f>
        <v/>
      </c>
      <c r="N1350">
        <f>IF(L1350="","",IF(ISNUMBER(INDEX(A1350:H1350,$P$1)),INDEX(A1350:H1350,$P$1),IFERROR(_xlfn.NUMBERVALUE(INDEX(A1350:H1350,$P$1),".",","),0)))</f>
        <v/>
      </c>
    </row>
    <row r="1351">
      <c r="L1351">
        <f>IF(A1351="","",IF(ISNUMBER(--LEFT(A1351,FIND(" - ",A1351&amp;" - ")-1)),LEFT(A1351,FIND(" - ",A1351&amp;" - ")-1),TRIM(A1351)))</f>
        <v/>
      </c>
      <c r="N1351">
        <f>IF(L1351="","",IF(ISNUMBER(INDEX(A1351:H1351,$P$1)),INDEX(A1351:H1351,$P$1),IFERROR(_xlfn.NUMBERVALUE(INDEX(A1351:H1351,$P$1),".",","),0)))</f>
        <v/>
      </c>
    </row>
    <row r="1352">
      <c r="L1352">
        <f>IF(A1352="","",IF(ISNUMBER(--LEFT(A1352,FIND(" - ",A1352&amp;" - ")-1)),LEFT(A1352,FIND(" - ",A1352&amp;" - ")-1),TRIM(A1352)))</f>
        <v/>
      </c>
      <c r="N1352">
        <f>IF(L1352="","",IF(ISNUMBER(INDEX(A1352:H1352,$P$1)),INDEX(A1352:H1352,$P$1),IFERROR(_xlfn.NUMBERVALUE(INDEX(A1352:H1352,$P$1),".",","),0)))</f>
        <v/>
      </c>
    </row>
    <row r="1353">
      <c r="L1353">
        <f>IF(A1353="","",IF(ISNUMBER(--LEFT(A1353,FIND(" - ",A1353&amp;" - ")-1)),LEFT(A1353,FIND(" - ",A1353&amp;" - ")-1),TRIM(A1353)))</f>
        <v/>
      </c>
      <c r="N1353">
        <f>IF(L1353="","",IF(ISNUMBER(INDEX(A1353:H1353,$P$1)),INDEX(A1353:H1353,$P$1),IFERROR(_xlfn.NUMBERVALUE(INDEX(A1353:H1353,$P$1),".",","),0)))</f>
        <v/>
      </c>
    </row>
    <row r="1354">
      <c r="L1354">
        <f>IF(A1354="","",IF(ISNUMBER(--LEFT(A1354,FIND(" - ",A1354&amp;" - ")-1)),LEFT(A1354,FIND(" - ",A1354&amp;" - ")-1),TRIM(A1354)))</f>
        <v/>
      </c>
      <c r="N1354">
        <f>IF(L1354="","",IF(ISNUMBER(INDEX(A1354:H1354,$P$1)),INDEX(A1354:H1354,$P$1),IFERROR(_xlfn.NUMBERVALUE(INDEX(A1354:H1354,$P$1),".",","),0)))</f>
        <v/>
      </c>
    </row>
    <row r="1355">
      <c r="L1355">
        <f>IF(A1355="","",IF(ISNUMBER(--LEFT(A1355,FIND(" - ",A1355&amp;" - ")-1)),LEFT(A1355,FIND(" - ",A1355&amp;" - ")-1),TRIM(A1355)))</f>
        <v/>
      </c>
      <c r="N1355">
        <f>IF(L1355="","",IF(ISNUMBER(INDEX(A1355:H1355,$P$1)),INDEX(A1355:H1355,$P$1),IFERROR(_xlfn.NUMBERVALUE(INDEX(A1355:H1355,$P$1),".",","),0)))</f>
        <v/>
      </c>
    </row>
    <row r="1356">
      <c r="L1356">
        <f>IF(A1356="","",IF(ISNUMBER(--LEFT(A1356,FIND(" - ",A1356&amp;" - ")-1)),LEFT(A1356,FIND(" - ",A1356&amp;" - ")-1),TRIM(A1356)))</f>
        <v/>
      </c>
      <c r="N1356">
        <f>IF(L1356="","",IF(ISNUMBER(INDEX(A1356:H1356,$P$1)),INDEX(A1356:H1356,$P$1),IFERROR(_xlfn.NUMBERVALUE(INDEX(A1356:H1356,$P$1),".",","),0)))</f>
        <v/>
      </c>
    </row>
    <row r="1357">
      <c r="L1357">
        <f>IF(A1357="","",IF(ISNUMBER(--LEFT(A1357,FIND(" - ",A1357&amp;" - ")-1)),LEFT(A1357,FIND(" - ",A1357&amp;" - ")-1),TRIM(A1357)))</f>
        <v/>
      </c>
      <c r="N1357">
        <f>IF(L1357="","",IF(ISNUMBER(INDEX(A1357:H1357,$P$1)),INDEX(A1357:H1357,$P$1),IFERROR(_xlfn.NUMBERVALUE(INDEX(A1357:H1357,$P$1),".",","),0)))</f>
        <v/>
      </c>
    </row>
    <row r="1358">
      <c r="L1358">
        <f>IF(A1358="","",IF(ISNUMBER(--LEFT(A1358,FIND(" - ",A1358&amp;" - ")-1)),LEFT(A1358,FIND(" - ",A1358&amp;" - ")-1),TRIM(A1358)))</f>
        <v/>
      </c>
      <c r="N1358">
        <f>IF(L1358="","",IF(ISNUMBER(INDEX(A1358:H1358,$P$1)),INDEX(A1358:H1358,$P$1),IFERROR(_xlfn.NUMBERVALUE(INDEX(A1358:H1358,$P$1),".",","),0)))</f>
        <v/>
      </c>
    </row>
    <row r="1359">
      <c r="L1359">
        <f>IF(A1359="","",IF(ISNUMBER(--LEFT(A1359,FIND(" - ",A1359&amp;" - ")-1)),LEFT(A1359,FIND(" - ",A1359&amp;" - ")-1),TRIM(A1359)))</f>
        <v/>
      </c>
      <c r="N1359">
        <f>IF(L1359="","",IF(ISNUMBER(INDEX(A1359:H1359,$P$1)),INDEX(A1359:H1359,$P$1),IFERROR(_xlfn.NUMBERVALUE(INDEX(A1359:H1359,$P$1),".",","),0)))</f>
        <v/>
      </c>
    </row>
    <row r="1360">
      <c r="L1360">
        <f>IF(A1360="","",IF(ISNUMBER(--LEFT(A1360,FIND(" - ",A1360&amp;" - ")-1)),LEFT(A1360,FIND(" - ",A1360&amp;" - ")-1),TRIM(A1360)))</f>
        <v/>
      </c>
      <c r="N1360">
        <f>IF(L1360="","",IF(ISNUMBER(INDEX(A1360:H1360,$P$1)),INDEX(A1360:H1360,$P$1),IFERROR(_xlfn.NUMBERVALUE(INDEX(A1360:H1360,$P$1),".",","),0)))</f>
        <v/>
      </c>
    </row>
    <row r="1361">
      <c r="L1361">
        <f>IF(A1361="","",IF(ISNUMBER(--LEFT(A1361,FIND(" - ",A1361&amp;" - ")-1)),LEFT(A1361,FIND(" - ",A1361&amp;" - ")-1),TRIM(A1361)))</f>
        <v/>
      </c>
      <c r="N1361">
        <f>IF(L1361="","",IF(ISNUMBER(INDEX(A1361:H1361,$P$1)),INDEX(A1361:H1361,$P$1),IFERROR(_xlfn.NUMBERVALUE(INDEX(A1361:H1361,$P$1),".",","),0)))</f>
        <v/>
      </c>
    </row>
    <row r="1362">
      <c r="L1362">
        <f>IF(A1362="","",IF(ISNUMBER(--LEFT(A1362,FIND(" - ",A1362&amp;" - ")-1)),LEFT(A1362,FIND(" - ",A1362&amp;" - ")-1),TRIM(A1362)))</f>
        <v/>
      </c>
      <c r="N1362">
        <f>IF(L1362="","",IF(ISNUMBER(INDEX(A1362:H1362,$P$1)),INDEX(A1362:H1362,$P$1),IFERROR(_xlfn.NUMBERVALUE(INDEX(A1362:H1362,$P$1),".",","),0)))</f>
        <v/>
      </c>
    </row>
    <row r="1363">
      <c r="L1363">
        <f>IF(A1363="","",IF(ISNUMBER(--LEFT(A1363,FIND(" - ",A1363&amp;" - ")-1)),LEFT(A1363,FIND(" - ",A1363&amp;" - ")-1),TRIM(A1363)))</f>
        <v/>
      </c>
      <c r="N1363">
        <f>IF(L1363="","",IF(ISNUMBER(INDEX(A1363:H1363,$P$1)),INDEX(A1363:H1363,$P$1),IFERROR(_xlfn.NUMBERVALUE(INDEX(A1363:H1363,$P$1),".",","),0)))</f>
        <v/>
      </c>
    </row>
    <row r="1364">
      <c r="L1364">
        <f>IF(A1364="","",IF(ISNUMBER(--LEFT(A1364,FIND(" - ",A1364&amp;" - ")-1)),LEFT(A1364,FIND(" - ",A1364&amp;" - ")-1),TRIM(A1364)))</f>
        <v/>
      </c>
      <c r="N1364">
        <f>IF(L1364="","",IF(ISNUMBER(INDEX(A1364:H1364,$P$1)),INDEX(A1364:H1364,$P$1),IFERROR(_xlfn.NUMBERVALUE(INDEX(A1364:H1364,$P$1),".",","),0)))</f>
        <v/>
      </c>
    </row>
    <row r="1365">
      <c r="L1365">
        <f>IF(A1365="","",IF(ISNUMBER(--LEFT(A1365,FIND(" - ",A1365&amp;" - ")-1)),LEFT(A1365,FIND(" - ",A1365&amp;" - ")-1),TRIM(A1365)))</f>
        <v/>
      </c>
      <c r="N1365">
        <f>IF(L1365="","",IF(ISNUMBER(INDEX(A1365:H1365,$P$1)),INDEX(A1365:H1365,$P$1),IFERROR(_xlfn.NUMBERVALUE(INDEX(A1365:H1365,$P$1),".",","),0)))</f>
        <v/>
      </c>
    </row>
    <row r="1366">
      <c r="L1366">
        <f>IF(A1366="","",IF(ISNUMBER(--LEFT(A1366,FIND(" - ",A1366&amp;" - ")-1)),LEFT(A1366,FIND(" - ",A1366&amp;" - ")-1),TRIM(A1366)))</f>
        <v/>
      </c>
      <c r="N1366">
        <f>IF(L1366="","",IF(ISNUMBER(INDEX(A1366:H1366,$P$1)),INDEX(A1366:H1366,$P$1),IFERROR(_xlfn.NUMBERVALUE(INDEX(A1366:H1366,$P$1),".",","),0)))</f>
        <v/>
      </c>
    </row>
    <row r="1367">
      <c r="L1367">
        <f>IF(A1367="","",IF(ISNUMBER(--LEFT(A1367,FIND(" - ",A1367&amp;" - ")-1)),LEFT(A1367,FIND(" - ",A1367&amp;" - ")-1),TRIM(A1367)))</f>
        <v/>
      </c>
      <c r="N1367">
        <f>IF(L1367="","",IF(ISNUMBER(INDEX(A1367:H1367,$P$1)),INDEX(A1367:H1367,$P$1),IFERROR(_xlfn.NUMBERVALUE(INDEX(A1367:H1367,$P$1),".",","),0)))</f>
        <v/>
      </c>
    </row>
    <row r="1368">
      <c r="L1368">
        <f>IF(A1368="","",IF(ISNUMBER(--LEFT(A1368,FIND(" - ",A1368&amp;" - ")-1)),LEFT(A1368,FIND(" - ",A1368&amp;" - ")-1),TRIM(A1368)))</f>
        <v/>
      </c>
      <c r="N1368">
        <f>IF(L1368="","",IF(ISNUMBER(INDEX(A1368:H1368,$P$1)),INDEX(A1368:H1368,$P$1),IFERROR(_xlfn.NUMBERVALUE(INDEX(A1368:H1368,$P$1),".",","),0)))</f>
        <v/>
      </c>
    </row>
    <row r="1369">
      <c r="L1369">
        <f>IF(A1369="","",IF(ISNUMBER(--LEFT(A1369,FIND(" - ",A1369&amp;" - ")-1)),LEFT(A1369,FIND(" - ",A1369&amp;" - ")-1),TRIM(A1369)))</f>
        <v/>
      </c>
      <c r="N1369">
        <f>IF(L1369="","",IF(ISNUMBER(INDEX(A1369:H1369,$P$1)),INDEX(A1369:H1369,$P$1),IFERROR(_xlfn.NUMBERVALUE(INDEX(A1369:H1369,$P$1),".",","),0)))</f>
        <v/>
      </c>
    </row>
    <row r="1370">
      <c r="L1370">
        <f>IF(A1370="","",IF(ISNUMBER(--LEFT(A1370,FIND(" - ",A1370&amp;" - ")-1)),LEFT(A1370,FIND(" - ",A1370&amp;" - ")-1),TRIM(A1370)))</f>
        <v/>
      </c>
      <c r="N1370">
        <f>IF(L1370="","",IF(ISNUMBER(INDEX(A1370:H1370,$P$1)),INDEX(A1370:H1370,$P$1),IFERROR(_xlfn.NUMBERVALUE(INDEX(A1370:H1370,$P$1),".",","),0)))</f>
        <v/>
      </c>
    </row>
    <row r="1371">
      <c r="L1371">
        <f>IF(A1371="","",IF(ISNUMBER(--LEFT(A1371,FIND(" - ",A1371&amp;" - ")-1)),LEFT(A1371,FIND(" - ",A1371&amp;" - ")-1),TRIM(A1371)))</f>
        <v/>
      </c>
      <c r="N1371">
        <f>IF(L1371="","",IF(ISNUMBER(INDEX(A1371:H1371,$P$1)),INDEX(A1371:H1371,$P$1),IFERROR(_xlfn.NUMBERVALUE(INDEX(A1371:H1371,$P$1),".",","),0)))</f>
        <v/>
      </c>
    </row>
    <row r="1372">
      <c r="L1372">
        <f>IF(A1372="","",IF(ISNUMBER(--LEFT(A1372,FIND(" - ",A1372&amp;" - ")-1)),LEFT(A1372,FIND(" - ",A1372&amp;" - ")-1),TRIM(A1372)))</f>
        <v/>
      </c>
      <c r="N1372">
        <f>IF(L1372="","",IF(ISNUMBER(INDEX(A1372:H1372,$P$1)),INDEX(A1372:H1372,$P$1),IFERROR(_xlfn.NUMBERVALUE(INDEX(A1372:H1372,$P$1),".",","),0)))</f>
        <v/>
      </c>
    </row>
    <row r="1373">
      <c r="L1373">
        <f>IF(A1373="","",IF(ISNUMBER(--LEFT(A1373,FIND(" - ",A1373&amp;" - ")-1)),LEFT(A1373,FIND(" - ",A1373&amp;" - ")-1),TRIM(A1373)))</f>
        <v/>
      </c>
      <c r="N1373">
        <f>IF(L1373="","",IF(ISNUMBER(INDEX(A1373:H1373,$P$1)),INDEX(A1373:H1373,$P$1),IFERROR(_xlfn.NUMBERVALUE(INDEX(A1373:H1373,$P$1),".",","),0)))</f>
        <v/>
      </c>
    </row>
    <row r="1374">
      <c r="L1374">
        <f>IF(A1374="","",IF(ISNUMBER(--LEFT(A1374,FIND(" - ",A1374&amp;" - ")-1)),LEFT(A1374,FIND(" - ",A1374&amp;" - ")-1),TRIM(A1374)))</f>
        <v/>
      </c>
      <c r="N1374">
        <f>IF(L1374="","",IF(ISNUMBER(INDEX(A1374:H1374,$P$1)),INDEX(A1374:H1374,$P$1),IFERROR(_xlfn.NUMBERVALUE(INDEX(A1374:H1374,$P$1),".",","),0)))</f>
        <v/>
      </c>
    </row>
    <row r="1375">
      <c r="L1375">
        <f>IF(A1375="","",IF(ISNUMBER(--LEFT(A1375,FIND(" - ",A1375&amp;" - ")-1)),LEFT(A1375,FIND(" - ",A1375&amp;" - ")-1),TRIM(A1375)))</f>
        <v/>
      </c>
      <c r="N1375">
        <f>IF(L1375="","",IF(ISNUMBER(INDEX(A1375:H1375,$P$1)),INDEX(A1375:H1375,$P$1),IFERROR(_xlfn.NUMBERVALUE(INDEX(A1375:H1375,$P$1),".",","),0)))</f>
        <v/>
      </c>
    </row>
    <row r="1376">
      <c r="L1376">
        <f>IF(A1376="","",IF(ISNUMBER(--LEFT(A1376,FIND(" - ",A1376&amp;" - ")-1)),LEFT(A1376,FIND(" - ",A1376&amp;" - ")-1),TRIM(A1376)))</f>
        <v/>
      </c>
      <c r="N1376">
        <f>IF(L1376="","",IF(ISNUMBER(INDEX(A1376:H1376,$P$1)),INDEX(A1376:H1376,$P$1),IFERROR(_xlfn.NUMBERVALUE(INDEX(A1376:H1376,$P$1),".",","),0)))</f>
        <v/>
      </c>
    </row>
    <row r="1377">
      <c r="L1377">
        <f>IF(A1377="","",IF(ISNUMBER(--LEFT(A1377,FIND(" - ",A1377&amp;" - ")-1)),LEFT(A1377,FIND(" - ",A1377&amp;" - ")-1),TRIM(A1377)))</f>
        <v/>
      </c>
      <c r="N1377">
        <f>IF(L1377="","",IF(ISNUMBER(INDEX(A1377:H1377,$P$1)),INDEX(A1377:H1377,$P$1),IFERROR(_xlfn.NUMBERVALUE(INDEX(A1377:H1377,$P$1),".",","),0)))</f>
        <v/>
      </c>
    </row>
    <row r="1378">
      <c r="L1378">
        <f>IF(A1378="","",IF(ISNUMBER(--LEFT(A1378,FIND(" - ",A1378&amp;" - ")-1)),LEFT(A1378,FIND(" - ",A1378&amp;" - ")-1),TRIM(A1378)))</f>
        <v/>
      </c>
      <c r="N1378">
        <f>IF(L1378="","",IF(ISNUMBER(INDEX(A1378:H1378,$P$1)),INDEX(A1378:H1378,$P$1),IFERROR(_xlfn.NUMBERVALUE(INDEX(A1378:H1378,$P$1),".",","),0)))</f>
        <v/>
      </c>
    </row>
    <row r="1379">
      <c r="L1379">
        <f>IF(A1379="","",IF(ISNUMBER(--LEFT(A1379,FIND(" - ",A1379&amp;" - ")-1)),LEFT(A1379,FIND(" - ",A1379&amp;" - ")-1),TRIM(A1379)))</f>
        <v/>
      </c>
      <c r="N1379">
        <f>IF(L1379="","",IF(ISNUMBER(INDEX(A1379:H1379,$P$1)),INDEX(A1379:H1379,$P$1),IFERROR(_xlfn.NUMBERVALUE(INDEX(A1379:H1379,$P$1),".",","),0)))</f>
        <v/>
      </c>
    </row>
    <row r="1380">
      <c r="L1380">
        <f>IF(A1380="","",IF(ISNUMBER(--LEFT(A1380,FIND(" - ",A1380&amp;" - ")-1)),LEFT(A1380,FIND(" - ",A1380&amp;" - ")-1),TRIM(A1380)))</f>
        <v/>
      </c>
      <c r="N1380">
        <f>IF(L1380="","",IF(ISNUMBER(INDEX(A1380:H1380,$P$1)),INDEX(A1380:H1380,$P$1),IFERROR(_xlfn.NUMBERVALUE(INDEX(A1380:H1380,$P$1),".",","),0)))</f>
        <v/>
      </c>
    </row>
    <row r="1381">
      <c r="L1381">
        <f>IF(A1381="","",IF(ISNUMBER(--LEFT(A1381,FIND(" - ",A1381&amp;" - ")-1)),LEFT(A1381,FIND(" - ",A1381&amp;" - ")-1),TRIM(A1381)))</f>
        <v/>
      </c>
      <c r="N1381">
        <f>IF(L1381="","",IF(ISNUMBER(INDEX(A1381:H1381,$P$1)),INDEX(A1381:H1381,$P$1),IFERROR(_xlfn.NUMBERVALUE(INDEX(A1381:H1381,$P$1),".",","),0)))</f>
        <v/>
      </c>
    </row>
    <row r="1382">
      <c r="L1382">
        <f>IF(A1382="","",IF(ISNUMBER(--LEFT(A1382,FIND(" - ",A1382&amp;" - ")-1)),LEFT(A1382,FIND(" - ",A1382&amp;" - ")-1),TRIM(A1382)))</f>
        <v/>
      </c>
      <c r="N1382">
        <f>IF(L1382="","",IF(ISNUMBER(INDEX(A1382:H1382,$P$1)),INDEX(A1382:H1382,$P$1),IFERROR(_xlfn.NUMBERVALUE(INDEX(A1382:H1382,$P$1),".",","),0)))</f>
        <v/>
      </c>
    </row>
    <row r="1383">
      <c r="L1383">
        <f>IF(A1383="","",IF(ISNUMBER(--LEFT(A1383,FIND(" - ",A1383&amp;" - ")-1)),LEFT(A1383,FIND(" - ",A1383&amp;" - ")-1),TRIM(A1383)))</f>
        <v/>
      </c>
      <c r="N1383">
        <f>IF(L1383="","",IF(ISNUMBER(INDEX(A1383:H1383,$P$1)),INDEX(A1383:H1383,$P$1),IFERROR(_xlfn.NUMBERVALUE(INDEX(A1383:H1383,$P$1),".",","),0)))</f>
        <v/>
      </c>
    </row>
    <row r="1384">
      <c r="L1384">
        <f>IF(A1384="","",IF(ISNUMBER(--LEFT(A1384,FIND(" - ",A1384&amp;" - ")-1)),LEFT(A1384,FIND(" - ",A1384&amp;" - ")-1),TRIM(A1384)))</f>
        <v/>
      </c>
      <c r="N1384">
        <f>IF(L1384="","",IF(ISNUMBER(INDEX(A1384:H1384,$P$1)),INDEX(A1384:H1384,$P$1),IFERROR(_xlfn.NUMBERVALUE(INDEX(A1384:H1384,$P$1),".",","),0)))</f>
        <v/>
      </c>
    </row>
    <row r="1385">
      <c r="L1385">
        <f>IF(A1385="","",IF(ISNUMBER(--LEFT(A1385,FIND(" - ",A1385&amp;" - ")-1)),LEFT(A1385,FIND(" - ",A1385&amp;" - ")-1),TRIM(A1385)))</f>
        <v/>
      </c>
      <c r="N1385">
        <f>IF(L1385="","",IF(ISNUMBER(INDEX(A1385:H1385,$P$1)),INDEX(A1385:H1385,$P$1),IFERROR(_xlfn.NUMBERVALUE(INDEX(A1385:H1385,$P$1),".",","),0)))</f>
        <v/>
      </c>
    </row>
    <row r="1386">
      <c r="L1386">
        <f>IF(A1386="","",IF(ISNUMBER(--LEFT(A1386,FIND(" - ",A1386&amp;" - ")-1)),LEFT(A1386,FIND(" - ",A1386&amp;" - ")-1),TRIM(A1386)))</f>
        <v/>
      </c>
      <c r="N1386">
        <f>IF(L1386="","",IF(ISNUMBER(INDEX(A1386:H1386,$P$1)),INDEX(A1386:H1386,$P$1),IFERROR(_xlfn.NUMBERVALUE(INDEX(A1386:H1386,$P$1),".",","),0)))</f>
        <v/>
      </c>
    </row>
    <row r="1387">
      <c r="L1387">
        <f>IF(A1387="","",IF(ISNUMBER(--LEFT(A1387,FIND(" - ",A1387&amp;" - ")-1)),LEFT(A1387,FIND(" - ",A1387&amp;" - ")-1),TRIM(A1387)))</f>
        <v/>
      </c>
      <c r="N1387">
        <f>IF(L1387="","",IF(ISNUMBER(INDEX(A1387:H1387,$P$1)),INDEX(A1387:H1387,$P$1),IFERROR(_xlfn.NUMBERVALUE(INDEX(A1387:H1387,$P$1),".",","),0)))</f>
        <v/>
      </c>
    </row>
    <row r="1388">
      <c r="L1388">
        <f>IF(A1388="","",IF(ISNUMBER(--LEFT(A1388,FIND(" - ",A1388&amp;" - ")-1)),LEFT(A1388,FIND(" - ",A1388&amp;" - ")-1),TRIM(A1388)))</f>
        <v/>
      </c>
      <c r="N1388">
        <f>IF(L1388="","",IF(ISNUMBER(INDEX(A1388:H1388,$P$1)),INDEX(A1388:H1388,$P$1),IFERROR(_xlfn.NUMBERVALUE(INDEX(A1388:H1388,$P$1),".",","),0)))</f>
        <v/>
      </c>
    </row>
    <row r="1389">
      <c r="L1389">
        <f>IF(A1389="","",IF(ISNUMBER(--LEFT(A1389,FIND(" - ",A1389&amp;" - ")-1)),LEFT(A1389,FIND(" - ",A1389&amp;" - ")-1),TRIM(A1389)))</f>
        <v/>
      </c>
      <c r="N1389">
        <f>IF(L1389="","",IF(ISNUMBER(INDEX(A1389:H1389,$P$1)),INDEX(A1389:H1389,$P$1),IFERROR(_xlfn.NUMBERVALUE(INDEX(A1389:H1389,$P$1),".",","),0)))</f>
        <v/>
      </c>
    </row>
    <row r="1390">
      <c r="L1390">
        <f>IF(A1390="","",IF(ISNUMBER(--LEFT(A1390,FIND(" - ",A1390&amp;" - ")-1)),LEFT(A1390,FIND(" - ",A1390&amp;" - ")-1),TRIM(A1390)))</f>
        <v/>
      </c>
      <c r="N1390">
        <f>IF(L1390="","",IF(ISNUMBER(INDEX(A1390:H1390,$P$1)),INDEX(A1390:H1390,$P$1),IFERROR(_xlfn.NUMBERVALUE(INDEX(A1390:H1390,$P$1),".",","),0)))</f>
        <v/>
      </c>
    </row>
    <row r="1391">
      <c r="L1391">
        <f>IF(A1391="","",IF(ISNUMBER(--LEFT(A1391,FIND(" - ",A1391&amp;" - ")-1)),LEFT(A1391,FIND(" - ",A1391&amp;" - ")-1),TRIM(A1391)))</f>
        <v/>
      </c>
      <c r="N1391">
        <f>IF(L1391="","",IF(ISNUMBER(INDEX(A1391:H1391,$P$1)),INDEX(A1391:H1391,$P$1),IFERROR(_xlfn.NUMBERVALUE(INDEX(A1391:H1391,$P$1),".",","),0)))</f>
        <v/>
      </c>
    </row>
    <row r="1392">
      <c r="L1392">
        <f>IF(A1392="","",IF(ISNUMBER(--LEFT(A1392,FIND(" - ",A1392&amp;" - ")-1)),LEFT(A1392,FIND(" - ",A1392&amp;" - ")-1),TRIM(A1392)))</f>
        <v/>
      </c>
      <c r="N1392">
        <f>IF(L1392="","",IF(ISNUMBER(INDEX(A1392:H1392,$P$1)),INDEX(A1392:H1392,$P$1),IFERROR(_xlfn.NUMBERVALUE(INDEX(A1392:H1392,$P$1),".",","),0)))</f>
        <v/>
      </c>
    </row>
    <row r="1393">
      <c r="L1393">
        <f>IF(A1393="","",IF(ISNUMBER(--LEFT(A1393,FIND(" - ",A1393&amp;" - ")-1)),LEFT(A1393,FIND(" - ",A1393&amp;" - ")-1),TRIM(A1393)))</f>
        <v/>
      </c>
      <c r="N1393">
        <f>IF(L1393="","",IF(ISNUMBER(INDEX(A1393:H1393,$P$1)),INDEX(A1393:H1393,$P$1),IFERROR(_xlfn.NUMBERVALUE(INDEX(A1393:H1393,$P$1),".",","),0)))</f>
        <v/>
      </c>
    </row>
    <row r="1394">
      <c r="L1394">
        <f>IF(A1394="","",IF(ISNUMBER(--LEFT(A1394,FIND(" - ",A1394&amp;" - ")-1)),LEFT(A1394,FIND(" - ",A1394&amp;" - ")-1),TRIM(A1394)))</f>
        <v/>
      </c>
      <c r="N1394">
        <f>IF(L1394="","",IF(ISNUMBER(INDEX(A1394:H1394,$P$1)),INDEX(A1394:H1394,$P$1),IFERROR(_xlfn.NUMBERVALUE(INDEX(A1394:H1394,$P$1),".",","),0)))</f>
        <v/>
      </c>
    </row>
    <row r="1395">
      <c r="L1395">
        <f>IF(A1395="","",IF(ISNUMBER(--LEFT(A1395,FIND(" - ",A1395&amp;" - ")-1)),LEFT(A1395,FIND(" - ",A1395&amp;" - ")-1),TRIM(A1395)))</f>
        <v/>
      </c>
      <c r="N1395">
        <f>IF(L1395="","",IF(ISNUMBER(INDEX(A1395:H1395,$P$1)),INDEX(A1395:H1395,$P$1),IFERROR(_xlfn.NUMBERVALUE(INDEX(A1395:H1395,$P$1),".",","),0)))</f>
        <v/>
      </c>
    </row>
    <row r="1396">
      <c r="L1396">
        <f>IF(A1396="","",IF(ISNUMBER(--LEFT(A1396,FIND(" - ",A1396&amp;" - ")-1)),LEFT(A1396,FIND(" - ",A1396&amp;" - ")-1),TRIM(A1396)))</f>
        <v/>
      </c>
      <c r="N1396">
        <f>IF(L1396="","",IF(ISNUMBER(INDEX(A1396:H1396,$P$1)),INDEX(A1396:H1396,$P$1),IFERROR(_xlfn.NUMBERVALUE(INDEX(A1396:H1396,$P$1),".",","),0)))</f>
        <v/>
      </c>
    </row>
    <row r="1397">
      <c r="L1397">
        <f>IF(A1397="","",IF(ISNUMBER(--LEFT(A1397,FIND(" - ",A1397&amp;" - ")-1)),LEFT(A1397,FIND(" - ",A1397&amp;" - ")-1),TRIM(A1397)))</f>
        <v/>
      </c>
      <c r="N1397">
        <f>IF(L1397="","",IF(ISNUMBER(INDEX(A1397:H1397,$P$1)),INDEX(A1397:H1397,$P$1),IFERROR(_xlfn.NUMBERVALUE(INDEX(A1397:H1397,$P$1),".",","),0)))</f>
        <v/>
      </c>
    </row>
    <row r="1398">
      <c r="L1398">
        <f>IF(A1398="","",IF(ISNUMBER(--LEFT(A1398,FIND(" - ",A1398&amp;" - ")-1)),LEFT(A1398,FIND(" - ",A1398&amp;" - ")-1),TRIM(A1398)))</f>
        <v/>
      </c>
      <c r="N1398">
        <f>IF(L1398="","",IF(ISNUMBER(INDEX(A1398:H1398,$P$1)),INDEX(A1398:H1398,$P$1),IFERROR(_xlfn.NUMBERVALUE(INDEX(A1398:H1398,$P$1),".",","),0)))</f>
        <v/>
      </c>
    </row>
    <row r="1399">
      <c r="L1399">
        <f>IF(A1399="","",IF(ISNUMBER(--LEFT(A1399,FIND(" - ",A1399&amp;" - ")-1)),LEFT(A1399,FIND(" - ",A1399&amp;" - ")-1),TRIM(A1399)))</f>
        <v/>
      </c>
      <c r="N1399">
        <f>IF(L1399="","",IF(ISNUMBER(INDEX(A1399:H1399,$P$1)),INDEX(A1399:H1399,$P$1),IFERROR(_xlfn.NUMBERVALUE(INDEX(A1399:H1399,$P$1),".",","),0)))</f>
        <v/>
      </c>
    </row>
    <row r="1400">
      <c r="L1400">
        <f>IF(A1400="","",IF(ISNUMBER(--LEFT(A1400,FIND(" - ",A1400&amp;" - ")-1)),LEFT(A1400,FIND(" - ",A1400&amp;" - ")-1),TRIM(A1400)))</f>
        <v/>
      </c>
      <c r="N1400">
        <f>IF(L1400="","",IF(ISNUMBER(INDEX(A1400:H1400,$P$1)),INDEX(A1400:H1400,$P$1),IFERROR(_xlfn.NUMBERVALUE(INDEX(A1400:H1400,$P$1),".",","),0)))</f>
        <v/>
      </c>
    </row>
    <row r="1401">
      <c r="L1401">
        <f>IF(A1401="","",IF(ISNUMBER(--LEFT(A1401,FIND(" - ",A1401&amp;" - ")-1)),LEFT(A1401,FIND(" - ",A1401&amp;" - ")-1),TRIM(A1401)))</f>
        <v/>
      </c>
      <c r="N1401">
        <f>IF(L1401="","",IF(ISNUMBER(INDEX(A1401:H1401,$P$1)),INDEX(A1401:H1401,$P$1),IFERROR(_xlfn.NUMBERVALUE(INDEX(A1401:H1401,$P$1),".",","),0)))</f>
        <v/>
      </c>
    </row>
    <row r="1402">
      <c r="L1402">
        <f>IF(A1402="","",IF(ISNUMBER(--LEFT(A1402,FIND(" - ",A1402&amp;" - ")-1)),LEFT(A1402,FIND(" - ",A1402&amp;" - ")-1),TRIM(A1402)))</f>
        <v/>
      </c>
      <c r="N1402">
        <f>IF(L1402="","",IF(ISNUMBER(INDEX(A1402:H1402,$P$1)),INDEX(A1402:H1402,$P$1),IFERROR(_xlfn.NUMBERVALUE(INDEX(A1402:H1402,$P$1),".",","),0)))</f>
        <v/>
      </c>
    </row>
    <row r="1403">
      <c r="L1403">
        <f>IF(A1403="","",IF(ISNUMBER(--LEFT(A1403,FIND(" - ",A1403&amp;" - ")-1)),LEFT(A1403,FIND(" - ",A1403&amp;" - ")-1),TRIM(A1403)))</f>
        <v/>
      </c>
      <c r="N1403">
        <f>IF(L1403="","",IF(ISNUMBER(INDEX(A1403:H1403,$P$1)),INDEX(A1403:H1403,$P$1),IFERROR(_xlfn.NUMBERVALUE(INDEX(A1403:H1403,$P$1),".",","),0)))</f>
        <v/>
      </c>
    </row>
    <row r="1404">
      <c r="L1404">
        <f>IF(A1404="","",IF(ISNUMBER(--LEFT(A1404,FIND(" - ",A1404&amp;" - ")-1)),LEFT(A1404,FIND(" - ",A1404&amp;" - ")-1),TRIM(A1404)))</f>
        <v/>
      </c>
      <c r="N1404">
        <f>IF(L1404="","",IF(ISNUMBER(INDEX(A1404:H1404,$P$1)),INDEX(A1404:H1404,$P$1),IFERROR(_xlfn.NUMBERVALUE(INDEX(A1404:H1404,$P$1),".",","),0)))</f>
        <v/>
      </c>
    </row>
    <row r="1405">
      <c r="L1405">
        <f>IF(A1405="","",IF(ISNUMBER(--LEFT(A1405,FIND(" - ",A1405&amp;" - ")-1)),LEFT(A1405,FIND(" - ",A1405&amp;" - ")-1),TRIM(A1405)))</f>
        <v/>
      </c>
      <c r="N1405">
        <f>IF(L1405="","",IF(ISNUMBER(INDEX(A1405:H1405,$P$1)),INDEX(A1405:H1405,$P$1),IFERROR(_xlfn.NUMBERVALUE(INDEX(A1405:H1405,$P$1),".",","),0)))</f>
        <v/>
      </c>
    </row>
    <row r="1406">
      <c r="L1406">
        <f>IF(A1406="","",IF(ISNUMBER(--LEFT(A1406,FIND(" - ",A1406&amp;" - ")-1)),LEFT(A1406,FIND(" - ",A1406&amp;" - ")-1),TRIM(A1406)))</f>
        <v/>
      </c>
      <c r="N1406">
        <f>IF(L1406="","",IF(ISNUMBER(INDEX(A1406:H1406,$P$1)),INDEX(A1406:H1406,$P$1),IFERROR(_xlfn.NUMBERVALUE(INDEX(A1406:H1406,$P$1),".",","),0)))</f>
        <v/>
      </c>
    </row>
    <row r="1407">
      <c r="L1407">
        <f>IF(A1407="","",IF(ISNUMBER(--LEFT(A1407,FIND(" - ",A1407&amp;" - ")-1)),LEFT(A1407,FIND(" - ",A1407&amp;" - ")-1),TRIM(A1407)))</f>
        <v/>
      </c>
      <c r="N1407">
        <f>IF(L1407="","",IF(ISNUMBER(INDEX(A1407:H1407,$P$1)),INDEX(A1407:H1407,$P$1),IFERROR(_xlfn.NUMBERVALUE(INDEX(A1407:H1407,$P$1),".",","),0)))</f>
        <v/>
      </c>
    </row>
    <row r="1408">
      <c r="L1408">
        <f>IF(A1408="","",IF(ISNUMBER(--LEFT(A1408,FIND(" - ",A1408&amp;" - ")-1)),LEFT(A1408,FIND(" - ",A1408&amp;" - ")-1),TRIM(A1408)))</f>
        <v/>
      </c>
      <c r="N1408">
        <f>IF(L1408="","",IF(ISNUMBER(INDEX(A1408:H1408,$P$1)),INDEX(A1408:H1408,$P$1),IFERROR(_xlfn.NUMBERVALUE(INDEX(A1408:H1408,$P$1),".",","),0)))</f>
        <v/>
      </c>
    </row>
    <row r="1409">
      <c r="L1409">
        <f>IF(A1409="","",IF(ISNUMBER(--LEFT(A1409,FIND(" - ",A1409&amp;" - ")-1)),LEFT(A1409,FIND(" - ",A1409&amp;" - ")-1),TRIM(A1409)))</f>
        <v/>
      </c>
      <c r="N1409">
        <f>IF(L1409="","",IF(ISNUMBER(INDEX(A1409:H1409,$P$1)),INDEX(A1409:H1409,$P$1),IFERROR(_xlfn.NUMBERVALUE(INDEX(A1409:H1409,$P$1),".",","),0)))</f>
        <v/>
      </c>
    </row>
    <row r="1410">
      <c r="L1410">
        <f>IF(A1410="","",IF(ISNUMBER(--LEFT(A1410,FIND(" - ",A1410&amp;" - ")-1)),LEFT(A1410,FIND(" - ",A1410&amp;" - ")-1),TRIM(A1410)))</f>
        <v/>
      </c>
      <c r="N1410">
        <f>IF(L1410="","",IF(ISNUMBER(INDEX(A1410:H1410,$P$1)),INDEX(A1410:H1410,$P$1),IFERROR(_xlfn.NUMBERVALUE(INDEX(A1410:H1410,$P$1),".",","),0)))</f>
        <v/>
      </c>
    </row>
    <row r="1411">
      <c r="L1411">
        <f>IF(A1411="","",IF(ISNUMBER(--LEFT(A1411,FIND(" - ",A1411&amp;" - ")-1)),LEFT(A1411,FIND(" - ",A1411&amp;" - ")-1),TRIM(A1411)))</f>
        <v/>
      </c>
      <c r="N1411">
        <f>IF(L1411="","",IF(ISNUMBER(INDEX(A1411:H1411,$P$1)),INDEX(A1411:H1411,$P$1),IFERROR(_xlfn.NUMBERVALUE(INDEX(A1411:H1411,$P$1),".",","),0)))</f>
        <v/>
      </c>
    </row>
    <row r="1412">
      <c r="L1412">
        <f>IF(A1412="","",IF(ISNUMBER(--LEFT(A1412,FIND(" - ",A1412&amp;" - ")-1)),LEFT(A1412,FIND(" - ",A1412&amp;" - ")-1),TRIM(A1412)))</f>
        <v/>
      </c>
      <c r="N1412">
        <f>IF(L1412="","",IF(ISNUMBER(INDEX(A1412:H1412,$P$1)),INDEX(A1412:H1412,$P$1),IFERROR(_xlfn.NUMBERVALUE(INDEX(A1412:H1412,$P$1),".",","),0)))</f>
        <v/>
      </c>
    </row>
    <row r="1413">
      <c r="L1413">
        <f>IF(A1413="","",IF(ISNUMBER(--LEFT(A1413,FIND(" - ",A1413&amp;" - ")-1)),LEFT(A1413,FIND(" - ",A1413&amp;" - ")-1),TRIM(A1413)))</f>
        <v/>
      </c>
      <c r="N1413">
        <f>IF(L1413="","",IF(ISNUMBER(INDEX(A1413:H1413,$P$1)),INDEX(A1413:H1413,$P$1),IFERROR(_xlfn.NUMBERVALUE(INDEX(A1413:H1413,$P$1),".",","),0)))</f>
        <v/>
      </c>
    </row>
    <row r="1414">
      <c r="L1414">
        <f>IF(A1414="","",IF(ISNUMBER(--LEFT(A1414,FIND(" - ",A1414&amp;" - ")-1)),LEFT(A1414,FIND(" - ",A1414&amp;" - ")-1),TRIM(A1414)))</f>
        <v/>
      </c>
      <c r="N1414">
        <f>IF(L1414="","",IF(ISNUMBER(INDEX(A1414:H1414,$P$1)),INDEX(A1414:H1414,$P$1),IFERROR(_xlfn.NUMBERVALUE(INDEX(A1414:H1414,$P$1),".",","),0)))</f>
        <v/>
      </c>
    </row>
    <row r="1415">
      <c r="L1415">
        <f>IF(A1415="","",IF(ISNUMBER(--LEFT(A1415,FIND(" - ",A1415&amp;" - ")-1)),LEFT(A1415,FIND(" - ",A1415&amp;" - ")-1),TRIM(A1415)))</f>
        <v/>
      </c>
      <c r="N1415">
        <f>IF(L1415="","",IF(ISNUMBER(INDEX(A1415:H1415,$P$1)),INDEX(A1415:H1415,$P$1),IFERROR(_xlfn.NUMBERVALUE(INDEX(A1415:H1415,$P$1),".",","),0)))</f>
        <v/>
      </c>
    </row>
    <row r="1416">
      <c r="L1416">
        <f>IF(A1416="","",IF(ISNUMBER(--LEFT(A1416,FIND(" - ",A1416&amp;" - ")-1)),LEFT(A1416,FIND(" - ",A1416&amp;" - ")-1),TRIM(A1416)))</f>
        <v/>
      </c>
      <c r="N1416">
        <f>IF(L1416="","",IF(ISNUMBER(INDEX(A1416:H1416,$P$1)),INDEX(A1416:H1416,$P$1),IFERROR(_xlfn.NUMBERVALUE(INDEX(A1416:H1416,$P$1),".",","),0)))</f>
        <v/>
      </c>
    </row>
    <row r="1417">
      <c r="L1417">
        <f>IF(A1417="","",IF(ISNUMBER(--LEFT(A1417,FIND(" - ",A1417&amp;" - ")-1)),LEFT(A1417,FIND(" - ",A1417&amp;" - ")-1),TRIM(A1417)))</f>
        <v/>
      </c>
      <c r="N1417">
        <f>IF(L1417="","",IF(ISNUMBER(INDEX(A1417:H1417,$P$1)),INDEX(A1417:H1417,$P$1),IFERROR(_xlfn.NUMBERVALUE(INDEX(A1417:H1417,$P$1),".",","),0)))</f>
        <v/>
      </c>
    </row>
    <row r="1418">
      <c r="L1418">
        <f>IF(A1418="","",IF(ISNUMBER(--LEFT(A1418,FIND(" - ",A1418&amp;" - ")-1)),LEFT(A1418,FIND(" - ",A1418&amp;" - ")-1),TRIM(A1418)))</f>
        <v/>
      </c>
      <c r="N1418">
        <f>IF(L1418="","",IF(ISNUMBER(INDEX(A1418:H1418,$P$1)),INDEX(A1418:H1418,$P$1),IFERROR(_xlfn.NUMBERVALUE(INDEX(A1418:H1418,$P$1),".",","),0)))</f>
        <v/>
      </c>
    </row>
    <row r="1419">
      <c r="L1419">
        <f>IF(A1419="","",IF(ISNUMBER(--LEFT(A1419,FIND(" - ",A1419&amp;" - ")-1)),LEFT(A1419,FIND(" - ",A1419&amp;" - ")-1),TRIM(A1419)))</f>
        <v/>
      </c>
      <c r="N1419">
        <f>IF(L1419="","",IF(ISNUMBER(INDEX(A1419:H1419,$P$1)),INDEX(A1419:H1419,$P$1),IFERROR(_xlfn.NUMBERVALUE(INDEX(A1419:H1419,$P$1),".",","),0)))</f>
        <v/>
      </c>
    </row>
    <row r="1420">
      <c r="L1420">
        <f>IF(A1420="","",IF(ISNUMBER(--LEFT(A1420,FIND(" - ",A1420&amp;" - ")-1)),LEFT(A1420,FIND(" - ",A1420&amp;" - ")-1),TRIM(A1420)))</f>
        <v/>
      </c>
      <c r="N1420">
        <f>IF(L1420="","",IF(ISNUMBER(INDEX(A1420:H1420,$P$1)),INDEX(A1420:H1420,$P$1),IFERROR(_xlfn.NUMBERVALUE(INDEX(A1420:H1420,$P$1),".",","),0)))</f>
        <v/>
      </c>
    </row>
    <row r="1421">
      <c r="L1421">
        <f>IF(A1421="","",IF(ISNUMBER(--LEFT(A1421,FIND(" - ",A1421&amp;" - ")-1)),LEFT(A1421,FIND(" - ",A1421&amp;" - ")-1),TRIM(A1421)))</f>
        <v/>
      </c>
      <c r="N1421">
        <f>IF(L1421="","",IF(ISNUMBER(INDEX(A1421:H1421,$P$1)),INDEX(A1421:H1421,$P$1),IFERROR(_xlfn.NUMBERVALUE(INDEX(A1421:H1421,$P$1),".",","),0)))</f>
        <v/>
      </c>
    </row>
    <row r="1422">
      <c r="L1422">
        <f>IF(A1422="","",IF(ISNUMBER(--LEFT(A1422,FIND(" - ",A1422&amp;" - ")-1)),LEFT(A1422,FIND(" - ",A1422&amp;" - ")-1),TRIM(A1422)))</f>
        <v/>
      </c>
      <c r="N1422">
        <f>IF(L1422="","",IF(ISNUMBER(INDEX(A1422:H1422,$P$1)),INDEX(A1422:H1422,$P$1),IFERROR(_xlfn.NUMBERVALUE(INDEX(A1422:H1422,$P$1),".",","),0)))</f>
        <v/>
      </c>
    </row>
    <row r="1423">
      <c r="L1423">
        <f>IF(A1423="","",IF(ISNUMBER(--LEFT(A1423,FIND(" - ",A1423&amp;" - ")-1)),LEFT(A1423,FIND(" - ",A1423&amp;" - ")-1),TRIM(A1423)))</f>
        <v/>
      </c>
      <c r="N1423">
        <f>IF(L1423="","",IF(ISNUMBER(INDEX(A1423:H1423,$P$1)),INDEX(A1423:H1423,$P$1),IFERROR(_xlfn.NUMBERVALUE(INDEX(A1423:H1423,$P$1),".",","),0)))</f>
        <v/>
      </c>
    </row>
    <row r="1424">
      <c r="L1424">
        <f>IF(A1424="","",IF(ISNUMBER(--LEFT(A1424,FIND(" - ",A1424&amp;" - ")-1)),LEFT(A1424,FIND(" - ",A1424&amp;" - ")-1),TRIM(A1424)))</f>
        <v/>
      </c>
      <c r="N1424">
        <f>IF(L1424="","",IF(ISNUMBER(INDEX(A1424:H1424,$P$1)),INDEX(A1424:H1424,$P$1),IFERROR(_xlfn.NUMBERVALUE(INDEX(A1424:H1424,$P$1),".",","),0)))</f>
        <v/>
      </c>
    </row>
    <row r="1425">
      <c r="L1425">
        <f>IF(A1425="","",IF(ISNUMBER(--LEFT(A1425,FIND(" - ",A1425&amp;" - ")-1)),LEFT(A1425,FIND(" - ",A1425&amp;" - ")-1),TRIM(A1425)))</f>
        <v/>
      </c>
      <c r="N1425">
        <f>IF(L1425="","",IF(ISNUMBER(INDEX(A1425:H1425,$P$1)),INDEX(A1425:H1425,$P$1),IFERROR(_xlfn.NUMBERVALUE(INDEX(A1425:H1425,$P$1),".",","),0)))</f>
        <v/>
      </c>
    </row>
    <row r="1426">
      <c r="L1426">
        <f>IF(A1426="","",IF(ISNUMBER(--LEFT(A1426,FIND(" - ",A1426&amp;" - ")-1)),LEFT(A1426,FIND(" - ",A1426&amp;" - ")-1),TRIM(A1426)))</f>
        <v/>
      </c>
      <c r="N1426">
        <f>IF(L1426="","",IF(ISNUMBER(INDEX(A1426:H1426,$P$1)),INDEX(A1426:H1426,$P$1),IFERROR(_xlfn.NUMBERVALUE(INDEX(A1426:H1426,$P$1),".",","),0)))</f>
        <v/>
      </c>
    </row>
    <row r="1427">
      <c r="L1427">
        <f>IF(A1427="","",IF(ISNUMBER(--LEFT(A1427,FIND(" - ",A1427&amp;" - ")-1)),LEFT(A1427,FIND(" - ",A1427&amp;" - ")-1),TRIM(A1427)))</f>
        <v/>
      </c>
      <c r="N1427">
        <f>IF(L1427="","",IF(ISNUMBER(INDEX(A1427:H1427,$P$1)),INDEX(A1427:H1427,$P$1),IFERROR(_xlfn.NUMBERVALUE(INDEX(A1427:H1427,$P$1),".",","),0)))</f>
        <v/>
      </c>
    </row>
    <row r="1428">
      <c r="L1428">
        <f>IF(A1428="","",IF(ISNUMBER(--LEFT(A1428,FIND(" - ",A1428&amp;" - ")-1)),LEFT(A1428,FIND(" - ",A1428&amp;" - ")-1),TRIM(A1428)))</f>
        <v/>
      </c>
      <c r="N1428">
        <f>IF(L1428="","",IF(ISNUMBER(INDEX(A1428:H1428,$P$1)),INDEX(A1428:H1428,$P$1),IFERROR(_xlfn.NUMBERVALUE(INDEX(A1428:H1428,$P$1),".",","),0)))</f>
        <v/>
      </c>
    </row>
    <row r="1429">
      <c r="L1429">
        <f>IF(A1429="","",IF(ISNUMBER(--LEFT(A1429,FIND(" - ",A1429&amp;" - ")-1)),LEFT(A1429,FIND(" - ",A1429&amp;" - ")-1),TRIM(A1429)))</f>
        <v/>
      </c>
      <c r="N1429">
        <f>IF(L1429="","",IF(ISNUMBER(INDEX(A1429:H1429,$P$1)),INDEX(A1429:H1429,$P$1),IFERROR(_xlfn.NUMBERVALUE(INDEX(A1429:H1429,$P$1),".",","),0)))</f>
        <v/>
      </c>
    </row>
    <row r="1430">
      <c r="L1430">
        <f>IF(A1430="","",IF(ISNUMBER(--LEFT(A1430,FIND(" - ",A1430&amp;" - ")-1)),LEFT(A1430,FIND(" - ",A1430&amp;" - ")-1),TRIM(A1430)))</f>
        <v/>
      </c>
      <c r="N1430">
        <f>IF(L1430="","",IF(ISNUMBER(INDEX(A1430:H1430,$P$1)),INDEX(A1430:H1430,$P$1),IFERROR(_xlfn.NUMBERVALUE(INDEX(A1430:H1430,$P$1),".",","),0)))</f>
        <v/>
      </c>
    </row>
    <row r="1431">
      <c r="L1431">
        <f>IF(A1431="","",IF(ISNUMBER(--LEFT(A1431,FIND(" - ",A1431&amp;" - ")-1)),LEFT(A1431,FIND(" - ",A1431&amp;" - ")-1),TRIM(A1431)))</f>
        <v/>
      </c>
      <c r="N1431">
        <f>IF(L1431="","",IF(ISNUMBER(INDEX(A1431:H1431,$P$1)),INDEX(A1431:H1431,$P$1),IFERROR(_xlfn.NUMBERVALUE(INDEX(A1431:H1431,$P$1),".",","),0)))</f>
        <v/>
      </c>
    </row>
    <row r="1432">
      <c r="L1432">
        <f>IF(A1432="","",IF(ISNUMBER(--LEFT(A1432,FIND(" - ",A1432&amp;" - ")-1)),LEFT(A1432,FIND(" - ",A1432&amp;" - ")-1),TRIM(A1432)))</f>
        <v/>
      </c>
      <c r="N1432">
        <f>IF(L1432="","",IF(ISNUMBER(INDEX(A1432:H1432,$P$1)),INDEX(A1432:H1432,$P$1),IFERROR(_xlfn.NUMBERVALUE(INDEX(A1432:H1432,$P$1),".",","),0)))</f>
        <v/>
      </c>
    </row>
    <row r="1433">
      <c r="L1433">
        <f>IF(A1433="","",IF(ISNUMBER(--LEFT(A1433,FIND(" - ",A1433&amp;" - ")-1)),LEFT(A1433,FIND(" - ",A1433&amp;" - ")-1),TRIM(A1433)))</f>
        <v/>
      </c>
      <c r="N1433">
        <f>IF(L1433="","",IF(ISNUMBER(INDEX(A1433:H1433,$P$1)),INDEX(A1433:H1433,$P$1),IFERROR(_xlfn.NUMBERVALUE(INDEX(A1433:H1433,$P$1),".",","),0)))</f>
        <v/>
      </c>
    </row>
    <row r="1434">
      <c r="L1434">
        <f>IF(A1434="","",IF(ISNUMBER(--LEFT(A1434,FIND(" - ",A1434&amp;" - ")-1)),LEFT(A1434,FIND(" - ",A1434&amp;" - ")-1),TRIM(A1434)))</f>
        <v/>
      </c>
      <c r="N1434">
        <f>IF(L1434="","",IF(ISNUMBER(INDEX(A1434:H1434,$P$1)),INDEX(A1434:H1434,$P$1),IFERROR(_xlfn.NUMBERVALUE(INDEX(A1434:H1434,$P$1),".",","),0)))</f>
        <v/>
      </c>
    </row>
    <row r="1435">
      <c r="L1435">
        <f>IF(A1435="","",IF(ISNUMBER(--LEFT(A1435,FIND(" - ",A1435&amp;" - ")-1)),LEFT(A1435,FIND(" - ",A1435&amp;" - ")-1),TRIM(A1435)))</f>
        <v/>
      </c>
      <c r="N1435">
        <f>IF(L1435="","",IF(ISNUMBER(INDEX(A1435:H1435,$P$1)),INDEX(A1435:H1435,$P$1),IFERROR(_xlfn.NUMBERVALUE(INDEX(A1435:H1435,$P$1),".",","),0)))</f>
        <v/>
      </c>
    </row>
    <row r="1436">
      <c r="L1436">
        <f>IF(A1436="","",IF(ISNUMBER(--LEFT(A1436,FIND(" - ",A1436&amp;" - ")-1)),LEFT(A1436,FIND(" - ",A1436&amp;" - ")-1),TRIM(A1436)))</f>
        <v/>
      </c>
      <c r="N1436">
        <f>IF(L1436="","",IF(ISNUMBER(INDEX(A1436:H1436,$P$1)),INDEX(A1436:H1436,$P$1),IFERROR(_xlfn.NUMBERVALUE(INDEX(A1436:H1436,$P$1),".",","),0)))</f>
        <v/>
      </c>
    </row>
    <row r="1437">
      <c r="L1437">
        <f>IF(A1437="","",IF(ISNUMBER(--LEFT(A1437,FIND(" - ",A1437&amp;" - ")-1)),LEFT(A1437,FIND(" - ",A1437&amp;" - ")-1),TRIM(A1437)))</f>
        <v/>
      </c>
      <c r="N1437">
        <f>IF(L1437="","",IF(ISNUMBER(INDEX(A1437:H1437,$P$1)),INDEX(A1437:H1437,$P$1),IFERROR(_xlfn.NUMBERVALUE(INDEX(A1437:H1437,$P$1),".",","),0)))</f>
        <v/>
      </c>
    </row>
    <row r="1438">
      <c r="L1438">
        <f>IF(A1438="","",IF(ISNUMBER(--LEFT(A1438,FIND(" - ",A1438&amp;" - ")-1)),LEFT(A1438,FIND(" - ",A1438&amp;" - ")-1),TRIM(A1438)))</f>
        <v/>
      </c>
      <c r="N1438">
        <f>IF(L1438="","",IF(ISNUMBER(INDEX(A1438:H1438,$P$1)),INDEX(A1438:H1438,$P$1),IFERROR(_xlfn.NUMBERVALUE(INDEX(A1438:H1438,$P$1),".",","),0)))</f>
        <v/>
      </c>
    </row>
    <row r="1439">
      <c r="L1439">
        <f>IF(A1439="","",IF(ISNUMBER(--LEFT(A1439,FIND(" - ",A1439&amp;" - ")-1)),LEFT(A1439,FIND(" - ",A1439&amp;" - ")-1),TRIM(A1439)))</f>
        <v/>
      </c>
      <c r="N1439">
        <f>IF(L1439="","",IF(ISNUMBER(INDEX(A1439:H1439,$P$1)),INDEX(A1439:H1439,$P$1),IFERROR(_xlfn.NUMBERVALUE(INDEX(A1439:H1439,$P$1),".",","),0)))</f>
        <v/>
      </c>
    </row>
    <row r="1440">
      <c r="L1440">
        <f>IF(A1440="","",IF(ISNUMBER(--LEFT(A1440,FIND(" - ",A1440&amp;" - ")-1)),LEFT(A1440,FIND(" - ",A1440&amp;" - ")-1),TRIM(A1440)))</f>
        <v/>
      </c>
      <c r="N1440">
        <f>IF(L1440="","",IF(ISNUMBER(INDEX(A1440:H1440,$P$1)),INDEX(A1440:H1440,$P$1),IFERROR(_xlfn.NUMBERVALUE(INDEX(A1440:H1440,$P$1),".",","),0)))</f>
        <v/>
      </c>
    </row>
    <row r="1441">
      <c r="L1441">
        <f>IF(A1441="","",IF(ISNUMBER(--LEFT(A1441,FIND(" - ",A1441&amp;" - ")-1)),LEFT(A1441,FIND(" - ",A1441&amp;" - ")-1),TRIM(A1441)))</f>
        <v/>
      </c>
      <c r="N1441">
        <f>IF(L1441="","",IF(ISNUMBER(INDEX(A1441:H1441,$P$1)),INDEX(A1441:H1441,$P$1),IFERROR(_xlfn.NUMBERVALUE(INDEX(A1441:H1441,$P$1),".",","),0)))</f>
        <v/>
      </c>
    </row>
    <row r="1442">
      <c r="L1442">
        <f>IF(A1442="","",IF(ISNUMBER(--LEFT(A1442,FIND(" - ",A1442&amp;" - ")-1)),LEFT(A1442,FIND(" - ",A1442&amp;" - ")-1),TRIM(A1442)))</f>
        <v/>
      </c>
      <c r="N1442">
        <f>IF(L1442="","",IF(ISNUMBER(INDEX(A1442:H1442,$P$1)),INDEX(A1442:H1442,$P$1),IFERROR(_xlfn.NUMBERVALUE(INDEX(A1442:H1442,$P$1),".",","),0)))</f>
        <v/>
      </c>
    </row>
    <row r="1443">
      <c r="L1443">
        <f>IF(A1443="","",IF(ISNUMBER(--LEFT(A1443,FIND(" - ",A1443&amp;" - ")-1)),LEFT(A1443,FIND(" - ",A1443&amp;" - ")-1),TRIM(A1443)))</f>
        <v/>
      </c>
      <c r="N1443">
        <f>IF(L1443="","",IF(ISNUMBER(INDEX(A1443:H1443,$P$1)),INDEX(A1443:H1443,$P$1),IFERROR(_xlfn.NUMBERVALUE(INDEX(A1443:H1443,$P$1),".",","),0)))</f>
        <v/>
      </c>
    </row>
    <row r="1444">
      <c r="L1444">
        <f>IF(A1444="","",IF(ISNUMBER(--LEFT(A1444,FIND(" - ",A1444&amp;" - ")-1)),LEFT(A1444,FIND(" - ",A1444&amp;" - ")-1),TRIM(A1444)))</f>
        <v/>
      </c>
      <c r="N1444">
        <f>IF(L1444="","",IF(ISNUMBER(INDEX(A1444:H1444,$P$1)),INDEX(A1444:H1444,$P$1),IFERROR(_xlfn.NUMBERVALUE(INDEX(A1444:H1444,$P$1),".",","),0)))</f>
        <v/>
      </c>
    </row>
    <row r="1445">
      <c r="L1445">
        <f>IF(A1445="","",IF(ISNUMBER(--LEFT(A1445,FIND(" - ",A1445&amp;" - ")-1)),LEFT(A1445,FIND(" - ",A1445&amp;" - ")-1),TRIM(A1445)))</f>
        <v/>
      </c>
      <c r="N1445">
        <f>IF(L1445="","",IF(ISNUMBER(INDEX(A1445:H1445,$P$1)),INDEX(A1445:H1445,$P$1),IFERROR(_xlfn.NUMBERVALUE(INDEX(A1445:H1445,$P$1),".",","),0)))</f>
        <v/>
      </c>
    </row>
    <row r="1446">
      <c r="L1446">
        <f>IF(A1446="","",IF(ISNUMBER(--LEFT(A1446,FIND(" - ",A1446&amp;" - ")-1)),LEFT(A1446,FIND(" - ",A1446&amp;" - ")-1),TRIM(A1446)))</f>
        <v/>
      </c>
      <c r="N1446">
        <f>IF(L1446="","",IF(ISNUMBER(INDEX(A1446:H1446,$P$1)),INDEX(A1446:H1446,$P$1),IFERROR(_xlfn.NUMBERVALUE(INDEX(A1446:H1446,$P$1),".",","),0)))</f>
        <v/>
      </c>
    </row>
    <row r="1447">
      <c r="L1447">
        <f>IF(A1447="","",IF(ISNUMBER(--LEFT(A1447,FIND(" - ",A1447&amp;" - ")-1)),LEFT(A1447,FIND(" - ",A1447&amp;" - ")-1),TRIM(A1447)))</f>
        <v/>
      </c>
      <c r="N1447">
        <f>IF(L1447="","",IF(ISNUMBER(INDEX(A1447:H1447,$P$1)),INDEX(A1447:H1447,$P$1),IFERROR(_xlfn.NUMBERVALUE(INDEX(A1447:H1447,$P$1),".",","),0)))</f>
        <v/>
      </c>
    </row>
    <row r="1448">
      <c r="L1448">
        <f>IF(A1448="","",IF(ISNUMBER(--LEFT(A1448,FIND(" - ",A1448&amp;" - ")-1)),LEFT(A1448,FIND(" - ",A1448&amp;" - ")-1),TRIM(A1448)))</f>
        <v/>
      </c>
      <c r="N1448">
        <f>IF(L1448="","",IF(ISNUMBER(INDEX(A1448:H1448,$P$1)),INDEX(A1448:H1448,$P$1),IFERROR(_xlfn.NUMBERVALUE(INDEX(A1448:H1448,$P$1),".",","),0)))</f>
        <v/>
      </c>
    </row>
    <row r="1449">
      <c r="L1449">
        <f>IF(A1449="","",IF(ISNUMBER(--LEFT(A1449,FIND(" - ",A1449&amp;" - ")-1)),LEFT(A1449,FIND(" - ",A1449&amp;" - ")-1),TRIM(A1449)))</f>
        <v/>
      </c>
      <c r="N1449">
        <f>IF(L1449="","",IF(ISNUMBER(INDEX(A1449:H1449,$P$1)),INDEX(A1449:H1449,$P$1),IFERROR(_xlfn.NUMBERVALUE(INDEX(A1449:H1449,$P$1),".",","),0)))</f>
        <v/>
      </c>
    </row>
    <row r="1450">
      <c r="L1450">
        <f>IF(A1450="","",IF(ISNUMBER(--LEFT(A1450,FIND(" - ",A1450&amp;" - ")-1)),LEFT(A1450,FIND(" - ",A1450&amp;" - ")-1),TRIM(A1450)))</f>
        <v/>
      </c>
      <c r="N1450">
        <f>IF(L1450="","",IF(ISNUMBER(INDEX(A1450:H1450,$P$1)),INDEX(A1450:H1450,$P$1),IFERROR(_xlfn.NUMBERVALUE(INDEX(A1450:H1450,$P$1),".",","),0)))</f>
        <v/>
      </c>
    </row>
    <row r="1451">
      <c r="L1451">
        <f>IF(A1451="","",IF(ISNUMBER(--LEFT(A1451,FIND(" - ",A1451&amp;" - ")-1)),LEFT(A1451,FIND(" - ",A1451&amp;" - ")-1),TRIM(A1451)))</f>
        <v/>
      </c>
      <c r="N1451">
        <f>IF(L1451="","",IF(ISNUMBER(INDEX(A1451:H1451,$P$1)),INDEX(A1451:H1451,$P$1),IFERROR(_xlfn.NUMBERVALUE(INDEX(A1451:H1451,$P$1),".",","),0)))</f>
        <v/>
      </c>
    </row>
    <row r="1452">
      <c r="L1452">
        <f>IF(A1452="","",IF(ISNUMBER(--LEFT(A1452,FIND(" - ",A1452&amp;" - ")-1)),LEFT(A1452,FIND(" - ",A1452&amp;" - ")-1),TRIM(A1452)))</f>
        <v/>
      </c>
      <c r="N1452">
        <f>IF(L1452="","",IF(ISNUMBER(INDEX(A1452:H1452,$P$1)),INDEX(A1452:H1452,$P$1),IFERROR(_xlfn.NUMBERVALUE(INDEX(A1452:H1452,$P$1),".",","),0)))</f>
        <v/>
      </c>
    </row>
    <row r="1453">
      <c r="L1453">
        <f>IF(A1453="","",IF(ISNUMBER(--LEFT(A1453,FIND(" - ",A1453&amp;" - ")-1)),LEFT(A1453,FIND(" - ",A1453&amp;" - ")-1),TRIM(A1453)))</f>
        <v/>
      </c>
      <c r="N1453">
        <f>IF(L1453="","",IF(ISNUMBER(INDEX(A1453:H1453,$P$1)),INDEX(A1453:H1453,$P$1),IFERROR(_xlfn.NUMBERVALUE(INDEX(A1453:H1453,$P$1),".",","),0)))</f>
        <v/>
      </c>
    </row>
    <row r="1454">
      <c r="L1454">
        <f>IF(A1454="","",IF(ISNUMBER(--LEFT(A1454,FIND(" - ",A1454&amp;" - ")-1)),LEFT(A1454,FIND(" - ",A1454&amp;" - ")-1),TRIM(A1454)))</f>
        <v/>
      </c>
      <c r="N1454">
        <f>IF(L1454="","",IF(ISNUMBER(INDEX(A1454:H1454,$P$1)),INDEX(A1454:H1454,$P$1),IFERROR(_xlfn.NUMBERVALUE(INDEX(A1454:H1454,$P$1),".",","),0)))</f>
        <v/>
      </c>
    </row>
    <row r="1455">
      <c r="L1455">
        <f>IF(A1455="","",IF(ISNUMBER(--LEFT(A1455,FIND(" - ",A1455&amp;" - ")-1)),LEFT(A1455,FIND(" - ",A1455&amp;" - ")-1),TRIM(A1455)))</f>
        <v/>
      </c>
      <c r="N1455">
        <f>IF(L1455="","",IF(ISNUMBER(INDEX(A1455:H1455,$P$1)),INDEX(A1455:H1455,$P$1),IFERROR(_xlfn.NUMBERVALUE(INDEX(A1455:H1455,$P$1),".",","),0)))</f>
        <v/>
      </c>
    </row>
    <row r="1456">
      <c r="L1456">
        <f>IF(A1456="","",IF(ISNUMBER(--LEFT(A1456,FIND(" - ",A1456&amp;" - ")-1)),LEFT(A1456,FIND(" - ",A1456&amp;" - ")-1),TRIM(A1456)))</f>
        <v/>
      </c>
      <c r="N1456">
        <f>IF(L1456="","",IF(ISNUMBER(INDEX(A1456:H1456,$P$1)),INDEX(A1456:H1456,$P$1),IFERROR(_xlfn.NUMBERVALUE(INDEX(A1456:H1456,$P$1),".",","),0)))</f>
        <v/>
      </c>
    </row>
    <row r="1457">
      <c r="L1457">
        <f>IF(A1457="","",IF(ISNUMBER(--LEFT(A1457,FIND(" - ",A1457&amp;" - ")-1)),LEFT(A1457,FIND(" - ",A1457&amp;" - ")-1),TRIM(A1457)))</f>
        <v/>
      </c>
      <c r="N1457">
        <f>IF(L1457="","",IF(ISNUMBER(INDEX(A1457:H1457,$P$1)),INDEX(A1457:H1457,$P$1),IFERROR(_xlfn.NUMBERVALUE(INDEX(A1457:H1457,$P$1),".",","),0)))</f>
        <v/>
      </c>
    </row>
    <row r="1458">
      <c r="L1458">
        <f>IF(A1458="","",IF(ISNUMBER(--LEFT(A1458,FIND(" - ",A1458&amp;" - ")-1)),LEFT(A1458,FIND(" - ",A1458&amp;" - ")-1),TRIM(A1458)))</f>
        <v/>
      </c>
      <c r="N1458">
        <f>IF(L1458="","",IF(ISNUMBER(INDEX(A1458:H1458,$P$1)),INDEX(A1458:H1458,$P$1),IFERROR(_xlfn.NUMBERVALUE(INDEX(A1458:H1458,$P$1),".",","),0)))</f>
        <v/>
      </c>
    </row>
    <row r="1459">
      <c r="L1459">
        <f>IF(A1459="","",IF(ISNUMBER(--LEFT(A1459,FIND(" - ",A1459&amp;" - ")-1)),LEFT(A1459,FIND(" - ",A1459&amp;" - ")-1),TRIM(A1459)))</f>
        <v/>
      </c>
      <c r="N1459">
        <f>IF(L1459="","",IF(ISNUMBER(INDEX(A1459:H1459,$P$1)),INDEX(A1459:H1459,$P$1),IFERROR(_xlfn.NUMBERVALUE(INDEX(A1459:H1459,$P$1),".",","),0)))</f>
        <v/>
      </c>
    </row>
    <row r="1460">
      <c r="L1460">
        <f>IF(A1460="","",IF(ISNUMBER(--LEFT(A1460,FIND(" - ",A1460&amp;" - ")-1)),LEFT(A1460,FIND(" - ",A1460&amp;" - ")-1),TRIM(A1460)))</f>
        <v/>
      </c>
      <c r="N1460">
        <f>IF(L1460="","",IF(ISNUMBER(INDEX(A1460:H1460,$P$1)),INDEX(A1460:H1460,$P$1),IFERROR(_xlfn.NUMBERVALUE(INDEX(A1460:H1460,$P$1),".",","),0)))</f>
        <v/>
      </c>
    </row>
    <row r="1461">
      <c r="L1461">
        <f>IF(A1461="","",IF(ISNUMBER(--LEFT(A1461,FIND(" - ",A1461&amp;" - ")-1)),LEFT(A1461,FIND(" - ",A1461&amp;" - ")-1),TRIM(A1461)))</f>
        <v/>
      </c>
      <c r="N1461">
        <f>IF(L1461="","",IF(ISNUMBER(INDEX(A1461:H1461,$P$1)),INDEX(A1461:H1461,$P$1),IFERROR(_xlfn.NUMBERVALUE(INDEX(A1461:H1461,$P$1),".",","),0)))</f>
        <v/>
      </c>
    </row>
    <row r="1462">
      <c r="L1462">
        <f>IF(A1462="","",IF(ISNUMBER(--LEFT(A1462,FIND(" - ",A1462&amp;" - ")-1)),LEFT(A1462,FIND(" - ",A1462&amp;" - ")-1),TRIM(A1462)))</f>
        <v/>
      </c>
      <c r="N1462">
        <f>IF(L1462="","",IF(ISNUMBER(INDEX(A1462:H1462,$P$1)),INDEX(A1462:H1462,$P$1),IFERROR(_xlfn.NUMBERVALUE(INDEX(A1462:H1462,$P$1),".",","),0)))</f>
        <v/>
      </c>
    </row>
    <row r="1463">
      <c r="L1463">
        <f>IF(A1463="","",IF(ISNUMBER(--LEFT(A1463,FIND(" - ",A1463&amp;" - ")-1)),LEFT(A1463,FIND(" - ",A1463&amp;" - ")-1),TRIM(A1463)))</f>
        <v/>
      </c>
      <c r="N1463">
        <f>IF(L1463="","",IF(ISNUMBER(INDEX(A1463:H1463,$P$1)),INDEX(A1463:H1463,$P$1),IFERROR(_xlfn.NUMBERVALUE(INDEX(A1463:H1463,$P$1),".",","),0)))</f>
        <v/>
      </c>
    </row>
    <row r="1464">
      <c r="L1464">
        <f>IF(A1464="","",IF(ISNUMBER(--LEFT(A1464,FIND(" - ",A1464&amp;" - ")-1)),LEFT(A1464,FIND(" - ",A1464&amp;" - ")-1),TRIM(A1464)))</f>
        <v/>
      </c>
      <c r="N1464">
        <f>IF(L1464="","",IF(ISNUMBER(INDEX(A1464:H1464,$P$1)),INDEX(A1464:H1464,$P$1),IFERROR(_xlfn.NUMBERVALUE(INDEX(A1464:H1464,$P$1),".",","),0)))</f>
        <v/>
      </c>
    </row>
    <row r="1465">
      <c r="L1465">
        <f>IF(A1465="","",IF(ISNUMBER(--LEFT(A1465,FIND(" - ",A1465&amp;" - ")-1)),LEFT(A1465,FIND(" - ",A1465&amp;" - ")-1),TRIM(A1465)))</f>
        <v/>
      </c>
      <c r="N1465">
        <f>IF(L1465="","",IF(ISNUMBER(INDEX(A1465:H1465,$P$1)),INDEX(A1465:H1465,$P$1),IFERROR(_xlfn.NUMBERVALUE(INDEX(A1465:H1465,$P$1),".",","),0)))</f>
        <v/>
      </c>
    </row>
    <row r="1466">
      <c r="L1466">
        <f>IF(A1466="","",IF(ISNUMBER(--LEFT(A1466,FIND(" - ",A1466&amp;" - ")-1)),LEFT(A1466,FIND(" - ",A1466&amp;" - ")-1),TRIM(A1466)))</f>
        <v/>
      </c>
      <c r="N1466">
        <f>IF(L1466="","",IF(ISNUMBER(INDEX(A1466:H1466,$P$1)),INDEX(A1466:H1466,$P$1),IFERROR(_xlfn.NUMBERVALUE(INDEX(A1466:H1466,$P$1),".",","),0)))</f>
        <v/>
      </c>
    </row>
    <row r="1467">
      <c r="L1467">
        <f>IF(A1467="","",IF(ISNUMBER(--LEFT(A1467,FIND(" - ",A1467&amp;" - ")-1)),LEFT(A1467,FIND(" - ",A1467&amp;" - ")-1),TRIM(A1467)))</f>
        <v/>
      </c>
      <c r="N1467">
        <f>IF(L1467="","",IF(ISNUMBER(INDEX(A1467:H1467,$P$1)),INDEX(A1467:H1467,$P$1),IFERROR(_xlfn.NUMBERVALUE(INDEX(A1467:H1467,$P$1),".",","),0)))</f>
        <v/>
      </c>
    </row>
    <row r="1468">
      <c r="L1468">
        <f>IF(A1468="","",IF(ISNUMBER(--LEFT(A1468,FIND(" - ",A1468&amp;" - ")-1)),LEFT(A1468,FIND(" - ",A1468&amp;" - ")-1),TRIM(A1468)))</f>
        <v/>
      </c>
      <c r="N1468">
        <f>IF(L1468="","",IF(ISNUMBER(INDEX(A1468:H1468,$P$1)),INDEX(A1468:H1468,$P$1),IFERROR(_xlfn.NUMBERVALUE(INDEX(A1468:H1468,$P$1),".",","),0)))</f>
        <v/>
      </c>
    </row>
    <row r="1469">
      <c r="L1469">
        <f>IF(A1469="","",IF(ISNUMBER(--LEFT(A1469,FIND(" - ",A1469&amp;" - ")-1)),LEFT(A1469,FIND(" - ",A1469&amp;" - ")-1),TRIM(A1469)))</f>
        <v/>
      </c>
      <c r="N1469">
        <f>IF(L1469="","",IF(ISNUMBER(INDEX(A1469:H1469,$P$1)),INDEX(A1469:H1469,$P$1),IFERROR(_xlfn.NUMBERVALUE(INDEX(A1469:H1469,$P$1),".",","),0)))</f>
        <v/>
      </c>
    </row>
    <row r="1470">
      <c r="L1470">
        <f>IF(A1470="","",IF(ISNUMBER(--LEFT(A1470,FIND(" - ",A1470&amp;" - ")-1)),LEFT(A1470,FIND(" - ",A1470&amp;" - ")-1),TRIM(A1470)))</f>
        <v/>
      </c>
      <c r="N1470">
        <f>IF(L1470="","",IF(ISNUMBER(INDEX(A1470:H1470,$P$1)),INDEX(A1470:H1470,$P$1),IFERROR(_xlfn.NUMBERVALUE(INDEX(A1470:H1470,$P$1),".",","),0)))</f>
        <v/>
      </c>
    </row>
    <row r="1471">
      <c r="L1471">
        <f>IF(A1471="","",IF(ISNUMBER(--LEFT(A1471,FIND(" - ",A1471&amp;" - ")-1)),LEFT(A1471,FIND(" - ",A1471&amp;" - ")-1),TRIM(A1471)))</f>
        <v/>
      </c>
      <c r="N1471">
        <f>IF(L1471="","",IF(ISNUMBER(INDEX(A1471:H1471,$P$1)),INDEX(A1471:H1471,$P$1),IFERROR(_xlfn.NUMBERVALUE(INDEX(A1471:H1471,$P$1),".",","),0)))</f>
        <v/>
      </c>
    </row>
    <row r="1472">
      <c r="L1472">
        <f>IF(A1472="","",IF(ISNUMBER(--LEFT(A1472,FIND(" - ",A1472&amp;" - ")-1)),LEFT(A1472,FIND(" - ",A1472&amp;" - ")-1),TRIM(A1472)))</f>
        <v/>
      </c>
      <c r="N1472">
        <f>IF(L1472="","",IF(ISNUMBER(INDEX(A1472:H1472,$P$1)),INDEX(A1472:H1472,$P$1),IFERROR(_xlfn.NUMBERVALUE(INDEX(A1472:H1472,$P$1),".",","),0)))</f>
        <v/>
      </c>
    </row>
    <row r="1473">
      <c r="L1473">
        <f>IF(A1473="","",IF(ISNUMBER(--LEFT(A1473,FIND(" - ",A1473&amp;" - ")-1)),LEFT(A1473,FIND(" - ",A1473&amp;" - ")-1),TRIM(A1473)))</f>
        <v/>
      </c>
      <c r="N1473">
        <f>IF(L1473="","",IF(ISNUMBER(INDEX(A1473:H1473,$P$1)),INDEX(A1473:H1473,$P$1),IFERROR(_xlfn.NUMBERVALUE(INDEX(A1473:H1473,$P$1),".",","),0)))</f>
        <v/>
      </c>
    </row>
    <row r="1474">
      <c r="L1474">
        <f>IF(A1474="","",IF(ISNUMBER(--LEFT(A1474,FIND(" - ",A1474&amp;" - ")-1)),LEFT(A1474,FIND(" - ",A1474&amp;" - ")-1),TRIM(A1474)))</f>
        <v/>
      </c>
      <c r="N1474">
        <f>IF(L1474="","",IF(ISNUMBER(INDEX(A1474:H1474,$P$1)),INDEX(A1474:H1474,$P$1),IFERROR(_xlfn.NUMBERVALUE(INDEX(A1474:H1474,$P$1),".",","),0)))</f>
        <v/>
      </c>
    </row>
    <row r="1475">
      <c r="L1475">
        <f>IF(A1475="","",IF(ISNUMBER(--LEFT(A1475,FIND(" - ",A1475&amp;" - ")-1)),LEFT(A1475,FIND(" - ",A1475&amp;" - ")-1),TRIM(A1475)))</f>
        <v/>
      </c>
      <c r="N1475">
        <f>IF(L1475="","",IF(ISNUMBER(INDEX(A1475:H1475,$P$1)),INDEX(A1475:H1475,$P$1),IFERROR(_xlfn.NUMBERVALUE(INDEX(A1475:H1475,$P$1),".",","),0)))</f>
        <v/>
      </c>
    </row>
    <row r="1476">
      <c r="L1476">
        <f>IF(A1476="","",IF(ISNUMBER(--LEFT(A1476,FIND(" - ",A1476&amp;" - ")-1)),LEFT(A1476,FIND(" - ",A1476&amp;" - ")-1),TRIM(A1476)))</f>
        <v/>
      </c>
      <c r="N1476">
        <f>IF(L1476="","",IF(ISNUMBER(INDEX(A1476:H1476,$P$1)),INDEX(A1476:H1476,$P$1),IFERROR(_xlfn.NUMBERVALUE(INDEX(A1476:H1476,$P$1),".",","),0)))</f>
        <v/>
      </c>
    </row>
    <row r="1477">
      <c r="L1477">
        <f>IF(A1477="","",IF(ISNUMBER(--LEFT(A1477,FIND(" - ",A1477&amp;" - ")-1)),LEFT(A1477,FIND(" - ",A1477&amp;" - ")-1),TRIM(A1477)))</f>
        <v/>
      </c>
      <c r="N1477">
        <f>IF(L1477="","",IF(ISNUMBER(INDEX(A1477:H1477,$P$1)),INDEX(A1477:H1477,$P$1),IFERROR(_xlfn.NUMBERVALUE(INDEX(A1477:H1477,$P$1),".",","),0)))</f>
        <v/>
      </c>
    </row>
    <row r="1478">
      <c r="L1478">
        <f>IF(A1478="","",IF(ISNUMBER(--LEFT(A1478,FIND(" - ",A1478&amp;" - ")-1)),LEFT(A1478,FIND(" - ",A1478&amp;" - ")-1),TRIM(A1478)))</f>
        <v/>
      </c>
      <c r="N1478">
        <f>IF(L1478="","",IF(ISNUMBER(INDEX(A1478:H1478,$P$1)),INDEX(A1478:H1478,$P$1),IFERROR(_xlfn.NUMBERVALUE(INDEX(A1478:H1478,$P$1),".",","),0)))</f>
        <v/>
      </c>
    </row>
    <row r="1479">
      <c r="L1479">
        <f>IF(A1479="","",IF(ISNUMBER(--LEFT(A1479,FIND(" - ",A1479&amp;" - ")-1)),LEFT(A1479,FIND(" - ",A1479&amp;" - ")-1),TRIM(A1479)))</f>
        <v/>
      </c>
      <c r="N1479">
        <f>IF(L1479="","",IF(ISNUMBER(INDEX(A1479:H1479,$P$1)),INDEX(A1479:H1479,$P$1),IFERROR(_xlfn.NUMBERVALUE(INDEX(A1479:H1479,$P$1),".",","),0)))</f>
        <v/>
      </c>
    </row>
    <row r="1480">
      <c r="L1480">
        <f>IF(A1480="","",IF(ISNUMBER(--LEFT(A1480,FIND(" - ",A1480&amp;" - ")-1)),LEFT(A1480,FIND(" - ",A1480&amp;" - ")-1),TRIM(A1480)))</f>
        <v/>
      </c>
      <c r="N1480">
        <f>IF(L1480="","",IF(ISNUMBER(INDEX(A1480:H1480,$P$1)),INDEX(A1480:H1480,$P$1),IFERROR(_xlfn.NUMBERVALUE(INDEX(A1480:H1480,$P$1),".",","),0)))</f>
        <v/>
      </c>
    </row>
    <row r="1481">
      <c r="L1481">
        <f>IF(A1481="","",IF(ISNUMBER(--LEFT(A1481,FIND(" - ",A1481&amp;" - ")-1)),LEFT(A1481,FIND(" - ",A1481&amp;" - ")-1),TRIM(A1481)))</f>
        <v/>
      </c>
      <c r="N1481">
        <f>IF(L1481="","",IF(ISNUMBER(INDEX(A1481:H1481,$P$1)),INDEX(A1481:H1481,$P$1),IFERROR(_xlfn.NUMBERVALUE(INDEX(A1481:H1481,$P$1),".",","),0)))</f>
        <v/>
      </c>
    </row>
    <row r="1482">
      <c r="L1482">
        <f>IF(A1482="","",IF(ISNUMBER(--LEFT(A1482,FIND(" - ",A1482&amp;" - ")-1)),LEFT(A1482,FIND(" - ",A1482&amp;" - ")-1),TRIM(A1482)))</f>
        <v/>
      </c>
      <c r="N1482">
        <f>IF(L1482="","",IF(ISNUMBER(INDEX(A1482:H1482,$P$1)),INDEX(A1482:H1482,$P$1),IFERROR(_xlfn.NUMBERVALUE(INDEX(A1482:H1482,$P$1),".",","),0)))</f>
        <v/>
      </c>
    </row>
    <row r="1483">
      <c r="L1483">
        <f>IF(A1483="","",IF(ISNUMBER(--LEFT(A1483,FIND(" - ",A1483&amp;" - ")-1)),LEFT(A1483,FIND(" - ",A1483&amp;" - ")-1),TRIM(A1483)))</f>
        <v/>
      </c>
      <c r="N1483">
        <f>IF(L1483="","",IF(ISNUMBER(INDEX(A1483:H1483,$P$1)),INDEX(A1483:H1483,$P$1),IFERROR(_xlfn.NUMBERVALUE(INDEX(A1483:H1483,$P$1),".",","),0)))</f>
        <v/>
      </c>
    </row>
    <row r="1484">
      <c r="L1484">
        <f>IF(A1484="","",IF(ISNUMBER(--LEFT(A1484,FIND(" - ",A1484&amp;" - ")-1)),LEFT(A1484,FIND(" - ",A1484&amp;" - ")-1),TRIM(A1484)))</f>
        <v/>
      </c>
      <c r="N1484">
        <f>IF(L1484="","",IF(ISNUMBER(INDEX(A1484:H1484,$P$1)),INDEX(A1484:H1484,$P$1),IFERROR(_xlfn.NUMBERVALUE(INDEX(A1484:H1484,$P$1),".",","),0)))</f>
        <v/>
      </c>
    </row>
    <row r="1485">
      <c r="L1485">
        <f>IF(A1485="","",IF(ISNUMBER(--LEFT(A1485,FIND(" - ",A1485&amp;" - ")-1)),LEFT(A1485,FIND(" - ",A1485&amp;" - ")-1),TRIM(A1485)))</f>
        <v/>
      </c>
      <c r="N1485">
        <f>IF(L1485="","",IF(ISNUMBER(INDEX(A1485:H1485,$P$1)),INDEX(A1485:H1485,$P$1),IFERROR(_xlfn.NUMBERVALUE(INDEX(A1485:H1485,$P$1),".",","),0)))</f>
        <v/>
      </c>
    </row>
    <row r="1486">
      <c r="L1486">
        <f>IF(A1486="","",IF(ISNUMBER(--LEFT(A1486,FIND(" - ",A1486&amp;" - ")-1)),LEFT(A1486,FIND(" - ",A1486&amp;" - ")-1),TRIM(A1486)))</f>
        <v/>
      </c>
      <c r="N1486">
        <f>IF(L1486="","",IF(ISNUMBER(INDEX(A1486:H1486,$P$1)),INDEX(A1486:H1486,$P$1),IFERROR(_xlfn.NUMBERVALUE(INDEX(A1486:H1486,$P$1),".",","),0)))</f>
        <v/>
      </c>
    </row>
    <row r="1487">
      <c r="L1487">
        <f>IF(A1487="","",IF(ISNUMBER(--LEFT(A1487,FIND(" - ",A1487&amp;" - ")-1)),LEFT(A1487,FIND(" - ",A1487&amp;" - ")-1),TRIM(A1487)))</f>
        <v/>
      </c>
      <c r="N1487">
        <f>IF(L1487="","",IF(ISNUMBER(INDEX(A1487:H1487,$P$1)),INDEX(A1487:H1487,$P$1),IFERROR(_xlfn.NUMBERVALUE(INDEX(A1487:H1487,$P$1),".",","),0)))</f>
        <v/>
      </c>
    </row>
    <row r="1488">
      <c r="L1488">
        <f>IF(A1488="","",IF(ISNUMBER(--LEFT(A1488,FIND(" - ",A1488&amp;" - ")-1)),LEFT(A1488,FIND(" - ",A1488&amp;" - ")-1),TRIM(A1488)))</f>
        <v/>
      </c>
      <c r="N1488">
        <f>IF(L1488="","",IF(ISNUMBER(INDEX(A1488:H1488,$P$1)),INDEX(A1488:H1488,$P$1),IFERROR(_xlfn.NUMBERVALUE(INDEX(A1488:H1488,$P$1),".",","),0)))</f>
        <v/>
      </c>
    </row>
    <row r="1489">
      <c r="L1489">
        <f>IF(A1489="","",IF(ISNUMBER(--LEFT(A1489,FIND(" - ",A1489&amp;" - ")-1)),LEFT(A1489,FIND(" - ",A1489&amp;" - ")-1),TRIM(A1489)))</f>
        <v/>
      </c>
      <c r="N1489">
        <f>IF(L1489="","",IF(ISNUMBER(INDEX(A1489:H1489,$P$1)),INDEX(A1489:H1489,$P$1),IFERROR(_xlfn.NUMBERVALUE(INDEX(A1489:H1489,$P$1),".",","),0)))</f>
        <v/>
      </c>
    </row>
    <row r="1490">
      <c r="L1490">
        <f>IF(A1490="","",IF(ISNUMBER(--LEFT(A1490,FIND(" - ",A1490&amp;" - ")-1)),LEFT(A1490,FIND(" - ",A1490&amp;" - ")-1),TRIM(A1490)))</f>
        <v/>
      </c>
      <c r="N1490">
        <f>IF(L1490="","",IF(ISNUMBER(INDEX(A1490:H1490,$P$1)),INDEX(A1490:H1490,$P$1),IFERROR(_xlfn.NUMBERVALUE(INDEX(A1490:H1490,$P$1),".",","),0)))</f>
        <v/>
      </c>
    </row>
    <row r="1491">
      <c r="L1491">
        <f>IF(A1491="","",IF(ISNUMBER(--LEFT(A1491,FIND(" - ",A1491&amp;" - ")-1)),LEFT(A1491,FIND(" - ",A1491&amp;" - ")-1),TRIM(A1491)))</f>
        <v/>
      </c>
      <c r="N1491">
        <f>IF(L1491="","",IF(ISNUMBER(INDEX(A1491:H1491,$P$1)),INDEX(A1491:H1491,$P$1),IFERROR(_xlfn.NUMBERVALUE(INDEX(A1491:H1491,$P$1),".",","),0)))</f>
        <v/>
      </c>
    </row>
    <row r="1492">
      <c r="L1492">
        <f>IF(A1492="","",IF(ISNUMBER(--LEFT(A1492,FIND(" - ",A1492&amp;" - ")-1)),LEFT(A1492,FIND(" - ",A1492&amp;" - ")-1),TRIM(A1492)))</f>
        <v/>
      </c>
      <c r="N1492">
        <f>IF(L1492="","",IF(ISNUMBER(INDEX(A1492:H1492,$P$1)),INDEX(A1492:H1492,$P$1),IFERROR(_xlfn.NUMBERVALUE(INDEX(A1492:H1492,$P$1),".",","),0)))</f>
        <v/>
      </c>
    </row>
    <row r="1493">
      <c r="L1493">
        <f>IF(A1493="","",IF(ISNUMBER(--LEFT(A1493,FIND(" - ",A1493&amp;" - ")-1)),LEFT(A1493,FIND(" - ",A1493&amp;" - ")-1),TRIM(A1493)))</f>
        <v/>
      </c>
      <c r="N1493">
        <f>IF(L1493="","",IF(ISNUMBER(INDEX(A1493:H1493,$P$1)),INDEX(A1493:H1493,$P$1),IFERROR(_xlfn.NUMBERVALUE(INDEX(A1493:H1493,$P$1),".",","),0)))</f>
        <v/>
      </c>
    </row>
    <row r="1494">
      <c r="L1494">
        <f>IF(A1494="","",IF(ISNUMBER(--LEFT(A1494,FIND(" - ",A1494&amp;" - ")-1)),LEFT(A1494,FIND(" - ",A1494&amp;" - ")-1),TRIM(A1494)))</f>
        <v/>
      </c>
      <c r="N1494">
        <f>IF(L1494="","",IF(ISNUMBER(INDEX(A1494:H1494,$P$1)),INDEX(A1494:H1494,$P$1),IFERROR(_xlfn.NUMBERVALUE(INDEX(A1494:H1494,$P$1),".",","),0)))</f>
        <v/>
      </c>
    </row>
    <row r="1495">
      <c r="L1495">
        <f>IF(A1495="","",IF(ISNUMBER(--LEFT(A1495,FIND(" - ",A1495&amp;" - ")-1)),LEFT(A1495,FIND(" - ",A1495&amp;" - ")-1),TRIM(A1495)))</f>
        <v/>
      </c>
      <c r="N1495">
        <f>IF(L1495="","",IF(ISNUMBER(INDEX(A1495:H1495,$P$1)),INDEX(A1495:H1495,$P$1),IFERROR(_xlfn.NUMBERVALUE(INDEX(A1495:H1495,$P$1),".",","),0)))</f>
        <v/>
      </c>
    </row>
    <row r="1496">
      <c r="L1496">
        <f>IF(A1496="","",IF(ISNUMBER(--LEFT(A1496,FIND(" - ",A1496&amp;" - ")-1)),LEFT(A1496,FIND(" - ",A1496&amp;" - ")-1),TRIM(A1496)))</f>
        <v/>
      </c>
      <c r="N1496">
        <f>IF(L1496="","",IF(ISNUMBER(INDEX(A1496:H1496,$P$1)),INDEX(A1496:H1496,$P$1),IFERROR(_xlfn.NUMBERVALUE(INDEX(A1496:H1496,$P$1),".",","),0)))</f>
        <v/>
      </c>
    </row>
    <row r="1497">
      <c r="L1497">
        <f>IF(A1497="","",IF(ISNUMBER(--LEFT(A1497,FIND(" - ",A1497&amp;" - ")-1)),LEFT(A1497,FIND(" - ",A1497&amp;" - ")-1),TRIM(A1497)))</f>
        <v/>
      </c>
      <c r="N1497">
        <f>IF(L1497="","",IF(ISNUMBER(INDEX(A1497:H1497,$P$1)),INDEX(A1497:H1497,$P$1),IFERROR(_xlfn.NUMBERVALUE(INDEX(A1497:H1497,$P$1),".",","),0)))</f>
        <v/>
      </c>
    </row>
    <row r="1498">
      <c r="L1498">
        <f>IF(A1498="","",IF(ISNUMBER(--LEFT(A1498,FIND(" - ",A1498&amp;" - ")-1)),LEFT(A1498,FIND(" - ",A1498&amp;" - ")-1),TRIM(A1498)))</f>
        <v/>
      </c>
      <c r="N1498">
        <f>IF(L1498="","",IF(ISNUMBER(INDEX(A1498:H1498,$P$1)),INDEX(A1498:H1498,$P$1),IFERROR(_xlfn.NUMBERVALUE(INDEX(A1498:H1498,$P$1),".",","),0)))</f>
        <v/>
      </c>
    </row>
    <row r="1499">
      <c r="L1499">
        <f>IF(A1499="","",IF(ISNUMBER(--LEFT(A1499,FIND(" - ",A1499&amp;" - ")-1)),LEFT(A1499,FIND(" - ",A1499&amp;" - ")-1),TRIM(A1499)))</f>
        <v/>
      </c>
      <c r="N1499">
        <f>IF(L1499="","",IF(ISNUMBER(INDEX(A1499:H1499,$P$1)),INDEX(A1499:H1499,$P$1),IFERROR(_xlfn.NUMBERVALUE(INDEX(A1499:H1499,$P$1),".",","),0)))</f>
        <v/>
      </c>
    </row>
    <row r="1500">
      <c r="L1500">
        <f>IF(A1500="","",IF(ISNUMBER(--LEFT(A1500,FIND(" - ",A1500&amp;" - ")-1)),LEFT(A1500,FIND(" - ",A1500&amp;" - ")-1),TRIM(A1500)))</f>
        <v/>
      </c>
      <c r="N1500">
        <f>IF(L1500="","",IF(ISNUMBER(INDEX(A1500:H1500,$P$1)),INDEX(A1500:H1500,$P$1),IFERROR(_xlfn.NUMBERVALUE(INDEX(A1500:H1500,$P$1),".",","),0)))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226"/>
  <sheetViews>
    <sheetView showGridLines="1" workbookViewId="0">
      <selection activeCell="A1" sqref="A1"/>
    </sheetView>
  </sheetViews>
  <sheetFormatPr baseColWidth="8" defaultRowHeight="15"/>
  <cols>
    <col width="20" customWidth="1" min="2" max="2"/>
    <col width="26" customWidth="1" min="3" max="3"/>
  </cols>
  <sheetData>
    <row r="1">
      <c r="A1" s="71" t="inlineStr">
        <is>
          <t>TÍNH TOÁN — không sửa sheet này</t>
        </is>
      </c>
    </row>
    <row r="2">
      <c r="A2" s="58" t="inlineStr">
        <is>
          <t>#</t>
        </is>
      </c>
      <c r="B2" s="58" t="inlineStr">
        <is>
          <t>Nhóm</t>
        </is>
      </c>
      <c r="C2" s="58" t="inlineStr">
        <is>
          <t>Khóa BI</t>
        </is>
      </c>
      <c r="D2" s="58" t="inlineStr">
        <is>
          <t>Loại</t>
        </is>
      </c>
      <c r="E2" s="58" t="inlineStr">
        <is>
          <t>TH LK 1</t>
        </is>
      </c>
      <c r="F2" s="58" t="inlineStr">
        <is>
          <t>T BI 1</t>
        </is>
      </c>
      <c r="G2" s="58" t="inlineStr">
        <is>
          <t>Target 1</t>
        </is>
      </c>
      <c r="H2" s="58" t="inlineStr">
        <is>
          <t>TH RT 1</t>
        </is>
      </c>
      <c r="I2" s="58" t="inlineStr">
        <is>
          <t>T ngày 1</t>
        </is>
      </c>
      <c r="J2" s="58" t="inlineStr">
        <is>
          <t>TH LK 2</t>
        </is>
      </c>
      <c r="K2" s="58" t="inlineStr">
        <is>
          <t>T BI 2</t>
        </is>
      </c>
      <c r="L2" s="58" t="inlineStr">
        <is>
          <t>Target 2</t>
        </is>
      </c>
      <c r="M2" s="58" t="inlineStr">
        <is>
          <t>TH RT 2</t>
        </is>
      </c>
      <c r="N2" s="58" t="inlineStr">
        <is>
          <t>T ngày 2</t>
        </is>
      </c>
      <c r="O2" s="58" t="inlineStr">
        <is>
          <t>TH LK 3</t>
        </is>
      </c>
      <c r="P2" s="58" t="inlineStr">
        <is>
          <t>T BI 3</t>
        </is>
      </c>
      <c r="Q2" s="58" t="inlineStr">
        <is>
          <t>Target 3</t>
        </is>
      </c>
      <c r="R2" s="58" t="inlineStr">
        <is>
          <t>TH RT 3</t>
        </is>
      </c>
      <c r="S2" s="58" t="inlineStr">
        <is>
          <t>T ngày 3</t>
        </is>
      </c>
      <c r="T2" s="58" t="inlineStr">
        <is>
          <t>TH LK 4</t>
        </is>
      </c>
      <c r="U2" s="58" t="inlineStr">
        <is>
          <t>T BI 4</t>
        </is>
      </c>
      <c r="V2" s="58" t="inlineStr">
        <is>
          <t>Target 4</t>
        </is>
      </c>
      <c r="W2" s="58" t="inlineStr">
        <is>
          <t>TH RT 4</t>
        </is>
      </c>
      <c r="X2" s="58" t="inlineStr">
        <is>
          <t>T ngày 4</t>
        </is>
      </c>
      <c r="Y2" s="58" t="inlineStr">
        <is>
          <t>TH LK cụm</t>
        </is>
      </c>
      <c r="Z2" s="58" t="inlineStr">
        <is>
          <t>Target cụm</t>
        </is>
      </c>
      <c r="AA2" s="58" t="inlineStr">
        <is>
          <t>TH RT cụm</t>
        </is>
      </c>
      <c r="AB2" s="58" t="inlineStr">
        <is>
          <t>T ngày cụm</t>
        </is>
      </c>
      <c r="AC2" s="58" t="inlineStr">
        <is>
          <t>Đơn vị</t>
        </is>
      </c>
    </row>
    <row r="3">
      <c r="A3" t="n">
        <v>1</v>
      </c>
      <c r="B3">
        <f>IF('Khai báo'!A18="","",'Khai báo'!A18)</f>
        <v/>
      </c>
      <c r="C3">
        <f>IF(B3="","",TRIM('Khai báo'!B18))</f>
        <v/>
      </c>
      <c r="D3">
        <f>IF(B3="","",IF('Khai báo'!C18="Vượt trội","Vượt trội","Chính"))</f>
        <v/>
      </c>
      <c r="E3">
        <f>IF(OR($B3="",'Khai báo'!$C$12=""),0,IFERROR(INDEX('Dán TĐ lũy kế'!$N$1:$N$1500,MATCH("*"&amp;$C3&amp;"|"&amp;'Khai báo'!$C$12,'Dán TĐ lũy kế'!$M$1:$M$1500,0)),0))</f>
        <v/>
      </c>
      <c r="F3">
        <f>IF(OR($B3="",'Khai báo'!$C$12=""),0,IFERROR(INDEX('Dán TĐ lũy kế'!$O$1:$O$1500,MATCH("*"&amp;$C3&amp;"|"&amp;'Khai báo'!$C$12,'Dán TĐ lũy kế'!$M$1:$M$1500,0)),0))</f>
        <v/>
      </c>
      <c r="G3">
        <f>IF(N('Khai báo'!D18)&gt;0,'Khai báo'!D18,F3)</f>
        <v/>
      </c>
      <c r="H3">
        <f>IF(OR($B3="",'Khai báo'!$C$12=""),0,IFERROR(INDEX('Dán TĐ realtime'!$N$1:$N$1500,MATCH("*"&amp;$C3&amp;"|"&amp;'Khai báo'!$C$12,'Dán TĐ realtime'!$M$1:$M$1500,0)),0))</f>
        <v/>
      </c>
      <c r="I3">
        <f>IF(OR($B3="",'Khai báo'!$C$12=""),0,IFERROR(1/(1/IFERROR(INDEX('Dán TĐ realtime'!$O$1:$O$1500,MATCH("*"&amp;$C3&amp;"|"&amp;'Khai báo'!$C$12,'Dán TĐ realtime'!$M$1:$M$1500,0)),0)),G3/SoNgay))</f>
        <v/>
      </c>
      <c r="J3">
        <f>IF(OR($B3="",'Khai báo'!$C$13=""),0,IFERROR(INDEX('Dán TĐ lũy kế'!$N$1:$N$1500,MATCH("*"&amp;$C3&amp;"|"&amp;'Khai báo'!$C$13,'Dán TĐ lũy kế'!$M$1:$M$1500,0)),0))</f>
        <v/>
      </c>
      <c r="K3">
        <f>IF(OR($B3="",'Khai báo'!$C$13=""),0,IFERROR(INDEX('Dán TĐ lũy kế'!$O$1:$O$1500,MATCH("*"&amp;$C3&amp;"|"&amp;'Khai báo'!$C$13,'Dán TĐ lũy kế'!$M$1:$M$1500,0)),0))</f>
        <v/>
      </c>
      <c r="L3">
        <f>IF(N('Khai báo'!E18)&gt;0,'Khai báo'!E18,K3)</f>
        <v/>
      </c>
      <c r="M3">
        <f>IF(OR($B3="",'Khai báo'!$C$13=""),0,IFERROR(INDEX('Dán TĐ realtime'!$N$1:$N$1500,MATCH("*"&amp;$C3&amp;"|"&amp;'Khai báo'!$C$13,'Dán TĐ realtime'!$M$1:$M$1500,0)),0))</f>
        <v/>
      </c>
      <c r="N3">
        <f>IF(OR($B3="",'Khai báo'!$C$13=""),0,IFERROR(1/(1/IFERROR(INDEX('Dán TĐ realtime'!$O$1:$O$1500,MATCH("*"&amp;$C3&amp;"|"&amp;'Khai báo'!$C$13,'Dán TĐ realtime'!$M$1:$M$1500,0)),0)),L3/SoNgay))</f>
        <v/>
      </c>
      <c r="O3">
        <f>IF(OR($B3="",'Khai báo'!$C$14=""),0,IFERROR(INDEX('Dán TĐ lũy kế'!$N$1:$N$1500,MATCH("*"&amp;$C3&amp;"|"&amp;'Khai báo'!$C$14,'Dán TĐ lũy kế'!$M$1:$M$1500,0)),0))</f>
        <v/>
      </c>
      <c r="P3">
        <f>IF(OR($B3="",'Khai báo'!$C$14=""),0,IFERROR(INDEX('Dán TĐ lũy kế'!$O$1:$O$1500,MATCH("*"&amp;$C3&amp;"|"&amp;'Khai báo'!$C$14,'Dán TĐ lũy kế'!$M$1:$M$1500,0)),0))</f>
        <v/>
      </c>
      <c r="Q3">
        <f>IF(N('Khai báo'!F18)&gt;0,'Khai báo'!F18,P3)</f>
        <v/>
      </c>
      <c r="R3">
        <f>IF(OR($B3="",'Khai báo'!$C$14=""),0,IFERROR(INDEX('Dán TĐ realtime'!$N$1:$N$1500,MATCH("*"&amp;$C3&amp;"|"&amp;'Khai báo'!$C$14,'Dán TĐ realtime'!$M$1:$M$1500,0)),0))</f>
        <v/>
      </c>
      <c r="S3">
        <f>IF(OR($B3="",'Khai báo'!$C$14=""),0,IFERROR(1/(1/IFERROR(INDEX('Dán TĐ realtime'!$O$1:$O$1500,MATCH("*"&amp;$C3&amp;"|"&amp;'Khai báo'!$C$14,'Dán TĐ realtime'!$M$1:$M$1500,0)),0)),Q3/SoNgay))</f>
        <v/>
      </c>
      <c r="T3">
        <f>IF(OR($B3="",'Khai báo'!$C$15=""),0,IFERROR(INDEX('Dán TĐ lũy kế'!$N$1:$N$1500,MATCH("*"&amp;$C3&amp;"|"&amp;'Khai báo'!$C$15,'Dán TĐ lũy kế'!$M$1:$M$1500,0)),0))</f>
        <v/>
      </c>
      <c r="U3">
        <f>IF(OR($B3="",'Khai báo'!$C$15=""),0,IFERROR(INDEX('Dán TĐ lũy kế'!$O$1:$O$1500,MATCH("*"&amp;$C3&amp;"|"&amp;'Khai báo'!$C$15,'Dán TĐ lũy kế'!$M$1:$M$1500,0)),0))</f>
        <v/>
      </c>
      <c r="V3">
        <f>IF(N('Khai báo'!G18)&gt;0,'Khai báo'!G18,U3)</f>
        <v/>
      </c>
      <c r="W3">
        <f>IF(OR($B3="",'Khai báo'!$C$15=""),0,IFERROR(INDEX('Dán TĐ realtime'!$N$1:$N$1500,MATCH("*"&amp;$C3&amp;"|"&amp;'Khai báo'!$C$15,'Dán TĐ realtime'!$M$1:$M$1500,0)),0))</f>
        <v/>
      </c>
      <c r="X3">
        <f>IF(OR($B3="",'Khai báo'!$C$15=""),0,IFERROR(1/(1/IFERROR(INDEX('Dán TĐ realtime'!$O$1:$O$1500,MATCH("*"&amp;$C3&amp;"|"&amp;'Khai báo'!$C$15,'Dán TĐ realtime'!$M$1:$M$1500,0)),0)),V3/SoNgay))</f>
        <v/>
      </c>
      <c r="Y3">
        <f>E3+J3+O3+T3</f>
        <v/>
      </c>
      <c r="Z3">
        <f>G3+L3+Q3+V3</f>
        <v/>
      </c>
      <c r="AA3">
        <f>H3+M3+R3+W3</f>
        <v/>
      </c>
      <c r="AB3">
        <f>I3+N3+S3+X3</f>
        <v/>
      </c>
      <c r="AC3">
        <f>IF(B3="","",IFERROR(IF(LEFT(INDEX('Dán TĐ lũy kế'!$B$1:$B$1500,MATCH("*"&amp;C3,'Dán TĐ lũy kế'!$A$1:$A$1500,0)),8)="SỐ LƯỢNG","SL","DT"),"DT"))</f>
        <v/>
      </c>
    </row>
    <row r="4">
      <c r="A4" t="n">
        <v>2</v>
      </c>
      <c r="B4">
        <f>IF('Khai báo'!A19="","",'Khai báo'!A19)</f>
        <v/>
      </c>
      <c r="C4">
        <f>IF(B4="","",TRIM('Khai báo'!B19))</f>
        <v/>
      </c>
      <c r="D4">
        <f>IF(B4="","",IF('Khai báo'!C19="Vượt trội","Vượt trội","Chính"))</f>
        <v/>
      </c>
      <c r="E4">
        <f>IF(OR($B4="",'Khai báo'!$C$12=""),0,IFERROR(INDEX('Dán TĐ lũy kế'!$N$1:$N$1500,MATCH("*"&amp;$C4&amp;"|"&amp;'Khai báo'!$C$12,'Dán TĐ lũy kế'!$M$1:$M$1500,0)),0))</f>
        <v/>
      </c>
      <c r="F4">
        <f>IF(OR($B4="",'Khai báo'!$C$12=""),0,IFERROR(INDEX('Dán TĐ lũy kế'!$O$1:$O$1500,MATCH("*"&amp;$C4&amp;"|"&amp;'Khai báo'!$C$12,'Dán TĐ lũy kế'!$M$1:$M$1500,0)),0))</f>
        <v/>
      </c>
      <c r="G4">
        <f>IF(N('Khai báo'!D19)&gt;0,'Khai báo'!D19,F4)</f>
        <v/>
      </c>
      <c r="H4">
        <f>IF(OR($B4="",'Khai báo'!$C$12=""),0,IFERROR(INDEX('Dán TĐ realtime'!$N$1:$N$1500,MATCH("*"&amp;$C4&amp;"|"&amp;'Khai báo'!$C$12,'Dán TĐ realtime'!$M$1:$M$1500,0)),0))</f>
        <v/>
      </c>
      <c r="I4">
        <f>IF(OR($B4="",'Khai báo'!$C$12=""),0,IFERROR(1/(1/IFERROR(INDEX('Dán TĐ realtime'!$O$1:$O$1500,MATCH("*"&amp;$C4&amp;"|"&amp;'Khai báo'!$C$12,'Dán TĐ realtime'!$M$1:$M$1500,0)),0)),G4/SoNgay))</f>
        <v/>
      </c>
      <c r="J4">
        <f>IF(OR($B4="",'Khai báo'!$C$13=""),0,IFERROR(INDEX('Dán TĐ lũy kế'!$N$1:$N$1500,MATCH("*"&amp;$C4&amp;"|"&amp;'Khai báo'!$C$13,'Dán TĐ lũy kế'!$M$1:$M$1500,0)),0))</f>
        <v/>
      </c>
      <c r="K4">
        <f>IF(OR($B4="",'Khai báo'!$C$13=""),0,IFERROR(INDEX('Dán TĐ lũy kế'!$O$1:$O$1500,MATCH("*"&amp;$C4&amp;"|"&amp;'Khai báo'!$C$13,'Dán TĐ lũy kế'!$M$1:$M$1500,0)),0))</f>
        <v/>
      </c>
      <c r="L4">
        <f>IF(N('Khai báo'!E19)&gt;0,'Khai báo'!E19,K4)</f>
        <v/>
      </c>
      <c r="M4">
        <f>IF(OR($B4="",'Khai báo'!$C$13=""),0,IFERROR(INDEX('Dán TĐ realtime'!$N$1:$N$1500,MATCH("*"&amp;$C4&amp;"|"&amp;'Khai báo'!$C$13,'Dán TĐ realtime'!$M$1:$M$1500,0)),0))</f>
        <v/>
      </c>
      <c r="N4">
        <f>IF(OR($B4="",'Khai báo'!$C$13=""),0,IFERROR(1/(1/IFERROR(INDEX('Dán TĐ realtime'!$O$1:$O$1500,MATCH("*"&amp;$C4&amp;"|"&amp;'Khai báo'!$C$13,'Dán TĐ realtime'!$M$1:$M$1500,0)),0)),L4/SoNgay))</f>
        <v/>
      </c>
      <c r="O4">
        <f>IF(OR($B4="",'Khai báo'!$C$14=""),0,IFERROR(INDEX('Dán TĐ lũy kế'!$N$1:$N$1500,MATCH("*"&amp;$C4&amp;"|"&amp;'Khai báo'!$C$14,'Dán TĐ lũy kế'!$M$1:$M$1500,0)),0))</f>
        <v/>
      </c>
      <c r="P4">
        <f>IF(OR($B4="",'Khai báo'!$C$14=""),0,IFERROR(INDEX('Dán TĐ lũy kế'!$O$1:$O$1500,MATCH("*"&amp;$C4&amp;"|"&amp;'Khai báo'!$C$14,'Dán TĐ lũy kế'!$M$1:$M$1500,0)),0))</f>
        <v/>
      </c>
      <c r="Q4">
        <f>IF(N('Khai báo'!F19)&gt;0,'Khai báo'!F19,P4)</f>
        <v/>
      </c>
      <c r="R4">
        <f>IF(OR($B4="",'Khai báo'!$C$14=""),0,IFERROR(INDEX('Dán TĐ realtime'!$N$1:$N$1500,MATCH("*"&amp;$C4&amp;"|"&amp;'Khai báo'!$C$14,'Dán TĐ realtime'!$M$1:$M$1500,0)),0))</f>
        <v/>
      </c>
      <c r="S4">
        <f>IF(OR($B4="",'Khai báo'!$C$14=""),0,IFERROR(1/(1/IFERROR(INDEX('Dán TĐ realtime'!$O$1:$O$1500,MATCH("*"&amp;$C4&amp;"|"&amp;'Khai báo'!$C$14,'Dán TĐ realtime'!$M$1:$M$1500,0)),0)),Q4/SoNgay))</f>
        <v/>
      </c>
      <c r="T4">
        <f>IF(OR($B4="",'Khai báo'!$C$15=""),0,IFERROR(INDEX('Dán TĐ lũy kế'!$N$1:$N$1500,MATCH("*"&amp;$C4&amp;"|"&amp;'Khai báo'!$C$15,'Dán TĐ lũy kế'!$M$1:$M$1500,0)),0))</f>
        <v/>
      </c>
      <c r="U4">
        <f>IF(OR($B4="",'Khai báo'!$C$15=""),0,IFERROR(INDEX('Dán TĐ lũy kế'!$O$1:$O$1500,MATCH("*"&amp;$C4&amp;"|"&amp;'Khai báo'!$C$15,'Dán TĐ lũy kế'!$M$1:$M$1500,0)),0))</f>
        <v/>
      </c>
      <c r="V4">
        <f>IF(N('Khai báo'!G19)&gt;0,'Khai báo'!G19,U4)</f>
        <v/>
      </c>
      <c r="W4">
        <f>IF(OR($B4="",'Khai báo'!$C$15=""),0,IFERROR(INDEX('Dán TĐ realtime'!$N$1:$N$1500,MATCH("*"&amp;$C4&amp;"|"&amp;'Khai báo'!$C$15,'Dán TĐ realtime'!$M$1:$M$1500,0)),0))</f>
        <v/>
      </c>
      <c r="X4">
        <f>IF(OR($B4="",'Khai báo'!$C$15=""),0,IFERROR(1/(1/IFERROR(INDEX('Dán TĐ realtime'!$O$1:$O$1500,MATCH("*"&amp;$C4&amp;"|"&amp;'Khai báo'!$C$15,'Dán TĐ realtime'!$M$1:$M$1500,0)),0)),V4/SoNgay))</f>
        <v/>
      </c>
      <c r="Y4">
        <f>E4+J4+O4+T4</f>
        <v/>
      </c>
      <c r="Z4">
        <f>G4+L4+Q4+V4</f>
        <v/>
      </c>
      <c r="AA4">
        <f>H4+M4+R4+W4</f>
        <v/>
      </c>
      <c r="AB4">
        <f>I4+N4+S4+X4</f>
        <v/>
      </c>
      <c r="AC4">
        <f>IF(B4="","",IFERROR(IF(LEFT(INDEX('Dán TĐ lũy kế'!$B$1:$B$1500,MATCH("*"&amp;C4,'Dán TĐ lũy kế'!$A$1:$A$1500,0)),8)="SỐ LƯỢNG","SL","DT"),"DT"))</f>
        <v/>
      </c>
    </row>
    <row r="5">
      <c r="A5" t="n">
        <v>3</v>
      </c>
      <c r="B5">
        <f>IF('Khai báo'!A20="","",'Khai báo'!A20)</f>
        <v/>
      </c>
      <c r="C5">
        <f>IF(B5="","",TRIM('Khai báo'!B20))</f>
        <v/>
      </c>
      <c r="D5">
        <f>IF(B5="","",IF('Khai báo'!C20="Vượt trội","Vượt trội","Chính"))</f>
        <v/>
      </c>
      <c r="E5">
        <f>IF(OR($B5="",'Khai báo'!$C$12=""),0,IFERROR(INDEX('Dán TĐ lũy kế'!$N$1:$N$1500,MATCH("*"&amp;$C5&amp;"|"&amp;'Khai báo'!$C$12,'Dán TĐ lũy kế'!$M$1:$M$1500,0)),0))</f>
        <v/>
      </c>
      <c r="F5">
        <f>IF(OR($B5="",'Khai báo'!$C$12=""),0,IFERROR(INDEX('Dán TĐ lũy kế'!$O$1:$O$1500,MATCH("*"&amp;$C5&amp;"|"&amp;'Khai báo'!$C$12,'Dán TĐ lũy kế'!$M$1:$M$1500,0)),0))</f>
        <v/>
      </c>
      <c r="G5">
        <f>IF(N('Khai báo'!D20)&gt;0,'Khai báo'!D20,F5)</f>
        <v/>
      </c>
      <c r="H5">
        <f>IF(OR($B5="",'Khai báo'!$C$12=""),0,IFERROR(INDEX('Dán TĐ realtime'!$N$1:$N$1500,MATCH("*"&amp;$C5&amp;"|"&amp;'Khai báo'!$C$12,'Dán TĐ realtime'!$M$1:$M$1500,0)),0))</f>
        <v/>
      </c>
      <c r="I5">
        <f>IF(OR($B5="",'Khai báo'!$C$12=""),0,IFERROR(1/(1/IFERROR(INDEX('Dán TĐ realtime'!$O$1:$O$1500,MATCH("*"&amp;$C5&amp;"|"&amp;'Khai báo'!$C$12,'Dán TĐ realtime'!$M$1:$M$1500,0)),0)),G5/SoNgay))</f>
        <v/>
      </c>
      <c r="J5">
        <f>IF(OR($B5="",'Khai báo'!$C$13=""),0,IFERROR(INDEX('Dán TĐ lũy kế'!$N$1:$N$1500,MATCH("*"&amp;$C5&amp;"|"&amp;'Khai báo'!$C$13,'Dán TĐ lũy kế'!$M$1:$M$1500,0)),0))</f>
        <v/>
      </c>
      <c r="K5">
        <f>IF(OR($B5="",'Khai báo'!$C$13=""),0,IFERROR(INDEX('Dán TĐ lũy kế'!$O$1:$O$1500,MATCH("*"&amp;$C5&amp;"|"&amp;'Khai báo'!$C$13,'Dán TĐ lũy kế'!$M$1:$M$1500,0)),0))</f>
        <v/>
      </c>
      <c r="L5">
        <f>IF(N('Khai báo'!E20)&gt;0,'Khai báo'!E20,K5)</f>
        <v/>
      </c>
      <c r="M5">
        <f>IF(OR($B5="",'Khai báo'!$C$13=""),0,IFERROR(INDEX('Dán TĐ realtime'!$N$1:$N$1500,MATCH("*"&amp;$C5&amp;"|"&amp;'Khai báo'!$C$13,'Dán TĐ realtime'!$M$1:$M$1500,0)),0))</f>
        <v/>
      </c>
      <c r="N5">
        <f>IF(OR($B5="",'Khai báo'!$C$13=""),0,IFERROR(1/(1/IFERROR(INDEX('Dán TĐ realtime'!$O$1:$O$1500,MATCH("*"&amp;$C5&amp;"|"&amp;'Khai báo'!$C$13,'Dán TĐ realtime'!$M$1:$M$1500,0)),0)),L5/SoNgay))</f>
        <v/>
      </c>
      <c r="O5">
        <f>IF(OR($B5="",'Khai báo'!$C$14=""),0,IFERROR(INDEX('Dán TĐ lũy kế'!$N$1:$N$1500,MATCH("*"&amp;$C5&amp;"|"&amp;'Khai báo'!$C$14,'Dán TĐ lũy kế'!$M$1:$M$1500,0)),0))</f>
        <v/>
      </c>
      <c r="P5">
        <f>IF(OR($B5="",'Khai báo'!$C$14=""),0,IFERROR(INDEX('Dán TĐ lũy kế'!$O$1:$O$1500,MATCH("*"&amp;$C5&amp;"|"&amp;'Khai báo'!$C$14,'Dán TĐ lũy kế'!$M$1:$M$1500,0)),0))</f>
        <v/>
      </c>
      <c r="Q5">
        <f>IF(N('Khai báo'!F20)&gt;0,'Khai báo'!F20,P5)</f>
        <v/>
      </c>
      <c r="R5">
        <f>IF(OR($B5="",'Khai báo'!$C$14=""),0,IFERROR(INDEX('Dán TĐ realtime'!$N$1:$N$1500,MATCH("*"&amp;$C5&amp;"|"&amp;'Khai báo'!$C$14,'Dán TĐ realtime'!$M$1:$M$1500,0)),0))</f>
        <v/>
      </c>
      <c r="S5">
        <f>IF(OR($B5="",'Khai báo'!$C$14=""),0,IFERROR(1/(1/IFERROR(INDEX('Dán TĐ realtime'!$O$1:$O$1500,MATCH("*"&amp;$C5&amp;"|"&amp;'Khai báo'!$C$14,'Dán TĐ realtime'!$M$1:$M$1500,0)),0)),Q5/SoNgay))</f>
        <v/>
      </c>
      <c r="T5">
        <f>IF(OR($B5="",'Khai báo'!$C$15=""),0,IFERROR(INDEX('Dán TĐ lũy kế'!$N$1:$N$1500,MATCH("*"&amp;$C5&amp;"|"&amp;'Khai báo'!$C$15,'Dán TĐ lũy kế'!$M$1:$M$1500,0)),0))</f>
        <v/>
      </c>
      <c r="U5">
        <f>IF(OR($B5="",'Khai báo'!$C$15=""),0,IFERROR(INDEX('Dán TĐ lũy kế'!$O$1:$O$1500,MATCH("*"&amp;$C5&amp;"|"&amp;'Khai báo'!$C$15,'Dán TĐ lũy kế'!$M$1:$M$1500,0)),0))</f>
        <v/>
      </c>
      <c r="V5">
        <f>IF(N('Khai báo'!G20)&gt;0,'Khai báo'!G20,U5)</f>
        <v/>
      </c>
      <c r="W5">
        <f>IF(OR($B5="",'Khai báo'!$C$15=""),0,IFERROR(INDEX('Dán TĐ realtime'!$N$1:$N$1500,MATCH("*"&amp;$C5&amp;"|"&amp;'Khai báo'!$C$15,'Dán TĐ realtime'!$M$1:$M$1500,0)),0))</f>
        <v/>
      </c>
      <c r="X5">
        <f>IF(OR($B5="",'Khai báo'!$C$15=""),0,IFERROR(1/(1/IFERROR(INDEX('Dán TĐ realtime'!$O$1:$O$1500,MATCH("*"&amp;$C5&amp;"|"&amp;'Khai báo'!$C$15,'Dán TĐ realtime'!$M$1:$M$1500,0)),0)),V5/SoNgay))</f>
        <v/>
      </c>
      <c r="Y5">
        <f>E5+J5+O5+T5</f>
        <v/>
      </c>
      <c r="Z5">
        <f>G5+L5+Q5+V5</f>
        <v/>
      </c>
      <c r="AA5">
        <f>H5+M5+R5+W5</f>
        <v/>
      </c>
      <c r="AB5">
        <f>I5+N5+S5+X5</f>
        <v/>
      </c>
      <c r="AC5">
        <f>IF(B5="","",IFERROR(IF(LEFT(INDEX('Dán TĐ lũy kế'!$B$1:$B$1500,MATCH("*"&amp;C5,'Dán TĐ lũy kế'!$A$1:$A$1500,0)),8)="SỐ LƯỢNG","SL","DT"),"DT"))</f>
        <v/>
      </c>
    </row>
    <row r="6">
      <c r="A6" t="n">
        <v>4</v>
      </c>
      <c r="B6">
        <f>IF('Khai báo'!A21="","",'Khai báo'!A21)</f>
        <v/>
      </c>
      <c r="C6">
        <f>IF(B6="","",TRIM('Khai báo'!B21))</f>
        <v/>
      </c>
      <c r="D6">
        <f>IF(B6="","",IF('Khai báo'!C21="Vượt trội","Vượt trội","Chính"))</f>
        <v/>
      </c>
      <c r="E6">
        <f>IF(OR($B6="",'Khai báo'!$C$12=""),0,IFERROR(INDEX('Dán TĐ lũy kế'!$N$1:$N$1500,MATCH("*"&amp;$C6&amp;"|"&amp;'Khai báo'!$C$12,'Dán TĐ lũy kế'!$M$1:$M$1500,0)),0))</f>
        <v/>
      </c>
      <c r="F6">
        <f>IF(OR($B6="",'Khai báo'!$C$12=""),0,IFERROR(INDEX('Dán TĐ lũy kế'!$O$1:$O$1500,MATCH("*"&amp;$C6&amp;"|"&amp;'Khai báo'!$C$12,'Dán TĐ lũy kế'!$M$1:$M$1500,0)),0))</f>
        <v/>
      </c>
      <c r="G6">
        <f>IF(N('Khai báo'!D21)&gt;0,'Khai báo'!D21,F6)</f>
        <v/>
      </c>
      <c r="H6">
        <f>IF(OR($B6="",'Khai báo'!$C$12=""),0,IFERROR(INDEX('Dán TĐ realtime'!$N$1:$N$1500,MATCH("*"&amp;$C6&amp;"|"&amp;'Khai báo'!$C$12,'Dán TĐ realtime'!$M$1:$M$1500,0)),0))</f>
        <v/>
      </c>
      <c r="I6">
        <f>IF(OR($B6="",'Khai báo'!$C$12=""),0,IFERROR(1/(1/IFERROR(INDEX('Dán TĐ realtime'!$O$1:$O$1500,MATCH("*"&amp;$C6&amp;"|"&amp;'Khai báo'!$C$12,'Dán TĐ realtime'!$M$1:$M$1500,0)),0)),G6/SoNgay))</f>
        <v/>
      </c>
      <c r="J6">
        <f>IF(OR($B6="",'Khai báo'!$C$13=""),0,IFERROR(INDEX('Dán TĐ lũy kế'!$N$1:$N$1500,MATCH("*"&amp;$C6&amp;"|"&amp;'Khai báo'!$C$13,'Dán TĐ lũy kế'!$M$1:$M$1500,0)),0))</f>
        <v/>
      </c>
      <c r="K6">
        <f>IF(OR($B6="",'Khai báo'!$C$13=""),0,IFERROR(INDEX('Dán TĐ lũy kế'!$O$1:$O$1500,MATCH("*"&amp;$C6&amp;"|"&amp;'Khai báo'!$C$13,'Dán TĐ lũy kế'!$M$1:$M$1500,0)),0))</f>
        <v/>
      </c>
      <c r="L6">
        <f>IF(N('Khai báo'!E21)&gt;0,'Khai báo'!E21,K6)</f>
        <v/>
      </c>
      <c r="M6">
        <f>IF(OR($B6="",'Khai báo'!$C$13=""),0,IFERROR(INDEX('Dán TĐ realtime'!$N$1:$N$1500,MATCH("*"&amp;$C6&amp;"|"&amp;'Khai báo'!$C$13,'Dán TĐ realtime'!$M$1:$M$1500,0)),0))</f>
        <v/>
      </c>
      <c r="N6">
        <f>IF(OR($B6="",'Khai báo'!$C$13=""),0,IFERROR(1/(1/IFERROR(INDEX('Dán TĐ realtime'!$O$1:$O$1500,MATCH("*"&amp;$C6&amp;"|"&amp;'Khai báo'!$C$13,'Dán TĐ realtime'!$M$1:$M$1500,0)),0)),L6/SoNgay))</f>
        <v/>
      </c>
      <c r="O6">
        <f>IF(OR($B6="",'Khai báo'!$C$14=""),0,IFERROR(INDEX('Dán TĐ lũy kế'!$N$1:$N$1500,MATCH("*"&amp;$C6&amp;"|"&amp;'Khai báo'!$C$14,'Dán TĐ lũy kế'!$M$1:$M$1500,0)),0))</f>
        <v/>
      </c>
      <c r="P6">
        <f>IF(OR($B6="",'Khai báo'!$C$14=""),0,IFERROR(INDEX('Dán TĐ lũy kế'!$O$1:$O$1500,MATCH("*"&amp;$C6&amp;"|"&amp;'Khai báo'!$C$14,'Dán TĐ lũy kế'!$M$1:$M$1500,0)),0))</f>
        <v/>
      </c>
      <c r="Q6">
        <f>IF(N('Khai báo'!F21)&gt;0,'Khai báo'!F21,P6)</f>
        <v/>
      </c>
      <c r="R6">
        <f>IF(OR($B6="",'Khai báo'!$C$14=""),0,IFERROR(INDEX('Dán TĐ realtime'!$N$1:$N$1500,MATCH("*"&amp;$C6&amp;"|"&amp;'Khai báo'!$C$14,'Dán TĐ realtime'!$M$1:$M$1500,0)),0))</f>
        <v/>
      </c>
      <c r="S6">
        <f>IF(OR($B6="",'Khai báo'!$C$14=""),0,IFERROR(1/(1/IFERROR(INDEX('Dán TĐ realtime'!$O$1:$O$1500,MATCH("*"&amp;$C6&amp;"|"&amp;'Khai báo'!$C$14,'Dán TĐ realtime'!$M$1:$M$1500,0)),0)),Q6/SoNgay))</f>
        <v/>
      </c>
      <c r="T6">
        <f>IF(OR($B6="",'Khai báo'!$C$15=""),0,IFERROR(INDEX('Dán TĐ lũy kế'!$N$1:$N$1500,MATCH("*"&amp;$C6&amp;"|"&amp;'Khai báo'!$C$15,'Dán TĐ lũy kế'!$M$1:$M$1500,0)),0))</f>
        <v/>
      </c>
      <c r="U6">
        <f>IF(OR($B6="",'Khai báo'!$C$15=""),0,IFERROR(INDEX('Dán TĐ lũy kế'!$O$1:$O$1500,MATCH("*"&amp;$C6&amp;"|"&amp;'Khai báo'!$C$15,'Dán TĐ lũy kế'!$M$1:$M$1500,0)),0))</f>
        <v/>
      </c>
      <c r="V6">
        <f>IF(N('Khai báo'!G21)&gt;0,'Khai báo'!G21,U6)</f>
        <v/>
      </c>
      <c r="W6">
        <f>IF(OR($B6="",'Khai báo'!$C$15=""),0,IFERROR(INDEX('Dán TĐ realtime'!$N$1:$N$1500,MATCH("*"&amp;$C6&amp;"|"&amp;'Khai báo'!$C$15,'Dán TĐ realtime'!$M$1:$M$1500,0)),0))</f>
        <v/>
      </c>
      <c r="X6">
        <f>IF(OR($B6="",'Khai báo'!$C$15=""),0,IFERROR(1/(1/IFERROR(INDEX('Dán TĐ realtime'!$O$1:$O$1500,MATCH("*"&amp;$C6&amp;"|"&amp;'Khai báo'!$C$15,'Dán TĐ realtime'!$M$1:$M$1500,0)),0)),V6/SoNgay))</f>
        <v/>
      </c>
      <c r="Y6">
        <f>E6+J6+O6+T6</f>
        <v/>
      </c>
      <c r="Z6">
        <f>G6+L6+Q6+V6</f>
        <v/>
      </c>
      <c r="AA6">
        <f>H6+M6+R6+W6</f>
        <v/>
      </c>
      <c r="AB6">
        <f>I6+N6+S6+X6</f>
        <v/>
      </c>
      <c r="AC6">
        <f>IF(B6="","",IFERROR(IF(LEFT(INDEX('Dán TĐ lũy kế'!$B$1:$B$1500,MATCH("*"&amp;C6,'Dán TĐ lũy kế'!$A$1:$A$1500,0)),8)="SỐ LƯỢNG","SL","DT"),"DT"))</f>
        <v/>
      </c>
    </row>
    <row r="7">
      <c r="A7" t="n">
        <v>5</v>
      </c>
      <c r="B7">
        <f>IF('Khai báo'!A22="","",'Khai báo'!A22)</f>
        <v/>
      </c>
      <c r="C7">
        <f>IF(B7="","",TRIM('Khai báo'!B22))</f>
        <v/>
      </c>
      <c r="D7">
        <f>IF(B7="","",IF('Khai báo'!C22="Vượt trội","Vượt trội","Chính"))</f>
        <v/>
      </c>
      <c r="E7">
        <f>IF(OR($B7="",'Khai báo'!$C$12=""),0,IFERROR(INDEX('Dán TĐ lũy kế'!$N$1:$N$1500,MATCH("*"&amp;$C7&amp;"|"&amp;'Khai báo'!$C$12,'Dán TĐ lũy kế'!$M$1:$M$1500,0)),0))</f>
        <v/>
      </c>
      <c r="F7">
        <f>IF(OR($B7="",'Khai báo'!$C$12=""),0,IFERROR(INDEX('Dán TĐ lũy kế'!$O$1:$O$1500,MATCH("*"&amp;$C7&amp;"|"&amp;'Khai báo'!$C$12,'Dán TĐ lũy kế'!$M$1:$M$1500,0)),0))</f>
        <v/>
      </c>
      <c r="G7">
        <f>IF(N('Khai báo'!D22)&gt;0,'Khai báo'!D22,F7)</f>
        <v/>
      </c>
      <c r="H7">
        <f>IF(OR($B7="",'Khai báo'!$C$12=""),0,IFERROR(INDEX('Dán TĐ realtime'!$N$1:$N$1500,MATCH("*"&amp;$C7&amp;"|"&amp;'Khai báo'!$C$12,'Dán TĐ realtime'!$M$1:$M$1500,0)),0))</f>
        <v/>
      </c>
      <c r="I7">
        <f>IF(OR($B7="",'Khai báo'!$C$12=""),0,IFERROR(1/(1/IFERROR(INDEX('Dán TĐ realtime'!$O$1:$O$1500,MATCH("*"&amp;$C7&amp;"|"&amp;'Khai báo'!$C$12,'Dán TĐ realtime'!$M$1:$M$1500,0)),0)),G7/SoNgay))</f>
        <v/>
      </c>
      <c r="J7">
        <f>IF(OR($B7="",'Khai báo'!$C$13=""),0,IFERROR(INDEX('Dán TĐ lũy kế'!$N$1:$N$1500,MATCH("*"&amp;$C7&amp;"|"&amp;'Khai báo'!$C$13,'Dán TĐ lũy kế'!$M$1:$M$1500,0)),0))</f>
        <v/>
      </c>
      <c r="K7">
        <f>IF(OR($B7="",'Khai báo'!$C$13=""),0,IFERROR(INDEX('Dán TĐ lũy kế'!$O$1:$O$1500,MATCH("*"&amp;$C7&amp;"|"&amp;'Khai báo'!$C$13,'Dán TĐ lũy kế'!$M$1:$M$1500,0)),0))</f>
        <v/>
      </c>
      <c r="L7">
        <f>IF(N('Khai báo'!E22)&gt;0,'Khai báo'!E22,K7)</f>
        <v/>
      </c>
      <c r="M7">
        <f>IF(OR($B7="",'Khai báo'!$C$13=""),0,IFERROR(INDEX('Dán TĐ realtime'!$N$1:$N$1500,MATCH("*"&amp;$C7&amp;"|"&amp;'Khai báo'!$C$13,'Dán TĐ realtime'!$M$1:$M$1500,0)),0))</f>
        <v/>
      </c>
      <c r="N7">
        <f>IF(OR($B7="",'Khai báo'!$C$13=""),0,IFERROR(1/(1/IFERROR(INDEX('Dán TĐ realtime'!$O$1:$O$1500,MATCH("*"&amp;$C7&amp;"|"&amp;'Khai báo'!$C$13,'Dán TĐ realtime'!$M$1:$M$1500,0)),0)),L7/SoNgay))</f>
        <v/>
      </c>
      <c r="O7">
        <f>IF(OR($B7="",'Khai báo'!$C$14=""),0,IFERROR(INDEX('Dán TĐ lũy kế'!$N$1:$N$1500,MATCH("*"&amp;$C7&amp;"|"&amp;'Khai báo'!$C$14,'Dán TĐ lũy kế'!$M$1:$M$1500,0)),0))</f>
        <v/>
      </c>
      <c r="P7">
        <f>IF(OR($B7="",'Khai báo'!$C$14=""),0,IFERROR(INDEX('Dán TĐ lũy kế'!$O$1:$O$1500,MATCH("*"&amp;$C7&amp;"|"&amp;'Khai báo'!$C$14,'Dán TĐ lũy kế'!$M$1:$M$1500,0)),0))</f>
        <v/>
      </c>
      <c r="Q7">
        <f>IF(N('Khai báo'!F22)&gt;0,'Khai báo'!F22,P7)</f>
        <v/>
      </c>
      <c r="R7">
        <f>IF(OR($B7="",'Khai báo'!$C$14=""),0,IFERROR(INDEX('Dán TĐ realtime'!$N$1:$N$1500,MATCH("*"&amp;$C7&amp;"|"&amp;'Khai báo'!$C$14,'Dán TĐ realtime'!$M$1:$M$1500,0)),0))</f>
        <v/>
      </c>
      <c r="S7">
        <f>IF(OR($B7="",'Khai báo'!$C$14=""),0,IFERROR(1/(1/IFERROR(INDEX('Dán TĐ realtime'!$O$1:$O$1500,MATCH("*"&amp;$C7&amp;"|"&amp;'Khai báo'!$C$14,'Dán TĐ realtime'!$M$1:$M$1500,0)),0)),Q7/SoNgay))</f>
        <v/>
      </c>
      <c r="T7">
        <f>IF(OR($B7="",'Khai báo'!$C$15=""),0,IFERROR(INDEX('Dán TĐ lũy kế'!$N$1:$N$1500,MATCH("*"&amp;$C7&amp;"|"&amp;'Khai báo'!$C$15,'Dán TĐ lũy kế'!$M$1:$M$1500,0)),0))</f>
        <v/>
      </c>
      <c r="U7">
        <f>IF(OR($B7="",'Khai báo'!$C$15=""),0,IFERROR(INDEX('Dán TĐ lũy kế'!$O$1:$O$1500,MATCH("*"&amp;$C7&amp;"|"&amp;'Khai báo'!$C$15,'Dán TĐ lũy kế'!$M$1:$M$1500,0)),0))</f>
        <v/>
      </c>
      <c r="V7">
        <f>IF(N('Khai báo'!G22)&gt;0,'Khai báo'!G22,U7)</f>
        <v/>
      </c>
      <c r="W7">
        <f>IF(OR($B7="",'Khai báo'!$C$15=""),0,IFERROR(INDEX('Dán TĐ realtime'!$N$1:$N$1500,MATCH("*"&amp;$C7&amp;"|"&amp;'Khai báo'!$C$15,'Dán TĐ realtime'!$M$1:$M$1500,0)),0))</f>
        <v/>
      </c>
      <c r="X7">
        <f>IF(OR($B7="",'Khai báo'!$C$15=""),0,IFERROR(1/(1/IFERROR(INDEX('Dán TĐ realtime'!$O$1:$O$1500,MATCH("*"&amp;$C7&amp;"|"&amp;'Khai báo'!$C$15,'Dán TĐ realtime'!$M$1:$M$1500,0)),0)),V7/SoNgay))</f>
        <v/>
      </c>
      <c r="Y7">
        <f>E7+J7+O7+T7</f>
        <v/>
      </c>
      <c r="Z7">
        <f>G7+L7+Q7+V7</f>
        <v/>
      </c>
      <c r="AA7">
        <f>H7+M7+R7+W7</f>
        <v/>
      </c>
      <c r="AB7">
        <f>I7+N7+S7+X7</f>
        <v/>
      </c>
      <c r="AC7">
        <f>IF(B7="","",IFERROR(IF(LEFT(INDEX('Dán TĐ lũy kế'!$B$1:$B$1500,MATCH("*"&amp;C7,'Dán TĐ lũy kế'!$A$1:$A$1500,0)),8)="SỐ LƯỢNG","SL","DT"),"DT"))</f>
        <v/>
      </c>
    </row>
    <row r="8">
      <c r="A8" t="n">
        <v>6</v>
      </c>
      <c r="B8">
        <f>IF('Khai báo'!A23="","",'Khai báo'!A23)</f>
        <v/>
      </c>
      <c r="C8">
        <f>IF(B8="","",TRIM('Khai báo'!B23))</f>
        <v/>
      </c>
      <c r="D8">
        <f>IF(B8="","",IF('Khai báo'!C23="Vượt trội","Vượt trội","Chính"))</f>
        <v/>
      </c>
      <c r="E8">
        <f>IF(OR($B8="",'Khai báo'!$C$12=""),0,IFERROR(INDEX('Dán TĐ lũy kế'!$N$1:$N$1500,MATCH("*"&amp;$C8&amp;"|"&amp;'Khai báo'!$C$12,'Dán TĐ lũy kế'!$M$1:$M$1500,0)),0))</f>
        <v/>
      </c>
      <c r="F8">
        <f>IF(OR($B8="",'Khai báo'!$C$12=""),0,IFERROR(INDEX('Dán TĐ lũy kế'!$O$1:$O$1500,MATCH("*"&amp;$C8&amp;"|"&amp;'Khai báo'!$C$12,'Dán TĐ lũy kế'!$M$1:$M$1500,0)),0))</f>
        <v/>
      </c>
      <c r="G8">
        <f>IF(N('Khai báo'!D23)&gt;0,'Khai báo'!D23,F8)</f>
        <v/>
      </c>
      <c r="H8">
        <f>IF(OR($B8="",'Khai báo'!$C$12=""),0,IFERROR(INDEX('Dán TĐ realtime'!$N$1:$N$1500,MATCH("*"&amp;$C8&amp;"|"&amp;'Khai báo'!$C$12,'Dán TĐ realtime'!$M$1:$M$1500,0)),0))</f>
        <v/>
      </c>
      <c r="I8">
        <f>IF(OR($B8="",'Khai báo'!$C$12=""),0,IFERROR(1/(1/IFERROR(INDEX('Dán TĐ realtime'!$O$1:$O$1500,MATCH("*"&amp;$C8&amp;"|"&amp;'Khai báo'!$C$12,'Dán TĐ realtime'!$M$1:$M$1500,0)),0)),G8/SoNgay))</f>
        <v/>
      </c>
      <c r="J8">
        <f>IF(OR($B8="",'Khai báo'!$C$13=""),0,IFERROR(INDEX('Dán TĐ lũy kế'!$N$1:$N$1500,MATCH("*"&amp;$C8&amp;"|"&amp;'Khai báo'!$C$13,'Dán TĐ lũy kế'!$M$1:$M$1500,0)),0))</f>
        <v/>
      </c>
      <c r="K8">
        <f>IF(OR($B8="",'Khai báo'!$C$13=""),0,IFERROR(INDEX('Dán TĐ lũy kế'!$O$1:$O$1500,MATCH("*"&amp;$C8&amp;"|"&amp;'Khai báo'!$C$13,'Dán TĐ lũy kế'!$M$1:$M$1500,0)),0))</f>
        <v/>
      </c>
      <c r="L8">
        <f>IF(N('Khai báo'!E23)&gt;0,'Khai báo'!E23,K8)</f>
        <v/>
      </c>
      <c r="M8">
        <f>IF(OR($B8="",'Khai báo'!$C$13=""),0,IFERROR(INDEX('Dán TĐ realtime'!$N$1:$N$1500,MATCH("*"&amp;$C8&amp;"|"&amp;'Khai báo'!$C$13,'Dán TĐ realtime'!$M$1:$M$1500,0)),0))</f>
        <v/>
      </c>
      <c r="N8">
        <f>IF(OR($B8="",'Khai báo'!$C$13=""),0,IFERROR(1/(1/IFERROR(INDEX('Dán TĐ realtime'!$O$1:$O$1500,MATCH("*"&amp;$C8&amp;"|"&amp;'Khai báo'!$C$13,'Dán TĐ realtime'!$M$1:$M$1500,0)),0)),L8/SoNgay))</f>
        <v/>
      </c>
      <c r="O8">
        <f>IF(OR($B8="",'Khai báo'!$C$14=""),0,IFERROR(INDEX('Dán TĐ lũy kế'!$N$1:$N$1500,MATCH("*"&amp;$C8&amp;"|"&amp;'Khai báo'!$C$14,'Dán TĐ lũy kế'!$M$1:$M$1500,0)),0))</f>
        <v/>
      </c>
      <c r="P8">
        <f>IF(OR($B8="",'Khai báo'!$C$14=""),0,IFERROR(INDEX('Dán TĐ lũy kế'!$O$1:$O$1500,MATCH("*"&amp;$C8&amp;"|"&amp;'Khai báo'!$C$14,'Dán TĐ lũy kế'!$M$1:$M$1500,0)),0))</f>
        <v/>
      </c>
      <c r="Q8">
        <f>IF(N('Khai báo'!F23)&gt;0,'Khai báo'!F23,P8)</f>
        <v/>
      </c>
      <c r="R8">
        <f>IF(OR($B8="",'Khai báo'!$C$14=""),0,IFERROR(INDEX('Dán TĐ realtime'!$N$1:$N$1500,MATCH("*"&amp;$C8&amp;"|"&amp;'Khai báo'!$C$14,'Dán TĐ realtime'!$M$1:$M$1500,0)),0))</f>
        <v/>
      </c>
      <c r="S8">
        <f>IF(OR($B8="",'Khai báo'!$C$14=""),0,IFERROR(1/(1/IFERROR(INDEX('Dán TĐ realtime'!$O$1:$O$1500,MATCH("*"&amp;$C8&amp;"|"&amp;'Khai báo'!$C$14,'Dán TĐ realtime'!$M$1:$M$1500,0)),0)),Q8/SoNgay))</f>
        <v/>
      </c>
      <c r="T8">
        <f>IF(OR($B8="",'Khai báo'!$C$15=""),0,IFERROR(INDEX('Dán TĐ lũy kế'!$N$1:$N$1500,MATCH("*"&amp;$C8&amp;"|"&amp;'Khai báo'!$C$15,'Dán TĐ lũy kế'!$M$1:$M$1500,0)),0))</f>
        <v/>
      </c>
      <c r="U8">
        <f>IF(OR($B8="",'Khai báo'!$C$15=""),0,IFERROR(INDEX('Dán TĐ lũy kế'!$O$1:$O$1500,MATCH("*"&amp;$C8&amp;"|"&amp;'Khai báo'!$C$15,'Dán TĐ lũy kế'!$M$1:$M$1500,0)),0))</f>
        <v/>
      </c>
      <c r="V8">
        <f>IF(N('Khai báo'!G23)&gt;0,'Khai báo'!G23,U8)</f>
        <v/>
      </c>
      <c r="W8">
        <f>IF(OR($B8="",'Khai báo'!$C$15=""),0,IFERROR(INDEX('Dán TĐ realtime'!$N$1:$N$1500,MATCH("*"&amp;$C8&amp;"|"&amp;'Khai báo'!$C$15,'Dán TĐ realtime'!$M$1:$M$1500,0)),0))</f>
        <v/>
      </c>
      <c r="X8">
        <f>IF(OR($B8="",'Khai báo'!$C$15=""),0,IFERROR(1/(1/IFERROR(INDEX('Dán TĐ realtime'!$O$1:$O$1500,MATCH("*"&amp;$C8&amp;"|"&amp;'Khai báo'!$C$15,'Dán TĐ realtime'!$M$1:$M$1500,0)),0)),V8/SoNgay))</f>
        <v/>
      </c>
      <c r="Y8">
        <f>E8+J8+O8+T8</f>
        <v/>
      </c>
      <c r="Z8">
        <f>G8+L8+Q8+V8</f>
        <v/>
      </c>
      <c r="AA8">
        <f>H8+M8+R8+W8</f>
        <v/>
      </c>
      <c r="AB8">
        <f>I8+N8+S8+X8</f>
        <v/>
      </c>
      <c r="AC8">
        <f>IF(B8="","",IFERROR(IF(LEFT(INDEX('Dán TĐ lũy kế'!$B$1:$B$1500,MATCH("*"&amp;C8,'Dán TĐ lũy kế'!$A$1:$A$1500,0)),8)="SỐ LƯỢNG","SL","DT"),"DT"))</f>
        <v/>
      </c>
    </row>
    <row r="9">
      <c r="A9" t="n">
        <v>7</v>
      </c>
      <c r="B9">
        <f>IF('Khai báo'!A24="","",'Khai báo'!A24)</f>
        <v/>
      </c>
      <c r="C9">
        <f>IF(B9="","",TRIM('Khai báo'!B24))</f>
        <v/>
      </c>
      <c r="D9">
        <f>IF(B9="","",IF('Khai báo'!C24="Vượt trội","Vượt trội","Chính"))</f>
        <v/>
      </c>
      <c r="E9">
        <f>IF(OR($B9="",'Khai báo'!$C$12=""),0,IFERROR(INDEX('Dán TĐ lũy kế'!$N$1:$N$1500,MATCH("*"&amp;$C9&amp;"|"&amp;'Khai báo'!$C$12,'Dán TĐ lũy kế'!$M$1:$M$1500,0)),0))</f>
        <v/>
      </c>
      <c r="F9">
        <f>IF(OR($B9="",'Khai báo'!$C$12=""),0,IFERROR(INDEX('Dán TĐ lũy kế'!$O$1:$O$1500,MATCH("*"&amp;$C9&amp;"|"&amp;'Khai báo'!$C$12,'Dán TĐ lũy kế'!$M$1:$M$1500,0)),0))</f>
        <v/>
      </c>
      <c r="G9">
        <f>IF(N('Khai báo'!D24)&gt;0,'Khai báo'!D24,F9)</f>
        <v/>
      </c>
      <c r="H9">
        <f>IF(OR($B9="",'Khai báo'!$C$12=""),0,IFERROR(INDEX('Dán TĐ realtime'!$N$1:$N$1500,MATCH("*"&amp;$C9&amp;"|"&amp;'Khai báo'!$C$12,'Dán TĐ realtime'!$M$1:$M$1500,0)),0))</f>
        <v/>
      </c>
      <c r="I9">
        <f>IF(OR($B9="",'Khai báo'!$C$12=""),0,IFERROR(1/(1/IFERROR(INDEX('Dán TĐ realtime'!$O$1:$O$1500,MATCH("*"&amp;$C9&amp;"|"&amp;'Khai báo'!$C$12,'Dán TĐ realtime'!$M$1:$M$1500,0)),0)),G9/SoNgay))</f>
        <v/>
      </c>
      <c r="J9">
        <f>IF(OR($B9="",'Khai báo'!$C$13=""),0,IFERROR(INDEX('Dán TĐ lũy kế'!$N$1:$N$1500,MATCH("*"&amp;$C9&amp;"|"&amp;'Khai báo'!$C$13,'Dán TĐ lũy kế'!$M$1:$M$1500,0)),0))</f>
        <v/>
      </c>
      <c r="K9">
        <f>IF(OR($B9="",'Khai báo'!$C$13=""),0,IFERROR(INDEX('Dán TĐ lũy kế'!$O$1:$O$1500,MATCH("*"&amp;$C9&amp;"|"&amp;'Khai báo'!$C$13,'Dán TĐ lũy kế'!$M$1:$M$1500,0)),0))</f>
        <v/>
      </c>
      <c r="L9">
        <f>IF(N('Khai báo'!E24)&gt;0,'Khai báo'!E24,K9)</f>
        <v/>
      </c>
      <c r="M9">
        <f>IF(OR($B9="",'Khai báo'!$C$13=""),0,IFERROR(INDEX('Dán TĐ realtime'!$N$1:$N$1500,MATCH("*"&amp;$C9&amp;"|"&amp;'Khai báo'!$C$13,'Dán TĐ realtime'!$M$1:$M$1500,0)),0))</f>
        <v/>
      </c>
      <c r="N9">
        <f>IF(OR($B9="",'Khai báo'!$C$13=""),0,IFERROR(1/(1/IFERROR(INDEX('Dán TĐ realtime'!$O$1:$O$1500,MATCH("*"&amp;$C9&amp;"|"&amp;'Khai báo'!$C$13,'Dán TĐ realtime'!$M$1:$M$1500,0)),0)),L9/SoNgay))</f>
        <v/>
      </c>
      <c r="O9">
        <f>IF(OR($B9="",'Khai báo'!$C$14=""),0,IFERROR(INDEX('Dán TĐ lũy kế'!$N$1:$N$1500,MATCH("*"&amp;$C9&amp;"|"&amp;'Khai báo'!$C$14,'Dán TĐ lũy kế'!$M$1:$M$1500,0)),0))</f>
        <v/>
      </c>
      <c r="P9">
        <f>IF(OR($B9="",'Khai báo'!$C$14=""),0,IFERROR(INDEX('Dán TĐ lũy kế'!$O$1:$O$1500,MATCH("*"&amp;$C9&amp;"|"&amp;'Khai báo'!$C$14,'Dán TĐ lũy kế'!$M$1:$M$1500,0)),0))</f>
        <v/>
      </c>
      <c r="Q9">
        <f>IF(N('Khai báo'!F24)&gt;0,'Khai báo'!F24,P9)</f>
        <v/>
      </c>
      <c r="R9">
        <f>IF(OR($B9="",'Khai báo'!$C$14=""),0,IFERROR(INDEX('Dán TĐ realtime'!$N$1:$N$1500,MATCH("*"&amp;$C9&amp;"|"&amp;'Khai báo'!$C$14,'Dán TĐ realtime'!$M$1:$M$1500,0)),0))</f>
        <v/>
      </c>
      <c r="S9">
        <f>IF(OR($B9="",'Khai báo'!$C$14=""),0,IFERROR(1/(1/IFERROR(INDEX('Dán TĐ realtime'!$O$1:$O$1500,MATCH("*"&amp;$C9&amp;"|"&amp;'Khai báo'!$C$14,'Dán TĐ realtime'!$M$1:$M$1500,0)),0)),Q9/SoNgay))</f>
        <v/>
      </c>
      <c r="T9">
        <f>IF(OR($B9="",'Khai báo'!$C$15=""),0,IFERROR(INDEX('Dán TĐ lũy kế'!$N$1:$N$1500,MATCH("*"&amp;$C9&amp;"|"&amp;'Khai báo'!$C$15,'Dán TĐ lũy kế'!$M$1:$M$1500,0)),0))</f>
        <v/>
      </c>
      <c r="U9">
        <f>IF(OR($B9="",'Khai báo'!$C$15=""),0,IFERROR(INDEX('Dán TĐ lũy kế'!$O$1:$O$1500,MATCH("*"&amp;$C9&amp;"|"&amp;'Khai báo'!$C$15,'Dán TĐ lũy kế'!$M$1:$M$1500,0)),0))</f>
        <v/>
      </c>
      <c r="V9">
        <f>IF(N('Khai báo'!G24)&gt;0,'Khai báo'!G24,U9)</f>
        <v/>
      </c>
      <c r="W9">
        <f>IF(OR($B9="",'Khai báo'!$C$15=""),0,IFERROR(INDEX('Dán TĐ realtime'!$N$1:$N$1500,MATCH("*"&amp;$C9&amp;"|"&amp;'Khai báo'!$C$15,'Dán TĐ realtime'!$M$1:$M$1500,0)),0))</f>
        <v/>
      </c>
      <c r="X9">
        <f>IF(OR($B9="",'Khai báo'!$C$15=""),0,IFERROR(1/(1/IFERROR(INDEX('Dán TĐ realtime'!$O$1:$O$1500,MATCH("*"&amp;$C9&amp;"|"&amp;'Khai báo'!$C$15,'Dán TĐ realtime'!$M$1:$M$1500,0)),0)),V9/SoNgay))</f>
        <v/>
      </c>
      <c r="Y9">
        <f>E9+J9+O9+T9</f>
        <v/>
      </c>
      <c r="Z9">
        <f>G9+L9+Q9+V9</f>
        <v/>
      </c>
      <c r="AA9">
        <f>H9+M9+R9+W9</f>
        <v/>
      </c>
      <c r="AB9">
        <f>I9+N9+S9+X9</f>
        <v/>
      </c>
      <c r="AC9">
        <f>IF(B9="","",IFERROR(IF(LEFT(INDEX('Dán TĐ lũy kế'!$B$1:$B$1500,MATCH("*"&amp;C9,'Dán TĐ lũy kế'!$A$1:$A$1500,0)),8)="SỐ LƯỢNG","SL","DT"),"DT"))</f>
        <v/>
      </c>
    </row>
    <row r="10">
      <c r="A10" t="n">
        <v>8</v>
      </c>
      <c r="B10">
        <f>IF('Khai báo'!A25="","",'Khai báo'!A25)</f>
        <v/>
      </c>
      <c r="C10">
        <f>IF(B10="","",TRIM('Khai báo'!B25))</f>
        <v/>
      </c>
      <c r="D10">
        <f>IF(B10="","",IF('Khai báo'!C25="Vượt trội","Vượt trội","Chính"))</f>
        <v/>
      </c>
      <c r="E10">
        <f>IF(OR($B10="",'Khai báo'!$C$12=""),0,IFERROR(INDEX('Dán TĐ lũy kế'!$N$1:$N$1500,MATCH("*"&amp;$C10&amp;"|"&amp;'Khai báo'!$C$12,'Dán TĐ lũy kế'!$M$1:$M$1500,0)),0))</f>
        <v/>
      </c>
      <c r="F10">
        <f>IF(OR($B10="",'Khai báo'!$C$12=""),0,IFERROR(INDEX('Dán TĐ lũy kế'!$O$1:$O$1500,MATCH("*"&amp;$C10&amp;"|"&amp;'Khai báo'!$C$12,'Dán TĐ lũy kế'!$M$1:$M$1500,0)),0))</f>
        <v/>
      </c>
      <c r="G10">
        <f>IF(N('Khai báo'!D25)&gt;0,'Khai báo'!D25,F10)</f>
        <v/>
      </c>
      <c r="H10">
        <f>IF(OR($B10="",'Khai báo'!$C$12=""),0,IFERROR(INDEX('Dán TĐ realtime'!$N$1:$N$1500,MATCH("*"&amp;$C10&amp;"|"&amp;'Khai báo'!$C$12,'Dán TĐ realtime'!$M$1:$M$1500,0)),0))</f>
        <v/>
      </c>
      <c r="I10">
        <f>IF(OR($B10="",'Khai báo'!$C$12=""),0,IFERROR(1/(1/IFERROR(INDEX('Dán TĐ realtime'!$O$1:$O$1500,MATCH("*"&amp;$C10&amp;"|"&amp;'Khai báo'!$C$12,'Dán TĐ realtime'!$M$1:$M$1500,0)),0)),G10/SoNgay))</f>
        <v/>
      </c>
      <c r="J10">
        <f>IF(OR($B10="",'Khai báo'!$C$13=""),0,IFERROR(INDEX('Dán TĐ lũy kế'!$N$1:$N$1500,MATCH("*"&amp;$C10&amp;"|"&amp;'Khai báo'!$C$13,'Dán TĐ lũy kế'!$M$1:$M$1500,0)),0))</f>
        <v/>
      </c>
      <c r="K10">
        <f>IF(OR($B10="",'Khai báo'!$C$13=""),0,IFERROR(INDEX('Dán TĐ lũy kế'!$O$1:$O$1500,MATCH("*"&amp;$C10&amp;"|"&amp;'Khai báo'!$C$13,'Dán TĐ lũy kế'!$M$1:$M$1500,0)),0))</f>
        <v/>
      </c>
      <c r="L10">
        <f>IF(N('Khai báo'!E25)&gt;0,'Khai báo'!E25,K10)</f>
        <v/>
      </c>
      <c r="M10">
        <f>IF(OR($B10="",'Khai báo'!$C$13=""),0,IFERROR(INDEX('Dán TĐ realtime'!$N$1:$N$1500,MATCH("*"&amp;$C10&amp;"|"&amp;'Khai báo'!$C$13,'Dán TĐ realtime'!$M$1:$M$1500,0)),0))</f>
        <v/>
      </c>
      <c r="N10">
        <f>IF(OR($B10="",'Khai báo'!$C$13=""),0,IFERROR(1/(1/IFERROR(INDEX('Dán TĐ realtime'!$O$1:$O$1500,MATCH("*"&amp;$C10&amp;"|"&amp;'Khai báo'!$C$13,'Dán TĐ realtime'!$M$1:$M$1500,0)),0)),L10/SoNgay))</f>
        <v/>
      </c>
      <c r="O10">
        <f>IF(OR($B10="",'Khai báo'!$C$14=""),0,IFERROR(INDEX('Dán TĐ lũy kế'!$N$1:$N$1500,MATCH("*"&amp;$C10&amp;"|"&amp;'Khai báo'!$C$14,'Dán TĐ lũy kế'!$M$1:$M$1500,0)),0))</f>
        <v/>
      </c>
      <c r="P10">
        <f>IF(OR($B10="",'Khai báo'!$C$14=""),0,IFERROR(INDEX('Dán TĐ lũy kế'!$O$1:$O$1500,MATCH("*"&amp;$C10&amp;"|"&amp;'Khai báo'!$C$14,'Dán TĐ lũy kế'!$M$1:$M$1500,0)),0))</f>
        <v/>
      </c>
      <c r="Q10">
        <f>IF(N('Khai báo'!F25)&gt;0,'Khai báo'!F25,P10)</f>
        <v/>
      </c>
      <c r="R10">
        <f>IF(OR($B10="",'Khai báo'!$C$14=""),0,IFERROR(INDEX('Dán TĐ realtime'!$N$1:$N$1500,MATCH("*"&amp;$C10&amp;"|"&amp;'Khai báo'!$C$14,'Dán TĐ realtime'!$M$1:$M$1500,0)),0))</f>
        <v/>
      </c>
      <c r="S10">
        <f>IF(OR($B10="",'Khai báo'!$C$14=""),0,IFERROR(1/(1/IFERROR(INDEX('Dán TĐ realtime'!$O$1:$O$1500,MATCH("*"&amp;$C10&amp;"|"&amp;'Khai báo'!$C$14,'Dán TĐ realtime'!$M$1:$M$1500,0)),0)),Q10/SoNgay))</f>
        <v/>
      </c>
      <c r="T10">
        <f>IF(OR($B10="",'Khai báo'!$C$15=""),0,IFERROR(INDEX('Dán TĐ lũy kế'!$N$1:$N$1500,MATCH("*"&amp;$C10&amp;"|"&amp;'Khai báo'!$C$15,'Dán TĐ lũy kế'!$M$1:$M$1500,0)),0))</f>
        <v/>
      </c>
      <c r="U10">
        <f>IF(OR($B10="",'Khai báo'!$C$15=""),0,IFERROR(INDEX('Dán TĐ lũy kế'!$O$1:$O$1500,MATCH("*"&amp;$C10&amp;"|"&amp;'Khai báo'!$C$15,'Dán TĐ lũy kế'!$M$1:$M$1500,0)),0))</f>
        <v/>
      </c>
      <c r="V10">
        <f>IF(N('Khai báo'!G25)&gt;0,'Khai báo'!G25,U10)</f>
        <v/>
      </c>
      <c r="W10">
        <f>IF(OR($B10="",'Khai báo'!$C$15=""),0,IFERROR(INDEX('Dán TĐ realtime'!$N$1:$N$1500,MATCH("*"&amp;$C10&amp;"|"&amp;'Khai báo'!$C$15,'Dán TĐ realtime'!$M$1:$M$1500,0)),0))</f>
        <v/>
      </c>
      <c r="X10">
        <f>IF(OR($B10="",'Khai báo'!$C$15=""),0,IFERROR(1/(1/IFERROR(INDEX('Dán TĐ realtime'!$O$1:$O$1500,MATCH("*"&amp;$C10&amp;"|"&amp;'Khai báo'!$C$15,'Dán TĐ realtime'!$M$1:$M$1500,0)),0)),V10/SoNgay))</f>
        <v/>
      </c>
      <c r="Y10">
        <f>E10+J10+O10+T10</f>
        <v/>
      </c>
      <c r="Z10">
        <f>G10+L10+Q10+V10</f>
        <v/>
      </c>
      <c r="AA10">
        <f>H10+M10+R10+W10</f>
        <v/>
      </c>
      <c r="AB10">
        <f>I10+N10+S10+X10</f>
        <v/>
      </c>
      <c r="AC10">
        <f>IF(B10="","",IFERROR(IF(LEFT(INDEX('Dán TĐ lũy kế'!$B$1:$B$1500,MATCH("*"&amp;C10,'Dán TĐ lũy kế'!$A$1:$A$1500,0)),8)="SỐ LƯỢNG","SL","DT"),"DT"))</f>
        <v/>
      </c>
    </row>
    <row r="11">
      <c r="A11" t="n">
        <v>9</v>
      </c>
      <c r="B11">
        <f>IF('Khai báo'!A26="","",'Khai báo'!A26)</f>
        <v/>
      </c>
      <c r="C11">
        <f>IF(B11="","",TRIM('Khai báo'!B26))</f>
        <v/>
      </c>
      <c r="D11">
        <f>IF(B11="","",IF('Khai báo'!C26="Vượt trội","Vượt trội","Chính"))</f>
        <v/>
      </c>
      <c r="E11">
        <f>IF(OR($B11="",'Khai báo'!$C$12=""),0,IFERROR(INDEX('Dán TĐ lũy kế'!$N$1:$N$1500,MATCH("*"&amp;$C11&amp;"|"&amp;'Khai báo'!$C$12,'Dán TĐ lũy kế'!$M$1:$M$1500,0)),0))</f>
        <v/>
      </c>
      <c r="F11">
        <f>IF(OR($B11="",'Khai báo'!$C$12=""),0,IFERROR(INDEX('Dán TĐ lũy kế'!$O$1:$O$1500,MATCH("*"&amp;$C11&amp;"|"&amp;'Khai báo'!$C$12,'Dán TĐ lũy kế'!$M$1:$M$1500,0)),0))</f>
        <v/>
      </c>
      <c r="G11">
        <f>IF(N('Khai báo'!D26)&gt;0,'Khai báo'!D26,F11)</f>
        <v/>
      </c>
      <c r="H11">
        <f>IF(OR($B11="",'Khai báo'!$C$12=""),0,IFERROR(INDEX('Dán TĐ realtime'!$N$1:$N$1500,MATCH("*"&amp;$C11&amp;"|"&amp;'Khai báo'!$C$12,'Dán TĐ realtime'!$M$1:$M$1500,0)),0))</f>
        <v/>
      </c>
      <c r="I11">
        <f>IF(OR($B11="",'Khai báo'!$C$12=""),0,IFERROR(1/(1/IFERROR(INDEX('Dán TĐ realtime'!$O$1:$O$1500,MATCH("*"&amp;$C11&amp;"|"&amp;'Khai báo'!$C$12,'Dán TĐ realtime'!$M$1:$M$1500,0)),0)),G11/SoNgay))</f>
        <v/>
      </c>
      <c r="J11">
        <f>IF(OR($B11="",'Khai báo'!$C$13=""),0,IFERROR(INDEX('Dán TĐ lũy kế'!$N$1:$N$1500,MATCH("*"&amp;$C11&amp;"|"&amp;'Khai báo'!$C$13,'Dán TĐ lũy kế'!$M$1:$M$1500,0)),0))</f>
        <v/>
      </c>
      <c r="K11">
        <f>IF(OR($B11="",'Khai báo'!$C$13=""),0,IFERROR(INDEX('Dán TĐ lũy kế'!$O$1:$O$1500,MATCH("*"&amp;$C11&amp;"|"&amp;'Khai báo'!$C$13,'Dán TĐ lũy kế'!$M$1:$M$1500,0)),0))</f>
        <v/>
      </c>
      <c r="L11">
        <f>IF(N('Khai báo'!E26)&gt;0,'Khai báo'!E26,K11)</f>
        <v/>
      </c>
      <c r="M11">
        <f>IF(OR($B11="",'Khai báo'!$C$13=""),0,IFERROR(INDEX('Dán TĐ realtime'!$N$1:$N$1500,MATCH("*"&amp;$C11&amp;"|"&amp;'Khai báo'!$C$13,'Dán TĐ realtime'!$M$1:$M$1500,0)),0))</f>
        <v/>
      </c>
      <c r="N11">
        <f>IF(OR($B11="",'Khai báo'!$C$13=""),0,IFERROR(1/(1/IFERROR(INDEX('Dán TĐ realtime'!$O$1:$O$1500,MATCH("*"&amp;$C11&amp;"|"&amp;'Khai báo'!$C$13,'Dán TĐ realtime'!$M$1:$M$1500,0)),0)),L11/SoNgay))</f>
        <v/>
      </c>
      <c r="O11">
        <f>IF(OR($B11="",'Khai báo'!$C$14=""),0,IFERROR(INDEX('Dán TĐ lũy kế'!$N$1:$N$1500,MATCH("*"&amp;$C11&amp;"|"&amp;'Khai báo'!$C$14,'Dán TĐ lũy kế'!$M$1:$M$1500,0)),0))</f>
        <v/>
      </c>
      <c r="P11">
        <f>IF(OR($B11="",'Khai báo'!$C$14=""),0,IFERROR(INDEX('Dán TĐ lũy kế'!$O$1:$O$1500,MATCH("*"&amp;$C11&amp;"|"&amp;'Khai báo'!$C$14,'Dán TĐ lũy kế'!$M$1:$M$1500,0)),0))</f>
        <v/>
      </c>
      <c r="Q11">
        <f>IF(N('Khai báo'!F26)&gt;0,'Khai báo'!F26,P11)</f>
        <v/>
      </c>
      <c r="R11">
        <f>IF(OR($B11="",'Khai báo'!$C$14=""),0,IFERROR(INDEX('Dán TĐ realtime'!$N$1:$N$1500,MATCH("*"&amp;$C11&amp;"|"&amp;'Khai báo'!$C$14,'Dán TĐ realtime'!$M$1:$M$1500,0)),0))</f>
        <v/>
      </c>
      <c r="S11">
        <f>IF(OR($B11="",'Khai báo'!$C$14=""),0,IFERROR(1/(1/IFERROR(INDEX('Dán TĐ realtime'!$O$1:$O$1500,MATCH("*"&amp;$C11&amp;"|"&amp;'Khai báo'!$C$14,'Dán TĐ realtime'!$M$1:$M$1500,0)),0)),Q11/SoNgay))</f>
        <v/>
      </c>
      <c r="T11">
        <f>IF(OR($B11="",'Khai báo'!$C$15=""),0,IFERROR(INDEX('Dán TĐ lũy kế'!$N$1:$N$1500,MATCH("*"&amp;$C11&amp;"|"&amp;'Khai báo'!$C$15,'Dán TĐ lũy kế'!$M$1:$M$1500,0)),0))</f>
        <v/>
      </c>
      <c r="U11">
        <f>IF(OR($B11="",'Khai báo'!$C$15=""),0,IFERROR(INDEX('Dán TĐ lũy kế'!$O$1:$O$1500,MATCH("*"&amp;$C11&amp;"|"&amp;'Khai báo'!$C$15,'Dán TĐ lũy kế'!$M$1:$M$1500,0)),0))</f>
        <v/>
      </c>
      <c r="V11">
        <f>IF(N('Khai báo'!G26)&gt;0,'Khai báo'!G26,U11)</f>
        <v/>
      </c>
      <c r="W11">
        <f>IF(OR($B11="",'Khai báo'!$C$15=""),0,IFERROR(INDEX('Dán TĐ realtime'!$N$1:$N$1500,MATCH("*"&amp;$C11&amp;"|"&amp;'Khai báo'!$C$15,'Dán TĐ realtime'!$M$1:$M$1500,0)),0))</f>
        <v/>
      </c>
      <c r="X11">
        <f>IF(OR($B11="",'Khai báo'!$C$15=""),0,IFERROR(1/(1/IFERROR(INDEX('Dán TĐ realtime'!$O$1:$O$1500,MATCH("*"&amp;$C11&amp;"|"&amp;'Khai báo'!$C$15,'Dán TĐ realtime'!$M$1:$M$1500,0)),0)),V11/SoNgay))</f>
        <v/>
      </c>
      <c r="Y11">
        <f>E11+J11+O11+T11</f>
        <v/>
      </c>
      <c r="Z11">
        <f>G11+L11+Q11+V11</f>
        <v/>
      </c>
      <c r="AA11">
        <f>H11+M11+R11+W11</f>
        <v/>
      </c>
      <c r="AB11">
        <f>I11+N11+S11+X11</f>
        <v/>
      </c>
      <c r="AC11">
        <f>IF(B11="","",IFERROR(IF(LEFT(INDEX('Dán TĐ lũy kế'!$B$1:$B$1500,MATCH("*"&amp;C11,'Dán TĐ lũy kế'!$A$1:$A$1500,0)),8)="SỐ LƯỢNG","SL","DT"),"DT"))</f>
        <v/>
      </c>
    </row>
    <row r="12">
      <c r="A12" t="n">
        <v>10</v>
      </c>
      <c r="B12">
        <f>IF('Khai báo'!A27="","",'Khai báo'!A27)</f>
        <v/>
      </c>
      <c r="C12">
        <f>IF(B12="","",TRIM('Khai báo'!B27))</f>
        <v/>
      </c>
      <c r="D12">
        <f>IF(B12="","",IF('Khai báo'!C27="Vượt trội","Vượt trội","Chính"))</f>
        <v/>
      </c>
      <c r="E12">
        <f>IF(OR($B12="",'Khai báo'!$C$12=""),0,IFERROR(INDEX('Dán TĐ lũy kế'!$N$1:$N$1500,MATCH("*"&amp;$C12&amp;"|"&amp;'Khai báo'!$C$12,'Dán TĐ lũy kế'!$M$1:$M$1500,0)),0))</f>
        <v/>
      </c>
      <c r="F12">
        <f>IF(OR($B12="",'Khai báo'!$C$12=""),0,IFERROR(INDEX('Dán TĐ lũy kế'!$O$1:$O$1500,MATCH("*"&amp;$C12&amp;"|"&amp;'Khai báo'!$C$12,'Dán TĐ lũy kế'!$M$1:$M$1500,0)),0))</f>
        <v/>
      </c>
      <c r="G12">
        <f>IF(N('Khai báo'!D27)&gt;0,'Khai báo'!D27,F12)</f>
        <v/>
      </c>
      <c r="H12">
        <f>IF(OR($B12="",'Khai báo'!$C$12=""),0,IFERROR(INDEX('Dán TĐ realtime'!$N$1:$N$1500,MATCH("*"&amp;$C12&amp;"|"&amp;'Khai báo'!$C$12,'Dán TĐ realtime'!$M$1:$M$1500,0)),0))</f>
        <v/>
      </c>
      <c r="I12">
        <f>IF(OR($B12="",'Khai báo'!$C$12=""),0,IFERROR(1/(1/IFERROR(INDEX('Dán TĐ realtime'!$O$1:$O$1500,MATCH("*"&amp;$C12&amp;"|"&amp;'Khai báo'!$C$12,'Dán TĐ realtime'!$M$1:$M$1500,0)),0)),G12/SoNgay))</f>
        <v/>
      </c>
      <c r="J12">
        <f>IF(OR($B12="",'Khai báo'!$C$13=""),0,IFERROR(INDEX('Dán TĐ lũy kế'!$N$1:$N$1500,MATCH("*"&amp;$C12&amp;"|"&amp;'Khai báo'!$C$13,'Dán TĐ lũy kế'!$M$1:$M$1500,0)),0))</f>
        <v/>
      </c>
      <c r="K12">
        <f>IF(OR($B12="",'Khai báo'!$C$13=""),0,IFERROR(INDEX('Dán TĐ lũy kế'!$O$1:$O$1500,MATCH("*"&amp;$C12&amp;"|"&amp;'Khai báo'!$C$13,'Dán TĐ lũy kế'!$M$1:$M$1500,0)),0))</f>
        <v/>
      </c>
      <c r="L12">
        <f>IF(N('Khai báo'!E27)&gt;0,'Khai báo'!E27,K12)</f>
        <v/>
      </c>
      <c r="M12">
        <f>IF(OR($B12="",'Khai báo'!$C$13=""),0,IFERROR(INDEX('Dán TĐ realtime'!$N$1:$N$1500,MATCH("*"&amp;$C12&amp;"|"&amp;'Khai báo'!$C$13,'Dán TĐ realtime'!$M$1:$M$1500,0)),0))</f>
        <v/>
      </c>
      <c r="N12">
        <f>IF(OR($B12="",'Khai báo'!$C$13=""),0,IFERROR(1/(1/IFERROR(INDEX('Dán TĐ realtime'!$O$1:$O$1500,MATCH("*"&amp;$C12&amp;"|"&amp;'Khai báo'!$C$13,'Dán TĐ realtime'!$M$1:$M$1500,0)),0)),L12/SoNgay))</f>
        <v/>
      </c>
      <c r="O12">
        <f>IF(OR($B12="",'Khai báo'!$C$14=""),0,IFERROR(INDEX('Dán TĐ lũy kế'!$N$1:$N$1500,MATCH("*"&amp;$C12&amp;"|"&amp;'Khai báo'!$C$14,'Dán TĐ lũy kế'!$M$1:$M$1500,0)),0))</f>
        <v/>
      </c>
      <c r="P12">
        <f>IF(OR($B12="",'Khai báo'!$C$14=""),0,IFERROR(INDEX('Dán TĐ lũy kế'!$O$1:$O$1500,MATCH("*"&amp;$C12&amp;"|"&amp;'Khai báo'!$C$14,'Dán TĐ lũy kế'!$M$1:$M$1500,0)),0))</f>
        <v/>
      </c>
      <c r="Q12">
        <f>IF(N('Khai báo'!F27)&gt;0,'Khai báo'!F27,P12)</f>
        <v/>
      </c>
      <c r="R12">
        <f>IF(OR($B12="",'Khai báo'!$C$14=""),0,IFERROR(INDEX('Dán TĐ realtime'!$N$1:$N$1500,MATCH("*"&amp;$C12&amp;"|"&amp;'Khai báo'!$C$14,'Dán TĐ realtime'!$M$1:$M$1500,0)),0))</f>
        <v/>
      </c>
      <c r="S12">
        <f>IF(OR($B12="",'Khai báo'!$C$14=""),0,IFERROR(1/(1/IFERROR(INDEX('Dán TĐ realtime'!$O$1:$O$1500,MATCH("*"&amp;$C12&amp;"|"&amp;'Khai báo'!$C$14,'Dán TĐ realtime'!$M$1:$M$1500,0)),0)),Q12/SoNgay))</f>
        <v/>
      </c>
      <c r="T12">
        <f>IF(OR($B12="",'Khai báo'!$C$15=""),0,IFERROR(INDEX('Dán TĐ lũy kế'!$N$1:$N$1500,MATCH("*"&amp;$C12&amp;"|"&amp;'Khai báo'!$C$15,'Dán TĐ lũy kế'!$M$1:$M$1500,0)),0))</f>
        <v/>
      </c>
      <c r="U12">
        <f>IF(OR($B12="",'Khai báo'!$C$15=""),0,IFERROR(INDEX('Dán TĐ lũy kế'!$O$1:$O$1500,MATCH("*"&amp;$C12&amp;"|"&amp;'Khai báo'!$C$15,'Dán TĐ lũy kế'!$M$1:$M$1500,0)),0))</f>
        <v/>
      </c>
      <c r="V12">
        <f>IF(N('Khai báo'!G27)&gt;0,'Khai báo'!G27,U12)</f>
        <v/>
      </c>
      <c r="W12">
        <f>IF(OR($B12="",'Khai báo'!$C$15=""),0,IFERROR(INDEX('Dán TĐ realtime'!$N$1:$N$1500,MATCH("*"&amp;$C12&amp;"|"&amp;'Khai báo'!$C$15,'Dán TĐ realtime'!$M$1:$M$1500,0)),0))</f>
        <v/>
      </c>
      <c r="X12">
        <f>IF(OR($B12="",'Khai báo'!$C$15=""),0,IFERROR(1/(1/IFERROR(INDEX('Dán TĐ realtime'!$O$1:$O$1500,MATCH("*"&amp;$C12&amp;"|"&amp;'Khai báo'!$C$15,'Dán TĐ realtime'!$M$1:$M$1500,0)),0)),V12/SoNgay))</f>
        <v/>
      </c>
      <c r="Y12">
        <f>E12+J12+O12+T12</f>
        <v/>
      </c>
      <c r="Z12">
        <f>G12+L12+Q12+V12</f>
        <v/>
      </c>
      <c r="AA12">
        <f>H12+M12+R12+W12</f>
        <v/>
      </c>
      <c r="AB12">
        <f>I12+N12+S12+X12</f>
        <v/>
      </c>
      <c r="AC12">
        <f>IF(B12="","",IFERROR(IF(LEFT(INDEX('Dán TĐ lũy kế'!$B$1:$B$1500,MATCH("*"&amp;C12,'Dán TĐ lũy kế'!$A$1:$A$1500,0)),8)="SỐ LƯỢNG","SL","DT"),"DT"))</f>
        <v/>
      </c>
    </row>
    <row r="13">
      <c r="A13" t="n">
        <v>11</v>
      </c>
      <c r="B13">
        <f>IF('Khai báo'!A28="","",'Khai báo'!A28)</f>
        <v/>
      </c>
      <c r="C13">
        <f>IF(B13="","",TRIM('Khai báo'!B28))</f>
        <v/>
      </c>
      <c r="D13">
        <f>IF(B13="","",IF('Khai báo'!C28="Vượt trội","Vượt trội","Chính"))</f>
        <v/>
      </c>
      <c r="E13">
        <f>IF(OR($B13="",'Khai báo'!$C$12=""),0,IFERROR(INDEX('Dán TĐ lũy kế'!$N$1:$N$1500,MATCH("*"&amp;$C13&amp;"|"&amp;'Khai báo'!$C$12,'Dán TĐ lũy kế'!$M$1:$M$1500,0)),0))</f>
        <v/>
      </c>
      <c r="F13">
        <f>IF(OR($B13="",'Khai báo'!$C$12=""),0,IFERROR(INDEX('Dán TĐ lũy kế'!$O$1:$O$1500,MATCH("*"&amp;$C13&amp;"|"&amp;'Khai báo'!$C$12,'Dán TĐ lũy kế'!$M$1:$M$1500,0)),0))</f>
        <v/>
      </c>
      <c r="G13">
        <f>IF(N('Khai báo'!D28)&gt;0,'Khai báo'!D28,F13)</f>
        <v/>
      </c>
      <c r="H13">
        <f>IF(OR($B13="",'Khai báo'!$C$12=""),0,IFERROR(INDEX('Dán TĐ realtime'!$N$1:$N$1500,MATCH("*"&amp;$C13&amp;"|"&amp;'Khai báo'!$C$12,'Dán TĐ realtime'!$M$1:$M$1500,0)),0))</f>
        <v/>
      </c>
      <c r="I13">
        <f>IF(OR($B13="",'Khai báo'!$C$12=""),0,IFERROR(1/(1/IFERROR(INDEX('Dán TĐ realtime'!$O$1:$O$1500,MATCH("*"&amp;$C13&amp;"|"&amp;'Khai báo'!$C$12,'Dán TĐ realtime'!$M$1:$M$1500,0)),0)),G13/SoNgay))</f>
        <v/>
      </c>
      <c r="J13">
        <f>IF(OR($B13="",'Khai báo'!$C$13=""),0,IFERROR(INDEX('Dán TĐ lũy kế'!$N$1:$N$1500,MATCH("*"&amp;$C13&amp;"|"&amp;'Khai báo'!$C$13,'Dán TĐ lũy kế'!$M$1:$M$1500,0)),0))</f>
        <v/>
      </c>
      <c r="K13">
        <f>IF(OR($B13="",'Khai báo'!$C$13=""),0,IFERROR(INDEX('Dán TĐ lũy kế'!$O$1:$O$1500,MATCH("*"&amp;$C13&amp;"|"&amp;'Khai báo'!$C$13,'Dán TĐ lũy kế'!$M$1:$M$1500,0)),0))</f>
        <v/>
      </c>
      <c r="L13">
        <f>IF(N('Khai báo'!E28)&gt;0,'Khai báo'!E28,K13)</f>
        <v/>
      </c>
      <c r="M13">
        <f>IF(OR($B13="",'Khai báo'!$C$13=""),0,IFERROR(INDEX('Dán TĐ realtime'!$N$1:$N$1500,MATCH("*"&amp;$C13&amp;"|"&amp;'Khai báo'!$C$13,'Dán TĐ realtime'!$M$1:$M$1500,0)),0))</f>
        <v/>
      </c>
      <c r="N13">
        <f>IF(OR($B13="",'Khai báo'!$C$13=""),0,IFERROR(1/(1/IFERROR(INDEX('Dán TĐ realtime'!$O$1:$O$1500,MATCH("*"&amp;$C13&amp;"|"&amp;'Khai báo'!$C$13,'Dán TĐ realtime'!$M$1:$M$1500,0)),0)),L13/SoNgay))</f>
        <v/>
      </c>
      <c r="O13">
        <f>IF(OR($B13="",'Khai báo'!$C$14=""),0,IFERROR(INDEX('Dán TĐ lũy kế'!$N$1:$N$1500,MATCH("*"&amp;$C13&amp;"|"&amp;'Khai báo'!$C$14,'Dán TĐ lũy kế'!$M$1:$M$1500,0)),0))</f>
        <v/>
      </c>
      <c r="P13">
        <f>IF(OR($B13="",'Khai báo'!$C$14=""),0,IFERROR(INDEX('Dán TĐ lũy kế'!$O$1:$O$1500,MATCH("*"&amp;$C13&amp;"|"&amp;'Khai báo'!$C$14,'Dán TĐ lũy kế'!$M$1:$M$1500,0)),0))</f>
        <v/>
      </c>
      <c r="Q13">
        <f>IF(N('Khai báo'!F28)&gt;0,'Khai báo'!F28,P13)</f>
        <v/>
      </c>
      <c r="R13">
        <f>IF(OR($B13="",'Khai báo'!$C$14=""),0,IFERROR(INDEX('Dán TĐ realtime'!$N$1:$N$1500,MATCH("*"&amp;$C13&amp;"|"&amp;'Khai báo'!$C$14,'Dán TĐ realtime'!$M$1:$M$1500,0)),0))</f>
        <v/>
      </c>
      <c r="S13">
        <f>IF(OR($B13="",'Khai báo'!$C$14=""),0,IFERROR(1/(1/IFERROR(INDEX('Dán TĐ realtime'!$O$1:$O$1500,MATCH("*"&amp;$C13&amp;"|"&amp;'Khai báo'!$C$14,'Dán TĐ realtime'!$M$1:$M$1500,0)),0)),Q13/SoNgay))</f>
        <v/>
      </c>
      <c r="T13">
        <f>IF(OR($B13="",'Khai báo'!$C$15=""),0,IFERROR(INDEX('Dán TĐ lũy kế'!$N$1:$N$1500,MATCH("*"&amp;$C13&amp;"|"&amp;'Khai báo'!$C$15,'Dán TĐ lũy kế'!$M$1:$M$1500,0)),0))</f>
        <v/>
      </c>
      <c r="U13">
        <f>IF(OR($B13="",'Khai báo'!$C$15=""),0,IFERROR(INDEX('Dán TĐ lũy kế'!$O$1:$O$1500,MATCH("*"&amp;$C13&amp;"|"&amp;'Khai báo'!$C$15,'Dán TĐ lũy kế'!$M$1:$M$1500,0)),0))</f>
        <v/>
      </c>
      <c r="V13">
        <f>IF(N('Khai báo'!G28)&gt;0,'Khai báo'!G28,U13)</f>
        <v/>
      </c>
      <c r="W13">
        <f>IF(OR($B13="",'Khai báo'!$C$15=""),0,IFERROR(INDEX('Dán TĐ realtime'!$N$1:$N$1500,MATCH("*"&amp;$C13&amp;"|"&amp;'Khai báo'!$C$15,'Dán TĐ realtime'!$M$1:$M$1500,0)),0))</f>
        <v/>
      </c>
      <c r="X13">
        <f>IF(OR($B13="",'Khai báo'!$C$15=""),0,IFERROR(1/(1/IFERROR(INDEX('Dán TĐ realtime'!$O$1:$O$1500,MATCH("*"&amp;$C13&amp;"|"&amp;'Khai báo'!$C$15,'Dán TĐ realtime'!$M$1:$M$1500,0)),0)),V13/SoNgay))</f>
        <v/>
      </c>
      <c r="Y13">
        <f>E13+J13+O13+T13</f>
        <v/>
      </c>
      <c r="Z13">
        <f>G13+L13+Q13+V13</f>
        <v/>
      </c>
      <c r="AA13">
        <f>H13+M13+R13+W13</f>
        <v/>
      </c>
      <c r="AB13">
        <f>I13+N13+S13+X13</f>
        <v/>
      </c>
      <c r="AC13">
        <f>IF(B13="","",IFERROR(IF(LEFT(INDEX('Dán TĐ lũy kế'!$B$1:$B$1500,MATCH("*"&amp;C13,'Dán TĐ lũy kế'!$A$1:$A$1500,0)),8)="SỐ LƯỢNG","SL","DT"),"DT"))</f>
        <v/>
      </c>
    </row>
    <row r="14">
      <c r="A14" t="n">
        <v>12</v>
      </c>
      <c r="B14">
        <f>IF('Khai báo'!A29="","",'Khai báo'!A29)</f>
        <v/>
      </c>
      <c r="C14">
        <f>IF(B14="","",TRIM('Khai báo'!B29))</f>
        <v/>
      </c>
      <c r="D14">
        <f>IF(B14="","",IF('Khai báo'!C29="Vượt trội","Vượt trội","Chính"))</f>
        <v/>
      </c>
      <c r="E14">
        <f>IF(OR($B14="",'Khai báo'!$C$12=""),0,IFERROR(INDEX('Dán TĐ lũy kế'!$N$1:$N$1500,MATCH("*"&amp;$C14&amp;"|"&amp;'Khai báo'!$C$12,'Dán TĐ lũy kế'!$M$1:$M$1500,0)),0))</f>
        <v/>
      </c>
      <c r="F14">
        <f>IF(OR($B14="",'Khai báo'!$C$12=""),0,IFERROR(INDEX('Dán TĐ lũy kế'!$O$1:$O$1500,MATCH("*"&amp;$C14&amp;"|"&amp;'Khai báo'!$C$12,'Dán TĐ lũy kế'!$M$1:$M$1500,0)),0))</f>
        <v/>
      </c>
      <c r="G14">
        <f>IF(N('Khai báo'!D29)&gt;0,'Khai báo'!D29,F14)</f>
        <v/>
      </c>
      <c r="H14">
        <f>IF(OR($B14="",'Khai báo'!$C$12=""),0,IFERROR(INDEX('Dán TĐ realtime'!$N$1:$N$1500,MATCH("*"&amp;$C14&amp;"|"&amp;'Khai báo'!$C$12,'Dán TĐ realtime'!$M$1:$M$1500,0)),0))</f>
        <v/>
      </c>
      <c r="I14">
        <f>IF(OR($B14="",'Khai báo'!$C$12=""),0,IFERROR(1/(1/IFERROR(INDEX('Dán TĐ realtime'!$O$1:$O$1500,MATCH("*"&amp;$C14&amp;"|"&amp;'Khai báo'!$C$12,'Dán TĐ realtime'!$M$1:$M$1500,0)),0)),G14/SoNgay))</f>
        <v/>
      </c>
      <c r="J14">
        <f>IF(OR($B14="",'Khai báo'!$C$13=""),0,IFERROR(INDEX('Dán TĐ lũy kế'!$N$1:$N$1500,MATCH("*"&amp;$C14&amp;"|"&amp;'Khai báo'!$C$13,'Dán TĐ lũy kế'!$M$1:$M$1500,0)),0))</f>
        <v/>
      </c>
      <c r="K14">
        <f>IF(OR($B14="",'Khai báo'!$C$13=""),0,IFERROR(INDEX('Dán TĐ lũy kế'!$O$1:$O$1500,MATCH("*"&amp;$C14&amp;"|"&amp;'Khai báo'!$C$13,'Dán TĐ lũy kế'!$M$1:$M$1500,0)),0))</f>
        <v/>
      </c>
      <c r="L14">
        <f>IF(N('Khai báo'!E29)&gt;0,'Khai báo'!E29,K14)</f>
        <v/>
      </c>
      <c r="M14">
        <f>IF(OR($B14="",'Khai báo'!$C$13=""),0,IFERROR(INDEX('Dán TĐ realtime'!$N$1:$N$1500,MATCH("*"&amp;$C14&amp;"|"&amp;'Khai báo'!$C$13,'Dán TĐ realtime'!$M$1:$M$1500,0)),0))</f>
        <v/>
      </c>
      <c r="N14">
        <f>IF(OR($B14="",'Khai báo'!$C$13=""),0,IFERROR(1/(1/IFERROR(INDEX('Dán TĐ realtime'!$O$1:$O$1500,MATCH("*"&amp;$C14&amp;"|"&amp;'Khai báo'!$C$13,'Dán TĐ realtime'!$M$1:$M$1500,0)),0)),L14/SoNgay))</f>
        <v/>
      </c>
      <c r="O14">
        <f>IF(OR($B14="",'Khai báo'!$C$14=""),0,IFERROR(INDEX('Dán TĐ lũy kế'!$N$1:$N$1500,MATCH("*"&amp;$C14&amp;"|"&amp;'Khai báo'!$C$14,'Dán TĐ lũy kế'!$M$1:$M$1500,0)),0))</f>
        <v/>
      </c>
      <c r="P14">
        <f>IF(OR($B14="",'Khai báo'!$C$14=""),0,IFERROR(INDEX('Dán TĐ lũy kế'!$O$1:$O$1500,MATCH("*"&amp;$C14&amp;"|"&amp;'Khai báo'!$C$14,'Dán TĐ lũy kế'!$M$1:$M$1500,0)),0))</f>
        <v/>
      </c>
      <c r="Q14">
        <f>IF(N('Khai báo'!F29)&gt;0,'Khai báo'!F29,P14)</f>
        <v/>
      </c>
      <c r="R14">
        <f>IF(OR($B14="",'Khai báo'!$C$14=""),0,IFERROR(INDEX('Dán TĐ realtime'!$N$1:$N$1500,MATCH("*"&amp;$C14&amp;"|"&amp;'Khai báo'!$C$14,'Dán TĐ realtime'!$M$1:$M$1500,0)),0))</f>
        <v/>
      </c>
      <c r="S14">
        <f>IF(OR($B14="",'Khai báo'!$C$14=""),0,IFERROR(1/(1/IFERROR(INDEX('Dán TĐ realtime'!$O$1:$O$1500,MATCH("*"&amp;$C14&amp;"|"&amp;'Khai báo'!$C$14,'Dán TĐ realtime'!$M$1:$M$1500,0)),0)),Q14/SoNgay))</f>
        <v/>
      </c>
      <c r="T14">
        <f>IF(OR($B14="",'Khai báo'!$C$15=""),0,IFERROR(INDEX('Dán TĐ lũy kế'!$N$1:$N$1500,MATCH("*"&amp;$C14&amp;"|"&amp;'Khai báo'!$C$15,'Dán TĐ lũy kế'!$M$1:$M$1500,0)),0))</f>
        <v/>
      </c>
      <c r="U14">
        <f>IF(OR($B14="",'Khai báo'!$C$15=""),0,IFERROR(INDEX('Dán TĐ lũy kế'!$O$1:$O$1500,MATCH("*"&amp;$C14&amp;"|"&amp;'Khai báo'!$C$15,'Dán TĐ lũy kế'!$M$1:$M$1500,0)),0))</f>
        <v/>
      </c>
      <c r="V14">
        <f>IF(N('Khai báo'!G29)&gt;0,'Khai báo'!G29,U14)</f>
        <v/>
      </c>
      <c r="W14">
        <f>IF(OR($B14="",'Khai báo'!$C$15=""),0,IFERROR(INDEX('Dán TĐ realtime'!$N$1:$N$1500,MATCH("*"&amp;$C14&amp;"|"&amp;'Khai báo'!$C$15,'Dán TĐ realtime'!$M$1:$M$1500,0)),0))</f>
        <v/>
      </c>
      <c r="X14">
        <f>IF(OR($B14="",'Khai báo'!$C$15=""),0,IFERROR(1/(1/IFERROR(INDEX('Dán TĐ realtime'!$O$1:$O$1500,MATCH("*"&amp;$C14&amp;"|"&amp;'Khai báo'!$C$15,'Dán TĐ realtime'!$M$1:$M$1500,0)),0)),V14/SoNgay))</f>
        <v/>
      </c>
      <c r="Y14">
        <f>E14+J14+O14+T14</f>
        <v/>
      </c>
      <c r="Z14">
        <f>G14+L14+Q14+V14</f>
        <v/>
      </c>
      <c r="AA14">
        <f>H14+M14+R14+W14</f>
        <v/>
      </c>
      <c r="AB14">
        <f>I14+N14+S14+X14</f>
        <v/>
      </c>
      <c r="AC14">
        <f>IF(B14="","",IFERROR(IF(LEFT(INDEX('Dán TĐ lũy kế'!$B$1:$B$1500,MATCH("*"&amp;C14,'Dán TĐ lũy kế'!$A$1:$A$1500,0)),8)="SỐ LƯỢNG","SL","DT"),"DT"))</f>
        <v/>
      </c>
    </row>
    <row r="15">
      <c r="A15" t="n">
        <v>13</v>
      </c>
      <c r="B15">
        <f>IF('Khai báo'!A30="","",'Khai báo'!A30)</f>
        <v/>
      </c>
      <c r="C15">
        <f>IF(B15="","",TRIM('Khai báo'!B30))</f>
        <v/>
      </c>
      <c r="D15">
        <f>IF(B15="","",IF('Khai báo'!C30="Vượt trội","Vượt trội","Chính"))</f>
        <v/>
      </c>
      <c r="E15">
        <f>IF(OR($B15="",'Khai báo'!$C$12=""),0,IFERROR(INDEX('Dán TĐ lũy kế'!$N$1:$N$1500,MATCH("*"&amp;$C15&amp;"|"&amp;'Khai báo'!$C$12,'Dán TĐ lũy kế'!$M$1:$M$1500,0)),0))</f>
        <v/>
      </c>
      <c r="F15">
        <f>IF(OR($B15="",'Khai báo'!$C$12=""),0,IFERROR(INDEX('Dán TĐ lũy kế'!$O$1:$O$1500,MATCH("*"&amp;$C15&amp;"|"&amp;'Khai báo'!$C$12,'Dán TĐ lũy kế'!$M$1:$M$1500,0)),0))</f>
        <v/>
      </c>
      <c r="G15">
        <f>IF(N('Khai báo'!D30)&gt;0,'Khai báo'!D30,F15)</f>
        <v/>
      </c>
      <c r="H15">
        <f>IF(OR($B15="",'Khai báo'!$C$12=""),0,IFERROR(INDEX('Dán TĐ realtime'!$N$1:$N$1500,MATCH("*"&amp;$C15&amp;"|"&amp;'Khai báo'!$C$12,'Dán TĐ realtime'!$M$1:$M$1500,0)),0))</f>
        <v/>
      </c>
      <c r="I15">
        <f>IF(OR($B15="",'Khai báo'!$C$12=""),0,IFERROR(1/(1/IFERROR(INDEX('Dán TĐ realtime'!$O$1:$O$1500,MATCH("*"&amp;$C15&amp;"|"&amp;'Khai báo'!$C$12,'Dán TĐ realtime'!$M$1:$M$1500,0)),0)),G15/SoNgay))</f>
        <v/>
      </c>
      <c r="J15">
        <f>IF(OR($B15="",'Khai báo'!$C$13=""),0,IFERROR(INDEX('Dán TĐ lũy kế'!$N$1:$N$1500,MATCH("*"&amp;$C15&amp;"|"&amp;'Khai báo'!$C$13,'Dán TĐ lũy kế'!$M$1:$M$1500,0)),0))</f>
        <v/>
      </c>
      <c r="K15">
        <f>IF(OR($B15="",'Khai báo'!$C$13=""),0,IFERROR(INDEX('Dán TĐ lũy kế'!$O$1:$O$1500,MATCH("*"&amp;$C15&amp;"|"&amp;'Khai báo'!$C$13,'Dán TĐ lũy kế'!$M$1:$M$1500,0)),0))</f>
        <v/>
      </c>
      <c r="L15">
        <f>IF(N('Khai báo'!E30)&gt;0,'Khai báo'!E30,K15)</f>
        <v/>
      </c>
      <c r="M15">
        <f>IF(OR($B15="",'Khai báo'!$C$13=""),0,IFERROR(INDEX('Dán TĐ realtime'!$N$1:$N$1500,MATCH("*"&amp;$C15&amp;"|"&amp;'Khai báo'!$C$13,'Dán TĐ realtime'!$M$1:$M$1500,0)),0))</f>
        <v/>
      </c>
      <c r="N15">
        <f>IF(OR($B15="",'Khai báo'!$C$13=""),0,IFERROR(1/(1/IFERROR(INDEX('Dán TĐ realtime'!$O$1:$O$1500,MATCH("*"&amp;$C15&amp;"|"&amp;'Khai báo'!$C$13,'Dán TĐ realtime'!$M$1:$M$1500,0)),0)),L15/SoNgay))</f>
        <v/>
      </c>
      <c r="O15">
        <f>IF(OR($B15="",'Khai báo'!$C$14=""),0,IFERROR(INDEX('Dán TĐ lũy kế'!$N$1:$N$1500,MATCH("*"&amp;$C15&amp;"|"&amp;'Khai báo'!$C$14,'Dán TĐ lũy kế'!$M$1:$M$1500,0)),0))</f>
        <v/>
      </c>
      <c r="P15">
        <f>IF(OR($B15="",'Khai báo'!$C$14=""),0,IFERROR(INDEX('Dán TĐ lũy kế'!$O$1:$O$1500,MATCH("*"&amp;$C15&amp;"|"&amp;'Khai báo'!$C$14,'Dán TĐ lũy kế'!$M$1:$M$1500,0)),0))</f>
        <v/>
      </c>
      <c r="Q15">
        <f>IF(N('Khai báo'!F30)&gt;0,'Khai báo'!F30,P15)</f>
        <v/>
      </c>
      <c r="R15">
        <f>IF(OR($B15="",'Khai báo'!$C$14=""),0,IFERROR(INDEX('Dán TĐ realtime'!$N$1:$N$1500,MATCH("*"&amp;$C15&amp;"|"&amp;'Khai báo'!$C$14,'Dán TĐ realtime'!$M$1:$M$1500,0)),0))</f>
        <v/>
      </c>
      <c r="S15">
        <f>IF(OR($B15="",'Khai báo'!$C$14=""),0,IFERROR(1/(1/IFERROR(INDEX('Dán TĐ realtime'!$O$1:$O$1500,MATCH("*"&amp;$C15&amp;"|"&amp;'Khai báo'!$C$14,'Dán TĐ realtime'!$M$1:$M$1500,0)),0)),Q15/SoNgay))</f>
        <v/>
      </c>
      <c r="T15">
        <f>IF(OR($B15="",'Khai báo'!$C$15=""),0,IFERROR(INDEX('Dán TĐ lũy kế'!$N$1:$N$1500,MATCH("*"&amp;$C15&amp;"|"&amp;'Khai báo'!$C$15,'Dán TĐ lũy kế'!$M$1:$M$1500,0)),0))</f>
        <v/>
      </c>
      <c r="U15">
        <f>IF(OR($B15="",'Khai báo'!$C$15=""),0,IFERROR(INDEX('Dán TĐ lũy kế'!$O$1:$O$1500,MATCH("*"&amp;$C15&amp;"|"&amp;'Khai báo'!$C$15,'Dán TĐ lũy kế'!$M$1:$M$1500,0)),0))</f>
        <v/>
      </c>
      <c r="V15">
        <f>IF(N('Khai báo'!G30)&gt;0,'Khai báo'!G30,U15)</f>
        <v/>
      </c>
      <c r="W15">
        <f>IF(OR($B15="",'Khai báo'!$C$15=""),0,IFERROR(INDEX('Dán TĐ realtime'!$N$1:$N$1500,MATCH("*"&amp;$C15&amp;"|"&amp;'Khai báo'!$C$15,'Dán TĐ realtime'!$M$1:$M$1500,0)),0))</f>
        <v/>
      </c>
      <c r="X15">
        <f>IF(OR($B15="",'Khai báo'!$C$15=""),0,IFERROR(1/(1/IFERROR(INDEX('Dán TĐ realtime'!$O$1:$O$1500,MATCH("*"&amp;$C15&amp;"|"&amp;'Khai báo'!$C$15,'Dán TĐ realtime'!$M$1:$M$1500,0)),0)),V15/SoNgay))</f>
        <v/>
      </c>
      <c r="Y15">
        <f>E15+J15+O15+T15</f>
        <v/>
      </c>
      <c r="Z15">
        <f>G15+L15+Q15+V15</f>
        <v/>
      </c>
      <c r="AA15">
        <f>H15+M15+R15+W15</f>
        <v/>
      </c>
      <c r="AB15">
        <f>I15+N15+S15+X15</f>
        <v/>
      </c>
      <c r="AC15">
        <f>IF(B15="","",IFERROR(IF(LEFT(INDEX('Dán TĐ lũy kế'!$B$1:$B$1500,MATCH("*"&amp;C15,'Dán TĐ lũy kế'!$A$1:$A$1500,0)),8)="SỐ LƯỢNG","SL","DT"),"DT"))</f>
        <v/>
      </c>
    </row>
    <row r="16">
      <c r="A16" t="n">
        <v>14</v>
      </c>
      <c r="B16">
        <f>IF('Khai báo'!A31="","",'Khai báo'!A31)</f>
        <v/>
      </c>
      <c r="C16">
        <f>IF(B16="","",TRIM('Khai báo'!B31))</f>
        <v/>
      </c>
      <c r="D16">
        <f>IF(B16="","",IF('Khai báo'!C31="Vượt trội","Vượt trội","Chính"))</f>
        <v/>
      </c>
      <c r="E16">
        <f>IF(OR($B16="",'Khai báo'!$C$12=""),0,IFERROR(INDEX('Dán TĐ lũy kế'!$N$1:$N$1500,MATCH("*"&amp;$C16&amp;"|"&amp;'Khai báo'!$C$12,'Dán TĐ lũy kế'!$M$1:$M$1500,0)),0))</f>
        <v/>
      </c>
      <c r="F16">
        <f>IF(OR($B16="",'Khai báo'!$C$12=""),0,IFERROR(INDEX('Dán TĐ lũy kế'!$O$1:$O$1500,MATCH("*"&amp;$C16&amp;"|"&amp;'Khai báo'!$C$12,'Dán TĐ lũy kế'!$M$1:$M$1500,0)),0))</f>
        <v/>
      </c>
      <c r="G16">
        <f>IF(N('Khai báo'!D31)&gt;0,'Khai báo'!D31,F16)</f>
        <v/>
      </c>
      <c r="H16">
        <f>IF(OR($B16="",'Khai báo'!$C$12=""),0,IFERROR(INDEX('Dán TĐ realtime'!$N$1:$N$1500,MATCH("*"&amp;$C16&amp;"|"&amp;'Khai báo'!$C$12,'Dán TĐ realtime'!$M$1:$M$1500,0)),0))</f>
        <v/>
      </c>
      <c r="I16">
        <f>IF(OR($B16="",'Khai báo'!$C$12=""),0,IFERROR(1/(1/IFERROR(INDEX('Dán TĐ realtime'!$O$1:$O$1500,MATCH("*"&amp;$C16&amp;"|"&amp;'Khai báo'!$C$12,'Dán TĐ realtime'!$M$1:$M$1500,0)),0)),G16/SoNgay))</f>
        <v/>
      </c>
      <c r="J16">
        <f>IF(OR($B16="",'Khai báo'!$C$13=""),0,IFERROR(INDEX('Dán TĐ lũy kế'!$N$1:$N$1500,MATCH("*"&amp;$C16&amp;"|"&amp;'Khai báo'!$C$13,'Dán TĐ lũy kế'!$M$1:$M$1500,0)),0))</f>
        <v/>
      </c>
      <c r="K16">
        <f>IF(OR($B16="",'Khai báo'!$C$13=""),0,IFERROR(INDEX('Dán TĐ lũy kế'!$O$1:$O$1500,MATCH("*"&amp;$C16&amp;"|"&amp;'Khai báo'!$C$13,'Dán TĐ lũy kế'!$M$1:$M$1500,0)),0))</f>
        <v/>
      </c>
      <c r="L16">
        <f>IF(N('Khai báo'!E31)&gt;0,'Khai báo'!E31,K16)</f>
        <v/>
      </c>
      <c r="M16">
        <f>IF(OR($B16="",'Khai báo'!$C$13=""),0,IFERROR(INDEX('Dán TĐ realtime'!$N$1:$N$1500,MATCH("*"&amp;$C16&amp;"|"&amp;'Khai báo'!$C$13,'Dán TĐ realtime'!$M$1:$M$1500,0)),0))</f>
        <v/>
      </c>
      <c r="N16">
        <f>IF(OR($B16="",'Khai báo'!$C$13=""),0,IFERROR(1/(1/IFERROR(INDEX('Dán TĐ realtime'!$O$1:$O$1500,MATCH("*"&amp;$C16&amp;"|"&amp;'Khai báo'!$C$13,'Dán TĐ realtime'!$M$1:$M$1500,0)),0)),L16/SoNgay))</f>
        <v/>
      </c>
      <c r="O16">
        <f>IF(OR($B16="",'Khai báo'!$C$14=""),0,IFERROR(INDEX('Dán TĐ lũy kế'!$N$1:$N$1500,MATCH("*"&amp;$C16&amp;"|"&amp;'Khai báo'!$C$14,'Dán TĐ lũy kế'!$M$1:$M$1500,0)),0))</f>
        <v/>
      </c>
      <c r="P16">
        <f>IF(OR($B16="",'Khai báo'!$C$14=""),0,IFERROR(INDEX('Dán TĐ lũy kế'!$O$1:$O$1500,MATCH("*"&amp;$C16&amp;"|"&amp;'Khai báo'!$C$14,'Dán TĐ lũy kế'!$M$1:$M$1500,0)),0))</f>
        <v/>
      </c>
      <c r="Q16">
        <f>IF(N('Khai báo'!F31)&gt;0,'Khai báo'!F31,P16)</f>
        <v/>
      </c>
      <c r="R16">
        <f>IF(OR($B16="",'Khai báo'!$C$14=""),0,IFERROR(INDEX('Dán TĐ realtime'!$N$1:$N$1500,MATCH("*"&amp;$C16&amp;"|"&amp;'Khai báo'!$C$14,'Dán TĐ realtime'!$M$1:$M$1500,0)),0))</f>
        <v/>
      </c>
      <c r="S16">
        <f>IF(OR($B16="",'Khai báo'!$C$14=""),0,IFERROR(1/(1/IFERROR(INDEX('Dán TĐ realtime'!$O$1:$O$1500,MATCH("*"&amp;$C16&amp;"|"&amp;'Khai báo'!$C$14,'Dán TĐ realtime'!$M$1:$M$1500,0)),0)),Q16/SoNgay))</f>
        <v/>
      </c>
      <c r="T16">
        <f>IF(OR($B16="",'Khai báo'!$C$15=""),0,IFERROR(INDEX('Dán TĐ lũy kế'!$N$1:$N$1500,MATCH("*"&amp;$C16&amp;"|"&amp;'Khai báo'!$C$15,'Dán TĐ lũy kế'!$M$1:$M$1500,0)),0))</f>
        <v/>
      </c>
      <c r="U16">
        <f>IF(OR($B16="",'Khai báo'!$C$15=""),0,IFERROR(INDEX('Dán TĐ lũy kế'!$O$1:$O$1500,MATCH("*"&amp;$C16&amp;"|"&amp;'Khai báo'!$C$15,'Dán TĐ lũy kế'!$M$1:$M$1500,0)),0))</f>
        <v/>
      </c>
      <c r="V16">
        <f>IF(N('Khai báo'!G31)&gt;0,'Khai báo'!G31,U16)</f>
        <v/>
      </c>
      <c r="W16">
        <f>IF(OR($B16="",'Khai báo'!$C$15=""),0,IFERROR(INDEX('Dán TĐ realtime'!$N$1:$N$1500,MATCH("*"&amp;$C16&amp;"|"&amp;'Khai báo'!$C$15,'Dán TĐ realtime'!$M$1:$M$1500,0)),0))</f>
        <v/>
      </c>
      <c r="X16">
        <f>IF(OR($B16="",'Khai báo'!$C$15=""),0,IFERROR(1/(1/IFERROR(INDEX('Dán TĐ realtime'!$O$1:$O$1500,MATCH("*"&amp;$C16&amp;"|"&amp;'Khai báo'!$C$15,'Dán TĐ realtime'!$M$1:$M$1500,0)),0)),V16/SoNgay))</f>
        <v/>
      </c>
      <c r="Y16">
        <f>E16+J16+O16+T16</f>
        <v/>
      </c>
      <c r="Z16">
        <f>G16+L16+Q16+V16</f>
        <v/>
      </c>
      <c r="AA16">
        <f>H16+M16+R16+W16</f>
        <v/>
      </c>
      <c r="AB16">
        <f>I16+N16+S16+X16</f>
        <v/>
      </c>
      <c r="AC16">
        <f>IF(B16="","",IFERROR(IF(LEFT(INDEX('Dán TĐ lũy kế'!$B$1:$B$1500,MATCH("*"&amp;C16,'Dán TĐ lũy kế'!$A$1:$A$1500,0)),8)="SỐ LƯỢNG","SL","DT"),"DT"))</f>
        <v/>
      </c>
    </row>
    <row r="17">
      <c r="A17" t="n">
        <v>15</v>
      </c>
      <c r="B17">
        <f>IF('Khai báo'!A32="","",'Khai báo'!A32)</f>
        <v/>
      </c>
      <c r="C17">
        <f>IF(B17="","",TRIM('Khai báo'!B32))</f>
        <v/>
      </c>
      <c r="D17">
        <f>IF(B17="","",IF('Khai báo'!C32="Vượt trội","Vượt trội","Chính"))</f>
        <v/>
      </c>
      <c r="E17">
        <f>IF(OR($B17="",'Khai báo'!$C$12=""),0,IFERROR(INDEX('Dán TĐ lũy kế'!$N$1:$N$1500,MATCH("*"&amp;$C17&amp;"|"&amp;'Khai báo'!$C$12,'Dán TĐ lũy kế'!$M$1:$M$1500,0)),0))</f>
        <v/>
      </c>
      <c r="F17">
        <f>IF(OR($B17="",'Khai báo'!$C$12=""),0,IFERROR(INDEX('Dán TĐ lũy kế'!$O$1:$O$1500,MATCH("*"&amp;$C17&amp;"|"&amp;'Khai báo'!$C$12,'Dán TĐ lũy kế'!$M$1:$M$1500,0)),0))</f>
        <v/>
      </c>
      <c r="G17">
        <f>IF(N('Khai báo'!D32)&gt;0,'Khai báo'!D32,F17)</f>
        <v/>
      </c>
      <c r="H17">
        <f>IF(OR($B17="",'Khai báo'!$C$12=""),0,IFERROR(INDEX('Dán TĐ realtime'!$N$1:$N$1500,MATCH("*"&amp;$C17&amp;"|"&amp;'Khai báo'!$C$12,'Dán TĐ realtime'!$M$1:$M$1500,0)),0))</f>
        <v/>
      </c>
      <c r="I17">
        <f>IF(OR($B17="",'Khai báo'!$C$12=""),0,IFERROR(1/(1/IFERROR(INDEX('Dán TĐ realtime'!$O$1:$O$1500,MATCH("*"&amp;$C17&amp;"|"&amp;'Khai báo'!$C$12,'Dán TĐ realtime'!$M$1:$M$1500,0)),0)),G17/SoNgay))</f>
        <v/>
      </c>
      <c r="J17">
        <f>IF(OR($B17="",'Khai báo'!$C$13=""),0,IFERROR(INDEX('Dán TĐ lũy kế'!$N$1:$N$1500,MATCH("*"&amp;$C17&amp;"|"&amp;'Khai báo'!$C$13,'Dán TĐ lũy kế'!$M$1:$M$1500,0)),0))</f>
        <v/>
      </c>
      <c r="K17">
        <f>IF(OR($B17="",'Khai báo'!$C$13=""),0,IFERROR(INDEX('Dán TĐ lũy kế'!$O$1:$O$1500,MATCH("*"&amp;$C17&amp;"|"&amp;'Khai báo'!$C$13,'Dán TĐ lũy kế'!$M$1:$M$1500,0)),0))</f>
        <v/>
      </c>
      <c r="L17">
        <f>IF(N('Khai báo'!E32)&gt;0,'Khai báo'!E32,K17)</f>
        <v/>
      </c>
      <c r="M17">
        <f>IF(OR($B17="",'Khai báo'!$C$13=""),0,IFERROR(INDEX('Dán TĐ realtime'!$N$1:$N$1500,MATCH("*"&amp;$C17&amp;"|"&amp;'Khai báo'!$C$13,'Dán TĐ realtime'!$M$1:$M$1500,0)),0))</f>
        <v/>
      </c>
      <c r="N17">
        <f>IF(OR($B17="",'Khai báo'!$C$13=""),0,IFERROR(1/(1/IFERROR(INDEX('Dán TĐ realtime'!$O$1:$O$1500,MATCH("*"&amp;$C17&amp;"|"&amp;'Khai báo'!$C$13,'Dán TĐ realtime'!$M$1:$M$1500,0)),0)),L17/SoNgay))</f>
        <v/>
      </c>
      <c r="O17">
        <f>IF(OR($B17="",'Khai báo'!$C$14=""),0,IFERROR(INDEX('Dán TĐ lũy kế'!$N$1:$N$1500,MATCH("*"&amp;$C17&amp;"|"&amp;'Khai báo'!$C$14,'Dán TĐ lũy kế'!$M$1:$M$1500,0)),0))</f>
        <v/>
      </c>
      <c r="P17">
        <f>IF(OR($B17="",'Khai báo'!$C$14=""),0,IFERROR(INDEX('Dán TĐ lũy kế'!$O$1:$O$1500,MATCH("*"&amp;$C17&amp;"|"&amp;'Khai báo'!$C$14,'Dán TĐ lũy kế'!$M$1:$M$1500,0)),0))</f>
        <v/>
      </c>
      <c r="Q17">
        <f>IF(N('Khai báo'!F32)&gt;0,'Khai báo'!F32,P17)</f>
        <v/>
      </c>
      <c r="R17">
        <f>IF(OR($B17="",'Khai báo'!$C$14=""),0,IFERROR(INDEX('Dán TĐ realtime'!$N$1:$N$1500,MATCH("*"&amp;$C17&amp;"|"&amp;'Khai báo'!$C$14,'Dán TĐ realtime'!$M$1:$M$1500,0)),0))</f>
        <v/>
      </c>
      <c r="S17">
        <f>IF(OR($B17="",'Khai báo'!$C$14=""),0,IFERROR(1/(1/IFERROR(INDEX('Dán TĐ realtime'!$O$1:$O$1500,MATCH("*"&amp;$C17&amp;"|"&amp;'Khai báo'!$C$14,'Dán TĐ realtime'!$M$1:$M$1500,0)),0)),Q17/SoNgay))</f>
        <v/>
      </c>
      <c r="T17">
        <f>IF(OR($B17="",'Khai báo'!$C$15=""),0,IFERROR(INDEX('Dán TĐ lũy kế'!$N$1:$N$1500,MATCH("*"&amp;$C17&amp;"|"&amp;'Khai báo'!$C$15,'Dán TĐ lũy kế'!$M$1:$M$1500,0)),0))</f>
        <v/>
      </c>
      <c r="U17">
        <f>IF(OR($B17="",'Khai báo'!$C$15=""),0,IFERROR(INDEX('Dán TĐ lũy kế'!$O$1:$O$1500,MATCH("*"&amp;$C17&amp;"|"&amp;'Khai báo'!$C$15,'Dán TĐ lũy kế'!$M$1:$M$1500,0)),0))</f>
        <v/>
      </c>
      <c r="V17">
        <f>IF(N('Khai báo'!G32)&gt;0,'Khai báo'!G32,U17)</f>
        <v/>
      </c>
      <c r="W17">
        <f>IF(OR($B17="",'Khai báo'!$C$15=""),0,IFERROR(INDEX('Dán TĐ realtime'!$N$1:$N$1500,MATCH("*"&amp;$C17&amp;"|"&amp;'Khai báo'!$C$15,'Dán TĐ realtime'!$M$1:$M$1500,0)),0))</f>
        <v/>
      </c>
      <c r="X17">
        <f>IF(OR($B17="",'Khai báo'!$C$15=""),0,IFERROR(1/(1/IFERROR(INDEX('Dán TĐ realtime'!$O$1:$O$1500,MATCH("*"&amp;$C17&amp;"|"&amp;'Khai báo'!$C$15,'Dán TĐ realtime'!$M$1:$M$1500,0)),0)),V17/SoNgay))</f>
        <v/>
      </c>
      <c r="Y17">
        <f>E17+J17+O17+T17</f>
        <v/>
      </c>
      <c r="Z17">
        <f>G17+L17+Q17+V17</f>
        <v/>
      </c>
      <c r="AA17">
        <f>H17+M17+R17+W17</f>
        <v/>
      </c>
      <c r="AB17">
        <f>I17+N17+S17+X17</f>
        <v/>
      </c>
      <c r="AC17">
        <f>IF(B17="","",IFERROR(IF(LEFT(INDEX('Dán TĐ lũy kế'!$B$1:$B$1500,MATCH("*"&amp;C17,'Dán TĐ lũy kế'!$A$1:$A$1500,0)),8)="SỐ LƯỢNG","SL","DT"),"DT"))</f>
        <v/>
      </c>
    </row>
    <row r="18">
      <c r="A18" t="n">
        <v>16</v>
      </c>
      <c r="B18">
        <f>IF('Khai báo'!A33="","",'Khai báo'!A33)</f>
        <v/>
      </c>
      <c r="C18">
        <f>IF(B18="","",TRIM('Khai báo'!B33))</f>
        <v/>
      </c>
      <c r="D18">
        <f>IF(B18="","",IF('Khai báo'!C33="Vượt trội","Vượt trội","Chính"))</f>
        <v/>
      </c>
      <c r="E18">
        <f>IF(OR($B18="",'Khai báo'!$C$12=""),0,IFERROR(INDEX('Dán TĐ lũy kế'!$N$1:$N$1500,MATCH("*"&amp;$C18&amp;"|"&amp;'Khai báo'!$C$12,'Dán TĐ lũy kế'!$M$1:$M$1500,0)),0))</f>
        <v/>
      </c>
      <c r="F18">
        <f>IF(OR($B18="",'Khai báo'!$C$12=""),0,IFERROR(INDEX('Dán TĐ lũy kế'!$O$1:$O$1500,MATCH("*"&amp;$C18&amp;"|"&amp;'Khai báo'!$C$12,'Dán TĐ lũy kế'!$M$1:$M$1500,0)),0))</f>
        <v/>
      </c>
      <c r="G18">
        <f>IF(N('Khai báo'!D33)&gt;0,'Khai báo'!D33,F18)</f>
        <v/>
      </c>
      <c r="H18">
        <f>IF(OR($B18="",'Khai báo'!$C$12=""),0,IFERROR(INDEX('Dán TĐ realtime'!$N$1:$N$1500,MATCH("*"&amp;$C18&amp;"|"&amp;'Khai báo'!$C$12,'Dán TĐ realtime'!$M$1:$M$1500,0)),0))</f>
        <v/>
      </c>
      <c r="I18">
        <f>IF(OR($B18="",'Khai báo'!$C$12=""),0,IFERROR(1/(1/IFERROR(INDEX('Dán TĐ realtime'!$O$1:$O$1500,MATCH("*"&amp;$C18&amp;"|"&amp;'Khai báo'!$C$12,'Dán TĐ realtime'!$M$1:$M$1500,0)),0)),G18/SoNgay))</f>
        <v/>
      </c>
      <c r="J18">
        <f>IF(OR($B18="",'Khai báo'!$C$13=""),0,IFERROR(INDEX('Dán TĐ lũy kế'!$N$1:$N$1500,MATCH("*"&amp;$C18&amp;"|"&amp;'Khai báo'!$C$13,'Dán TĐ lũy kế'!$M$1:$M$1500,0)),0))</f>
        <v/>
      </c>
      <c r="K18">
        <f>IF(OR($B18="",'Khai báo'!$C$13=""),0,IFERROR(INDEX('Dán TĐ lũy kế'!$O$1:$O$1500,MATCH("*"&amp;$C18&amp;"|"&amp;'Khai báo'!$C$13,'Dán TĐ lũy kế'!$M$1:$M$1500,0)),0))</f>
        <v/>
      </c>
      <c r="L18">
        <f>IF(N('Khai báo'!E33)&gt;0,'Khai báo'!E33,K18)</f>
        <v/>
      </c>
      <c r="M18">
        <f>IF(OR($B18="",'Khai báo'!$C$13=""),0,IFERROR(INDEX('Dán TĐ realtime'!$N$1:$N$1500,MATCH("*"&amp;$C18&amp;"|"&amp;'Khai báo'!$C$13,'Dán TĐ realtime'!$M$1:$M$1500,0)),0))</f>
        <v/>
      </c>
      <c r="N18">
        <f>IF(OR($B18="",'Khai báo'!$C$13=""),0,IFERROR(1/(1/IFERROR(INDEX('Dán TĐ realtime'!$O$1:$O$1500,MATCH("*"&amp;$C18&amp;"|"&amp;'Khai báo'!$C$13,'Dán TĐ realtime'!$M$1:$M$1500,0)),0)),L18/SoNgay))</f>
        <v/>
      </c>
      <c r="O18">
        <f>IF(OR($B18="",'Khai báo'!$C$14=""),0,IFERROR(INDEX('Dán TĐ lũy kế'!$N$1:$N$1500,MATCH("*"&amp;$C18&amp;"|"&amp;'Khai báo'!$C$14,'Dán TĐ lũy kế'!$M$1:$M$1500,0)),0))</f>
        <v/>
      </c>
      <c r="P18">
        <f>IF(OR($B18="",'Khai báo'!$C$14=""),0,IFERROR(INDEX('Dán TĐ lũy kế'!$O$1:$O$1500,MATCH("*"&amp;$C18&amp;"|"&amp;'Khai báo'!$C$14,'Dán TĐ lũy kế'!$M$1:$M$1500,0)),0))</f>
        <v/>
      </c>
      <c r="Q18">
        <f>IF(N('Khai báo'!F33)&gt;0,'Khai báo'!F33,P18)</f>
        <v/>
      </c>
      <c r="R18">
        <f>IF(OR($B18="",'Khai báo'!$C$14=""),0,IFERROR(INDEX('Dán TĐ realtime'!$N$1:$N$1500,MATCH("*"&amp;$C18&amp;"|"&amp;'Khai báo'!$C$14,'Dán TĐ realtime'!$M$1:$M$1500,0)),0))</f>
        <v/>
      </c>
      <c r="S18">
        <f>IF(OR($B18="",'Khai báo'!$C$14=""),0,IFERROR(1/(1/IFERROR(INDEX('Dán TĐ realtime'!$O$1:$O$1500,MATCH("*"&amp;$C18&amp;"|"&amp;'Khai báo'!$C$14,'Dán TĐ realtime'!$M$1:$M$1500,0)),0)),Q18/SoNgay))</f>
        <v/>
      </c>
      <c r="T18">
        <f>IF(OR($B18="",'Khai báo'!$C$15=""),0,IFERROR(INDEX('Dán TĐ lũy kế'!$N$1:$N$1500,MATCH("*"&amp;$C18&amp;"|"&amp;'Khai báo'!$C$15,'Dán TĐ lũy kế'!$M$1:$M$1500,0)),0))</f>
        <v/>
      </c>
      <c r="U18">
        <f>IF(OR($B18="",'Khai báo'!$C$15=""),0,IFERROR(INDEX('Dán TĐ lũy kế'!$O$1:$O$1500,MATCH("*"&amp;$C18&amp;"|"&amp;'Khai báo'!$C$15,'Dán TĐ lũy kế'!$M$1:$M$1500,0)),0))</f>
        <v/>
      </c>
      <c r="V18">
        <f>IF(N('Khai báo'!G33)&gt;0,'Khai báo'!G33,U18)</f>
        <v/>
      </c>
      <c r="W18">
        <f>IF(OR($B18="",'Khai báo'!$C$15=""),0,IFERROR(INDEX('Dán TĐ realtime'!$N$1:$N$1500,MATCH("*"&amp;$C18&amp;"|"&amp;'Khai báo'!$C$15,'Dán TĐ realtime'!$M$1:$M$1500,0)),0))</f>
        <v/>
      </c>
      <c r="X18">
        <f>IF(OR($B18="",'Khai báo'!$C$15=""),0,IFERROR(1/(1/IFERROR(INDEX('Dán TĐ realtime'!$O$1:$O$1500,MATCH("*"&amp;$C18&amp;"|"&amp;'Khai báo'!$C$15,'Dán TĐ realtime'!$M$1:$M$1500,0)),0)),V18/SoNgay))</f>
        <v/>
      </c>
      <c r="Y18">
        <f>E18+J18+O18+T18</f>
        <v/>
      </c>
      <c r="Z18">
        <f>G18+L18+Q18+V18</f>
        <v/>
      </c>
      <c r="AA18">
        <f>H18+M18+R18+W18</f>
        <v/>
      </c>
      <c r="AB18">
        <f>I18+N18+S18+X18</f>
        <v/>
      </c>
      <c r="AC18">
        <f>IF(B18="","",IFERROR(IF(LEFT(INDEX('Dán TĐ lũy kế'!$B$1:$B$1500,MATCH("*"&amp;C18,'Dán TĐ lũy kế'!$A$1:$A$1500,0)),8)="SỐ LƯỢNG","SL","DT"),"DT"))</f>
        <v/>
      </c>
    </row>
    <row r="19">
      <c r="A19" t="n">
        <v>17</v>
      </c>
      <c r="B19">
        <f>IF('Khai báo'!A34="","",'Khai báo'!A34)</f>
        <v/>
      </c>
      <c r="C19">
        <f>IF(B19="","",TRIM('Khai báo'!B34))</f>
        <v/>
      </c>
      <c r="D19">
        <f>IF(B19="","",IF('Khai báo'!C34="Vượt trội","Vượt trội","Chính"))</f>
        <v/>
      </c>
      <c r="E19">
        <f>IF(OR($B19="",'Khai báo'!$C$12=""),0,IFERROR(INDEX('Dán TĐ lũy kế'!$N$1:$N$1500,MATCH("*"&amp;$C19&amp;"|"&amp;'Khai báo'!$C$12,'Dán TĐ lũy kế'!$M$1:$M$1500,0)),0))</f>
        <v/>
      </c>
      <c r="F19">
        <f>IF(OR($B19="",'Khai báo'!$C$12=""),0,IFERROR(INDEX('Dán TĐ lũy kế'!$O$1:$O$1500,MATCH("*"&amp;$C19&amp;"|"&amp;'Khai báo'!$C$12,'Dán TĐ lũy kế'!$M$1:$M$1500,0)),0))</f>
        <v/>
      </c>
      <c r="G19">
        <f>IF(N('Khai báo'!D34)&gt;0,'Khai báo'!D34,F19)</f>
        <v/>
      </c>
      <c r="H19">
        <f>IF(OR($B19="",'Khai báo'!$C$12=""),0,IFERROR(INDEX('Dán TĐ realtime'!$N$1:$N$1500,MATCH("*"&amp;$C19&amp;"|"&amp;'Khai báo'!$C$12,'Dán TĐ realtime'!$M$1:$M$1500,0)),0))</f>
        <v/>
      </c>
      <c r="I19">
        <f>IF(OR($B19="",'Khai báo'!$C$12=""),0,IFERROR(1/(1/IFERROR(INDEX('Dán TĐ realtime'!$O$1:$O$1500,MATCH("*"&amp;$C19&amp;"|"&amp;'Khai báo'!$C$12,'Dán TĐ realtime'!$M$1:$M$1500,0)),0)),G19/SoNgay))</f>
        <v/>
      </c>
      <c r="J19">
        <f>IF(OR($B19="",'Khai báo'!$C$13=""),0,IFERROR(INDEX('Dán TĐ lũy kế'!$N$1:$N$1500,MATCH("*"&amp;$C19&amp;"|"&amp;'Khai báo'!$C$13,'Dán TĐ lũy kế'!$M$1:$M$1500,0)),0))</f>
        <v/>
      </c>
      <c r="K19">
        <f>IF(OR($B19="",'Khai báo'!$C$13=""),0,IFERROR(INDEX('Dán TĐ lũy kế'!$O$1:$O$1500,MATCH("*"&amp;$C19&amp;"|"&amp;'Khai báo'!$C$13,'Dán TĐ lũy kế'!$M$1:$M$1500,0)),0))</f>
        <v/>
      </c>
      <c r="L19">
        <f>IF(N('Khai báo'!E34)&gt;0,'Khai báo'!E34,K19)</f>
        <v/>
      </c>
      <c r="M19">
        <f>IF(OR($B19="",'Khai báo'!$C$13=""),0,IFERROR(INDEX('Dán TĐ realtime'!$N$1:$N$1500,MATCH("*"&amp;$C19&amp;"|"&amp;'Khai báo'!$C$13,'Dán TĐ realtime'!$M$1:$M$1500,0)),0))</f>
        <v/>
      </c>
      <c r="N19">
        <f>IF(OR($B19="",'Khai báo'!$C$13=""),0,IFERROR(1/(1/IFERROR(INDEX('Dán TĐ realtime'!$O$1:$O$1500,MATCH("*"&amp;$C19&amp;"|"&amp;'Khai báo'!$C$13,'Dán TĐ realtime'!$M$1:$M$1500,0)),0)),L19/SoNgay))</f>
        <v/>
      </c>
      <c r="O19">
        <f>IF(OR($B19="",'Khai báo'!$C$14=""),0,IFERROR(INDEX('Dán TĐ lũy kế'!$N$1:$N$1500,MATCH("*"&amp;$C19&amp;"|"&amp;'Khai báo'!$C$14,'Dán TĐ lũy kế'!$M$1:$M$1500,0)),0))</f>
        <v/>
      </c>
      <c r="P19">
        <f>IF(OR($B19="",'Khai báo'!$C$14=""),0,IFERROR(INDEX('Dán TĐ lũy kế'!$O$1:$O$1500,MATCH("*"&amp;$C19&amp;"|"&amp;'Khai báo'!$C$14,'Dán TĐ lũy kế'!$M$1:$M$1500,0)),0))</f>
        <v/>
      </c>
      <c r="Q19">
        <f>IF(N('Khai báo'!F34)&gt;0,'Khai báo'!F34,P19)</f>
        <v/>
      </c>
      <c r="R19">
        <f>IF(OR($B19="",'Khai báo'!$C$14=""),0,IFERROR(INDEX('Dán TĐ realtime'!$N$1:$N$1500,MATCH("*"&amp;$C19&amp;"|"&amp;'Khai báo'!$C$14,'Dán TĐ realtime'!$M$1:$M$1500,0)),0))</f>
        <v/>
      </c>
      <c r="S19">
        <f>IF(OR($B19="",'Khai báo'!$C$14=""),0,IFERROR(1/(1/IFERROR(INDEX('Dán TĐ realtime'!$O$1:$O$1500,MATCH("*"&amp;$C19&amp;"|"&amp;'Khai báo'!$C$14,'Dán TĐ realtime'!$M$1:$M$1500,0)),0)),Q19/SoNgay))</f>
        <v/>
      </c>
      <c r="T19">
        <f>IF(OR($B19="",'Khai báo'!$C$15=""),0,IFERROR(INDEX('Dán TĐ lũy kế'!$N$1:$N$1500,MATCH("*"&amp;$C19&amp;"|"&amp;'Khai báo'!$C$15,'Dán TĐ lũy kế'!$M$1:$M$1500,0)),0))</f>
        <v/>
      </c>
      <c r="U19">
        <f>IF(OR($B19="",'Khai báo'!$C$15=""),0,IFERROR(INDEX('Dán TĐ lũy kế'!$O$1:$O$1500,MATCH("*"&amp;$C19&amp;"|"&amp;'Khai báo'!$C$15,'Dán TĐ lũy kế'!$M$1:$M$1500,0)),0))</f>
        <v/>
      </c>
      <c r="V19">
        <f>IF(N('Khai báo'!G34)&gt;0,'Khai báo'!G34,U19)</f>
        <v/>
      </c>
      <c r="W19">
        <f>IF(OR($B19="",'Khai báo'!$C$15=""),0,IFERROR(INDEX('Dán TĐ realtime'!$N$1:$N$1500,MATCH("*"&amp;$C19&amp;"|"&amp;'Khai báo'!$C$15,'Dán TĐ realtime'!$M$1:$M$1500,0)),0))</f>
        <v/>
      </c>
      <c r="X19">
        <f>IF(OR($B19="",'Khai báo'!$C$15=""),0,IFERROR(1/(1/IFERROR(INDEX('Dán TĐ realtime'!$O$1:$O$1500,MATCH("*"&amp;$C19&amp;"|"&amp;'Khai báo'!$C$15,'Dán TĐ realtime'!$M$1:$M$1500,0)),0)),V19/SoNgay))</f>
        <v/>
      </c>
      <c r="Y19">
        <f>E19+J19+O19+T19</f>
        <v/>
      </c>
      <c r="Z19">
        <f>G19+L19+Q19+V19</f>
        <v/>
      </c>
      <c r="AA19">
        <f>H19+M19+R19+W19</f>
        <v/>
      </c>
      <c r="AB19">
        <f>I19+N19+S19+X19</f>
        <v/>
      </c>
      <c r="AC19">
        <f>IF(B19="","",IFERROR(IF(LEFT(INDEX('Dán TĐ lũy kế'!$B$1:$B$1500,MATCH("*"&amp;C19,'Dán TĐ lũy kế'!$A$1:$A$1500,0)),8)="SỐ LƯỢNG","SL","DT"),"DT"))</f>
        <v/>
      </c>
    </row>
    <row r="20">
      <c r="A20" t="n">
        <v>18</v>
      </c>
      <c r="B20">
        <f>IF('Khai báo'!A35="","",'Khai báo'!A35)</f>
        <v/>
      </c>
      <c r="C20">
        <f>IF(B20="","",TRIM('Khai báo'!B35))</f>
        <v/>
      </c>
      <c r="D20">
        <f>IF(B20="","",IF('Khai báo'!C35="Vượt trội","Vượt trội","Chính"))</f>
        <v/>
      </c>
      <c r="E20">
        <f>IF(OR($B20="",'Khai báo'!$C$12=""),0,IFERROR(INDEX('Dán TĐ lũy kế'!$N$1:$N$1500,MATCH("*"&amp;$C20&amp;"|"&amp;'Khai báo'!$C$12,'Dán TĐ lũy kế'!$M$1:$M$1500,0)),0))</f>
        <v/>
      </c>
      <c r="F20">
        <f>IF(OR($B20="",'Khai báo'!$C$12=""),0,IFERROR(INDEX('Dán TĐ lũy kế'!$O$1:$O$1500,MATCH("*"&amp;$C20&amp;"|"&amp;'Khai báo'!$C$12,'Dán TĐ lũy kế'!$M$1:$M$1500,0)),0))</f>
        <v/>
      </c>
      <c r="G20">
        <f>IF(N('Khai báo'!D35)&gt;0,'Khai báo'!D35,F20)</f>
        <v/>
      </c>
      <c r="H20">
        <f>IF(OR($B20="",'Khai báo'!$C$12=""),0,IFERROR(INDEX('Dán TĐ realtime'!$N$1:$N$1500,MATCH("*"&amp;$C20&amp;"|"&amp;'Khai báo'!$C$12,'Dán TĐ realtime'!$M$1:$M$1500,0)),0))</f>
        <v/>
      </c>
      <c r="I20">
        <f>IF(OR($B20="",'Khai báo'!$C$12=""),0,IFERROR(1/(1/IFERROR(INDEX('Dán TĐ realtime'!$O$1:$O$1500,MATCH("*"&amp;$C20&amp;"|"&amp;'Khai báo'!$C$12,'Dán TĐ realtime'!$M$1:$M$1500,0)),0)),G20/SoNgay))</f>
        <v/>
      </c>
      <c r="J20">
        <f>IF(OR($B20="",'Khai báo'!$C$13=""),0,IFERROR(INDEX('Dán TĐ lũy kế'!$N$1:$N$1500,MATCH("*"&amp;$C20&amp;"|"&amp;'Khai báo'!$C$13,'Dán TĐ lũy kế'!$M$1:$M$1500,0)),0))</f>
        <v/>
      </c>
      <c r="K20">
        <f>IF(OR($B20="",'Khai báo'!$C$13=""),0,IFERROR(INDEX('Dán TĐ lũy kế'!$O$1:$O$1500,MATCH("*"&amp;$C20&amp;"|"&amp;'Khai báo'!$C$13,'Dán TĐ lũy kế'!$M$1:$M$1500,0)),0))</f>
        <v/>
      </c>
      <c r="L20">
        <f>IF(N('Khai báo'!E35)&gt;0,'Khai báo'!E35,K20)</f>
        <v/>
      </c>
      <c r="M20">
        <f>IF(OR($B20="",'Khai báo'!$C$13=""),0,IFERROR(INDEX('Dán TĐ realtime'!$N$1:$N$1500,MATCH("*"&amp;$C20&amp;"|"&amp;'Khai báo'!$C$13,'Dán TĐ realtime'!$M$1:$M$1500,0)),0))</f>
        <v/>
      </c>
      <c r="N20">
        <f>IF(OR($B20="",'Khai báo'!$C$13=""),0,IFERROR(1/(1/IFERROR(INDEX('Dán TĐ realtime'!$O$1:$O$1500,MATCH("*"&amp;$C20&amp;"|"&amp;'Khai báo'!$C$13,'Dán TĐ realtime'!$M$1:$M$1500,0)),0)),L20/SoNgay))</f>
        <v/>
      </c>
      <c r="O20">
        <f>IF(OR($B20="",'Khai báo'!$C$14=""),0,IFERROR(INDEX('Dán TĐ lũy kế'!$N$1:$N$1500,MATCH("*"&amp;$C20&amp;"|"&amp;'Khai báo'!$C$14,'Dán TĐ lũy kế'!$M$1:$M$1500,0)),0))</f>
        <v/>
      </c>
      <c r="P20">
        <f>IF(OR($B20="",'Khai báo'!$C$14=""),0,IFERROR(INDEX('Dán TĐ lũy kế'!$O$1:$O$1500,MATCH("*"&amp;$C20&amp;"|"&amp;'Khai báo'!$C$14,'Dán TĐ lũy kế'!$M$1:$M$1500,0)),0))</f>
        <v/>
      </c>
      <c r="Q20">
        <f>IF(N('Khai báo'!F35)&gt;0,'Khai báo'!F35,P20)</f>
        <v/>
      </c>
      <c r="R20">
        <f>IF(OR($B20="",'Khai báo'!$C$14=""),0,IFERROR(INDEX('Dán TĐ realtime'!$N$1:$N$1500,MATCH("*"&amp;$C20&amp;"|"&amp;'Khai báo'!$C$14,'Dán TĐ realtime'!$M$1:$M$1500,0)),0))</f>
        <v/>
      </c>
      <c r="S20">
        <f>IF(OR($B20="",'Khai báo'!$C$14=""),0,IFERROR(1/(1/IFERROR(INDEX('Dán TĐ realtime'!$O$1:$O$1500,MATCH("*"&amp;$C20&amp;"|"&amp;'Khai báo'!$C$14,'Dán TĐ realtime'!$M$1:$M$1500,0)),0)),Q20/SoNgay))</f>
        <v/>
      </c>
      <c r="T20">
        <f>IF(OR($B20="",'Khai báo'!$C$15=""),0,IFERROR(INDEX('Dán TĐ lũy kế'!$N$1:$N$1500,MATCH("*"&amp;$C20&amp;"|"&amp;'Khai báo'!$C$15,'Dán TĐ lũy kế'!$M$1:$M$1500,0)),0))</f>
        <v/>
      </c>
      <c r="U20">
        <f>IF(OR($B20="",'Khai báo'!$C$15=""),0,IFERROR(INDEX('Dán TĐ lũy kế'!$O$1:$O$1500,MATCH("*"&amp;$C20&amp;"|"&amp;'Khai báo'!$C$15,'Dán TĐ lũy kế'!$M$1:$M$1500,0)),0))</f>
        <v/>
      </c>
      <c r="V20">
        <f>IF(N('Khai báo'!G35)&gt;0,'Khai báo'!G35,U20)</f>
        <v/>
      </c>
      <c r="W20">
        <f>IF(OR($B20="",'Khai báo'!$C$15=""),0,IFERROR(INDEX('Dán TĐ realtime'!$N$1:$N$1500,MATCH("*"&amp;$C20&amp;"|"&amp;'Khai báo'!$C$15,'Dán TĐ realtime'!$M$1:$M$1500,0)),0))</f>
        <v/>
      </c>
      <c r="X20">
        <f>IF(OR($B20="",'Khai báo'!$C$15=""),0,IFERROR(1/(1/IFERROR(INDEX('Dán TĐ realtime'!$O$1:$O$1500,MATCH("*"&amp;$C20&amp;"|"&amp;'Khai báo'!$C$15,'Dán TĐ realtime'!$M$1:$M$1500,0)),0)),V20/SoNgay))</f>
        <v/>
      </c>
      <c r="Y20">
        <f>E20+J20+O20+T20</f>
        <v/>
      </c>
      <c r="Z20">
        <f>G20+L20+Q20+V20</f>
        <v/>
      </c>
      <c r="AA20">
        <f>H20+M20+R20+W20</f>
        <v/>
      </c>
      <c r="AB20">
        <f>I20+N20+S20+X20</f>
        <v/>
      </c>
      <c r="AC20">
        <f>IF(B20="","",IFERROR(IF(LEFT(INDEX('Dán TĐ lũy kế'!$B$1:$B$1500,MATCH("*"&amp;C20,'Dán TĐ lũy kế'!$A$1:$A$1500,0)),8)="SỐ LƯỢNG","SL","DT"),"DT"))</f>
        <v/>
      </c>
    </row>
    <row r="21">
      <c r="A21" t="n">
        <v>19</v>
      </c>
      <c r="B21">
        <f>IF('Khai báo'!A36="","",'Khai báo'!A36)</f>
        <v/>
      </c>
      <c r="C21">
        <f>IF(B21="","",TRIM('Khai báo'!B36))</f>
        <v/>
      </c>
      <c r="D21">
        <f>IF(B21="","",IF('Khai báo'!C36="Vượt trội","Vượt trội","Chính"))</f>
        <v/>
      </c>
      <c r="E21">
        <f>IF(OR($B21="",'Khai báo'!$C$12=""),0,IFERROR(INDEX('Dán TĐ lũy kế'!$N$1:$N$1500,MATCH("*"&amp;$C21&amp;"|"&amp;'Khai báo'!$C$12,'Dán TĐ lũy kế'!$M$1:$M$1500,0)),0))</f>
        <v/>
      </c>
      <c r="F21">
        <f>IF(OR($B21="",'Khai báo'!$C$12=""),0,IFERROR(INDEX('Dán TĐ lũy kế'!$O$1:$O$1500,MATCH("*"&amp;$C21&amp;"|"&amp;'Khai báo'!$C$12,'Dán TĐ lũy kế'!$M$1:$M$1500,0)),0))</f>
        <v/>
      </c>
      <c r="G21">
        <f>IF(N('Khai báo'!D36)&gt;0,'Khai báo'!D36,F21)</f>
        <v/>
      </c>
      <c r="H21">
        <f>IF(OR($B21="",'Khai báo'!$C$12=""),0,IFERROR(INDEX('Dán TĐ realtime'!$N$1:$N$1500,MATCH("*"&amp;$C21&amp;"|"&amp;'Khai báo'!$C$12,'Dán TĐ realtime'!$M$1:$M$1500,0)),0))</f>
        <v/>
      </c>
      <c r="I21">
        <f>IF(OR($B21="",'Khai báo'!$C$12=""),0,IFERROR(1/(1/IFERROR(INDEX('Dán TĐ realtime'!$O$1:$O$1500,MATCH("*"&amp;$C21&amp;"|"&amp;'Khai báo'!$C$12,'Dán TĐ realtime'!$M$1:$M$1500,0)),0)),G21/SoNgay))</f>
        <v/>
      </c>
      <c r="J21">
        <f>IF(OR($B21="",'Khai báo'!$C$13=""),0,IFERROR(INDEX('Dán TĐ lũy kế'!$N$1:$N$1500,MATCH("*"&amp;$C21&amp;"|"&amp;'Khai báo'!$C$13,'Dán TĐ lũy kế'!$M$1:$M$1500,0)),0))</f>
        <v/>
      </c>
      <c r="K21">
        <f>IF(OR($B21="",'Khai báo'!$C$13=""),0,IFERROR(INDEX('Dán TĐ lũy kế'!$O$1:$O$1500,MATCH("*"&amp;$C21&amp;"|"&amp;'Khai báo'!$C$13,'Dán TĐ lũy kế'!$M$1:$M$1500,0)),0))</f>
        <v/>
      </c>
      <c r="L21">
        <f>IF(N('Khai báo'!E36)&gt;0,'Khai báo'!E36,K21)</f>
        <v/>
      </c>
      <c r="M21">
        <f>IF(OR($B21="",'Khai báo'!$C$13=""),0,IFERROR(INDEX('Dán TĐ realtime'!$N$1:$N$1500,MATCH("*"&amp;$C21&amp;"|"&amp;'Khai báo'!$C$13,'Dán TĐ realtime'!$M$1:$M$1500,0)),0))</f>
        <v/>
      </c>
      <c r="N21">
        <f>IF(OR($B21="",'Khai báo'!$C$13=""),0,IFERROR(1/(1/IFERROR(INDEX('Dán TĐ realtime'!$O$1:$O$1500,MATCH("*"&amp;$C21&amp;"|"&amp;'Khai báo'!$C$13,'Dán TĐ realtime'!$M$1:$M$1500,0)),0)),L21/SoNgay))</f>
        <v/>
      </c>
      <c r="O21">
        <f>IF(OR($B21="",'Khai báo'!$C$14=""),0,IFERROR(INDEX('Dán TĐ lũy kế'!$N$1:$N$1500,MATCH("*"&amp;$C21&amp;"|"&amp;'Khai báo'!$C$14,'Dán TĐ lũy kế'!$M$1:$M$1500,0)),0))</f>
        <v/>
      </c>
      <c r="P21">
        <f>IF(OR($B21="",'Khai báo'!$C$14=""),0,IFERROR(INDEX('Dán TĐ lũy kế'!$O$1:$O$1500,MATCH("*"&amp;$C21&amp;"|"&amp;'Khai báo'!$C$14,'Dán TĐ lũy kế'!$M$1:$M$1500,0)),0))</f>
        <v/>
      </c>
      <c r="Q21">
        <f>IF(N('Khai báo'!F36)&gt;0,'Khai báo'!F36,P21)</f>
        <v/>
      </c>
      <c r="R21">
        <f>IF(OR($B21="",'Khai báo'!$C$14=""),0,IFERROR(INDEX('Dán TĐ realtime'!$N$1:$N$1500,MATCH("*"&amp;$C21&amp;"|"&amp;'Khai báo'!$C$14,'Dán TĐ realtime'!$M$1:$M$1500,0)),0))</f>
        <v/>
      </c>
      <c r="S21">
        <f>IF(OR($B21="",'Khai báo'!$C$14=""),0,IFERROR(1/(1/IFERROR(INDEX('Dán TĐ realtime'!$O$1:$O$1500,MATCH("*"&amp;$C21&amp;"|"&amp;'Khai báo'!$C$14,'Dán TĐ realtime'!$M$1:$M$1500,0)),0)),Q21/SoNgay))</f>
        <v/>
      </c>
      <c r="T21">
        <f>IF(OR($B21="",'Khai báo'!$C$15=""),0,IFERROR(INDEX('Dán TĐ lũy kế'!$N$1:$N$1500,MATCH("*"&amp;$C21&amp;"|"&amp;'Khai báo'!$C$15,'Dán TĐ lũy kế'!$M$1:$M$1500,0)),0))</f>
        <v/>
      </c>
      <c r="U21">
        <f>IF(OR($B21="",'Khai báo'!$C$15=""),0,IFERROR(INDEX('Dán TĐ lũy kế'!$O$1:$O$1500,MATCH("*"&amp;$C21&amp;"|"&amp;'Khai báo'!$C$15,'Dán TĐ lũy kế'!$M$1:$M$1500,0)),0))</f>
        <v/>
      </c>
      <c r="V21">
        <f>IF(N('Khai báo'!G36)&gt;0,'Khai báo'!G36,U21)</f>
        <v/>
      </c>
      <c r="W21">
        <f>IF(OR($B21="",'Khai báo'!$C$15=""),0,IFERROR(INDEX('Dán TĐ realtime'!$N$1:$N$1500,MATCH("*"&amp;$C21&amp;"|"&amp;'Khai báo'!$C$15,'Dán TĐ realtime'!$M$1:$M$1500,0)),0))</f>
        <v/>
      </c>
      <c r="X21">
        <f>IF(OR($B21="",'Khai báo'!$C$15=""),0,IFERROR(1/(1/IFERROR(INDEX('Dán TĐ realtime'!$O$1:$O$1500,MATCH("*"&amp;$C21&amp;"|"&amp;'Khai báo'!$C$15,'Dán TĐ realtime'!$M$1:$M$1500,0)),0)),V21/SoNgay))</f>
        <v/>
      </c>
      <c r="Y21">
        <f>E21+J21+O21+T21</f>
        <v/>
      </c>
      <c r="Z21">
        <f>G21+L21+Q21+V21</f>
        <v/>
      </c>
      <c r="AA21">
        <f>H21+M21+R21+W21</f>
        <v/>
      </c>
      <c r="AB21">
        <f>I21+N21+S21+X21</f>
        <v/>
      </c>
      <c r="AC21">
        <f>IF(B21="","",IFERROR(IF(LEFT(INDEX('Dán TĐ lũy kế'!$B$1:$B$1500,MATCH("*"&amp;C21,'Dán TĐ lũy kế'!$A$1:$A$1500,0)),8)="SỐ LƯỢNG","SL","DT"),"DT"))</f>
        <v/>
      </c>
    </row>
    <row r="22">
      <c r="A22" t="n">
        <v>20</v>
      </c>
      <c r="B22">
        <f>IF('Khai báo'!A37="","",'Khai báo'!A37)</f>
        <v/>
      </c>
      <c r="C22">
        <f>IF(B22="","",TRIM('Khai báo'!B37))</f>
        <v/>
      </c>
      <c r="D22">
        <f>IF(B22="","",IF('Khai báo'!C37="Vượt trội","Vượt trội","Chính"))</f>
        <v/>
      </c>
      <c r="E22">
        <f>IF(OR($B22="",'Khai báo'!$C$12=""),0,IFERROR(INDEX('Dán TĐ lũy kế'!$N$1:$N$1500,MATCH("*"&amp;$C22&amp;"|"&amp;'Khai báo'!$C$12,'Dán TĐ lũy kế'!$M$1:$M$1500,0)),0))</f>
        <v/>
      </c>
      <c r="F22">
        <f>IF(OR($B22="",'Khai báo'!$C$12=""),0,IFERROR(INDEX('Dán TĐ lũy kế'!$O$1:$O$1500,MATCH("*"&amp;$C22&amp;"|"&amp;'Khai báo'!$C$12,'Dán TĐ lũy kế'!$M$1:$M$1500,0)),0))</f>
        <v/>
      </c>
      <c r="G22">
        <f>IF(N('Khai báo'!D37)&gt;0,'Khai báo'!D37,F22)</f>
        <v/>
      </c>
      <c r="H22">
        <f>IF(OR($B22="",'Khai báo'!$C$12=""),0,IFERROR(INDEX('Dán TĐ realtime'!$N$1:$N$1500,MATCH("*"&amp;$C22&amp;"|"&amp;'Khai báo'!$C$12,'Dán TĐ realtime'!$M$1:$M$1500,0)),0))</f>
        <v/>
      </c>
      <c r="I22">
        <f>IF(OR($B22="",'Khai báo'!$C$12=""),0,IFERROR(1/(1/IFERROR(INDEX('Dán TĐ realtime'!$O$1:$O$1500,MATCH("*"&amp;$C22&amp;"|"&amp;'Khai báo'!$C$12,'Dán TĐ realtime'!$M$1:$M$1500,0)),0)),G22/SoNgay))</f>
        <v/>
      </c>
      <c r="J22">
        <f>IF(OR($B22="",'Khai báo'!$C$13=""),0,IFERROR(INDEX('Dán TĐ lũy kế'!$N$1:$N$1500,MATCH("*"&amp;$C22&amp;"|"&amp;'Khai báo'!$C$13,'Dán TĐ lũy kế'!$M$1:$M$1500,0)),0))</f>
        <v/>
      </c>
      <c r="K22">
        <f>IF(OR($B22="",'Khai báo'!$C$13=""),0,IFERROR(INDEX('Dán TĐ lũy kế'!$O$1:$O$1500,MATCH("*"&amp;$C22&amp;"|"&amp;'Khai báo'!$C$13,'Dán TĐ lũy kế'!$M$1:$M$1500,0)),0))</f>
        <v/>
      </c>
      <c r="L22">
        <f>IF(N('Khai báo'!E37)&gt;0,'Khai báo'!E37,K22)</f>
        <v/>
      </c>
      <c r="M22">
        <f>IF(OR($B22="",'Khai báo'!$C$13=""),0,IFERROR(INDEX('Dán TĐ realtime'!$N$1:$N$1500,MATCH("*"&amp;$C22&amp;"|"&amp;'Khai báo'!$C$13,'Dán TĐ realtime'!$M$1:$M$1500,0)),0))</f>
        <v/>
      </c>
      <c r="N22">
        <f>IF(OR($B22="",'Khai báo'!$C$13=""),0,IFERROR(1/(1/IFERROR(INDEX('Dán TĐ realtime'!$O$1:$O$1500,MATCH("*"&amp;$C22&amp;"|"&amp;'Khai báo'!$C$13,'Dán TĐ realtime'!$M$1:$M$1500,0)),0)),L22/SoNgay))</f>
        <v/>
      </c>
      <c r="O22">
        <f>IF(OR($B22="",'Khai báo'!$C$14=""),0,IFERROR(INDEX('Dán TĐ lũy kế'!$N$1:$N$1500,MATCH("*"&amp;$C22&amp;"|"&amp;'Khai báo'!$C$14,'Dán TĐ lũy kế'!$M$1:$M$1500,0)),0))</f>
        <v/>
      </c>
      <c r="P22">
        <f>IF(OR($B22="",'Khai báo'!$C$14=""),0,IFERROR(INDEX('Dán TĐ lũy kế'!$O$1:$O$1500,MATCH("*"&amp;$C22&amp;"|"&amp;'Khai báo'!$C$14,'Dán TĐ lũy kế'!$M$1:$M$1500,0)),0))</f>
        <v/>
      </c>
      <c r="Q22">
        <f>IF(N('Khai báo'!F37)&gt;0,'Khai báo'!F37,P22)</f>
        <v/>
      </c>
      <c r="R22">
        <f>IF(OR($B22="",'Khai báo'!$C$14=""),0,IFERROR(INDEX('Dán TĐ realtime'!$N$1:$N$1500,MATCH("*"&amp;$C22&amp;"|"&amp;'Khai báo'!$C$14,'Dán TĐ realtime'!$M$1:$M$1500,0)),0))</f>
        <v/>
      </c>
      <c r="S22">
        <f>IF(OR($B22="",'Khai báo'!$C$14=""),0,IFERROR(1/(1/IFERROR(INDEX('Dán TĐ realtime'!$O$1:$O$1500,MATCH("*"&amp;$C22&amp;"|"&amp;'Khai báo'!$C$14,'Dán TĐ realtime'!$M$1:$M$1500,0)),0)),Q22/SoNgay))</f>
        <v/>
      </c>
      <c r="T22">
        <f>IF(OR($B22="",'Khai báo'!$C$15=""),0,IFERROR(INDEX('Dán TĐ lũy kế'!$N$1:$N$1500,MATCH("*"&amp;$C22&amp;"|"&amp;'Khai báo'!$C$15,'Dán TĐ lũy kế'!$M$1:$M$1500,0)),0))</f>
        <v/>
      </c>
      <c r="U22">
        <f>IF(OR($B22="",'Khai báo'!$C$15=""),0,IFERROR(INDEX('Dán TĐ lũy kế'!$O$1:$O$1500,MATCH("*"&amp;$C22&amp;"|"&amp;'Khai báo'!$C$15,'Dán TĐ lũy kế'!$M$1:$M$1500,0)),0))</f>
        <v/>
      </c>
      <c r="V22">
        <f>IF(N('Khai báo'!G37)&gt;0,'Khai báo'!G37,U22)</f>
        <v/>
      </c>
      <c r="W22">
        <f>IF(OR($B22="",'Khai báo'!$C$15=""),0,IFERROR(INDEX('Dán TĐ realtime'!$N$1:$N$1500,MATCH("*"&amp;$C22&amp;"|"&amp;'Khai báo'!$C$15,'Dán TĐ realtime'!$M$1:$M$1500,0)),0))</f>
        <v/>
      </c>
      <c r="X22">
        <f>IF(OR($B22="",'Khai báo'!$C$15=""),0,IFERROR(1/(1/IFERROR(INDEX('Dán TĐ realtime'!$O$1:$O$1500,MATCH("*"&amp;$C22&amp;"|"&amp;'Khai báo'!$C$15,'Dán TĐ realtime'!$M$1:$M$1500,0)),0)),V22/SoNgay))</f>
        <v/>
      </c>
      <c r="Y22">
        <f>E22+J22+O22+T22</f>
        <v/>
      </c>
      <c r="Z22">
        <f>G22+L22+Q22+V22</f>
        <v/>
      </c>
      <c r="AA22">
        <f>H22+M22+R22+W22</f>
        <v/>
      </c>
      <c r="AB22">
        <f>I22+N22+S22+X22</f>
        <v/>
      </c>
      <c r="AC22">
        <f>IF(B22="","",IFERROR(IF(LEFT(INDEX('Dán TĐ lũy kế'!$B$1:$B$1500,MATCH("*"&amp;C22,'Dán TĐ lũy kế'!$A$1:$A$1500,0)),8)="SỐ LƯỢNG","SL","DT"),"DT"))</f>
        <v/>
      </c>
    </row>
    <row r="30">
      <c r="A30" s="58" t="inlineStr">
        <is>
          <t>#</t>
        </is>
      </c>
      <c r="B30" s="58" t="inlineStr">
        <is>
          <t>Tên gọn</t>
        </is>
      </c>
      <c r="C30" s="58" t="inlineStr">
        <is>
          <t>Tên BI</t>
        </is>
      </c>
      <c r="D30" s="58" t="inlineStr">
        <is>
          <t>Target tháng</t>
        </is>
      </c>
      <c r="E30" s="58" t="inlineStr">
        <is>
          <t>Target ngày</t>
        </is>
      </c>
      <c r="F30" s="58" t="inlineStr">
        <is>
          <t>DT QĐ LK</t>
        </is>
      </c>
      <c r="G30" s="58" t="inlineStr">
        <is>
          <t>DT thực LK</t>
        </is>
      </c>
      <c r="H30" s="58" t="inlineStr">
        <is>
          <t>TC LK</t>
        </is>
      </c>
      <c r="I30" s="58" t="inlineStr">
        <is>
          <t>DT QĐ RT</t>
        </is>
      </c>
      <c r="J30" s="58" t="inlineStr">
        <is>
          <t>DT thực RT</t>
        </is>
      </c>
      <c r="K30" s="58" t="inlineStr">
        <is>
          <t>TC RT</t>
        </is>
      </c>
    </row>
    <row r="31">
      <c r="A31" t="n">
        <v>1</v>
      </c>
      <c r="B31">
        <f>IF('Khai báo'!B12="","",'Khai báo'!B12)</f>
        <v/>
      </c>
      <c r="C31">
        <f>IF('Khai báo'!C12="","",'Khai báo'!C12)</f>
        <v/>
      </c>
      <c r="D31">
        <f>N('Khai báo'!D12)</f>
        <v/>
      </c>
      <c r="E31">
        <f>IF(N('Khai báo'!E12)&gt;0,'Khai báo'!E12,D31/SoNgay)</f>
        <v/>
      </c>
      <c r="F31">
        <f>N('Nhập số'!B4)</f>
        <v/>
      </c>
      <c r="G31">
        <f>N('Nhập số'!C4)</f>
        <v/>
      </c>
      <c r="H31">
        <f>N('Nhập số'!D4)</f>
        <v/>
      </c>
      <c r="I31">
        <f>N('Nhập số'!E4)</f>
        <v/>
      </c>
      <c r="J31">
        <f>N('Nhập số'!F4)</f>
        <v/>
      </c>
      <c r="K31">
        <f>N('Nhập số'!G4)</f>
        <v/>
      </c>
      <c r="Z31" t="inlineStr">
        <is>
          <t>Tổng cụm</t>
        </is>
      </c>
    </row>
    <row r="32">
      <c r="A32" t="n">
        <v>2</v>
      </c>
      <c r="B32">
        <f>IF('Khai báo'!B13="","",'Khai báo'!B13)</f>
        <v/>
      </c>
      <c r="C32">
        <f>IF('Khai báo'!C13="","",'Khai báo'!C13)</f>
        <v/>
      </c>
      <c r="D32">
        <f>N('Khai báo'!D13)</f>
        <v/>
      </c>
      <c r="E32">
        <f>IF(N('Khai báo'!E13)&gt;0,'Khai báo'!E13,D32/SoNgay)</f>
        <v/>
      </c>
      <c r="F32">
        <f>N('Nhập số'!B5)</f>
        <v/>
      </c>
      <c r="G32">
        <f>N('Nhập số'!C5)</f>
        <v/>
      </c>
      <c r="H32">
        <f>N('Nhập số'!D5)</f>
        <v/>
      </c>
      <c r="I32">
        <f>N('Nhập số'!E5)</f>
        <v/>
      </c>
      <c r="J32">
        <f>N('Nhập số'!F5)</f>
        <v/>
      </c>
      <c r="K32">
        <f>N('Nhập số'!G5)</f>
        <v/>
      </c>
      <c r="Z32">
        <f>IF(B31="","—",B31)</f>
        <v/>
      </c>
    </row>
    <row r="33">
      <c r="A33" t="n">
        <v>3</v>
      </c>
      <c r="B33">
        <f>IF('Khai báo'!B14="","",'Khai báo'!B14)</f>
        <v/>
      </c>
      <c r="C33">
        <f>IF('Khai báo'!C14="","",'Khai báo'!C14)</f>
        <v/>
      </c>
      <c r="D33">
        <f>N('Khai báo'!D14)</f>
        <v/>
      </c>
      <c r="E33">
        <f>IF(N('Khai báo'!E14)&gt;0,'Khai báo'!E14,D33/SoNgay)</f>
        <v/>
      </c>
      <c r="F33">
        <f>N('Nhập số'!B6)</f>
        <v/>
      </c>
      <c r="G33">
        <f>N('Nhập số'!C6)</f>
        <v/>
      </c>
      <c r="H33">
        <f>N('Nhập số'!D6)</f>
        <v/>
      </c>
      <c r="I33">
        <f>N('Nhập số'!E6)</f>
        <v/>
      </c>
      <c r="J33">
        <f>N('Nhập số'!F6)</f>
        <v/>
      </c>
      <c r="K33">
        <f>N('Nhập số'!G6)</f>
        <v/>
      </c>
      <c r="Z33">
        <f>IF(B32="","—",B32)</f>
        <v/>
      </c>
    </row>
    <row r="34">
      <c r="A34" t="n">
        <v>4</v>
      </c>
      <c r="B34">
        <f>IF('Khai báo'!B15="","",'Khai báo'!B15)</f>
        <v/>
      </c>
      <c r="C34">
        <f>IF('Khai báo'!C15="","",'Khai báo'!C15)</f>
        <v/>
      </c>
      <c r="D34">
        <f>N('Khai báo'!D15)</f>
        <v/>
      </c>
      <c r="E34">
        <f>IF(N('Khai báo'!E15)&gt;0,'Khai báo'!E15,D34/SoNgay)</f>
        <v/>
      </c>
      <c r="F34">
        <f>N('Nhập số'!B7)</f>
        <v/>
      </c>
      <c r="G34">
        <f>N('Nhập số'!C7)</f>
        <v/>
      </c>
      <c r="H34">
        <f>N('Nhập số'!D7)</f>
        <v/>
      </c>
      <c r="I34">
        <f>N('Nhập số'!E7)</f>
        <v/>
      </c>
      <c r="J34">
        <f>N('Nhập số'!F7)</f>
        <v/>
      </c>
      <c r="K34">
        <f>N('Nhập số'!G7)</f>
        <v/>
      </c>
      <c r="Z34">
        <f>IF(B33="","—",B33)</f>
        <v/>
      </c>
    </row>
    <row r="35">
      <c r="A35" t="n">
        <v>0</v>
      </c>
      <c r="B35">
        <f>'Khai báo'!B3</f>
        <v/>
      </c>
      <c r="D35">
        <f>SUM(D31:D34)</f>
        <v/>
      </c>
      <c r="E35">
        <f>SUM(E31:E34)</f>
        <v/>
      </c>
      <c r="F35">
        <f>SUM(F31:F34)</f>
        <v/>
      </c>
      <c r="G35">
        <f>SUM(G31:G34)</f>
        <v/>
      </c>
      <c r="H35">
        <f>IFERROR(SUMPRODUCT(H31:H34,G31:G34)/SUM(G31:G34),0)</f>
        <v/>
      </c>
      <c r="I35">
        <f>SUM(I31:I34)</f>
        <v/>
      </c>
      <c r="J35">
        <f>SUM(J31:J34)</f>
        <v/>
      </c>
      <c r="K35">
        <f>IFERROR(SUMPRODUCT(K31:K34,J31:J34)/SUM(J31:J34),0)</f>
        <v/>
      </c>
      <c r="Z35">
        <f>IF(B34="","—",B34)</f>
        <v/>
      </c>
    </row>
    <row r="38">
      <c r="A38" s="58" t="inlineStr">
        <is>
          <t>#</t>
        </is>
      </c>
      <c r="B38" s="58" t="inlineStr">
        <is>
          <t>Mã</t>
        </is>
      </c>
      <c r="C38" s="58" t="inlineStr">
        <is>
          <t>Họ tên</t>
        </is>
      </c>
      <c r="D38" s="58" t="inlineStr">
        <is>
          <t>Shop</t>
        </is>
      </c>
      <c r="E38" s="58" t="inlineStr">
        <is>
          <t>% PB</t>
        </is>
      </c>
      <c r="F38" s="58" t="inlineStr">
        <is>
          <t>Tên gọn</t>
        </is>
      </c>
      <c r="G38" s="58" t="inlineStr">
        <is>
          <t>Tổng % shop</t>
        </is>
      </c>
      <c r="H38" s="58" t="inlineStr">
        <is>
          <t>Số NV chia đều</t>
        </is>
      </c>
      <c r="I38" s="58" t="inlineStr">
        <is>
          <t>Target shop</t>
        </is>
      </c>
      <c r="J38" s="58" t="inlineStr">
        <is>
          <t>Target NV</t>
        </is>
      </c>
      <c r="K38" s="58" t="inlineStr">
        <is>
          <t>DT QĐ LK</t>
        </is>
      </c>
      <c r="L38" s="58" t="inlineStr">
        <is>
          <t>DT hôm nay</t>
        </is>
      </c>
      <c r="M38" s="58" t="inlineStr">
        <is>
          <t>Dự kiến</t>
        </is>
      </c>
      <c r="N38" s="58" t="inlineStr">
        <is>
          <t>% HT</t>
        </is>
      </c>
      <c r="O38" s="58" t="inlineStr">
        <is>
          <t>Tên shop</t>
        </is>
      </c>
      <c r="P38" s="58" t="inlineStr">
        <is>
          <t>Nhóm đạt</t>
        </is>
      </c>
    </row>
    <row r="39">
      <c r="A39" t="n">
        <v>1</v>
      </c>
      <c r="B39">
        <f>IF('Khai báo'!A46="","",TRIM('Khai báo'!A46&amp;""))</f>
        <v/>
      </c>
      <c r="C39">
        <f>IF(B39="","",'Khai báo'!B46&amp;"")</f>
        <v/>
      </c>
      <c r="D39">
        <f>IF(B39="",0,IF(AND(N('Khai báo'!C46)&gt;=1,N('Khai báo'!C46)&lt;=4),N('Khai báo'!C46),IFERROR(--('Khai báo'!C46),1)))</f>
        <v/>
      </c>
      <c r="E39">
        <f>IF(B39="",0,N('Khai báo'!D46))</f>
        <v/>
      </c>
      <c r="F39">
        <f>IF(C39="","",TRIM(RIGHT(SUBSTITUTE(TRIM(C39)," ",REPT(" ",60)),60)))</f>
        <v/>
      </c>
      <c r="G39">
        <f>IF(B39="",0,SUMIFS($E$39:$E$83,$D$39:$D$83,D39))</f>
        <v/>
      </c>
      <c r="H39">
        <f>IF(B39="",0,COUNTIFS($D$39:$D$83,D39,$E$39:$E$83,0,$B$39:$B$83,"?*"))</f>
        <v/>
      </c>
      <c r="I39">
        <f>IF(B39="",0,INDEX($D$31:$D$34,D39))</f>
        <v/>
      </c>
      <c r="J39">
        <f>IF(B39="",0,ROUND(IF(E39&gt;0,I39*E39/100,IFERROR((I39-I39*G39/100)/H39,0)),1))</f>
        <v/>
      </c>
      <c r="K39">
        <f>IF(B39="",0,IFERROR(INDEX('Dán DT nhân viên'!$N$1:$N$1500,MATCH(B39,'Dán DT nhân viên'!$L$1:$L$1500,0)),0))</f>
        <v/>
      </c>
      <c r="L39">
        <f>IF(B39="",0,IFERROR(INDEX('Dán DT NV realtime'!$N$1:$N$1500,MATCH(B39,'Dán DT NV realtime'!$L$1:$L$1500,0)),0))</f>
        <v/>
      </c>
      <c r="M39">
        <f>IF(J39&gt;0,K39/NgayQua*SoNgay/J39,0)</f>
        <v/>
      </c>
      <c r="N39">
        <f>IF(J39&gt;0,K39/J39,0)</f>
        <v/>
      </c>
      <c r="O39">
        <f>IF(B39="","",INDEX($B$31:$B$34,D39))</f>
        <v/>
      </c>
      <c r="P39">
        <f>IF(B39="",0,COUNTIF($C$182:$V$182,"&gt;=0.995"))</f>
        <v/>
      </c>
    </row>
    <row r="40">
      <c r="A40" t="n">
        <v>2</v>
      </c>
      <c r="B40">
        <f>IF('Khai báo'!A47="","",TRIM('Khai báo'!A47&amp;""))</f>
        <v/>
      </c>
      <c r="C40">
        <f>IF(B40="","",'Khai báo'!B47&amp;"")</f>
        <v/>
      </c>
      <c r="D40">
        <f>IF(B40="",0,IF(AND(N('Khai báo'!C47)&gt;=1,N('Khai báo'!C47)&lt;=4),N('Khai báo'!C47),IFERROR(--('Khai báo'!C47),1)))</f>
        <v/>
      </c>
      <c r="E40">
        <f>IF(B40="",0,N('Khai báo'!D47))</f>
        <v/>
      </c>
      <c r="F40">
        <f>IF(C40="","",TRIM(RIGHT(SUBSTITUTE(TRIM(C40)," ",REPT(" ",60)),60)))</f>
        <v/>
      </c>
      <c r="G40">
        <f>IF(B40="",0,SUMIFS($E$39:$E$83,$D$39:$D$83,D40))</f>
        <v/>
      </c>
      <c r="H40">
        <f>IF(B40="",0,COUNTIFS($D$39:$D$83,D40,$E$39:$E$83,0,$B$39:$B$83,"?*"))</f>
        <v/>
      </c>
      <c r="I40">
        <f>IF(B40="",0,INDEX($D$31:$D$34,D40))</f>
        <v/>
      </c>
      <c r="J40">
        <f>IF(B40="",0,ROUND(IF(E40&gt;0,I40*E40/100,IFERROR((I40-I40*G40/100)/H40,0)),1))</f>
        <v/>
      </c>
      <c r="K40">
        <f>IF(B40="",0,IFERROR(INDEX('Dán DT nhân viên'!$N$1:$N$1500,MATCH(B40,'Dán DT nhân viên'!$L$1:$L$1500,0)),0))</f>
        <v/>
      </c>
      <c r="L40">
        <f>IF(B40="",0,IFERROR(INDEX('Dán DT NV realtime'!$N$1:$N$1500,MATCH(B40,'Dán DT NV realtime'!$L$1:$L$1500,0)),0))</f>
        <v/>
      </c>
      <c r="M40">
        <f>IF(J40&gt;0,K40/NgayQua*SoNgay/J40,0)</f>
        <v/>
      </c>
      <c r="N40">
        <f>IF(J40&gt;0,K40/J40,0)</f>
        <v/>
      </c>
      <c r="O40">
        <f>IF(B40="","",INDEX($B$31:$B$34,D40))</f>
        <v/>
      </c>
      <c r="P40">
        <f>IF(B40="",0,COUNTIF($C$183:$V$183,"&gt;=0.995"))</f>
        <v/>
      </c>
    </row>
    <row r="41">
      <c r="A41" t="n">
        <v>3</v>
      </c>
      <c r="B41">
        <f>IF('Khai báo'!A48="","",TRIM('Khai báo'!A48&amp;""))</f>
        <v/>
      </c>
      <c r="C41">
        <f>IF(B41="","",'Khai báo'!B48&amp;"")</f>
        <v/>
      </c>
      <c r="D41">
        <f>IF(B41="",0,IF(AND(N('Khai báo'!C48)&gt;=1,N('Khai báo'!C48)&lt;=4),N('Khai báo'!C48),IFERROR(--('Khai báo'!C48),1)))</f>
        <v/>
      </c>
      <c r="E41">
        <f>IF(B41="",0,N('Khai báo'!D48))</f>
        <v/>
      </c>
      <c r="F41">
        <f>IF(C41="","",TRIM(RIGHT(SUBSTITUTE(TRIM(C41)," ",REPT(" ",60)),60)))</f>
        <v/>
      </c>
      <c r="G41">
        <f>IF(B41="",0,SUMIFS($E$39:$E$83,$D$39:$D$83,D41))</f>
        <v/>
      </c>
      <c r="H41">
        <f>IF(B41="",0,COUNTIFS($D$39:$D$83,D41,$E$39:$E$83,0,$B$39:$B$83,"?*"))</f>
        <v/>
      </c>
      <c r="I41">
        <f>IF(B41="",0,INDEX($D$31:$D$34,D41))</f>
        <v/>
      </c>
      <c r="J41">
        <f>IF(B41="",0,ROUND(IF(E41&gt;0,I41*E41/100,IFERROR((I41-I41*G41/100)/H41,0)),1))</f>
        <v/>
      </c>
      <c r="K41">
        <f>IF(B41="",0,IFERROR(INDEX('Dán DT nhân viên'!$N$1:$N$1500,MATCH(B41,'Dán DT nhân viên'!$L$1:$L$1500,0)),0))</f>
        <v/>
      </c>
      <c r="L41">
        <f>IF(B41="",0,IFERROR(INDEX('Dán DT NV realtime'!$N$1:$N$1500,MATCH(B41,'Dán DT NV realtime'!$L$1:$L$1500,0)),0))</f>
        <v/>
      </c>
      <c r="M41">
        <f>IF(J41&gt;0,K41/NgayQua*SoNgay/J41,0)</f>
        <v/>
      </c>
      <c r="N41">
        <f>IF(J41&gt;0,K41/J41,0)</f>
        <v/>
      </c>
      <c r="O41">
        <f>IF(B41="","",INDEX($B$31:$B$34,D41))</f>
        <v/>
      </c>
      <c r="P41">
        <f>IF(B41="",0,COUNTIF($C$184:$V$184,"&gt;=0.995"))</f>
        <v/>
      </c>
    </row>
    <row r="42">
      <c r="A42" t="n">
        <v>4</v>
      </c>
      <c r="B42">
        <f>IF('Khai báo'!A49="","",TRIM('Khai báo'!A49&amp;""))</f>
        <v/>
      </c>
      <c r="C42">
        <f>IF(B42="","",'Khai báo'!B49&amp;"")</f>
        <v/>
      </c>
      <c r="D42">
        <f>IF(B42="",0,IF(AND(N('Khai báo'!C49)&gt;=1,N('Khai báo'!C49)&lt;=4),N('Khai báo'!C49),IFERROR(--('Khai báo'!C49),1)))</f>
        <v/>
      </c>
      <c r="E42">
        <f>IF(B42="",0,N('Khai báo'!D49))</f>
        <v/>
      </c>
      <c r="F42">
        <f>IF(C42="","",TRIM(RIGHT(SUBSTITUTE(TRIM(C42)," ",REPT(" ",60)),60)))</f>
        <v/>
      </c>
      <c r="G42">
        <f>IF(B42="",0,SUMIFS($E$39:$E$83,$D$39:$D$83,D42))</f>
        <v/>
      </c>
      <c r="H42">
        <f>IF(B42="",0,COUNTIFS($D$39:$D$83,D42,$E$39:$E$83,0,$B$39:$B$83,"?*"))</f>
        <v/>
      </c>
      <c r="I42">
        <f>IF(B42="",0,INDEX($D$31:$D$34,D42))</f>
        <v/>
      </c>
      <c r="J42">
        <f>IF(B42="",0,ROUND(IF(E42&gt;0,I42*E42/100,IFERROR((I42-I42*G42/100)/H42,0)),1))</f>
        <v/>
      </c>
      <c r="K42">
        <f>IF(B42="",0,IFERROR(INDEX('Dán DT nhân viên'!$N$1:$N$1500,MATCH(B42,'Dán DT nhân viên'!$L$1:$L$1500,0)),0))</f>
        <v/>
      </c>
      <c r="L42">
        <f>IF(B42="",0,IFERROR(INDEX('Dán DT NV realtime'!$N$1:$N$1500,MATCH(B42,'Dán DT NV realtime'!$L$1:$L$1500,0)),0))</f>
        <v/>
      </c>
      <c r="M42">
        <f>IF(J42&gt;0,K42/NgayQua*SoNgay/J42,0)</f>
        <v/>
      </c>
      <c r="N42">
        <f>IF(J42&gt;0,K42/J42,0)</f>
        <v/>
      </c>
      <c r="O42">
        <f>IF(B42="","",INDEX($B$31:$B$34,D42))</f>
        <v/>
      </c>
      <c r="P42">
        <f>IF(B42="",0,COUNTIF($C$185:$V$185,"&gt;=0.995"))</f>
        <v/>
      </c>
    </row>
    <row r="43">
      <c r="A43" t="n">
        <v>5</v>
      </c>
      <c r="B43">
        <f>IF('Khai báo'!A50="","",TRIM('Khai báo'!A50&amp;""))</f>
        <v/>
      </c>
      <c r="C43">
        <f>IF(B43="","",'Khai báo'!B50&amp;"")</f>
        <v/>
      </c>
      <c r="D43">
        <f>IF(B43="",0,IF(AND(N('Khai báo'!C50)&gt;=1,N('Khai báo'!C50)&lt;=4),N('Khai báo'!C50),IFERROR(--('Khai báo'!C50),1)))</f>
        <v/>
      </c>
      <c r="E43">
        <f>IF(B43="",0,N('Khai báo'!D50))</f>
        <v/>
      </c>
      <c r="F43">
        <f>IF(C43="","",TRIM(RIGHT(SUBSTITUTE(TRIM(C43)," ",REPT(" ",60)),60)))</f>
        <v/>
      </c>
      <c r="G43">
        <f>IF(B43="",0,SUMIFS($E$39:$E$83,$D$39:$D$83,D43))</f>
        <v/>
      </c>
      <c r="H43">
        <f>IF(B43="",0,COUNTIFS($D$39:$D$83,D43,$E$39:$E$83,0,$B$39:$B$83,"?*"))</f>
        <v/>
      </c>
      <c r="I43">
        <f>IF(B43="",0,INDEX($D$31:$D$34,D43))</f>
        <v/>
      </c>
      <c r="J43">
        <f>IF(B43="",0,ROUND(IF(E43&gt;0,I43*E43/100,IFERROR((I43-I43*G43/100)/H43,0)),1))</f>
        <v/>
      </c>
      <c r="K43">
        <f>IF(B43="",0,IFERROR(INDEX('Dán DT nhân viên'!$N$1:$N$1500,MATCH(B43,'Dán DT nhân viên'!$L$1:$L$1500,0)),0))</f>
        <v/>
      </c>
      <c r="L43">
        <f>IF(B43="",0,IFERROR(INDEX('Dán DT NV realtime'!$N$1:$N$1500,MATCH(B43,'Dán DT NV realtime'!$L$1:$L$1500,0)),0))</f>
        <v/>
      </c>
      <c r="M43">
        <f>IF(J43&gt;0,K43/NgayQua*SoNgay/J43,0)</f>
        <v/>
      </c>
      <c r="N43">
        <f>IF(J43&gt;0,K43/J43,0)</f>
        <v/>
      </c>
      <c r="O43">
        <f>IF(B43="","",INDEX($B$31:$B$34,D43))</f>
        <v/>
      </c>
      <c r="P43">
        <f>IF(B43="",0,COUNTIF($C$186:$V$186,"&gt;=0.995"))</f>
        <v/>
      </c>
    </row>
    <row r="44">
      <c r="A44" t="n">
        <v>6</v>
      </c>
      <c r="B44">
        <f>IF('Khai báo'!A51="","",TRIM('Khai báo'!A51&amp;""))</f>
        <v/>
      </c>
      <c r="C44">
        <f>IF(B44="","",'Khai báo'!B51&amp;"")</f>
        <v/>
      </c>
      <c r="D44">
        <f>IF(B44="",0,IF(AND(N('Khai báo'!C51)&gt;=1,N('Khai báo'!C51)&lt;=4),N('Khai báo'!C51),IFERROR(--('Khai báo'!C51),1)))</f>
        <v/>
      </c>
      <c r="E44">
        <f>IF(B44="",0,N('Khai báo'!D51))</f>
        <v/>
      </c>
      <c r="F44">
        <f>IF(C44="","",TRIM(RIGHT(SUBSTITUTE(TRIM(C44)," ",REPT(" ",60)),60)))</f>
        <v/>
      </c>
      <c r="G44">
        <f>IF(B44="",0,SUMIFS($E$39:$E$83,$D$39:$D$83,D44))</f>
        <v/>
      </c>
      <c r="H44">
        <f>IF(B44="",0,COUNTIFS($D$39:$D$83,D44,$E$39:$E$83,0,$B$39:$B$83,"?*"))</f>
        <v/>
      </c>
      <c r="I44">
        <f>IF(B44="",0,INDEX($D$31:$D$34,D44))</f>
        <v/>
      </c>
      <c r="J44">
        <f>IF(B44="",0,ROUND(IF(E44&gt;0,I44*E44/100,IFERROR((I44-I44*G44/100)/H44,0)),1))</f>
        <v/>
      </c>
      <c r="K44">
        <f>IF(B44="",0,IFERROR(INDEX('Dán DT nhân viên'!$N$1:$N$1500,MATCH(B44,'Dán DT nhân viên'!$L$1:$L$1500,0)),0))</f>
        <v/>
      </c>
      <c r="L44">
        <f>IF(B44="",0,IFERROR(INDEX('Dán DT NV realtime'!$N$1:$N$1500,MATCH(B44,'Dán DT NV realtime'!$L$1:$L$1500,0)),0))</f>
        <v/>
      </c>
      <c r="M44">
        <f>IF(J44&gt;0,K44/NgayQua*SoNgay/J44,0)</f>
        <v/>
      </c>
      <c r="N44">
        <f>IF(J44&gt;0,K44/J44,0)</f>
        <v/>
      </c>
      <c r="O44">
        <f>IF(B44="","",INDEX($B$31:$B$34,D44))</f>
        <v/>
      </c>
      <c r="P44">
        <f>IF(B44="",0,COUNTIF($C$187:$V$187,"&gt;=0.995"))</f>
        <v/>
      </c>
    </row>
    <row r="45">
      <c r="A45" t="n">
        <v>7</v>
      </c>
      <c r="B45">
        <f>IF('Khai báo'!A52="","",TRIM('Khai báo'!A52&amp;""))</f>
        <v/>
      </c>
      <c r="C45">
        <f>IF(B45="","",'Khai báo'!B52&amp;"")</f>
        <v/>
      </c>
      <c r="D45">
        <f>IF(B45="",0,IF(AND(N('Khai báo'!C52)&gt;=1,N('Khai báo'!C52)&lt;=4),N('Khai báo'!C52),IFERROR(--('Khai báo'!C52),1)))</f>
        <v/>
      </c>
      <c r="E45">
        <f>IF(B45="",0,N('Khai báo'!D52))</f>
        <v/>
      </c>
      <c r="F45">
        <f>IF(C45="","",TRIM(RIGHT(SUBSTITUTE(TRIM(C45)," ",REPT(" ",60)),60)))</f>
        <v/>
      </c>
      <c r="G45">
        <f>IF(B45="",0,SUMIFS($E$39:$E$83,$D$39:$D$83,D45))</f>
        <v/>
      </c>
      <c r="H45">
        <f>IF(B45="",0,COUNTIFS($D$39:$D$83,D45,$E$39:$E$83,0,$B$39:$B$83,"?*"))</f>
        <v/>
      </c>
      <c r="I45">
        <f>IF(B45="",0,INDEX($D$31:$D$34,D45))</f>
        <v/>
      </c>
      <c r="J45">
        <f>IF(B45="",0,ROUND(IF(E45&gt;0,I45*E45/100,IFERROR((I45-I45*G45/100)/H45,0)),1))</f>
        <v/>
      </c>
      <c r="K45">
        <f>IF(B45="",0,IFERROR(INDEX('Dán DT nhân viên'!$N$1:$N$1500,MATCH(B45,'Dán DT nhân viên'!$L$1:$L$1500,0)),0))</f>
        <v/>
      </c>
      <c r="L45">
        <f>IF(B45="",0,IFERROR(INDEX('Dán DT NV realtime'!$N$1:$N$1500,MATCH(B45,'Dán DT NV realtime'!$L$1:$L$1500,0)),0))</f>
        <v/>
      </c>
      <c r="M45">
        <f>IF(J45&gt;0,K45/NgayQua*SoNgay/J45,0)</f>
        <v/>
      </c>
      <c r="N45">
        <f>IF(J45&gt;0,K45/J45,0)</f>
        <v/>
      </c>
      <c r="O45">
        <f>IF(B45="","",INDEX($B$31:$B$34,D45))</f>
        <v/>
      </c>
      <c r="P45">
        <f>IF(B45="",0,COUNTIF($C$188:$V$188,"&gt;=0.995"))</f>
        <v/>
      </c>
    </row>
    <row r="46">
      <c r="A46" t="n">
        <v>8</v>
      </c>
      <c r="B46">
        <f>IF('Khai báo'!A53="","",TRIM('Khai báo'!A53&amp;""))</f>
        <v/>
      </c>
      <c r="C46">
        <f>IF(B46="","",'Khai báo'!B53&amp;"")</f>
        <v/>
      </c>
      <c r="D46">
        <f>IF(B46="",0,IF(AND(N('Khai báo'!C53)&gt;=1,N('Khai báo'!C53)&lt;=4),N('Khai báo'!C53),IFERROR(--('Khai báo'!C53),1)))</f>
        <v/>
      </c>
      <c r="E46">
        <f>IF(B46="",0,N('Khai báo'!D53))</f>
        <v/>
      </c>
      <c r="F46">
        <f>IF(C46="","",TRIM(RIGHT(SUBSTITUTE(TRIM(C46)," ",REPT(" ",60)),60)))</f>
        <v/>
      </c>
      <c r="G46">
        <f>IF(B46="",0,SUMIFS($E$39:$E$83,$D$39:$D$83,D46))</f>
        <v/>
      </c>
      <c r="H46">
        <f>IF(B46="",0,COUNTIFS($D$39:$D$83,D46,$E$39:$E$83,0,$B$39:$B$83,"?*"))</f>
        <v/>
      </c>
      <c r="I46">
        <f>IF(B46="",0,INDEX($D$31:$D$34,D46))</f>
        <v/>
      </c>
      <c r="J46">
        <f>IF(B46="",0,ROUND(IF(E46&gt;0,I46*E46/100,IFERROR((I46-I46*G46/100)/H46,0)),1))</f>
        <v/>
      </c>
      <c r="K46">
        <f>IF(B46="",0,IFERROR(INDEX('Dán DT nhân viên'!$N$1:$N$1500,MATCH(B46,'Dán DT nhân viên'!$L$1:$L$1500,0)),0))</f>
        <v/>
      </c>
      <c r="L46">
        <f>IF(B46="",0,IFERROR(INDEX('Dán DT NV realtime'!$N$1:$N$1500,MATCH(B46,'Dán DT NV realtime'!$L$1:$L$1500,0)),0))</f>
        <v/>
      </c>
      <c r="M46">
        <f>IF(J46&gt;0,K46/NgayQua*SoNgay/J46,0)</f>
        <v/>
      </c>
      <c r="N46">
        <f>IF(J46&gt;0,K46/J46,0)</f>
        <v/>
      </c>
      <c r="O46">
        <f>IF(B46="","",INDEX($B$31:$B$34,D46))</f>
        <v/>
      </c>
      <c r="P46">
        <f>IF(B46="",0,COUNTIF($C$189:$V$189,"&gt;=0.995"))</f>
        <v/>
      </c>
    </row>
    <row r="47">
      <c r="A47" t="n">
        <v>9</v>
      </c>
      <c r="B47">
        <f>IF('Khai báo'!A54="","",TRIM('Khai báo'!A54&amp;""))</f>
        <v/>
      </c>
      <c r="C47">
        <f>IF(B47="","",'Khai báo'!B54&amp;"")</f>
        <v/>
      </c>
      <c r="D47">
        <f>IF(B47="",0,IF(AND(N('Khai báo'!C54)&gt;=1,N('Khai báo'!C54)&lt;=4),N('Khai báo'!C54),IFERROR(--('Khai báo'!C54),1)))</f>
        <v/>
      </c>
      <c r="E47">
        <f>IF(B47="",0,N('Khai báo'!D54))</f>
        <v/>
      </c>
      <c r="F47">
        <f>IF(C47="","",TRIM(RIGHT(SUBSTITUTE(TRIM(C47)," ",REPT(" ",60)),60)))</f>
        <v/>
      </c>
      <c r="G47">
        <f>IF(B47="",0,SUMIFS($E$39:$E$83,$D$39:$D$83,D47))</f>
        <v/>
      </c>
      <c r="H47">
        <f>IF(B47="",0,COUNTIFS($D$39:$D$83,D47,$E$39:$E$83,0,$B$39:$B$83,"?*"))</f>
        <v/>
      </c>
      <c r="I47">
        <f>IF(B47="",0,INDEX($D$31:$D$34,D47))</f>
        <v/>
      </c>
      <c r="J47">
        <f>IF(B47="",0,ROUND(IF(E47&gt;0,I47*E47/100,IFERROR((I47-I47*G47/100)/H47,0)),1))</f>
        <v/>
      </c>
      <c r="K47">
        <f>IF(B47="",0,IFERROR(INDEX('Dán DT nhân viên'!$N$1:$N$1500,MATCH(B47,'Dán DT nhân viên'!$L$1:$L$1500,0)),0))</f>
        <v/>
      </c>
      <c r="L47">
        <f>IF(B47="",0,IFERROR(INDEX('Dán DT NV realtime'!$N$1:$N$1500,MATCH(B47,'Dán DT NV realtime'!$L$1:$L$1500,0)),0))</f>
        <v/>
      </c>
      <c r="M47">
        <f>IF(J47&gt;0,K47/NgayQua*SoNgay/J47,0)</f>
        <v/>
      </c>
      <c r="N47">
        <f>IF(J47&gt;0,K47/J47,0)</f>
        <v/>
      </c>
      <c r="O47">
        <f>IF(B47="","",INDEX($B$31:$B$34,D47))</f>
        <v/>
      </c>
      <c r="P47">
        <f>IF(B47="",0,COUNTIF($C$190:$V$190,"&gt;=0.995"))</f>
        <v/>
      </c>
    </row>
    <row r="48">
      <c r="A48" t="n">
        <v>10</v>
      </c>
      <c r="B48">
        <f>IF('Khai báo'!A55="","",TRIM('Khai báo'!A55&amp;""))</f>
        <v/>
      </c>
      <c r="C48">
        <f>IF(B48="","",'Khai báo'!B55&amp;"")</f>
        <v/>
      </c>
      <c r="D48">
        <f>IF(B48="",0,IF(AND(N('Khai báo'!C55)&gt;=1,N('Khai báo'!C55)&lt;=4),N('Khai báo'!C55),IFERROR(--('Khai báo'!C55),1)))</f>
        <v/>
      </c>
      <c r="E48">
        <f>IF(B48="",0,N('Khai báo'!D55))</f>
        <v/>
      </c>
      <c r="F48">
        <f>IF(C48="","",TRIM(RIGHT(SUBSTITUTE(TRIM(C48)," ",REPT(" ",60)),60)))</f>
        <v/>
      </c>
      <c r="G48">
        <f>IF(B48="",0,SUMIFS($E$39:$E$83,$D$39:$D$83,D48))</f>
        <v/>
      </c>
      <c r="H48">
        <f>IF(B48="",0,COUNTIFS($D$39:$D$83,D48,$E$39:$E$83,0,$B$39:$B$83,"?*"))</f>
        <v/>
      </c>
      <c r="I48">
        <f>IF(B48="",0,INDEX($D$31:$D$34,D48))</f>
        <v/>
      </c>
      <c r="J48">
        <f>IF(B48="",0,ROUND(IF(E48&gt;0,I48*E48/100,IFERROR((I48-I48*G48/100)/H48,0)),1))</f>
        <v/>
      </c>
      <c r="K48">
        <f>IF(B48="",0,IFERROR(INDEX('Dán DT nhân viên'!$N$1:$N$1500,MATCH(B48,'Dán DT nhân viên'!$L$1:$L$1500,0)),0))</f>
        <v/>
      </c>
      <c r="L48">
        <f>IF(B48="",0,IFERROR(INDEX('Dán DT NV realtime'!$N$1:$N$1500,MATCH(B48,'Dán DT NV realtime'!$L$1:$L$1500,0)),0))</f>
        <v/>
      </c>
      <c r="M48">
        <f>IF(J48&gt;0,K48/NgayQua*SoNgay/J48,0)</f>
        <v/>
      </c>
      <c r="N48">
        <f>IF(J48&gt;0,K48/J48,0)</f>
        <v/>
      </c>
      <c r="O48">
        <f>IF(B48="","",INDEX($B$31:$B$34,D48))</f>
        <v/>
      </c>
      <c r="P48">
        <f>IF(B48="",0,COUNTIF($C$191:$V$191,"&gt;=0.995"))</f>
        <v/>
      </c>
    </row>
    <row r="49">
      <c r="A49" t="n">
        <v>11</v>
      </c>
      <c r="B49">
        <f>IF('Khai báo'!A56="","",TRIM('Khai báo'!A56&amp;""))</f>
        <v/>
      </c>
      <c r="C49">
        <f>IF(B49="","",'Khai báo'!B56&amp;"")</f>
        <v/>
      </c>
      <c r="D49">
        <f>IF(B49="",0,IF(AND(N('Khai báo'!C56)&gt;=1,N('Khai báo'!C56)&lt;=4),N('Khai báo'!C56),IFERROR(--('Khai báo'!C56),1)))</f>
        <v/>
      </c>
      <c r="E49">
        <f>IF(B49="",0,N('Khai báo'!D56))</f>
        <v/>
      </c>
      <c r="F49">
        <f>IF(C49="","",TRIM(RIGHT(SUBSTITUTE(TRIM(C49)," ",REPT(" ",60)),60)))</f>
        <v/>
      </c>
      <c r="G49">
        <f>IF(B49="",0,SUMIFS($E$39:$E$83,$D$39:$D$83,D49))</f>
        <v/>
      </c>
      <c r="H49">
        <f>IF(B49="",0,COUNTIFS($D$39:$D$83,D49,$E$39:$E$83,0,$B$39:$B$83,"?*"))</f>
        <v/>
      </c>
      <c r="I49">
        <f>IF(B49="",0,INDEX($D$31:$D$34,D49))</f>
        <v/>
      </c>
      <c r="J49">
        <f>IF(B49="",0,ROUND(IF(E49&gt;0,I49*E49/100,IFERROR((I49-I49*G49/100)/H49,0)),1))</f>
        <v/>
      </c>
      <c r="K49">
        <f>IF(B49="",0,IFERROR(INDEX('Dán DT nhân viên'!$N$1:$N$1500,MATCH(B49,'Dán DT nhân viên'!$L$1:$L$1500,0)),0))</f>
        <v/>
      </c>
      <c r="L49">
        <f>IF(B49="",0,IFERROR(INDEX('Dán DT NV realtime'!$N$1:$N$1500,MATCH(B49,'Dán DT NV realtime'!$L$1:$L$1500,0)),0))</f>
        <v/>
      </c>
      <c r="M49">
        <f>IF(J49&gt;0,K49/NgayQua*SoNgay/J49,0)</f>
        <v/>
      </c>
      <c r="N49">
        <f>IF(J49&gt;0,K49/J49,0)</f>
        <v/>
      </c>
      <c r="O49">
        <f>IF(B49="","",INDEX($B$31:$B$34,D49))</f>
        <v/>
      </c>
      <c r="P49">
        <f>IF(B49="",0,COUNTIF($C$192:$V$192,"&gt;=0.995"))</f>
        <v/>
      </c>
    </row>
    <row r="50">
      <c r="A50" t="n">
        <v>12</v>
      </c>
      <c r="B50">
        <f>IF('Khai báo'!A57="","",TRIM('Khai báo'!A57&amp;""))</f>
        <v/>
      </c>
      <c r="C50">
        <f>IF(B50="","",'Khai báo'!B57&amp;"")</f>
        <v/>
      </c>
      <c r="D50">
        <f>IF(B50="",0,IF(AND(N('Khai báo'!C57)&gt;=1,N('Khai báo'!C57)&lt;=4),N('Khai báo'!C57),IFERROR(--('Khai báo'!C57),1)))</f>
        <v/>
      </c>
      <c r="E50">
        <f>IF(B50="",0,N('Khai báo'!D57))</f>
        <v/>
      </c>
      <c r="F50">
        <f>IF(C50="","",TRIM(RIGHT(SUBSTITUTE(TRIM(C50)," ",REPT(" ",60)),60)))</f>
        <v/>
      </c>
      <c r="G50">
        <f>IF(B50="",0,SUMIFS($E$39:$E$83,$D$39:$D$83,D50))</f>
        <v/>
      </c>
      <c r="H50">
        <f>IF(B50="",0,COUNTIFS($D$39:$D$83,D50,$E$39:$E$83,0,$B$39:$B$83,"?*"))</f>
        <v/>
      </c>
      <c r="I50">
        <f>IF(B50="",0,INDEX($D$31:$D$34,D50))</f>
        <v/>
      </c>
      <c r="J50">
        <f>IF(B50="",0,ROUND(IF(E50&gt;0,I50*E50/100,IFERROR((I50-I50*G50/100)/H50,0)),1))</f>
        <v/>
      </c>
      <c r="K50">
        <f>IF(B50="",0,IFERROR(INDEX('Dán DT nhân viên'!$N$1:$N$1500,MATCH(B50,'Dán DT nhân viên'!$L$1:$L$1500,0)),0))</f>
        <v/>
      </c>
      <c r="L50">
        <f>IF(B50="",0,IFERROR(INDEX('Dán DT NV realtime'!$N$1:$N$1500,MATCH(B50,'Dán DT NV realtime'!$L$1:$L$1500,0)),0))</f>
        <v/>
      </c>
      <c r="M50">
        <f>IF(J50&gt;0,K50/NgayQua*SoNgay/J50,0)</f>
        <v/>
      </c>
      <c r="N50">
        <f>IF(J50&gt;0,K50/J50,0)</f>
        <v/>
      </c>
      <c r="O50">
        <f>IF(B50="","",INDEX($B$31:$B$34,D50))</f>
        <v/>
      </c>
      <c r="P50">
        <f>IF(B50="",0,COUNTIF($C$193:$V$193,"&gt;=0.995"))</f>
        <v/>
      </c>
    </row>
    <row r="51">
      <c r="A51" t="n">
        <v>13</v>
      </c>
      <c r="B51">
        <f>IF('Khai báo'!A58="","",TRIM('Khai báo'!A58&amp;""))</f>
        <v/>
      </c>
      <c r="C51">
        <f>IF(B51="","",'Khai báo'!B58&amp;"")</f>
        <v/>
      </c>
      <c r="D51">
        <f>IF(B51="",0,IF(AND(N('Khai báo'!C58)&gt;=1,N('Khai báo'!C58)&lt;=4),N('Khai báo'!C58),IFERROR(--('Khai báo'!C58),1)))</f>
        <v/>
      </c>
      <c r="E51">
        <f>IF(B51="",0,N('Khai báo'!D58))</f>
        <v/>
      </c>
      <c r="F51">
        <f>IF(C51="","",TRIM(RIGHT(SUBSTITUTE(TRIM(C51)," ",REPT(" ",60)),60)))</f>
        <v/>
      </c>
      <c r="G51">
        <f>IF(B51="",0,SUMIFS($E$39:$E$83,$D$39:$D$83,D51))</f>
        <v/>
      </c>
      <c r="H51">
        <f>IF(B51="",0,COUNTIFS($D$39:$D$83,D51,$E$39:$E$83,0,$B$39:$B$83,"?*"))</f>
        <v/>
      </c>
      <c r="I51">
        <f>IF(B51="",0,INDEX($D$31:$D$34,D51))</f>
        <v/>
      </c>
      <c r="J51">
        <f>IF(B51="",0,ROUND(IF(E51&gt;0,I51*E51/100,IFERROR((I51-I51*G51/100)/H51,0)),1))</f>
        <v/>
      </c>
      <c r="K51">
        <f>IF(B51="",0,IFERROR(INDEX('Dán DT nhân viên'!$N$1:$N$1500,MATCH(B51,'Dán DT nhân viên'!$L$1:$L$1500,0)),0))</f>
        <v/>
      </c>
      <c r="L51">
        <f>IF(B51="",0,IFERROR(INDEX('Dán DT NV realtime'!$N$1:$N$1500,MATCH(B51,'Dán DT NV realtime'!$L$1:$L$1500,0)),0))</f>
        <v/>
      </c>
      <c r="M51">
        <f>IF(J51&gt;0,K51/NgayQua*SoNgay/J51,0)</f>
        <v/>
      </c>
      <c r="N51">
        <f>IF(J51&gt;0,K51/J51,0)</f>
        <v/>
      </c>
      <c r="O51">
        <f>IF(B51="","",INDEX($B$31:$B$34,D51))</f>
        <v/>
      </c>
      <c r="P51">
        <f>IF(B51="",0,COUNTIF($C$194:$V$194,"&gt;=0.995"))</f>
        <v/>
      </c>
    </row>
    <row r="52">
      <c r="A52" t="n">
        <v>14</v>
      </c>
      <c r="B52">
        <f>IF('Khai báo'!A59="","",TRIM('Khai báo'!A59&amp;""))</f>
        <v/>
      </c>
      <c r="C52">
        <f>IF(B52="","",'Khai báo'!B59&amp;"")</f>
        <v/>
      </c>
      <c r="D52">
        <f>IF(B52="",0,IF(AND(N('Khai báo'!C59)&gt;=1,N('Khai báo'!C59)&lt;=4),N('Khai báo'!C59),IFERROR(--('Khai báo'!C59),1)))</f>
        <v/>
      </c>
      <c r="E52">
        <f>IF(B52="",0,N('Khai báo'!D59))</f>
        <v/>
      </c>
      <c r="F52">
        <f>IF(C52="","",TRIM(RIGHT(SUBSTITUTE(TRIM(C52)," ",REPT(" ",60)),60)))</f>
        <v/>
      </c>
      <c r="G52">
        <f>IF(B52="",0,SUMIFS($E$39:$E$83,$D$39:$D$83,D52))</f>
        <v/>
      </c>
      <c r="H52">
        <f>IF(B52="",0,COUNTIFS($D$39:$D$83,D52,$E$39:$E$83,0,$B$39:$B$83,"?*"))</f>
        <v/>
      </c>
      <c r="I52">
        <f>IF(B52="",0,INDEX($D$31:$D$34,D52))</f>
        <v/>
      </c>
      <c r="J52">
        <f>IF(B52="",0,ROUND(IF(E52&gt;0,I52*E52/100,IFERROR((I52-I52*G52/100)/H52,0)),1))</f>
        <v/>
      </c>
      <c r="K52">
        <f>IF(B52="",0,IFERROR(INDEX('Dán DT nhân viên'!$N$1:$N$1500,MATCH(B52,'Dán DT nhân viên'!$L$1:$L$1500,0)),0))</f>
        <v/>
      </c>
      <c r="L52">
        <f>IF(B52="",0,IFERROR(INDEX('Dán DT NV realtime'!$N$1:$N$1500,MATCH(B52,'Dán DT NV realtime'!$L$1:$L$1500,0)),0))</f>
        <v/>
      </c>
      <c r="M52">
        <f>IF(J52&gt;0,K52/NgayQua*SoNgay/J52,0)</f>
        <v/>
      </c>
      <c r="N52">
        <f>IF(J52&gt;0,K52/J52,0)</f>
        <v/>
      </c>
      <c r="O52">
        <f>IF(B52="","",INDEX($B$31:$B$34,D52))</f>
        <v/>
      </c>
      <c r="P52">
        <f>IF(B52="",0,COUNTIF($C$195:$V$195,"&gt;=0.995"))</f>
        <v/>
      </c>
    </row>
    <row r="53">
      <c r="A53" t="n">
        <v>15</v>
      </c>
      <c r="B53">
        <f>IF('Khai báo'!A60="","",TRIM('Khai báo'!A60&amp;""))</f>
        <v/>
      </c>
      <c r="C53">
        <f>IF(B53="","",'Khai báo'!B60&amp;"")</f>
        <v/>
      </c>
      <c r="D53">
        <f>IF(B53="",0,IF(AND(N('Khai báo'!C60)&gt;=1,N('Khai báo'!C60)&lt;=4),N('Khai báo'!C60),IFERROR(--('Khai báo'!C60),1)))</f>
        <v/>
      </c>
      <c r="E53">
        <f>IF(B53="",0,N('Khai báo'!D60))</f>
        <v/>
      </c>
      <c r="F53">
        <f>IF(C53="","",TRIM(RIGHT(SUBSTITUTE(TRIM(C53)," ",REPT(" ",60)),60)))</f>
        <v/>
      </c>
      <c r="G53">
        <f>IF(B53="",0,SUMIFS($E$39:$E$83,$D$39:$D$83,D53))</f>
        <v/>
      </c>
      <c r="H53">
        <f>IF(B53="",0,COUNTIFS($D$39:$D$83,D53,$E$39:$E$83,0,$B$39:$B$83,"?*"))</f>
        <v/>
      </c>
      <c r="I53">
        <f>IF(B53="",0,INDEX($D$31:$D$34,D53))</f>
        <v/>
      </c>
      <c r="J53">
        <f>IF(B53="",0,ROUND(IF(E53&gt;0,I53*E53/100,IFERROR((I53-I53*G53/100)/H53,0)),1))</f>
        <v/>
      </c>
      <c r="K53">
        <f>IF(B53="",0,IFERROR(INDEX('Dán DT nhân viên'!$N$1:$N$1500,MATCH(B53,'Dán DT nhân viên'!$L$1:$L$1500,0)),0))</f>
        <v/>
      </c>
      <c r="L53">
        <f>IF(B53="",0,IFERROR(INDEX('Dán DT NV realtime'!$N$1:$N$1500,MATCH(B53,'Dán DT NV realtime'!$L$1:$L$1500,0)),0))</f>
        <v/>
      </c>
      <c r="M53">
        <f>IF(J53&gt;0,K53/NgayQua*SoNgay/J53,0)</f>
        <v/>
      </c>
      <c r="N53">
        <f>IF(J53&gt;0,K53/J53,0)</f>
        <v/>
      </c>
      <c r="O53">
        <f>IF(B53="","",INDEX($B$31:$B$34,D53))</f>
        <v/>
      </c>
      <c r="P53">
        <f>IF(B53="",0,COUNTIF($C$196:$V$196,"&gt;=0.995"))</f>
        <v/>
      </c>
    </row>
    <row r="54">
      <c r="A54" t="n">
        <v>16</v>
      </c>
      <c r="B54">
        <f>IF('Khai báo'!A61="","",TRIM('Khai báo'!A61&amp;""))</f>
        <v/>
      </c>
      <c r="C54">
        <f>IF(B54="","",'Khai báo'!B61&amp;"")</f>
        <v/>
      </c>
      <c r="D54">
        <f>IF(B54="",0,IF(AND(N('Khai báo'!C61)&gt;=1,N('Khai báo'!C61)&lt;=4),N('Khai báo'!C61),IFERROR(--('Khai báo'!C61),1)))</f>
        <v/>
      </c>
      <c r="E54">
        <f>IF(B54="",0,N('Khai báo'!D61))</f>
        <v/>
      </c>
      <c r="F54">
        <f>IF(C54="","",TRIM(RIGHT(SUBSTITUTE(TRIM(C54)," ",REPT(" ",60)),60)))</f>
        <v/>
      </c>
      <c r="G54">
        <f>IF(B54="",0,SUMIFS($E$39:$E$83,$D$39:$D$83,D54))</f>
        <v/>
      </c>
      <c r="H54">
        <f>IF(B54="",0,COUNTIFS($D$39:$D$83,D54,$E$39:$E$83,0,$B$39:$B$83,"?*"))</f>
        <v/>
      </c>
      <c r="I54">
        <f>IF(B54="",0,INDEX($D$31:$D$34,D54))</f>
        <v/>
      </c>
      <c r="J54">
        <f>IF(B54="",0,ROUND(IF(E54&gt;0,I54*E54/100,IFERROR((I54-I54*G54/100)/H54,0)),1))</f>
        <v/>
      </c>
      <c r="K54">
        <f>IF(B54="",0,IFERROR(INDEX('Dán DT nhân viên'!$N$1:$N$1500,MATCH(B54,'Dán DT nhân viên'!$L$1:$L$1500,0)),0))</f>
        <v/>
      </c>
      <c r="L54">
        <f>IF(B54="",0,IFERROR(INDEX('Dán DT NV realtime'!$N$1:$N$1500,MATCH(B54,'Dán DT NV realtime'!$L$1:$L$1500,0)),0))</f>
        <v/>
      </c>
      <c r="M54">
        <f>IF(J54&gt;0,K54/NgayQua*SoNgay/J54,0)</f>
        <v/>
      </c>
      <c r="N54">
        <f>IF(J54&gt;0,K54/J54,0)</f>
        <v/>
      </c>
      <c r="O54">
        <f>IF(B54="","",INDEX($B$31:$B$34,D54))</f>
        <v/>
      </c>
      <c r="P54">
        <f>IF(B54="",0,COUNTIF($C$197:$V$197,"&gt;=0.995"))</f>
        <v/>
      </c>
    </row>
    <row r="55">
      <c r="A55" t="n">
        <v>17</v>
      </c>
      <c r="B55">
        <f>IF('Khai báo'!A62="","",TRIM('Khai báo'!A62&amp;""))</f>
        <v/>
      </c>
      <c r="C55">
        <f>IF(B55="","",'Khai báo'!B62&amp;"")</f>
        <v/>
      </c>
      <c r="D55">
        <f>IF(B55="",0,IF(AND(N('Khai báo'!C62)&gt;=1,N('Khai báo'!C62)&lt;=4),N('Khai báo'!C62),IFERROR(--('Khai báo'!C62),1)))</f>
        <v/>
      </c>
      <c r="E55">
        <f>IF(B55="",0,N('Khai báo'!D62))</f>
        <v/>
      </c>
      <c r="F55">
        <f>IF(C55="","",TRIM(RIGHT(SUBSTITUTE(TRIM(C55)," ",REPT(" ",60)),60)))</f>
        <v/>
      </c>
      <c r="G55">
        <f>IF(B55="",0,SUMIFS($E$39:$E$83,$D$39:$D$83,D55))</f>
        <v/>
      </c>
      <c r="H55">
        <f>IF(B55="",0,COUNTIFS($D$39:$D$83,D55,$E$39:$E$83,0,$B$39:$B$83,"?*"))</f>
        <v/>
      </c>
      <c r="I55">
        <f>IF(B55="",0,INDEX($D$31:$D$34,D55))</f>
        <v/>
      </c>
      <c r="J55">
        <f>IF(B55="",0,ROUND(IF(E55&gt;0,I55*E55/100,IFERROR((I55-I55*G55/100)/H55,0)),1))</f>
        <v/>
      </c>
      <c r="K55">
        <f>IF(B55="",0,IFERROR(INDEX('Dán DT nhân viên'!$N$1:$N$1500,MATCH(B55,'Dán DT nhân viên'!$L$1:$L$1500,0)),0))</f>
        <v/>
      </c>
      <c r="L55">
        <f>IF(B55="",0,IFERROR(INDEX('Dán DT NV realtime'!$N$1:$N$1500,MATCH(B55,'Dán DT NV realtime'!$L$1:$L$1500,0)),0))</f>
        <v/>
      </c>
      <c r="M55">
        <f>IF(J55&gt;0,K55/NgayQua*SoNgay/J55,0)</f>
        <v/>
      </c>
      <c r="N55">
        <f>IF(J55&gt;0,K55/J55,0)</f>
        <v/>
      </c>
      <c r="O55">
        <f>IF(B55="","",INDEX($B$31:$B$34,D55))</f>
        <v/>
      </c>
      <c r="P55">
        <f>IF(B55="",0,COUNTIF($C$198:$V$198,"&gt;=0.995"))</f>
        <v/>
      </c>
    </row>
    <row r="56">
      <c r="A56" t="n">
        <v>18</v>
      </c>
      <c r="B56">
        <f>IF('Khai báo'!A63="","",TRIM('Khai báo'!A63&amp;""))</f>
        <v/>
      </c>
      <c r="C56">
        <f>IF(B56="","",'Khai báo'!B63&amp;"")</f>
        <v/>
      </c>
      <c r="D56">
        <f>IF(B56="",0,IF(AND(N('Khai báo'!C63)&gt;=1,N('Khai báo'!C63)&lt;=4),N('Khai báo'!C63),IFERROR(--('Khai báo'!C63),1)))</f>
        <v/>
      </c>
      <c r="E56">
        <f>IF(B56="",0,N('Khai báo'!D63))</f>
        <v/>
      </c>
      <c r="F56">
        <f>IF(C56="","",TRIM(RIGHT(SUBSTITUTE(TRIM(C56)," ",REPT(" ",60)),60)))</f>
        <v/>
      </c>
      <c r="G56">
        <f>IF(B56="",0,SUMIFS($E$39:$E$83,$D$39:$D$83,D56))</f>
        <v/>
      </c>
      <c r="H56">
        <f>IF(B56="",0,COUNTIFS($D$39:$D$83,D56,$E$39:$E$83,0,$B$39:$B$83,"?*"))</f>
        <v/>
      </c>
      <c r="I56">
        <f>IF(B56="",0,INDEX($D$31:$D$34,D56))</f>
        <v/>
      </c>
      <c r="J56">
        <f>IF(B56="",0,ROUND(IF(E56&gt;0,I56*E56/100,IFERROR((I56-I56*G56/100)/H56,0)),1))</f>
        <v/>
      </c>
      <c r="K56">
        <f>IF(B56="",0,IFERROR(INDEX('Dán DT nhân viên'!$N$1:$N$1500,MATCH(B56,'Dán DT nhân viên'!$L$1:$L$1500,0)),0))</f>
        <v/>
      </c>
      <c r="L56">
        <f>IF(B56="",0,IFERROR(INDEX('Dán DT NV realtime'!$N$1:$N$1500,MATCH(B56,'Dán DT NV realtime'!$L$1:$L$1500,0)),0))</f>
        <v/>
      </c>
      <c r="M56">
        <f>IF(J56&gt;0,K56/NgayQua*SoNgay/J56,0)</f>
        <v/>
      </c>
      <c r="N56">
        <f>IF(J56&gt;0,K56/J56,0)</f>
        <v/>
      </c>
      <c r="O56">
        <f>IF(B56="","",INDEX($B$31:$B$34,D56))</f>
        <v/>
      </c>
      <c r="P56">
        <f>IF(B56="",0,COUNTIF($C$199:$V$199,"&gt;=0.995"))</f>
        <v/>
      </c>
    </row>
    <row r="57">
      <c r="A57" t="n">
        <v>19</v>
      </c>
      <c r="B57">
        <f>IF('Khai báo'!A64="","",TRIM('Khai báo'!A64&amp;""))</f>
        <v/>
      </c>
      <c r="C57">
        <f>IF(B57="","",'Khai báo'!B64&amp;"")</f>
        <v/>
      </c>
      <c r="D57">
        <f>IF(B57="",0,IF(AND(N('Khai báo'!C64)&gt;=1,N('Khai báo'!C64)&lt;=4),N('Khai báo'!C64),IFERROR(--('Khai báo'!C64),1)))</f>
        <v/>
      </c>
      <c r="E57">
        <f>IF(B57="",0,N('Khai báo'!D64))</f>
        <v/>
      </c>
      <c r="F57">
        <f>IF(C57="","",TRIM(RIGHT(SUBSTITUTE(TRIM(C57)," ",REPT(" ",60)),60)))</f>
        <v/>
      </c>
      <c r="G57">
        <f>IF(B57="",0,SUMIFS($E$39:$E$83,$D$39:$D$83,D57))</f>
        <v/>
      </c>
      <c r="H57">
        <f>IF(B57="",0,COUNTIFS($D$39:$D$83,D57,$E$39:$E$83,0,$B$39:$B$83,"?*"))</f>
        <v/>
      </c>
      <c r="I57">
        <f>IF(B57="",0,INDEX($D$31:$D$34,D57))</f>
        <v/>
      </c>
      <c r="J57">
        <f>IF(B57="",0,ROUND(IF(E57&gt;0,I57*E57/100,IFERROR((I57-I57*G57/100)/H57,0)),1))</f>
        <v/>
      </c>
      <c r="K57">
        <f>IF(B57="",0,IFERROR(INDEX('Dán DT nhân viên'!$N$1:$N$1500,MATCH(B57,'Dán DT nhân viên'!$L$1:$L$1500,0)),0))</f>
        <v/>
      </c>
      <c r="L57">
        <f>IF(B57="",0,IFERROR(INDEX('Dán DT NV realtime'!$N$1:$N$1500,MATCH(B57,'Dán DT NV realtime'!$L$1:$L$1500,0)),0))</f>
        <v/>
      </c>
      <c r="M57">
        <f>IF(J57&gt;0,K57/NgayQua*SoNgay/J57,0)</f>
        <v/>
      </c>
      <c r="N57">
        <f>IF(J57&gt;0,K57/J57,0)</f>
        <v/>
      </c>
      <c r="O57">
        <f>IF(B57="","",INDEX($B$31:$B$34,D57))</f>
        <v/>
      </c>
      <c r="P57">
        <f>IF(B57="",0,COUNTIF($C$200:$V$200,"&gt;=0.995"))</f>
        <v/>
      </c>
    </row>
    <row r="58">
      <c r="A58" t="n">
        <v>20</v>
      </c>
      <c r="B58">
        <f>IF('Khai báo'!A65="","",TRIM('Khai báo'!A65&amp;""))</f>
        <v/>
      </c>
      <c r="C58">
        <f>IF(B58="","",'Khai báo'!B65&amp;"")</f>
        <v/>
      </c>
      <c r="D58">
        <f>IF(B58="",0,IF(AND(N('Khai báo'!C65)&gt;=1,N('Khai báo'!C65)&lt;=4),N('Khai báo'!C65),IFERROR(--('Khai báo'!C65),1)))</f>
        <v/>
      </c>
      <c r="E58">
        <f>IF(B58="",0,N('Khai báo'!D65))</f>
        <v/>
      </c>
      <c r="F58">
        <f>IF(C58="","",TRIM(RIGHT(SUBSTITUTE(TRIM(C58)," ",REPT(" ",60)),60)))</f>
        <v/>
      </c>
      <c r="G58">
        <f>IF(B58="",0,SUMIFS($E$39:$E$83,$D$39:$D$83,D58))</f>
        <v/>
      </c>
      <c r="H58">
        <f>IF(B58="",0,COUNTIFS($D$39:$D$83,D58,$E$39:$E$83,0,$B$39:$B$83,"?*"))</f>
        <v/>
      </c>
      <c r="I58">
        <f>IF(B58="",0,INDEX($D$31:$D$34,D58))</f>
        <v/>
      </c>
      <c r="J58">
        <f>IF(B58="",0,ROUND(IF(E58&gt;0,I58*E58/100,IFERROR((I58-I58*G58/100)/H58,0)),1))</f>
        <v/>
      </c>
      <c r="K58">
        <f>IF(B58="",0,IFERROR(INDEX('Dán DT nhân viên'!$N$1:$N$1500,MATCH(B58,'Dán DT nhân viên'!$L$1:$L$1500,0)),0))</f>
        <v/>
      </c>
      <c r="L58">
        <f>IF(B58="",0,IFERROR(INDEX('Dán DT NV realtime'!$N$1:$N$1500,MATCH(B58,'Dán DT NV realtime'!$L$1:$L$1500,0)),0))</f>
        <v/>
      </c>
      <c r="M58">
        <f>IF(J58&gt;0,K58/NgayQua*SoNgay/J58,0)</f>
        <v/>
      </c>
      <c r="N58">
        <f>IF(J58&gt;0,K58/J58,0)</f>
        <v/>
      </c>
      <c r="O58">
        <f>IF(B58="","",INDEX($B$31:$B$34,D58))</f>
        <v/>
      </c>
      <c r="P58">
        <f>IF(B58="",0,COUNTIF($C$201:$V$201,"&gt;=0.995"))</f>
        <v/>
      </c>
    </row>
    <row r="59">
      <c r="A59" t="n">
        <v>21</v>
      </c>
      <c r="B59">
        <f>IF('Khai báo'!A66="","",TRIM('Khai báo'!A66&amp;""))</f>
        <v/>
      </c>
      <c r="C59">
        <f>IF(B59="","",'Khai báo'!B66&amp;"")</f>
        <v/>
      </c>
      <c r="D59">
        <f>IF(B59="",0,IF(AND(N('Khai báo'!C66)&gt;=1,N('Khai báo'!C66)&lt;=4),N('Khai báo'!C66),IFERROR(--('Khai báo'!C66),1)))</f>
        <v/>
      </c>
      <c r="E59">
        <f>IF(B59="",0,N('Khai báo'!D66))</f>
        <v/>
      </c>
      <c r="F59">
        <f>IF(C59="","",TRIM(RIGHT(SUBSTITUTE(TRIM(C59)," ",REPT(" ",60)),60)))</f>
        <v/>
      </c>
      <c r="G59">
        <f>IF(B59="",0,SUMIFS($E$39:$E$83,$D$39:$D$83,D59))</f>
        <v/>
      </c>
      <c r="H59">
        <f>IF(B59="",0,COUNTIFS($D$39:$D$83,D59,$E$39:$E$83,0,$B$39:$B$83,"?*"))</f>
        <v/>
      </c>
      <c r="I59">
        <f>IF(B59="",0,INDEX($D$31:$D$34,D59))</f>
        <v/>
      </c>
      <c r="J59">
        <f>IF(B59="",0,ROUND(IF(E59&gt;0,I59*E59/100,IFERROR((I59-I59*G59/100)/H59,0)),1))</f>
        <v/>
      </c>
      <c r="K59">
        <f>IF(B59="",0,IFERROR(INDEX('Dán DT nhân viên'!$N$1:$N$1500,MATCH(B59,'Dán DT nhân viên'!$L$1:$L$1500,0)),0))</f>
        <v/>
      </c>
      <c r="L59">
        <f>IF(B59="",0,IFERROR(INDEX('Dán DT NV realtime'!$N$1:$N$1500,MATCH(B59,'Dán DT NV realtime'!$L$1:$L$1500,0)),0))</f>
        <v/>
      </c>
      <c r="M59">
        <f>IF(J59&gt;0,K59/NgayQua*SoNgay/J59,0)</f>
        <v/>
      </c>
      <c r="N59">
        <f>IF(J59&gt;0,K59/J59,0)</f>
        <v/>
      </c>
      <c r="O59">
        <f>IF(B59="","",INDEX($B$31:$B$34,D59))</f>
        <v/>
      </c>
      <c r="P59">
        <f>IF(B59="",0,COUNTIF($C$202:$V$202,"&gt;=0.995"))</f>
        <v/>
      </c>
    </row>
    <row r="60">
      <c r="A60" t="n">
        <v>22</v>
      </c>
      <c r="B60">
        <f>IF('Khai báo'!A67="","",TRIM('Khai báo'!A67&amp;""))</f>
        <v/>
      </c>
      <c r="C60">
        <f>IF(B60="","",'Khai báo'!B67&amp;"")</f>
        <v/>
      </c>
      <c r="D60">
        <f>IF(B60="",0,IF(AND(N('Khai báo'!C67)&gt;=1,N('Khai báo'!C67)&lt;=4),N('Khai báo'!C67),IFERROR(--('Khai báo'!C67),1)))</f>
        <v/>
      </c>
      <c r="E60">
        <f>IF(B60="",0,N('Khai báo'!D67))</f>
        <v/>
      </c>
      <c r="F60">
        <f>IF(C60="","",TRIM(RIGHT(SUBSTITUTE(TRIM(C60)," ",REPT(" ",60)),60)))</f>
        <v/>
      </c>
      <c r="G60">
        <f>IF(B60="",0,SUMIFS($E$39:$E$83,$D$39:$D$83,D60))</f>
        <v/>
      </c>
      <c r="H60">
        <f>IF(B60="",0,COUNTIFS($D$39:$D$83,D60,$E$39:$E$83,0,$B$39:$B$83,"?*"))</f>
        <v/>
      </c>
      <c r="I60">
        <f>IF(B60="",0,INDEX($D$31:$D$34,D60))</f>
        <v/>
      </c>
      <c r="J60">
        <f>IF(B60="",0,ROUND(IF(E60&gt;0,I60*E60/100,IFERROR((I60-I60*G60/100)/H60,0)),1))</f>
        <v/>
      </c>
      <c r="K60">
        <f>IF(B60="",0,IFERROR(INDEX('Dán DT nhân viên'!$N$1:$N$1500,MATCH(B60,'Dán DT nhân viên'!$L$1:$L$1500,0)),0))</f>
        <v/>
      </c>
      <c r="L60">
        <f>IF(B60="",0,IFERROR(INDEX('Dán DT NV realtime'!$N$1:$N$1500,MATCH(B60,'Dán DT NV realtime'!$L$1:$L$1500,0)),0))</f>
        <v/>
      </c>
      <c r="M60">
        <f>IF(J60&gt;0,K60/NgayQua*SoNgay/J60,0)</f>
        <v/>
      </c>
      <c r="N60">
        <f>IF(J60&gt;0,K60/J60,0)</f>
        <v/>
      </c>
      <c r="O60">
        <f>IF(B60="","",INDEX($B$31:$B$34,D60))</f>
        <v/>
      </c>
      <c r="P60">
        <f>IF(B60="",0,COUNTIF($C$203:$V$203,"&gt;=0.995"))</f>
        <v/>
      </c>
    </row>
    <row r="61">
      <c r="A61" t="n">
        <v>23</v>
      </c>
      <c r="B61">
        <f>IF('Khai báo'!A68="","",TRIM('Khai báo'!A68&amp;""))</f>
        <v/>
      </c>
      <c r="C61">
        <f>IF(B61="","",'Khai báo'!B68&amp;"")</f>
        <v/>
      </c>
      <c r="D61">
        <f>IF(B61="",0,IF(AND(N('Khai báo'!C68)&gt;=1,N('Khai báo'!C68)&lt;=4),N('Khai báo'!C68),IFERROR(--('Khai báo'!C68),1)))</f>
        <v/>
      </c>
      <c r="E61">
        <f>IF(B61="",0,N('Khai báo'!D68))</f>
        <v/>
      </c>
      <c r="F61">
        <f>IF(C61="","",TRIM(RIGHT(SUBSTITUTE(TRIM(C61)," ",REPT(" ",60)),60)))</f>
        <v/>
      </c>
      <c r="G61">
        <f>IF(B61="",0,SUMIFS($E$39:$E$83,$D$39:$D$83,D61))</f>
        <v/>
      </c>
      <c r="H61">
        <f>IF(B61="",0,COUNTIFS($D$39:$D$83,D61,$E$39:$E$83,0,$B$39:$B$83,"?*"))</f>
        <v/>
      </c>
      <c r="I61">
        <f>IF(B61="",0,INDEX($D$31:$D$34,D61))</f>
        <v/>
      </c>
      <c r="J61">
        <f>IF(B61="",0,ROUND(IF(E61&gt;0,I61*E61/100,IFERROR((I61-I61*G61/100)/H61,0)),1))</f>
        <v/>
      </c>
      <c r="K61">
        <f>IF(B61="",0,IFERROR(INDEX('Dán DT nhân viên'!$N$1:$N$1500,MATCH(B61,'Dán DT nhân viên'!$L$1:$L$1500,0)),0))</f>
        <v/>
      </c>
      <c r="L61">
        <f>IF(B61="",0,IFERROR(INDEX('Dán DT NV realtime'!$N$1:$N$1500,MATCH(B61,'Dán DT NV realtime'!$L$1:$L$1500,0)),0))</f>
        <v/>
      </c>
      <c r="M61">
        <f>IF(J61&gt;0,K61/NgayQua*SoNgay/J61,0)</f>
        <v/>
      </c>
      <c r="N61">
        <f>IF(J61&gt;0,K61/J61,0)</f>
        <v/>
      </c>
      <c r="O61">
        <f>IF(B61="","",INDEX($B$31:$B$34,D61))</f>
        <v/>
      </c>
      <c r="P61">
        <f>IF(B61="",0,COUNTIF($C$204:$V$204,"&gt;=0.995"))</f>
        <v/>
      </c>
    </row>
    <row r="62">
      <c r="A62" t="n">
        <v>24</v>
      </c>
      <c r="B62">
        <f>IF('Khai báo'!A69="","",TRIM('Khai báo'!A69&amp;""))</f>
        <v/>
      </c>
      <c r="C62">
        <f>IF(B62="","",'Khai báo'!B69&amp;"")</f>
        <v/>
      </c>
      <c r="D62">
        <f>IF(B62="",0,IF(AND(N('Khai báo'!C69)&gt;=1,N('Khai báo'!C69)&lt;=4),N('Khai báo'!C69),IFERROR(--('Khai báo'!C69),1)))</f>
        <v/>
      </c>
      <c r="E62">
        <f>IF(B62="",0,N('Khai báo'!D69))</f>
        <v/>
      </c>
      <c r="F62">
        <f>IF(C62="","",TRIM(RIGHT(SUBSTITUTE(TRIM(C62)," ",REPT(" ",60)),60)))</f>
        <v/>
      </c>
      <c r="G62">
        <f>IF(B62="",0,SUMIFS($E$39:$E$83,$D$39:$D$83,D62))</f>
        <v/>
      </c>
      <c r="H62">
        <f>IF(B62="",0,COUNTIFS($D$39:$D$83,D62,$E$39:$E$83,0,$B$39:$B$83,"?*"))</f>
        <v/>
      </c>
      <c r="I62">
        <f>IF(B62="",0,INDEX($D$31:$D$34,D62))</f>
        <v/>
      </c>
      <c r="J62">
        <f>IF(B62="",0,ROUND(IF(E62&gt;0,I62*E62/100,IFERROR((I62-I62*G62/100)/H62,0)),1))</f>
        <v/>
      </c>
      <c r="K62">
        <f>IF(B62="",0,IFERROR(INDEX('Dán DT nhân viên'!$N$1:$N$1500,MATCH(B62,'Dán DT nhân viên'!$L$1:$L$1500,0)),0))</f>
        <v/>
      </c>
      <c r="L62">
        <f>IF(B62="",0,IFERROR(INDEX('Dán DT NV realtime'!$N$1:$N$1500,MATCH(B62,'Dán DT NV realtime'!$L$1:$L$1500,0)),0))</f>
        <v/>
      </c>
      <c r="M62">
        <f>IF(J62&gt;0,K62/NgayQua*SoNgay/J62,0)</f>
        <v/>
      </c>
      <c r="N62">
        <f>IF(J62&gt;0,K62/J62,0)</f>
        <v/>
      </c>
      <c r="O62">
        <f>IF(B62="","",INDEX($B$31:$B$34,D62))</f>
        <v/>
      </c>
      <c r="P62">
        <f>IF(B62="",0,COUNTIF($C$205:$V$205,"&gt;=0.995"))</f>
        <v/>
      </c>
    </row>
    <row r="63">
      <c r="A63" t="n">
        <v>25</v>
      </c>
      <c r="B63">
        <f>IF('Khai báo'!A70="","",TRIM('Khai báo'!A70&amp;""))</f>
        <v/>
      </c>
      <c r="C63">
        <f>IF(B63="","",'Khai báo'!B70&amp;"")</f>
        <v/>
      </c>
      <c r="D63">
        <f>IF(B63="",0,IF(AND(N('Khai báo'!C70)&gt;=1,N('Khai báo'!C70)&lt;=4),N('Khai báo'!C70),IFERROR(--('Khai báo'!C70),1)))</f>
        <v/>
      </c>
      <c r="E63">
        <f>IF(B63="",0,N('Khai báo'!D70))</f>
        <v/>
      </c>
      <c r="F63">
        <f>IF(C63="","",TRIM(RIGHT(SUBSTITUTE(TRIM(C63)," ",REPT(" ",60)),60)))</f>
        <v/>
      </c>
      <c r="G63">
        <f>IF(B63="",0,SUMIFS($E$39:$E$83,$D$39:$D$83,D63))</f>
        <v/>
      </c>
      <c r="H63">
        <f>IF(B63="",0,COUNTIFS($D$39:$D$83,D63,$E$39:$E$83,0,$B$39:$B$83,"?*"))</f>
        <v/>
      </c>
      <c r="I63">
        <f>IF(B63="",0,INDEX($D$31:$D$34,D63))</f>
        <v/>
      </c>
      <c r="J63">
        <f>IF(B63="",0,ROUND(IF(E63&gt;0,I63*E63/100,IFERROR((I63-I63*G63/100)/H63,0)),1))</f>
        <v/>
      </c>
      <c r="K63">
        <f>IF(B63="",0,IFERROR(INDEX('Dán DT nhân viên'!$N$1:$N$1500,MATCH(B63,'Dán DT nhân viên'!$L$1:$L$1500,0)),0))</f>
        <v/>
      </c>
      <c r="L63">
        <f>IF(B63="",0,IFERROR(INDEX('Dán DT NV realtime'!$N$1:$N$1500,MATCH(B63,'Dán DT NV realtime'!$L$1:$L$1500,0)),0))</f>
        <v/>
      </c>
      <c r="M63">
        <f>IF(J63&gt;0,K63/NgayQua*SoNgay/J63,0)</f>
        <v/>
      </c>
      <c r="N63">
        <f>IF(J63&gt;0,K63/J63,0)</f>
        <v/>
      </c>
      <c r="O63">
        <f>IF(B63="","",INDEX($B$31:$B$34,D63))</f>
        <v/>
      </c>
      <c r="P63">
        <f>IF(B63="",0,COUNTIF($C$206:$V$206,"&gt;=0.995"))</f>
        <v/>
      </c>
    </row>
    <row r="64">
      <c r="A64" t="n">
        <v>26</v>
      </c>
      <c r="B64">
        <f>IF('Khai báo'!A71="","",TRIM('Khai báo'!A71&amp;""))</f>
        <v/>
      </c>
      <c r="C64">
        <f>IF(B64="","",'Khai báo'!B71&amp;"")</f>
        <v/>
      </c>
      <c r="D64">
        <f>IF(B64="",0,IF(AND(N('Khai báo'!C71)&gt;=1,N('Khai báo'!C71)&lt;=4),N('Khai báo'!C71),IFERROR(--('Khai báo'!C71),1)))</f>
        <v/>
      </c>
      <c r="E64">
        <f>IF(B64="",0,N('Khai báo'!D71))</f>
        <v/>
      </c>
      <c r="F64">
        <f>IF(C64="","",TRIM(RIGHT(SUBSTITUTE(TRIM(C64)," ",REPT(" ",60)),60)))</f>
        <v/>
      </c>
      <c r="G64">
        <f>IF(B64="",0,SUMIFS($E$39:$E$83,$D$39:$D$83,D64))</f>
        <v/>
      </c>
      <c r="H64">
        <f>IF(B64="",0,COUNTIFS($D$39:$D$83,D64,$E$39:$E$83,0,$B$39:$B$83,"?*"))</f>
        <v/>
      </c>
      <c r="I64">
        <f>IF(B64="",0,INDEX($D$31:$D$34,D64))</f>
        <v/>
      </c>
      <c r="J64">
        <f>IF(B64="",0,ROUND(IF(E64&gt;0,I64*E64/100,IFERROR((I64-I64*G64/100)/H64,0)),1))</f>
        <v/>
      </c>
      <c r="K64">
        <f>IF(B64="",0,IFERROR(INDEX('Dán DT nhân viên'!$N$1:$N$1500,MATCH(B64,'Dán DT nhân viên'!$L$1:$L$1500,0)),0))</f>
        <v/>
      </c>
      <c r="L64">
        <f>IF(B64="",0,IFERROR(INDEX('Dán DT NV realtime'!$N$1:$N$1500,MATCH(B64,'Dán DT NV realtime'!$L$1:$L$1500,0)),0))</f>
        <v/>
      </c>
      <c r="M64">
        <f>IF(J64&gt;0,K64/NgayQua*SoNgay/J64,0)</f>
        <v/>
      </c>
      <c r="N64">
        <f>IF(J64&gt;0,K64/J64,0)</f>
        <v/>
      </c>
      <c r="O64">
        <f>IF(B64="","",INDEX($B$31:$B$34,D64))</f>
        <v/>
      </c>
      <c r="P64">
        <f>IF(B64="",0,COUNTIF($C$207:$V$207,"&gt;=0.995"))</f>
        <v/>
      </c>
    </row>
    <row r="65">
      <c r="A65" t="n">
        <v>27</v>
      </c>
      <c r="B65">
        <f>IF('Khai báo'!A72="","",TRIM('Khai báo'!A72&amp;""))</f>
        <v/>
      </c>
      <c r="C65">
        <f>IF(B65="","",'Khai báo'!B72&amp;"")</f>
        <v/>
      </c>
      <c r="D65">
        <f>IF(B65="",0,IF(AND(N('Khai báo'!C72)&gt;=1,N('Khai báo'!C72)&lt;=4),N('Khai báo'!C72),IFERROR(--('Khai báo'!C72),1)))</f>
        <v/>
      </c>
      <c r="E65">
        <f>IF(B65="",0,N('Khai báo'!D72))</f>
        <v/>
      </c>
      <c r="F65">
        <f>IF(C65="","",TRIM(RIGHT(SUBSTITUTE(TRIM(C65)," ",REPT(" ",60)),60)))</f>
        <v/>
      </c>
      <c r="G65">
        <f>IF(B65="",0,SUMIFS($E$39:$E$83,$D$39:$D$83,D65))</f>
        <v/>
      </c>
      <c r="H65">
        <f>IF(B65="",0,COUNTIFS($D$39:$D$83,D65,$E$39:$E$83,0,$B$39:$B$83,"?*"))</f>
        <v/>
      </c>
      <c r="I65">
        <f>IF(B65="",0,INDEX($D$31:$D$34,D65))</f>
        <v/>
      </c>
      <c r="J65">
        <f>IF(B65="",0,ROUND(IF(E65&gt;0,I65*E65/100,IFERROR((I65-I65*G65/100)/H65,0)),1))</f>
        <v/>
      </c>
      <c r="K65">
        <f>IF(B65="",0,IFERROR(INDEX('Dán DT nhân viên'!$N$1:$N$1500,MATCH(B65,'Dán DT nhân viên'!$L$1:$L$1500,0)),0))</f>
        <v/>
      </c>
      <c r="L65">
        <f>IF(B65="",0,IFERROR(INDEX('Dán DT NV realtime'!$N$1:$N$1500,MATCH(B65,'Dán DT NV realtime'!$L$1:$L$1500,0)),0))</f>
        <v/>
      </c>
      <c r="M65">
        <f>IF(J65&gt;0,K65/NgayQua*SoNgay/J65,0)</f>
        <v/>
      </c>
      <c r="N65">
        <f>IF(J65&gt;0,K65/J65,0)</f>
        <v/>
      </c>
      <c r="O65">
        <f>IF(B65="","",INDEX($B$31:$B$34,D65))</f>
        <v/>
      </c>
      <c r="P65">
        <f>IF(B65="",0,COUNTIF($C$208:$V$208,"&gt;=0.995"))</f>
        <v/>
      </c>
    </row>
    <row r="66">
      <c r="A66" t="n">
        <v>28</v>
      </c>
      <c r="B66">
        <f>IF('Khai báo'!A73="","",TRIM('Khai báo'!A73&amp;""))</f>
        <v/>
      </c>
      <c r="C66">
        <f>IF(B66="","",'Khai báo'!B73&amp;"")</f>
        <v/>
      </c>
      <c r="D66">
        <f>IF(B66="",0,IF(AND(N('Khai báo'!C73)&gt;=1,N('Khai báo'!C73)&lt;=4),N('Khai báo'!C73),IFERROR(--('Khai báo'!C73),1)))</f>
        <v/>
      </c>
      <c r="E66">
        <f>IF(B66="",0,N('Khai báo'!D73))</f>
        <v/>
      </c>
      <c r="F66">
        <f>IF(C66="","",TRIM(RIGHT(SUBSTITUTE(TRIM(C66)," ",REPT(" ",60)),60)))</f>
        <v/>
      </c>
      <c r="G66">
        <f>IF(B66="",0,SUMIFS($E$39:$E$83,$D$39:$D$83,D66))</f>
        <v/>
      </c>
      <c r="H66">
        <f>IF(B66="",0,COUNTIFS($D$39:$D$83,D66,$E$39:$E$83,0,$B$39:$B$83,"?*"))</f>
        <v/>
      </c>
      <c r="I66">
        <f>IF(B66="",0,INDEX($D$31:$D$34,D66))</f>
        <v/>
      </c>
      <c r="J66">
        <f>IF(B66="",0,ROUND(IF(E66&gt;0,I66*E66/100,IFERROR((I66-I66*G66/100)/H66,0)),1))</f>
        <v/>
      </c>
      <c r="K66">
        <f>IF(B66="",0,IFERROR(INDEX('Dán DT nhân viên'!$N$1:$N$1500,MATCH(B66,'Dán DT nhân viên'!$L$1:$L$1500,0)),0))</f>
        <v/>
      </c>
      <c r="L66">
        <f>IF(B66="",0,IFERROR(INDEX('Dán DT NV realtime'!$N$1:$N$1500,MATCH(B66,'Dán DT NV realtime'!$L$1:$L$1500,0)),0))</f>
        <v/>
      </c>
      <c r="M66">
        <f>IF(J66&gt;0,K66/NgayQua*SoNgay/J66,0)</f>
        <v/>
      </c>
      <c r="N66">
        <f>IF(J66&gt;0,K66/J66,0)</f>
        <v/>
      </c>
      <c r="O66">
        <f>IF(B66="","",INDEX($B$31:$B$34,D66))</f>
        <v/>
      </c>
      <c r="P66">
        <f>IF(B66="",0,COUNTIF($C$209:$V$209,"&gt;=0.995"))</f>
        <v/>
      </c>
    </row>
    <row r="67">
      <c r="A67" t="n">
        <v>29</v>
      </c>
      <c r="B67">
        <f>IF('Khai báo'!A74="","",TRIM('Khai báo'!A74&amp;""))</f>
        <v/>
      </c>
      <c r="C67">
        <f>IF(B67="","",'Khai báo'!B74&amp;"")</f>
        <v/>
      </c>
      <c r="D67">
        <f>IF(B67="",0,IF(AND(N('Khai báo'!C74)&gt;=1,N('Khai báo'!C74)&lt;=4),N('Khai báo'!C74),IFERROR(--('Khai báo'!C74),1)))</f>
        <v/>
      </c>
      <c r="E67">
        <f>IF(B67="",0,N('Khai báo'!D74))</f>
        <v/>
      </c>
      <c r="F67">
        <f>IF(C67="","",TRIM(RIGHT(SUBSTITUTE(TRIM(C67)," ",REPT(" ",60)),60)))</f>
        <v/>
      </c>
      <c r="G67">
        <f>IF(B67="",0,SUMIFS($E$39:$E$83,$D$39:$D$83,D67))</f>
        <v/>
      </c>
      <c r="H67">
        <f>IF(B67="",0,COUNTIFS($D$39:$D$83,D67,$E$39:$E$83,0,$B$39:$B$83,"?*"))</f>
        <v/>
      </c>
      <c r="I67">
        <f>IF(B67="",0,INDEX($D$31:$D$34,D67))</f>
        <v/>
      </c>
      <c r="J67">
        <f>IF(B67="",0,ROUND(IF(E67&gt;0,I67*E67/100,IFERROR((I67-I67*G67/100)/H67,0)),1))</f>
        <v/>
      </c>
      <c r="K67">
        <f>IF(B67="",0,IFERROR(INDEX('Dán DT nhân viên'!$N$1:$N$1500,MATCH(B67,'Dán DT nhân viên'!$L$1:$L$1500,0)),0))</f>
        <v/>
      </c>
      <c r="L67">
        <f>IF(B67="",0,IFERROR(INDEX('Dán DT NV realtime'!$N$1:$N$1500,MATCH(B67,'Dán DT NV realtime'!$L$1:$L$1500,0)),0))</f>
        <v/>
      </c>
      <c r="M67">
        <f>IF(J67&gt;0,K67/NgayQua*SoNgay/J67,0)</f>
        <v/>
      </c>
      <c r="N67">
        <f>IF(J67&gt;0,K67/J67,0)</f>
        <v/>
      </c>
      <c r="O67">
        <f>IF(B67="","",INDEX($B$31:$B$34,D67))</f>
        <v/>
      </c>
      <c r="P67">
        <f>IF(B67="",0,COUNTIF($C$210:$V$210,"&gt;=0.995"))</f>
        <v/>
      </c>
    </row>
    <row r="68">
      <c r="A68" t="n">
        <v>30</v>
      </c>
      <c r="B68">
        <f>IF('Khai báo'!A75="","",TRIM('Khai báo'!A75&amp;""))</f>
        <v/>
      </c>
      <c r="C68">
        <f>IF(B68="","",'Khai báo'!B75&amp;"")</f>
        <v/>
      </c>
      <c r="D68">
        <f>IF(B68="",0,IF(AND(N('Khai báo'!C75)&gt;=1,N('Khai báo'!C75)&lt;=4),N('Khai báo'!C75),IFERROR(--('Khai báo'!C75),1)))</f>
        <v/>
      </c>
      <c r="E68">
        <f>IF(B68="",0,N('Khai báo'!D75))</f>
        <v/>
      </c>
      <c r="F68">
        <f>IF(C68="","",TRIM(RIGHT(SUBSTITUTE(TRIM(C68)," ",REPT(" ",60)),60)))</f>
        <v/>
      </c>
      <c r="G68">
        <f>IF(B68="",0,SUMIFS($E$39:$E$83,$D$39:$D$83,D68))</f>
        <v/>
      </c>
      <c r="H68">
        <f>IF(B68="",0,COUNTIFS($D$39:$D$83,D68,$E$39:$E$83,0,$B$39:$B$83,"?*"))</f>
        <v/>
      </c>
      <c r="I68">
        <f>IF(B68="",0,INDEX($D$31:$D$34,D68))</f>
        <v/>
      </c>
      <c r="J68">
        <f>IF(B68="",0,ROUND(IF(E68&gt;0,I68*E68/100,IFERROR((I68-I68*G68/100)/H68,0)),1))</f>
        <v/>
      </c>
      <c r="K68">
        <f>IF(B68="",0,IFERROR(INDEX('Dán DT nhân viên'!$N$1:$N$1500,MATCH(B68,'Dán DT nhân viên'!$L$1:$L$1500,0)),0))</f>
        <v/>
      </c>
      <c r="L68">
        <f>IF(B68="",0,IFERROR(INDEX('Dán DT NV realtime'!$N$1:$N$1500,MATCH(B68,'Dán DT NV realtime'!$L$1:$L$1500,0)),0))</f>
        <v/>
      </c>
      <c r="M68">
        <f>IF(J68&gt;0,K68/NgayQua*SoNgay/J68,0)</f>
        <v/>
      </c>
      <c r="N68">
        <f>IF(J68&gt;0,K68/J68,0)</f>
        <v/>
      </c>
      <c r="O68">
        <f>IF(B68="","",INDEX($B$31:$B$34,D68))</f>
        <v/>
      </c>
      <c r="P68">
        <f>IF(B68="",0,COUNTIF($C$211:$V$211,"&gt;=0.995"))</f>
        <v/>
      </c>
    </row>
    <row r="69">
      <c r="A69" t="n">
        <v>31</v>
      </c>
      <c r="B69">
        <f>IF('Khai báo'!A76="","",TRIM('Khai báo'!A76&amp;""))</f>
        <v/>
      </c>
      <c r="C69">
        <f>IF(B69="","",'Khai báo'!B76&amp;"")</f>
        <v/>
      </c>
      <c r="D69">
        <f>IF(B69="",0,IF(AND(N('Khai báo'!C76)&gt;=1,N('Khai báo'!C76)&lt;=4),N('Khai báo'!C76),IFERROR(--('Khai báo'!C76),1)))</f>
        <v/>
      </c>
      <c r="E69">
        <f>IF(B69="",0,N('Khai báo'!D76))</f>
        <v/>
      </c>
      <c r="F69">
        <f>IF(C69="","",TRIM(RIGHT(SUBSTITUTE(TRIM(C69)," ",REPT(" ",60)),60)))</f>
        <v/>
      </c>
      <c r="G69">
        <f>IF(B69="",0,SUMIFS($E$39:$E$83,$D$39:$D$83,D69))</f>
        <v/>
      </c>
      <c r="H69">
        <f>IF(B69="",0,COUNTIFS($D$39:$D$83,D69,$E$39:$E$83,0,$B$39:$B$83,"?*"))</f>
        <v/>
      </c>
      <c r="I69">
        <f>IF(B69="",0,INDEX($D$31:$D$34,D69))</f>
        <v/>
      </c>
      <c r="J69">
        <f>IF(B69="",0,ROUND(IF(E69&gt;0,I69*E69/100,IFERROR((I69-I69*G69/100)/H69,0)),1))</f>
        <v/>
      </c>
      <c r="K69">
        <f>IF(B69="",0,IFERROR(INDEX('Dán DT nhân viên'!$N$1:$N$1500,MATCH(B69,'Dán DT nhân viên'!$L$1:$L$1500,0)),0))</f>
        <v/>
      </c>
      <c r="L69">
        <f>IF(B69="",0,IFERROR(INDEX('Dán DT NV realtime'!$N$1:$N$1500,MATCH(B69,'Dán DT NV realtime'!$L$1:$L$1500,0)),0))</f>
        <v/>
      </c>
      <c r="M69">
        <f>IF(J69&gt;0,K69/NgayQua*SoNgay/J69,0)</f>
        <v/>
      </c>
      <c r="N69">
        <f>IF(J69&gt;0,K69/J69,0)</f>
        <v/>
      </c>
      <c r="O69">
        <f>IF(B69="","",INDEX($B$31:$B$34,D69))</f>
        <v/>
      </c>
      <c r="P69">
        <f>IF(B69="",0,COUNTIF($C$212:$V$212,"&gt;=0.995"))</f>
        <v/>
      </c>
    </row>
    <row r="70">
      <c r="A70" t="n">
        <v>32</v>
      </c>
      <c r="B70">
        <f>IF('Khai báo'!A77="","",TRIM('Khai báo'!A77&amp;""))</f>
        <v/>
      </c>
      <c r="C70">
        <f>IF(B70="","",'Khai báo'!B77&amp;"")</f>
        <v/>
      </c>
      <c r="D70">
        <f>IF(B70="",0,IF(AND(N('Khai báo'!C77)&gt;=1,N('Khai báo'!C77)&lt;=4),N('Khai báo'!C77),IFERROR(--('Khai báo'!C77),1)))</f>
        <v/>
      </c>
      <c r="E70">
        <f>IF(B70="",0,N('Khai báo'!D77))</f>
        <v/>
      </c>
      <c r="F70">
        <f>IF(C70="","",TRIM(RIGHT(SUBSTITUTE(TRIM(C70)," ",REPT(" ",60)),60)))</f>
        <v/>
      </c>
      <c r="G70">
        <f>IF(B70="",0,SUMIFS($E$39:$E$83,$D$39:$D$83,D70))</f>
        <v/>
      </c>
      <c r="H70">
        <f>IF(B70="",0,COUNTIFS($D$39:$D$83,D70,$E$39:$E$83,0,$B$39:$B$83,"?*"))</f>
        <v/>
      </c>
      <c r="I70">
        <f>IF(B70="",0,INDEX($D$31:$D$34,D70))</f>
        <v/>
      </c>
      <c r="J70">
        <f>IF(B70="",0,ROUND(IF(E70&gt;0,I70*E70/100,IFERROR((I70-I70*G70/100)/H70,0)),1))</f>
        <v/>
      </c>
      <c r="K70">
        <f>IF(B70="",0,IFERROR(INDEX('Dán DT nhân viên'!$N$1:$N$1500,MATCH(B70,'Dán DT nhân viên'!$L$1:$L$1500,0)),0))</f>
        <v/>
      </c>
      <c r="L70">
        <f>IF(B70="",0,IFERROR(INDEX('Dán DT NV realtime'!$N$1:$N$1500,MATCH(B70,'Dán DT NV realtime'!$L$1:$L$1500,0)),0))</f>
        <v/>
      </c>
      <c r="M70">
        <f>IF(J70&gt;0,K70/NgayQua*SoNgay/J70,0)</f>
        <v/>
      </c>
      <c r="N70">
        <f>IF(J70&gt;0,K70/J70,0)</f>
        <v/>
      </c>
      <c r="O70">
        <f>IF(B70="","",INDEX($B$31:$B$34,D70))</f>
        <v/>
      </c>
      <c r="P70">
        <f>IF(B70="",0,COUNTIF($C$213:$V$213,"&gt;=0.995"))</f>
        <v/>
      </c>
    </row>
    <row r="71">
      <c r="A71" t="n">
        <v>33</v>
      </c>
      <c r="B71">
        <f>IF('Khai báo'!A78="","",TRIM('Khai báo'!A78&amp;""))</f>
        <v/>
      </c>
      <c r="C71">
        <f>IF(B71="","",'Khai báo'!B78&amp;"")</f>
        <v/>
      </c>
      <c r="D71">
        <f>IF(B71="",0,IF(AND(N('Khai báo'!C78)&gt;=1,N('Khai báo'!C78)&lt;=4),N('Khai báo'!C78),IFERROR(--('Khai báo'!C78),1)))</f>
        <v/>
      </c>
      <c r="E71">
        <f>IF(B71="",0,N('Khai báo'!D78))</f>
        <v/>
      </c>
      <c r="F71">
        <f>IF(C71="","",TRIM(RIGHT(SUBSTITUTE(TRIM(C71)," ",REPT(" ",60)),60)))</f>
        <v/>
      </c>
      <c r="G71">
        <f>IF(B71="",0,SUMIFS($E$39:$E$83,$D$39:$D$83,D71))</f>
        <v/>
      </c>
      <c r="H71">
        <f>IF(B71="",0,COUNTIFS($D$39:$D$83,D71,$E$39:$E$83,0,$B$39:$B$83,"?*"))</f>
        <v/>
      </c>
      <c r="I71">
        <f>IF(B71="",0,INDEX($D$31:$D$34,D71))</f>
        <v/>
      </c>
      <c r="J71">
        <f>IF(B71="",0,ROUND(IF(E71&gt;0,I71*E71/100,IFERROR((I71-I71*G71/100)/H71,0)),1))</f>
        <v/>
      </c>
      <c r="K71">
        <f>IF(B71="",0,IFERROR(INDEX('Dán DT nhân viên'!$N$1:$N$1500,MATCH(B71,'Dán DT nhân viên'!$L$1:$L$1500,0)),0))</f>
        <v/>
      </c>
      <c r="L71">
        <f>IF(B71="",0,IFERROR(INDEX('Dán DT NV realtime'!$N$1:$N$1500,MATCH(B71,'Dán DT NV realtime'!$L$1:$L$1500,0)),0))</f>
        <v/>
      </c>
      <c r="M71">
        <f>IF(J71&gt;0,K71/NgayQua*SoNgay/J71,0)</f>
        <v/>
      </c>
      <c r="N71">
        <f>IF(J71&gt;0,K71/J71,0)</f>
        <v/>
      </c>
      <c r="O71">
        <f>IF(B71="","",INDEX($B$31:$B$34,D71))</f>
        <v/>
      </c>
      <c r="P71">
        <f>IF(B71="",0,COUNTIF($C$214:$V$214,"&gt;=0.995"))</f>
        <v/>
      </c>
    </row>
    <row r="72">
      <c r="A72" t="n">
        <v>34</v>
      </c>
      <c r="B72">
        <f>IF('Khai báo'!A79="","",TRIM('Khai báo'!A79&amp;""))</f>
        <v/>
      </c>
      <c r="C72">
        <f>IF(B72="","",'Khai báo'!B79&amp;"")</f>
        <v/>
      </c>
      <c r="D72">
        <f>IF(B72="",0,IF(AND(N('Khai báo'!C79)&gt;=1,N('Khai báo'!C79)&lt;=4),N('Khai báo'!C79),IFERROR(--('Khai báo'!C79),1)))</f>
        <v/>
      </c>
      <c r="E72">
        <f>IF(B72="",0,N('Khai báo'!D79))</f>
        <v/>
      </c>
      <c r="F72">
        <f>IF(C72="","",TRIM(RIGHT(SUBSTITUTE(TRIM(C72)," ",REPT(" ",60)),60)))</f>
        <v/>
      </c>
      <c r="G72">
        <f>IF(B72="",0,SUMIFS($E$39:$E$83,$D$39:$D$83,D72))</f>
        <v/>
      </c>
      <c r="H72">
        <f>IF(B72="",0,COUNTIFS($D$39:$D$83,D72,$E$39:$E$83,0,$B$39:$B$83,"?*"))</f>
        <v/>
      </c>
      <c r="I72">
        <f>IF(B72="",0,INDEX($D$31:$D$34,D72))</f>
        <v/>
      </c>
      <c r="J72">
        <f>IF(B72="",0,ROUND(IF(E72&gt;0,I72*E72/100,IFERROR((I72-I72*G72/100)/H72,0)),1))</f>
        <v/>
      </c>
      <c r="K72">
        <f>IF(B72="",0,IFERROR(INDEX('Dán DT nhân viên'!$N$1:$N$1500,MATCH(B72,'Dán DT nhân viên'!$L$1:$L$1500,0)),0))</f>
        <v/>
      </c>
      <c r="L72">
        <f>IF(B72="",0,IFERROR(INDEX('Dán DT NV realtime'!$N$1:$N$1500,MATCH(B72,'Dán DT NV realtime'!$L$1:$L$1500,0)),0))</f>
        <v/>
      </c>
      <c r="M72">
        <f>IF(J72&gt;0,K72/NgayQua*SoNgay/J72,0)</f>
        <v/>
      </c>
      <c r="N72">
        <f>IF(J72&gt;0,K72/J72,0)</f>
        <v/>
      </c>
      <c r="O72">
        <f>IF(B72="","",INDEX($B$31:$B$34,D72))</f>
        <v/>
      </c>
      <c r="P72">
        <f>IF(B72="",0,COUNTIF($C$215:$V$215,"&gt;=0.995"))</f>
        <v/>
      </c>
    </row>
    <row r="73">
      <c r="A73" t="n">
        <v>35</v>
      </c>
      <c r="B73">
        <f>IF('Khai báo'!A80="","",TRIM('Khai báo'!A80&amp;""))</f>
        <v/>
      </c>
      <c r="C73">
        <f>IF(B73="","",'Khai báo'!B80&amp;"")</f>
        <v/>
      </c>
      <c r="D73">
        <f>IF(B73="",0,IF(AND(N('Khai báo'!C80)&gt;=1,N('Khai báo'!C80)&lt;=4),N('Khai báo'!C80),IFERROR(--('Khai báo'!C80),1)))</f>
        <v/>
      </c>
      <c r="E73">
        <f>IF(B73="",0,N('Khai báo'!D80))</f>
        <v/>
      </c>
      <c r="F73">
        <f>IF(C73="","",TRIM(RIGHT(SUBSTITUTE(TRIM(C73)," ",REPT(" ",60)),60)))</f>
        <v/>
      </c>
      <c r="G73">
        <f>IF(B73="",0,SUMIFS($E$39:$E$83,$D$39:$D$83,D73))</f>
        <v/>
      </c>
      <c r="H73">
        <f>IF(B73="",0,COUNTIFS($D$39:$D$83,D73,$E$39:$E$83,0,$B$39:$B$83,"?*"))</f>
        <v/>
      </c>
      <c r="I73">
        <f>IF(B73="",0,INDEX($D$31:$D$34,D73))</f>
        <v/>
      </c>
      <c r="J73">
        <f>IF(B73="",0,ROUND(IF(E73&gt;0,I73*E73/100,IFERROR((I73-I73*G73/100)/H73,0)),1))</f>
        <v/>
      </c>
      <c r="K73">
        <f>IF(B73="",0,IFERROR(INDEX('Dán DT nhân viên'!$N$1:$N$1500,MATCH(B73,'Dán DT nhân viên'!$L$1:$L$1500,0)),0))</f>
        <v/>
      </c>
      <c r="L73">
        <f>IF(B73="",0,IFERROR(INDEX('Dán DT NV realtime'!$N$1:$N$1500,MATCH(B73,'Dán DT NV realtime'!$L$1:$L$1500,0)),0))</f>
        <v/>
      </c>
      <c r="M73">
        <f>IF(J73&gt;0,K73/NgayQua*SoNgay/J73,0)</f>
        <v/>
      </c>
      <c r="N73">
        <f>IF(J73&gt;0,K73/J73,0)</f>
        <v/>
      </c>
      <c r="O73">
        <f>IF(B73="","",INDEX($B$31:$B$34,D73))</f>
        <v/>
      </c>
      <c r="P73">
        <f>IF(B73="",0,COUNTIF($C$216:$V$216,"&gt;=0.995"))</f>
        <v/>
      </c>
    </row>
    <row r="74">
      <c r="A74" t="n">
        <v>36</v>
      </c>
      <c r="B74">
        <f>IF('Khai báo'!A81="","",TRIM('Khai báo'!A81&amp;""))</f>
        <v/>
      </c>
      <c r="C74">
        <f>IF(B74="","",'Khai báo'!B81&amp;"")</f>
        <v/>
      </c>
      <c r="D74">
        <f>IF(B74="",0,IF(AND(N('Khai báo'!C81)&gt;=1,N('Khai báo'!C81)&lt;=4),N('Khai báo'!C81),IFERROR(--('Khai báo'!C81),1)))</f>
        <v/>
      </c>
      <c r="E74">
        <f>IF(B74="",0,N('Khai báo'!D81))</f>
        <v/>
      </c>
      <c r="F74">
        <f>IF(C74="","",TRIM(RIGHT(SUBSTITUTE(TRIM(C74)," ",REPT(" ",60)),60)))</f>
        <v/>
      </c>
      <c r="G74">
        <f>IF(B74="",0,SUMIFS($E$39:$E$83,$D$39:$D$83,D74))</f>
        <v/>
      </c>
      <c r="H74">
        <f>IF(B74="",0,COUNTIFS($D$39:$D$83,D74,$E$39:$E$83,0,$B$39:$B$83,"?*"))</f>
        <v/>
      </c>
      <c r="I74">
        <f>IF(B74="",0,INDEX($D$31:$D$34,D74))</f>
        <v/>
      </c>
      <c r="J74">
        <f>IF(B74="",0,ROUND(IF(E74&gt;0,I74*E74/100,IFERROR((I74-I74*G74/100)/H74,0)),1))</f>
        <v/>
      </c>
      <c r="K74">
        <f>IF(B74="",0,IFERROR(INDEX('Dán DT nhân viên'!$N$1:$N$1500,MATCH(B74,'Dán DT nhân viên'!$L$1:$L$1500,0)),0))</f>
        <v/>
      </c>
      <c r="L74">
        <f>IF(B74="",0,IFERROR(INDEX('Dán DT NV realtime'!$N$1:$N$1500,MATCH(B74,'Dán DT NV realtime'!$L$1:$L$1500,0)),0))</f>
        <v/>
      </c>
      <c r="M74">
        <f>IF(J74&gt;0,K74/NgayQua*SoNgay/J74,0)</f>
        <v/>
      </c>
      <c r="N74">
        <f>IF(J74&gt;0,K74/J74,0)</f>
        <v/>
      </c>
      <c r="O74">
        <f>IF(B74="","",INDEX($B$31:$B$34,D74))</f>
        <v/>
      </c>
      <c r="P74">
        <f>IF(B74="",0,COUNTIF($C$217:$V$217,"&gt;=0.995"))</f>
        <v/>
      </c>
    </row>
    <row r="75">
      <c r="A75" t="n">
        <v>37</v>
      </c>
      <c r="B75">
        <f>IF('Khai báo'!A82="","",TRIM('Khai báo'!A82&amp;""))</f>
        <v/>
      </c>
      <c r="C75">
        <f>IF(B75="","",'Khai báo'!B82&amp;"")</f>
        <v/>
      </c>
      <c r="D75">
        <f>IF(B75="",0,IF(AND(N('Khai báo'!C82)&gt;=1,N('Khai báo'!C82)&lt;=4),N('Khai báo'!C82),IFERROR(--('Khai báo'!C82),1)))</f>
        <v/>
      </c>
      <c r="E75">
        <f>IF(B75="",0,N('Khai báo'!D82))</f>
        <v/>
      </c>
      <c r="F75">
        <f>IF(C75="","",TRIM(RIGHT(SUBSTITUTE(TRIM(C75)," ",REPT(" ",60)),60)))</f>
        <v/>
      </c>
      <c r="G75">
        <f>IF(B75="",0,SUMIFS($E$39:$E$83,$D$39:$D$83,D75))</f>
        <v/>
      </c>
      <c r="H75">
        <f>IF(B75="",0,COUNTIFS($D$39:$D$83,D75,$E$39:$E$83,0,$B$39:$B$83,"?*"))</f>
        <v/>
      </c>
      <c r="I75">
        <f>IF(B75="",0,INDEX($D$31:$D$34,D75))</f>
        <v/>
      </c>
      <c r="J75">
        <f>IF(B75="",0,ROUND(IF(E75&gt;0,I75*E75/100,IFERROR((I75-I75*G75/100)/H75,0)),1))</f>
        <v/>
      </c>
      <c r="K75">
        <f>IF(B75="",0,IFERROR(INDEX('Dán DT nhân viên'!$N$1:$N$1500,MATCH(B75,'Dán DT nhân viên'!$L$1:$L$1500,0)),0))</f>
        <v/>
      </c>
      <c r="L75">
        <f>IF(B75="",0,IFERROR(INDEX('Dán DT NV realtime'!$N$1:$N$1500,MATCH(B75,'Dán DT NV realtime'!$L$1:$L$1500,0)),0))</f>
        <v/>
      </c>
      <c r="M75">
        <f>IF(J75&gt;0,K75/NgayQua*SoNgay/J75,0)</f>
        <v/>
      </c>
      <c r="N75">
        <f>IF(J75&gt;0,K75/J75,0)</f>
        <v/>
      </c>
      <c r="O75">
        <f>IF(B75="","",INDEX($B$31:$B$34,D75))</f>
        <v/>
      </c>
      <c r="P75">
        <f>IF(B75="",0,COUNTIF($C$218:$V$218,"&gt;=0.995"))</f>
        <v/>
      </c>
    </row>
    <row r="76">
      <c r="A76" t="n">
        <v>38</v>
      </c>
      <c r="B76">
        <f>IF('Khai báo'!A83="","",TRIM('Khai báo'!A83&amp;""))</f>
        <v/>
      </c>
      <c r="C76">
        <f>IF(B76="","",'Khai báo'!B83&amp;"")</f>
        <v/>
      </c>
      <c r="D76">
        <f>IF(B76="",0,IF(AND(N('Khai báo'!C83)&gt;=1,N('Khai báo'!C83)&lt;=4),N('Khai báo'!C83),IFERROR(--('Khai báo'!C83),1)))</f>
        <v/>
      </c>
      <c r="E76">
        <f>IF(B76="",0,N('Khai báo'!D83))</f>
        <v/>
      </c>
      <c r="F76">
        <f>IF(C76="","",TRIM(RIGHT(SUBSTITUTE(TRIM(C76)," ",REPT(" ",60)),60)))</f>
        <v/>
      </c>
      <c r="G76">
        <f>IF(B76="",0,SUMIFS($E$39:$E$83,$D$39:$D$83,D76))</f>
        <v/>
      </c>
      <c r="H76">
        <f>IF(B76="",0,COUNTIFS($D$39:$D$83,D76,$E$39:$E$83,0,$B$39:$B$83,"?*"))</f>
        <v/>
      </c>
      <c r="I76">
        <f>IF(B76="",0,INDEX($D$31:$D$34,D76))</f>
        <v/>
      </c>
      <c r="J76">
        <f>IF(B76="",0,ROUND(IF(E76&gt;0,I76*E76/100,IFERROR((I76-I76*G76/100)/H76,0)),1))</f>
        <v/>
      </c>
      <c r="K76">
        <f>IF(B76="",0,IFERROR(INDEX('Dán DT nhân viên'!$N$1:$N$1500,MATCH(B76,'Dán DT nhân viên'!$L$1:$L$1500,0)),0))</f>
        <v/>
      </c>
      <c r="L76">
        <f>IF(B76="",0,IFERROR(INDEX('Dán DT NV realtime'!$N$1:$N$1500,MATCH(B76,'Dán DT NV realtime'!$L$1:$L$1500,0)),0))</f>
        <v/>
      </c>
      <c r="M76">
        <f>IF(J76&gt;0,K76/NgayQua*SoNgay/J76,0)</f>
        <v/>
      </c>
      <c r="N76">
        <f>IF(J76&gt;0,K76/J76,0)</f>
        <v/>
      </c>
      <c r="O76">
        <f>IF(B76="","",INDEX($B$31:$B$34,D76))</f>
        <v/>
      </c>
      <c r="P76">
        <f>IF(B76="",0,COUNTIF($C$219:$V$219,"&gt;=0.995"))</f>
        <v/>
      </c>
    </row>
    <row r="77">
      <c r="A77" t="n">
        <v>39</v>
      </c>
      <c r="B77">
        <f>IF('Khai báo'!A84="","",TRIM('Khai báo'!A84&amp;""))</f>
        <v/>
      </c>
      <c r="C77">
        <f>IF(B77="","",'Khai báo'!B84&amp;"")</f>
        <v/>
      </c>
      <c r="D77">
        <f>IF(B77="",0,IF(AND(N('Khai báo'!C84)&gt;=1,N('Khai báo'!C84)&lt;=4),N('Khai báo'!C84),IFERROR(--('Khai báo'!C84),1)))</f>
        <v/>
      </c>
      <c r="E77">
        <f>IF(B77="",0,N('Khai báo'!D84))</f>
        <v/>
      </c>
      <c r="F77">
        <f>IF(C77="","",TRIM(RIGHT(SUBSTITUTE(TRIM(C77)," ",REPT(" ",60)),60)))</f>
        <v/>
      </c>
      <c r="G77">
        <f>IF(B77="",0,SUMIFS($E$39:$E$83,$D$39:$D$83,D77))</f>
        <v/>
      </c>
      <c r="H77">
        <f>IF(B77="",0,COUNTIFS($D$39:$D$83,D77,$E$39:$E$83,0,$B$39:$B$83,"?*"))</f>
        <v/>
      </c>
      <c r="I77">
        <f>IF(B77="",0,INDEX($D$31:$D$34,D77))</f>
        <v/>
      </c>
      <c r="J77">
        <f>IF(B77="",0,ROUND(IF(E77&gt;0,I77*E77/100,IFERROR((I77-I77*G77/100)/H77,0)),1))</f>
        <v/>
      </c>
      <c r="K77">
        <f>IF(B77="",0,IFERROR(INDEX('Dán DT nhân viên'!$N$1:$N$1500,MATCH(B77,'Dán DT nhân viên'!$L$1:$L$1500,0)),0))</f>
        <v/>
      </c>
      <c r="L77">
        <f>IF(B77="",0,IFERROR(INDEX('Dán DT NV realtime'!$N$1:$N$1500,MATCH(B77,'Dán DT NV realtime'!$L$1:$L$1500,0)),0))</f>
        <v/>
      </c>
      <c r="M77">
        <f>IF(J77&gt;0,K77/NgayQua*SoNgay/J77,0)</f>
        <v/>
      </c>
      <c r="N77">
        <f>IF(J77&gt;0,K77/J77,0)</f>
        <v/>
      </c>
      <c r="O77">
        <f>IF(B77="","",INDEX($B$31:$B$34,D77))</f>
        <v/>
      </c>
      <c r="P77">
        <f>IF(B77="",0,COUNTIF($C$220:$V$220,"&gt;=0.995"))</f>
        <v/>
      </c>
    </row>
    <row r="78">
      <c r="A78" t="n">
        <v>40</v>
      </c>
      <c r="B78">
        <f>IF('Khai báo'!A85="","",TRIM('Khai báo'!A85&amp;""))</f>
        <v/>
      </c>
      <c r="C78">
        <f>IF(B78="","",'Khai báo'!B85&amp;"")</f>
        <v/>
      </c>
      <c r="D78">
        <f>IF(B78="",0,IF(AND(N('Khai báo'!C85)&gt;=1,N('Khai báo'!C85)&lt;=4),N('Khai báo'!C85),IFERROR(--('Khai báo'!C85),1)))</f>
        <v/>
      </c>
      <c r="E78">
        <f>IF(B78="",0,N('Khai báo'!D85))</f>
        <v/>
      </c>
      <c r="F78">
        <f>IF(C78="","",TRIM(RIGHT(SUBSTITUTE(TRIM(C78)," ",REPT(" ",60)),60)))</f>
        <v/>
      </c>
      <c r="G78">
        <f>IF(B78="",0,SUMIFS($E$39:$E$83,$D$39:$D$83,D78))</f>
        <v/>
      </c>
      <c r="H78">
        <f>IF(B78="",0,COUNTIFS($D$39:$D$83,D78,$E$39:$E$83,0,$B$39:$B$83,"?*"))</f>
        <v/>
      </c>
      <c r="I78">
        <f>IF(B78="",0,INDEX($D$31:$D$34,D78))</f>
        <v/>
      </c>
      <c r="J78">
        <f>IF(B78="",0,ROUND(IF(E78&gt;0,I78*E78/100,IFERROR((I78-I78*G78/100)/H78,0)),1))</f>
        <v/>
      </c>
      <c r="K78">
        <f>IF(B78="",0,IFERROR(INDEX('Dán DT nhân viên'!$N$1:$N$1500,MATCH(B78,'Dán DT nhân viên'!$L$1:$L$1500,0)),0))</f>
        <v/>
      </c>
      <c r="L78">
        <f>IF(B78="",0,IFERROR(INDEX('Dán DT NV realtime'!$N$1:$N$1500,MATCH(B78,'Dán DT NV realtime'!$L$1:$L$1500,0)),0))</f>
        <v/>
      </c>
      <c r="M78">
        <f>IF(J78&gt;0,K78/NgayQua*SoNgay/J78,0)</f>
        <v/>
      </c>
      <c r="N78">
        <f>IF(J78&gt;0,K78/J78,0)</f>
        <v/>
      </c>
      <c r="O78">
        <f>IF(B78="","",INDEX($B$31:$B$34,D78))</f>
        <v/>
      </c>
      <c r="P78">
        <f>IF(B78="",0,COUNTIF($C$221:$V$221,"&gt;=0.995"))</f>
        <v/>
      </c>
    </row>
    <row r="79">
      <c r="A79" t="n">
        <v>41</v>
      </c>
      <c r="B79">
        <f>IF('Khai báo'!A86="","",TRIM('Khai báo'!A86&amp;""))</f>
        <v/>
      </c>
      <c r="C79">
        <f>IF(B79="","",'Khai báo'!B86&amp;"")</f>
        <v/>
      </c>
      <c r="D79">
        <f>IF(B79="",0,IF(AND(N('Khai báo'!C86)&gt;=1,N('Khai báo'!C86)&lt;=4),N('Khai báo'!C86),IFERROR(--('Khai báo'!C86),1)))</f>
        <v/>
      </c>
      <c r="E79">
        <f>IF(B79="",0,N('Khai báo'!D86))</f>
        <v/>
      </c>
      <c r="F79">
        <f>IF(C79="","",TRIM(RIGHT(SUBSTITUTE(TRIM(C79)," ",REPT(" ",60)),60)))</f>
        <v/>
      </c>
      <c r="G79">
        <f>IF(B79="",0,SUMIFS($E$39:$E$83,$D$39:$D$83,D79))</f>
        <v/>
      </c>
      <c r="H79">
        <f>IF(B79="",0,COUNTIFS($D$39:$D$83,D79,$E$39:$E$83,0,$B$39:$B$83,"?*"))</f>
        <v/>
      </c>
      <c r="I79">
        <f>IF(B79="",0,INDEX($D$31:$D$34,D79))</f>
        <v/>
      </c>
      <c r="J79">
        <f>IF(B79="",0,ROUND(IF(E79&gt;0,I79*E79/100,IFERROR((I79-I79*G79/100)/H79,0)),1))</f>
        <v/>
      </c>
      <c r="K79">
        <f>IF(B79="",0,IFERROR(INDEX('Dán DT nhân viên'!$N$1:$N$1500,MATCH(B79,'Dán DT nhân viên'!$L$1:$L$1500,0)),0))</f>
        <v/>
      </c>
      <c r="L79">
        <f>IF(B79="",0,IFERROR(INDEX('Dán DT NV realtime'!$N$1:$N$1500,MATCH(B79,'Dán DT NV realtime'!$L$1:$L$1500,0)),0))</f>
        <v/>
      </c>
      <c r="M79">
        <f>IF(J79&gt;0,K79/NgayQua*SoNgay/J79,0)</f>
        <v/>
      </c>
      <c r="N79">
        <f>IF(J79&gt;0,K79/J79,0)</f>
        <v/>
      </c>
      <c r="O79">
        <f>IF(B79="","",INDEX($B$31:$B$34,D79))</f>
        <v/>
      </c>
      <c r="P79">
        <f>IF(B79="",0,COUNTIF($C$222:$V$222,"&gt;=0.995"))</f>
        <v/>
      </c>
    </row>
    <row r="80">
      <c r="A80" t="n">
        <v>42</v>
      </c>
      <c r="B80">
        <f>IF('Khai báo'!A87="","",TRIM('Khai báo'!A87&amp;""))</f>
        <v/>
      </c>
      <c r="C80">
        <f>IF(B80="","",'Khai báo'!B87&amp;"")</f>
        <v/>
      </c>
      <c r="D80">
        <f>IF(B80="",0,IF(AND(N('Khai báo'!C87)&gt;=1,N('Khai báo'!C87)&lt;=4),N('Khai báo'!C87),IFERROR(--('Khai báo'!C87),1)))</f>
        <v/>
      </c>
      <c r="E80">
        <f>IF(B80="",0,N('Khai báo'!D87))</f>
        <v/>
      </c>
      <c r="F80">
        <f>IF(C80="","",TRIM(RIGHT(SUBSTITUTE(TRIM(C80)," ",REPT(" ",60)),60)))</f>
        <v/>
      </c>
      <c r="G80">
        <f>IF(B80="",0,SUMIFS($E$39:$E$83,$D$39:$D$83,D80))</f>
        <v/>
      </c>
      <c r="H80">
        <f>IF(B80="",0,COUNTIFS($D$39:$D$83,D80,$E$39:$E$83,0,$B$39:$B$83,"?*"))</f>
        <v/>
      </c>
      <c r="I80">
        <f>IF(B80="",0,INDEX($D$31:$D$34,D80))</f>
        <v/>
      </c>
      <c r="J80">
        <f>IF(B80="",0,ROUND(IF(E80&gt;0,I80*E80/100,IFERROR((I80-I80*G80/100)/H80,0)),1))</f>
        <v/>
      </c>
      <c r="K80">
        <f>IF(B80="",0,IFERROR(INDEX('Dán DT nhân viên'!$N$1:$N$1500,MATCH(B80,'Dán DT nhân viên'!$L$1:$L$1500,0)),0))</f>
        <v/>
      </c>
      <c r="L80">
        <f>IF(B80="",0,IFERROR(INDEX('Dán DT NV realtime'!$N$1:$N$1500,MATCH(B80,'Dán DT NV realtime'!$L$1:$L$1500,0)),0))</f>
        <v/>
      </c>
      <c r="M80">
        <f>IF(J80&gt;0,K80/NgayQua*SoNgay/J80,0)</f>
        <v/>
      </c>
      <c r="N80">
        <f>IF(J80&gt;0,K80/J80,0)</f>
        <v/>
      </c>
      <c r="O80">
        <f>IF(B80="","",INDEX($B$31:$B$34,D80))</f>
        <v/>
      </c>
      <c r="P80">
        <f>IF(B80="",0,COUNTIF($C$223:$V$223,"&gt;=0.995"))</f>
        <v/>
      </c>
    </row>
    <row r="81">
      <c r="A81" t="n">
        <v>43</v>
      </c>
      <c r="B81">
        <f>IF('Khai báo'!A88="","",TRIM('Khai báo'!A88&amp;""))</f>
        <v/>
      </c>
      <c r="C81">
        <f>IF(B81="","",'Khai báo'!B88&amp;"")</f>
        <v/>
      </c>
      <c r="D81">
        <f>IF(B81="",0,IF(AND(N('Khai báo'!C88)&gt;=1,N('Khai báo'!C88)&lt;=4),N('Khai báo'!C88),IFERROR(--('Khai báo'!C88),1)))</f>
        <v/>
      </c>
      <c r="E81">
        <f>IF(B81="",0,N('Khai báo'!D88))</f>
        <v/>
      </c>
      <c r="F81">
        <f>IF(C81="","",TRIM(RIGHT(SUBSTITUTE(TRIM(C81)," ",REPT(" ",60)),60)))</f>
        <v/>
      </c>
      <c r="G81">
        <f>IF(B81="",0,SUMIFS($E$39:$E$83,$D$39:$D$83,D81))</f>
        <v/>
      </c>
      <c r="H81">
        <f>IF(B81="",0,COUNTIFS($D$39:$D$83,D81,$E$39:$E$83,0,$B$39:$B$83,"?*"))</f>
        <v/>
      </c>
      <c r="I81">
        <f>IF(B81="",0,INDEX($D$31:$D$34,D81))</f>
        <v/>
      </c>
      <c r="J81">
        <f>IF(B81="",0,ROUND(IF(E81&gt;0,I81*E81/100,IFERROR((I81-I81*G81/100)/H81,0)),1))</f>
        <v/>
      </c>
      <c r="K81">
        <f>IF(B81="",0,IFERROR(INDEX('Dán DT nhân viên'!$N$1:$N$1500,MATCH(B81,'Dán DT nhân viên'!$L$1:$L$1500,0)),0))</f>
        <v/>
      </c>
      <c r="L81">
        <f>IF(B81="",0,IFERROR(INDEX('Dán DT NV realtime'!$N$1:$N$1500,MATCH(B81,'Dán DT NV realtime'!$L$1:$L$1500,0)),0))</f>
        <v/>
      </c>
      <c r="M81">
        <f>IF(J81&gt;0,K81/NgayQua*SoNgay/J81,0)</f>
        <v/>
      </c>
      <c r="N81">
        <f>IF(J81&gt;0,K81/J81,0)</f>
        <v/>
      </c>
      <c r="O81">
        <f>IF(B81="","",INDEX($B$31:$B$34,D81))</f>
        <v/>
      </c>
      <c r="P81">
        <f>IF(B81="",0,COUNTIF($C$224:$V$224,"&gt;=0.995"))</f>
        <v/>
      </c>
    </row>
    <row r="82">
      <c r="A82" t="n">
        <v>44</v>
      </c>
      <c r="B82">
        <f>IF('Khai báo'!A89="","",TRIM('Khai báo'!A89&amp;""))</f>
        <v/>
      </c>
      <c r="C82">
        <f>IF(B82="","",'Khai báo'!B89&amp;"")</f>
        <v/>
      </c>
      <c r="D82">
        <f>IF(B82="",0,IF(AND(N('Khai báo'!C89)&gt;=1,N('Khai báo'!C89)&lt;=4),N('Khai báo'!C89),IFERROR(--('Khai báo'!C89),1)))</f>
        <v/>
      </c>
      <c r="E82">
        <f>IF(B82="",0,N('Khai báo'!D89))</f>
        <v/>
      </c>
      <c r="F82">
        <f>IF(C82="","",TRIM(RIGHT(SUBSTITUTE(TRIM(C82)," ",REPT(" ",60)),60)))</f>
        <v/>
      </c>
      <c r="G82">
        <f>IF(B82="",0,SUMIFS($E$39:$E$83,$D$39:$D$83,D82))</f>
        <v/>
      </c>
      <c r="H82">
        <f>IF(B82="",0,COUNTIFS($D$39:$D$83,D82,$E$39:$E$83,0,$B$39:$B$83,"?*"))</f>
        <v/>
      </c>
      <c r="I82">
        <f>IF(B82="",0,INDEX($D$31:$D$34,D82))</f>
        <v/>
      </c>
      <c r="J82">
        <f>IF(B82="",0,ROUND(IF(E82&gt;0,I82*E82/100,IFERROR((I82-I82*G82/100)/H82,0)),1))</f>
        <v/>
      </c>
      <c r="K82">
        <f>IF(B82="",0,IFERROR(INDEX('Dán DT nhân viên'!$N$1:$N$1500,MATCH(B82,'Dán DT nhân viên'!$L$1:$L$1500,0)),0))</f>
        <v/>
      </c>
      <c r="L82">
        <f>IF(B82="",0,IFERROR(INDEX('Dán DT NV realtime'!$N$1:$N$1500,MATCH(B82,'Dán DT NV realtime'!$L$1:$L$1500,0)),0))</f>
        <v/>
      </c>
      <c r="M82">
        <f>IF(J82&gt;0,K82/NgayQua*SoNgay/J82,0)</f>
        <v/>
      </c>
      <c r="N82">
        <f>IF(J82&gt;0,K82/J82,0)</f>
        <v/>
      </c>
      <c r="O82">
        <f>IF(B82="","",INDEX($B$31:$B$34,D82))</f>
        <v/>
      </c>
      <c r="P82">
        <f>IF(B82="",0,COUNTIF($C$225:$V$225,"&gt;=0.995"))</f>
        <v/>
      </c>
    </row>
    <row r="83">
      <c r="A83" t="n">
        <v>45</v>
      </c>
      <c r="B83">
        <f>IF('Khai báo'!A90="","",TRIM('Khai báo'!A90&amp;""))</f>
        <v/>
      </c>
      <c r="C83">
        <f>IF(B83="","",'Khai báo'!B90&amp;"")</f>
        <v/>
      </c>
      <c r="D83">
        <f>IF(B83="",0,IF(AND(N('Khai báo'!C90)&gt;=1,N('Khai báo'!C90)&lt;=4),N('Khai báo'!C90),IFERROR(--('Khai báo'!C90),1)))</f>
        <v/>
      </c>
      <c r="E83">
        <f>IF(B83="",0,N('Khai báo'!D90))</f>
        <v/>
      </c>
      <c r="F83">
        <f>IF(C83="","",TRIM(RIGHT(SUBSTITUTE(TRIM(C83)," ",REPT(" ",60)),60)))</f>
        <v/>
      </c>
      <c r="G83">
        <f>IF(B83="",0,SUMIFS($E$39:$E$83,$D$39:$D$83,D83))</f>
        <v/>
      </c>
      <c r="H83">
        <f>IF(B83="",0,COUNTIFS($D$39:$D$83,D83,$E$39:$E$83,0,$B$39:$B$83,"?*"))</f>
        <v/>
      </c>
      <c r="I83">
        <f>IF(B83="",0,INDEX($D$31:$D$34,D83))</f>
        <v/>
      </c>
      <c r="J83">
        <f>IF(B83="",0,ROUND(IF(E83&gt;0,I83*E83/100,IFERROR((I83-I83*G83/100)/H83,0)),1))</f>
        <v/>
      </c>
      <c r="K83">
        <f>IF(B83="",0,IFERROR(INDEX('Dán DT nhân viên'!$N$1:$N$1500,MATCH(B83,'Dán DT nhân viên'!$L$1:$L$1500,0)),0))</f>
        <v/>
      </c>
      <c r="L83">
        <f>IF(B83="",0,IFERROR(INDEX('Dán DT NV realtime'!$N$1:$N$1500,MATCH(B83,'Dán DT NV realtime'!$L$1:$L$1500,0)),0))</f>
        <v/>
      </c>
      <c r="M83">
        <f>IF(J83&gt;0,K83/NgayQua*SoNgay/J83,0)</f>
        <v/>
      </c>
      <c r="N83">
        <f>IF(J83&gt;0,K83/J83,0)</f>
        <v/>
      </c>
      <c r="O83">
        <f>IF(B83="","",INDEX($B$31:$B$34,D83))</f>
        <v/>
      </c>
      <c r="P83">
        <f>IF(B83="",0,COUNTIF($C$226:$V$226,"&gt;=0.995"))</f>
        <v/>
      </c>
    </row>
    <row r="85">
      <c r="A85" s="58" t="inlineStr">
        <is>
          <t>Thực hiện NV × nhóm</t>
        </is>
      </c>
      <c r="C85">
        <f>B3</f>
        <v/>
      </c>
      <c r="D85">
        <f>B4</f>
        <v/>
      </c>
      <c r="E85">
        <f>B5</f>
        <v/>
      </c>
      <c r="F85">
        <f>B6</f>
        <v/>
      </c>
      <c r="G85">
        <f>B7</f>
        <v/>
      </c>
      <c r="H85">
        <f>B8</f>
        <v/>
      </c>
      <c r="I85">
        <f>B9</f>
        <v/>
      </c>
      <c r="J85">
        <f>B10</f>
        <v/>
      </c>
      <c r="K85">
        <f>B11</f>
        <v/>
      </c>
      <c r="L85">
        <f>B12</f>
        <v/>
      </c>
      <c r="M85">
        <f>B13</f>
        <v/>
      </c>
      <c r="N85">
        <f>B14</f>
        <v/>
      </c>
      <c r="O85">
        <f>B15</f>
        <v/>
      </c>
      <c r="P85">
        <f>B16</f>
        <v/>
      </c>
      <c r="Q85">
        <f>B17</f>
        <v/>
      </c>
      <c r="R85">
        <f>B18</f>
        <v/>
      </c>
      <c r="S85">
        <f>B19</f>
        <v/>
      </c>
      <c r="T85">
        <f>B20</f>
        <v/>
      </c>
      <c r="U85">
        <f>B21</f>
        <v/>
      </c>
      <c r="V85">
        <f>B22</f>
        <v/>
      </c>
    </row>
    <row r="86">
      <c r="A86" t="n">
        <v>1</v>
      </c>
      <c r="B86">
        <f>B39</f>
        <v/>
      </c>
      <c r="C86">
        <f>IF(OR($B$39="",$B$3=""),0,IFERROR(INDEX('Dán TĐ nhân viên'!$N$1:$N$1500,MATCH("*"&amp;$C$3&amp;"|"&amp;$B$39,'Dán TĐ nhân viên'!$M$1:$M$1500,0)),0))</f>
        <v/>
      </c>
      <c r="D86">
        <f>IF(OR($B$39="",$B$4=""),0,IFERROR(INDEX('Dán TĐ nhân viên'!$N$1:$N$1500,MATCH("*"&amp;$C$4&amp;"|"&amp;$B$39,'Dán TĐ nhân viên'!$M$1:$M$1500,0)),0))</f>
        <v/>
      </c>
      <c r="E86">
        <f>IF(OR($B$39="",$B$5=""),0,IFERROR(INDEX('Dán TĐ nhân viên'!$N$1:$N$1500,MATCH("*"&amp;$C$5&amp;"|"&amp;$B$39,'Dán TĐ nhân viên'!$M$1:$M$1500,0)),0))</f>
        <v/>
      </c>
      <c r="F86">
        <f>IF(OR($B$39="",$B$6=""),0,IFERROR(INDEX('Dán TĐ nhân viên'!$N$1:$N$1500,MATCH("*"&amp;$C$6&amp;"|"&amp;$B$39,'Dán TĐ nhân viên'!$M$1:$M$1500,0)),0))</f>
        <v/>
      </c>
      <c r="G86">
        <f>IF(OR($B$39="",$B$7=""),0,IFERROR(INDEX('Dán TĐ nhân viên'!$N$1:$N$1500,MATCH("*"&amp;$C$7&amp;"|"&amp;$B$39,'Dán TĐ nhân viên'!$M$1:$M$1500,0)),0))</f>
        <v/>
      </c>
      <c r="H86">
        <f>IF(OR($B$39="",$B$8=""),0,IFERROR(INDEX('Dán TĐ nhân viên'!$N$1:$N$1500,MATCH("*"&amp;$C$8&amp;"|"&amp;$B$39,'Dán TĐ nhân viên'!$M$1:$M$1500,0)),0))</f>
        <v/>
      </c>
      <c r="I86">
        <f>IF(OR($B$39="",$B$9=""),0,IFERROR(INDEX('Dán TĐ nhân viên'!$N$1:$N$1500,MATCH("*"&amp;$C$9&amp;"|"&amp;$B$39,'Dán TĐ nhân viên'!$M$1:$M$1500,0)),0))</f>
        <v/>
      </c>
      <c r="J86">
        <f>IF(OR($B$39="",$B$10=""),0,IFERROR(INDEX('Dán TĐ nhân viên'!$N$1:$N$1500,MATCH("*"&amp;$C$10&amp;"|"&amp;$B$39,'Dán TĐ nhân viên'!$M$1:$M$1500,0)),0))</f>
        <v/>
      </c>
      <c r="K86">
        <f>IF(OR($B$39="",$B$11=""),0,IFERROR(INDEX('Dán TĐ nhân viên'!$N$1:$N$1500,MATCH("*"&amp;$C$11&amp;"|"&amp;$B$39,'Dán TĐ nhân viên'!$M$1:$M$1500,0)),0))</f>
        <v/>
      </c>
      <c r="L86">
        <f>IF(OR($B$39="",$B$12=""),0,IFERROR(INDEX('Dán TĐ nhân viên'!$N$1:$N$1500,MATCH("*"&amp;$C$12&amp;"|"&amp;$B$39,'Dán TĐ nhân viên'!$M$1:$M$1500,0)),0))</f>
        <v/>
      </c>
      <c r="M86">
        <f>IF(OR($B$39="",$B$13=""),0,IFERROR(INDEX('Dán TĐ nhân viên'!$N$1:$N$1500,MATCH("*"&amp;$C$13&amp;"|"&amp;$B$39,'Dán TĐ nhân viên'!$M$1:$M$1500,0)),0))</f>
        <v/>
      </c>
      <c r="N86">
        <f>IF(OR($B$39="",$B$14=""),0,IFERROR(INDEX('Dán TĐ nhân viên'!$N$1:$N$1500,MATCH("*"&amp;$C$14&amp;"|"&amp;$B$39,'Dán TĐ nhân viên'!$M$1:$M$1500,0)),0))</f>
        <v/>
      </c>
      <c r="O86">
        <f>IF(OR($B$39="",$B$15=""),0,IFERROR(INDEX('Dán TĐ nhân viên'!$N$1:$N$1500,MATCH("*"&amp;$C$15&amp;"|"&amp;$B$39,'Dán TĐ nhân viên'!$M$1:$M$1500,0)),0))</f>
        <v/>
      </c>
      <c r="P86">
        <f>IF(OR($B$39="",$B$16=""),0,IFERROR(INDEX('Dán TĐ nhân viên'!$N$1:$N$1500,MATCH("*"&amp;$C$16&amp;"|"&amp;$B$39,'Dán TĐ nhân viên'!$M$1:$M$1500,0)),0))</f>
        <v/>
      </c>
      <c r="Q86">
        <f>IF(OR($B$39="",$B$17=""),0,IFERROR(INDEX('Dán TĐ nhân viên'!$N$1:$N$1500,MATCH("*"&amp;$C$17&amp;"|"&amp;$B$39,'Dán TĐ nhân viên'!$M$1:$M$1500,0)),0))</f>
        <v/>
      </c>
      <c r="R86">
        <f>IF(OR($B$39="",$B$18=""),0,IFERROR(INDEX('Dán TĐ nhân viên'!$N$1:$N$1500,MATCH("*"&amp;$C$18&amp;"|"&amp;$B$39,'Dán TĐ nhân viên'!$M$1:$M$1500,0)),0))</f>
        <v/>
      </c>
      <c r="S86">
        <f>IF(OR($B$39="",$B$19=""),0,IFERROR(INDEX('Dán TĐ nhân viên'!$N$1:$N$1500,MATCH("*"&amp;$C$19&amp;"|"&amp;$B$39,'Dán TĐ nhân viên'!$M$1:$M$1500,0)),0))</f>
        <v/>
      </c>
      <c r="T86">
        <f>IF(OR($B$39="",$B$20=""),0,IFERROR(INDEX('Dán TĐ nhân viên'!$N$1:$N$1500,MATCH("*"&amp;$C$20&amp;"|"&amp;$B$39,'Dán TĐ nhân viên'!$M$1:$M$1500,0)),0))</f>
        <v/>
      </c>
      <c r="U86">
        <f>IF(OR($B$39="",$B$21=""),0,IFERROR(INDEX('Dán TĐ nhân viên'!$N$1:$N$1500,MATCH("*"&amp;$C$21&amp;"|"&amp;$B$39,'Dán TĐ nhân viên'!$M$1:$M$1500,0)),0))</f>
        <v/>
      </c>
      <c r="V86">
        <f>IF(OR($B$39="",$B$22=""),0,IFERROR(INDEX('Dán TĐ nhân viên'!$N$1:$N$1500,MATCH("*"&amp;$C$22&amp;"|"&amp;$B$39,'Dán TĐ nhân viên'!$M$1:$M$1500,0)),0))</f>
        <v/>
      </c>
    </row>
    <row r="87">
      <c r="A87" t="n">
        <v>2</v>
      </c>
      <c r="B87">
        <f>B40</f>
        <v/>
      </c>
      <c r="C87">
        <f>IF(OR($B$40="",$B$3=""),0,IFERROR(INDEX('Dán TĐ nhân viên'!$N$1:$N$1500,MATCH("*"&amp;$C$3&amp;"|"&amp;$B$40,'Dán TĐ nhân viên'!$M$1:$M$1500,0)),0))</f>
        <v/>
      </c>
      <c r="D87">
        <f>IF(OR($B$40="",$B$4=""),0,IFERROR(INDEX('Dán TĐ nhân viên'!$N$1:$N$1500,MATCH("*"&amp;$C$4&amp;"|"&amp;$B$40,'Dán TĐ nhân viên'!$M$1:$M$1500,0)),0))</f>
        <v/>
      </c>
      <c r="E87">
        <f>IF(OR($B$40="",$B$5=""),0,IFERROR(INDEX('Dán TĐ nhân viên'!$N$1:$N$1500,MATCH("*"&amp;$C$5&amp;"|"&amp;$B$40,'Dán TĐ nhân viên'!$M$1:$M$1500,0)),0))</f>
        <v/>
      </c>
      <c r="F87">
        <f>IF(OR($B$40="",$B$6=""),0,IFERROR(INDEX('Dán TĐ nhân viên'!$N$1:$N$1500,MATCH("*"&amp;$C$6&amp;"|"&amp;$B$40,'Dán TĐ nhân viên'!$M$1:$M$1500,0)),0))</f>
        <v/>
      </c>
      <c r="G87">
        <f>IF(OR($B$40="",$B$7=""),0,IFERROR(INDEX('Dán TĐ nhân viên'!$N$1:$N$1500,MATCH("*"&amp;$C$7&amp;"|"&amp;$B$40,'Dán TĐ nhân viên'!$M$1:$M$1500,0)),0))</f>
        <v/>
      </c>
      <c r="H87">
        <f>IF(OR($B$40="",$B$8=""),0,IFERROR(INDEX('Dán TĐ nhân viên'!$N$1:$N$1500,MATCH("*"&amp;$C$8&amp;"|"&amp;$B$40,'Dán TĐ nhân viên'!$M$1:$M$1500,0)),0))</f>
        <v/>
      </c>
      <c r="I87">
        <f>IF(OR($B$40="",$B$9=""),0,IFERROR(INDEX('Dán TĐ nhân viên'!$N$1:$N$1500,MATCH("*"&amp;$C$9&amp;"|"&amp;$B$40,'Dán TĐ nhân viên'!$M$1:$M$1500,0)),0))</f>
        <v/>
      </c>
      <c r="J87">
        <f>IF(OR($B$40="",$B$10=""),0,IFERROR(INDEX('Dán TĐ nhân viên'!$N$1:$N$1500,MATCH("*"&amp;$C$10&amp;"|"&amp;$B$40,'Dán TĐ nhân viên'!$M$1:$M$1500,0)),0))</f>
        <v/>
      </c>
      <c r="K87">
        <f>IF(OR($B$40="",$B$11=""),0,IFERROR(INDEX('Dán TĐ nhân viên'!$N$1:$N$1500,MATCH("*"&amp;$C$11&amp;"|"&amp;$B$40,'Dán TĐ nhân viên'!$M$1:$M$1500,0)),0))</f>
        <v/>
      </c>
      <c r="L87">
        <f>IF(OR($B$40="",$B$12=""),0,IFERROR(INDEX('Dán TĐ nhân viên'!$N$1:$N$1500,MATCH("*"&amp;$C$12&amp;"|"&amp;$B$40,'Dán TĐ nhân viên'!$M$1:$M$1500,0)),0))</f>
        <v/>
      </c>
      <c r="M87">
        <f>IF(OR($B$40="",$B$13=""),0,IFERROR(INDEX('Dán TĐ nhân viên'!$N$1:$N$1500,MATCH("*"&amp;$C$13&amp;"|"&amp;$B$40,'Dán TĐ nhân viên'!$M$1:$M$1500,0)),0))</f>
        <v/>
      </c>
      <c r="N87">
        <f>IF(OR($B$40="",$B$14=""),0,IFERROR(INDEX('Dán TĐ nhân viên'!$N$1:$N$1500,MATCH("*"&amp;$C$14&amp;"|"&amp;$B$40,'Dán TĐ nhân viên'!$M$1:$M$1500,0)),0))</f>
        <v/>
      </c>
      <c r="O87">
        <f>IF(OR($B$40="",$B$15=""),0,IFERROR(INDEX('Dán TĐ nhân viên'!$N$1:$N$1500,MATCH("*"&amp;$C$15&amp;"|"&amp;$B$40,'Dán TĐ nhân viên'!$M$1:$M$1500,0)),0))</f>
        <v/>
      </c>
      <c r="P87">
        <f>IF(OR($B$40="",$B$16=""),0,IFERROR(INDEX('Dán TĐ nhân viên'!$N$1:$N$1500,MATCH("*"&amp;$C$16&amp;"|"&amp;$B$40,'Dán TĐ nhân viên'!$M$1:$M$1500,0)),0))</f>
        <v/>
      </c>
      <c r="Q87">
        <f>IF(OR($B$40="",$B$17=""),0,IFERROR(INDEX('Dán TĐ nhân viên'!$N$1:$N$1500,MATCH("*"&amp;$C$17&amp;"|"&amp;$B$40,'Dán TĐ nhân viên'!$M$1:$M$1500,0)),0))</f>
        <v/>
      </c>
      <c r="R87">
        <f>IF(OR($B$40="",$B$18=""),0,IFERROR(INDEX('Dán TĐ nhân viên'!$N$1:$N$1500,MATCH("*"&amp;$C$18&amp;"|"&amp;$B$40,'Dán TĐ nhân viên'!$M$1:$M$1500,0)),0))</f>
        <v/>
      </c>
      <c r="S87">
        <f>IF(OR($B$40="",$B$19=""),0,IFERROR(INDEX('Dán TĐ nhân viên'!$N$1:$N$1500,MATCH("*"&amp;$C$19&amp;"|"&amp;$B$40,'Dán TĐ nhân viên'!$M$1:$M$1500,0)),0))</f>
        <v/>
      </c>
      <c r="T87">
        <f>IF(OR($B$40="",$B$20=""),0,IFERROR(INDEX('Dán TĐ nhân viên'!$N$1:$N$1500,MATCH("*"&amp;$C$20&amp;"|"&amp;$B$40,'Dán TĐ nhân viên'!$M$1:$M$1500,0)),0))</f>
        <v/>
      </c>
      <c r="U87">
        <f>IF(OR($B$40="",$B$21=""),0,IFERROR(INDEX('Dán TĐ nhân viên'!$N$1:$N$1500,MATCH("*"&amp;$C$21&amp;"|"&amp;$B$40,'Dán TĐ nhân viên'!$M$1:$M$1500,0)),0))</f>
        <v/>
      </c>
      <c r="V87">
        <f>IF(OR($B$40="",$B$22=""),0,IFERROR(INDEX('Dán TĐ nhân viên'!$N$1:$N$1500,MATCH("*"&amp;$C$22&amp;"|"&amp;$B$40,'Dán TĐ nhân viên'!$M$1:$M$1500,0)),0))</f>
        <v/>
      </c>
    </row>
    <row r="88">
      <c r="A88" t="n">
        <v>3</v>
      </c>
      <c r="B88">
        <f>B41</f>
        <v/>
      </c>
      <c r="C88">
        <f>IF(OR($B$41="",$B$3=""),0,IFERROR(INDEX('Dán TĐ nhân viên'!$N$1:$N$1500,MATCH("*"&amp;$C$3&amp;"|"&amp;$B$41,'Dán TĐ nhân viên'!$M$1:$M$1500,0)),0))</f>
        <v/>
      </c>
      <c r="D88">
        <f>IF(OR($B$41="",$B$4=""),0,IFERROR(INDEX('Dán TĐ nhân viên'!$N$1:$N$1500,MATCH("*"&amp;$C$4&amp;"|"&amp;$B$41,'Dán TĐ nhân viên'!$M$1:$M$1500,0)),0))</f>
        <v/>
      </c>
      <c r="E88">
        <f>IF(OR($B$41="",$B$5=""),0,IFERROR(INDEX('Dán TĐ nhân viên'!$N$1:$N$1500,MATCH("*"&amp;$C$5&amp;"|"&amp;$B$41,'Dán TĐ nhân viên'!$M$1:$M$1500,0)),0))</f>
        <v/>
      </c>
      <c r="F88">
        <f>IF(OR($B$41="",$B$6=""),0,IFERROR(INDEX('Dán TĐ nhân viên'!$N$1:$N$1500,MATCH("*"&amp;$C$6&amp;"|"&amp;$B$41,'Dán TĐ nhân viên'!$M$1:$M$1500,0)),0))</f>
        <v/>
      </c>
      <c r="G88">
        <f>IF(OR($B$41="",$B$7=""),0,IFERROR(INDEX('Dán TĐ nhân viên'!$N$1:$N$1500,MATCH("*"&amp;$C$7&amp;"|"&amp;$B$41,'Dán TĐ nhân viên'!$M$1:$M$1500,0)),0))</f>
        <v/>
      </c>
      <c r="H88">
        <f>IF(OR($B$41="",$B$8=""),0,IFERROR(INDEX('Dán TĐ nhân viên'!$N$1:$N$1500,MATCH("*"&amp;$C$8&amp;"|"&amp;$B$41,'Dán TĐ nhân viên'!$M$1:$M$1500,0)),0))</f>
        <v/>
      </c>
      <c r="I88">
        <f>IF(OR($B$41="",$B$9=""),0,IFERROR(INDEX('Dán TĐ nhân viên'!$N$1:$N$1500,MATCH("*"&amp;$C$9&amp;"|"&amp;$B$41,'Dán TĐ nhân viên'!$M$1:$M$1500,0)),0))</f>
        <v/>
      </c>
      <c r="J88">
        <f>IF(OR($B$41="",$B$10=""),0,IFERROR(INDEX('Dán TĐ nhân viên'!$N$1:$N$1500,MATCH("*"&amp;$C$10&amp;"|"&amp;$B$41,'Dán TĐ nhân viên'!$M$1:$M$1500,0)),0))</f>
        <v/>
      </c>
      <c r="K88">
        <f>IF(OR($B$41="",$B$11=""),0,IFERROR(INDEX('Dán TĐ nhân viên'!$N$1:$N$1500,MATCH("*"&amp;$C$11&amp;"|"&amp;$B$41,'Dán TĐ nhân viên'!$M$1:$M$1500,0)),0))</f>
        <v/>
      </c>
      <c r="L88">
        <f>IF(OR($B$41="",$B$12=""),0,IFERROR(INDEX('Dán TĐ nhân viên'!$N$1:$N$1500,MATCH("*"&amp;$C$12&amp;"|"&amp;$B$41,'Dán TĐ nhân viên'!$M$1:$M$1500,0)),0))</f>
        <v/>
      </c>
      <c r="M88">
        <f>IF(OR($B$41="",$B$13=""),0,IFERROR(INDEX('Dán TĐ nhân viên'!$N$1:$N$1500,MATCH("*"&amp;$C$13&amp;"|"&amp;$B$41,'Dán TĐ nhân viên'!$M$1:$M$1500,0)),0))</f>
        <v/>
      </c>
      <c r="N88">
        <f>IF(OR($B$41="",$B$14=""),0,IFERROR(INDEX('Dán TĐ nhân viên'!$N$1:$N$1500,MATCH("*"&amp;$C$14&amp;"|"&amp;$B$41,'Dán TĐ nhân viên'!$M$1:$M$1500,0)),0))</f>
        <v/>
      </c>
      <c r="O88">
        <f>IF(OR($B$41="",$B$15=""),0,IFERROR(INDEX('Dán TĐ nhân viên'!$N$1:$N$1500,MATCH("*"&amp;$C$15&amp;"|"&amp;$B$41,'Dán TĐ nhân viên'!$M$1:$M$1500,0)),0))</f>
        <v/>
      </c>
      <c r="P88">
        <f>IF(OR($B$41="",$B$16=""),0,IFERROR(INDEX('Dán TĐ nhân viên'!$N$1:$N$1500,MATCH("*"&amp;$C$16&amp;"|"&amp;$B$41,'Dán TĐ nhân viên'!$M$1:$M$1500,0)),0))</f>
        <v/>
      </c>
      <c r="Q88">
        <f>IF(OR($B$41="",$B$17=""),0,IFERROR(INDEX('Dán TĐ nhân viên'!$N$1:$N$1500,MATCH("*"&amp;$C$17&amp;"|"&amp;$B$41,'Dán TĐ nhân viên'!$M$1:$M$1500,0)),0))</f>
        <v/>
      </c>
      <c r="R88">
        <f>IF(OR($B$41="",$B$18=""),0,IFERROR(INDEX('Dán TĐ nhân viên'!$N$1:$N$1500,MATCH("*"&amp;$C$18&amp;"|"&amp;$B$41,'Dán TĐ nhân viên'!$M$1:$M$1500,0)),0))</f>
        <v/>
      </c>
      <c r="S88">
        <f>IF(OR($B$41="",$B$19=""),0,IFERROR(INDEX('Dán TĐ nhân viên'!$N$1:$N$1500,MATCH("*"&amp;$C$19&amp;"|"&amp;$B$41,'Dán TĐ nhân viên'!$M$1:$M$1500,0)),0))</f>
        <v/>
      </c>
      <c r="T88">
        <f>IF(OR($B$41="",$B$20=""),0,IFERROR(INDEX('Dán TĐ nhân viên'!$N$1:$N$1500,MATCH("*"&amp;$C$20&amp;"|"&amp;$B$41,'Dán TĐ nhân viên'!$M$1:$M$1500,0)),0))</f>
        <v/>
      </c>
      <c r="U88">
        <f>IF(OR($B$41="",$B$21=""),0,IFERROR(INDEX('Dán TĐ nhân viên'!$N$1:$N$1500,MATCH("*"&amp;$C$21&amp;"|"&amp;$B$41,'Dán TĐ nhân viên'!$M$1:$M$1500,0)),0))</f>
        <v/>
      </c>
      <c r="V88">
        <f>IF(OR($B$41="",$B$22=""),0,IFERROR(INDEX('Dán TĐ nhân viên'!$N$1:$N$1500,MATCH("*"&amp;$C$22&amp;"|"&amp;$B$41,'Dán TĐ nhân viên'!$M$1:$M$1500,0)),0))</f>
        <v/>
      </c>
    </row>
    <row r="89">
      <c r="A89" t="n">
        <v>4</v>
      </c>
      <c r="B89">
        <f>B42</f>
        <v/>
      </c>
      <c r="C89">
        <f>IF(OR($B$42="",$B$3=""),0,IFERROR(INDEX('Dán TĐ nhân viên'!$N$1:$N$1500,MATCH("*"&amp;$C$3&amp;"|"&amp;$B$42,'Dán TĐ nhân viên'!$M$1:$M$1500,0)),0))</f>
        <v/>
      </c>
      <c r="D89">
        <f>IF(OR($B$42="",$B$4=""),0,IFERROR(INDEX('Dán TĐ nhân viên'!$N$1:$N$1500,MATCH("*"&amp;$C$4&amp;"|"&amp;$B$42,'Dán TĐ nhân viên'!$M$1:$M$1500,0)),0))</f>
        <v/>
      </c>
      <c r="E89">
        <f>IF(OR($B$42="",$B$5=""),0,IFERROR(INDEX('Dán TĐ nhân viên'!$N$1:$N$1500,MATCH("*"&amp;$C$5&amp;"|"&amp;$B$42,'Dán TĐ nhân viên'!$M$1:$M$1500,0)),0))</f>
        <v/>
      </c>
      <c r="F89">
        <f>IF(OR($B$42="",$B$6=""),0,IFERROR(INDEX('Dán TĐ nhân viên'!$N$1:$N$1500,MATCH("*"&amp;$C$6&amp;"|"&amp;$B$42,'Dán TĐ nhân viên'!$M$1:$M$1500,0)),0))</f>
        <v/>
      </c>
      <c r="G89">
        <f>IF(OR($B$42="",$B$7=""),0,IFERROR(INDEX('Dán TĐ nhân viên'!$N$1:$N$1500,MATCH("*"&amp;$C$7&amp;"|"&amp;$B$42,'Dán TĐ nhân viên'!$M$1:$M$1500,0)),0))</f>
        <v/>
      </c>
      <c r="H89">
        <f>IF(OR($B$42="",$B$8=""),0,IFERROR(INDEX('Dán TĐ nhân viên'!$N$1:$N$1500,MATCH("*"&amp;$C$8&amp;"|"&amp;$B$42,'Dán TĐ nhân viên'!$M$1:$M$1500,0)),0))</f>
        <v/>
      </c>
      <c r="I89">
        <f>IF(OR($B$42="",$B$9=""),0,IFERROR(INDEX('Dán TĐ nhân viên'!$N$1:$N$1500,MATCH("*"&amp;$C$9&amp;"|"&amp;$B$42,'Dán TĐ nhân viên'!$M$1:$M$1500,0)),0))</f>
        <v/>
      </c>
      <c r="J89">
        <f>IF(OR($B$42="",$B$10=""),0,IFERROR(INDEX('Dán TĐ nhân viên'!$N$1:$N$1500,MATCH("*"&amp;$C$10&amp;"|"&amp;$B$42,'Dán TĐ nhân viên'!$M$1:$M$1500,0)),0))</f>
        <v/>
      </c>
      <c r="K89">
        <f>IF(OR($B$42="",$B$11=""),0,IFERROR(INDEX('Dán TĐ nhân viên'!$N$1:$N$1500,MATCH("*"&amp;$C$11&amp;"|"&amp;$B$42,'Dán TĐ nhân viên'!$M$1:$M$1500,0)),0))</f>
        <v/>
      </c>
      <c r="L89">
        <f>IF(OR($B$42="",$B$12=""),0,IFERROR(INDEX('Dán TĐ nhân viên'!$N$1:$N$1500,MATCH("*"&amp;$C$12&amp;"|"&amp;$B$42,'Dán TĐ nhân viên'!$M$1:$M$1500,0)),0))</f>
        <v/>
      </c>
      <c r="M89">
        <f>IF(OR($B$42="",$B$13=""),0,IFERROR(INDEX('Dán TĐ nhân viên'!$N$1:$N$1500,MATCH("*"&amp;$C$13&amp;"|"&amp;$B$42,'Dán TĐ nhân viên'!$M$1:$M$1500,0)),0))</f>
        <v/>
      </c>
      <c r="N89">
        <f>IF(OR($B$42="",$B$14=""),0,IFERROR(INDEX('Dán TĐ nhân viên'!$N$1:$N$1500,MATCH("*"&amp;$C$14&amp;"|"&amp;$B$42,'Dán TĐ nhân viên'!$M$1:$M$1500,0)),0))</f>
        <v/>
      </c>
      <c r="O89">
        <f>IF(OR($B$42="",$B$15=""),0,IFERROR(INDEX('Dán TĐ nhân viên'!$N$1:$N$1500,MATCH("*"&amp;$C$15&amp;"|"&amp;$B$42,'Dán TĐ nhân viên'!$M$1:$M$1500,0)),0))</f>
        <v/>
      </c>
      <c r="P89">
        <f>IF(OR($B$42="",$B$16=""),0,IFERROR(INDEX('Dán TĐ nhân viên'!$N$1:$N$1500,MATCH("*"&amp;$C$16&amp;"|"&amp;$B$42,'Dán TĐ nhân viên'!$M$1:$M$1500,0)),0))</f>
        <v/>
      </c>
      <c r="Q89">
        <f>IF(OR($B$42="",$B$17=""),0,IFERROR(INDEX('Dán TĐ nhân viên'!$N$1:$N$1500,MATCH("*"&amp;$C$17&amp;"|"&amp;$B$42,'Dán TĐ nhân viên'!$M$1:$M$1500,0)),0))</f>
        <v/>
      </c>
      <c r="R89">
        <f>IF(OR($B$42="",$B$18=""),0,IFERROR(INDEX('Dán TĐ nhân viên'!$N$1:$N$1500,MATCH("*"&amp;$C$18&amp;"|"&amp;$B$42,'Dán TĐ nhân viên'!$M$1:$M$1500,0)),0))</f>
        <v/>
      </c>
      <c r="S89">
        <f>IF(OR($B$42="",$B$19=""),0,IFERROR(INDEX('Dán TĐ nhân viên'!$N$1:$N$1500,MATCH("*"&amp;$C$19&amp;"|"&amp;$B$42,'Dán TĐ nhân viên'!$M$1:$M$1500,0)),0))</f>
        <v/>
      </c>
      <c r="T89">
        <f>IF(OR($B$42="",$B$20=""),0,IFERROR(INDEX('Dán TĐ nhân viên'!$N$1:$N$1500,MATCH("*"&amp;$C$20&amp;"|"&amp;$B$42,'Dán TĐ nhân viên'!$M$1:$M$1500,0)),0))</f>
        <v/>
      </c>
      <c r="U89">
        <f>IF(OR($B$42="",$B$21=""),0,IFERROR(INDEX('Dán TĐ nhân viên'!$N$1:$N$1500,MATCH("*"&amp;$C$21&amp;"|"&amp;$B$42,'Dán TĐ nhân viên'!$M$1:$M$1500,0)),0))</f>
        <v/>
      </c>
      <c r="V89">
        <f>IF(OR($B$42="",$B$22=""),0,IFERROR(INDEX('Dán TĐ nhân viên'!$N$1:$N$1500,MATCH("*"&amp;$C$22&amp;"|"&amp;$B$42,'Dán TĐ nhân viên'!$M$1:$M$1500,0)),0))</f>
        <v/>
      </c>
    </row>
    <row r="90">
      <c r="A90" t="n">
        <v>5</v>
      </c>
      <c r="B90">
        <f>B43</f>
        <v/>
      </c>
      <c r="C90">
        <f>IF(OR($B$43="",$B$3=""),0,IFERROR(INDEX('Dán TĐ nhân viên'!$N$1:$N$1500,MATCH("*"&amp;$C$3&amp;"|"&amp;$B$43,'Dán TĐ nhân viên'!$M$1:$M$1500,0)),0))</f>
        <v/>
      </c>
      <c r="D90">
        <f>IF(OR($B$43="",$B$4=""),0,IFERROR(INDEX('Dán TĐ nhân viên'!$N$1:$N$1500,MATCH("*"&amp;$C$4&amp;"|"&amp;$B$43,'Dán TĐ nhân viên'!$M$1:$M$1500,0)),0))</f>
        <v/>
      </c>
      <c r="E90">
        <f>IF(OR($B$43="",$B$5=""),0,IFERROR(INDEX('Dán TĐ nhân viên'!$N$1:$N$1500,MATCH("*"&amp;$C$5&amp;"|"&amp;$B$43,'Dán TĐ nhân viên'!$M$1:$M$1500,0)),0))</f>
        <v/>
      </c>
      <c r="F90">
        <f>IF(OR($B$43="",$B$6=""),0,IFERROR(INDEX('Dán TĐ nhân viên'!$N$1:$N$1500,MATCH("*"&amp;$C$6&amp;"|"&amp;$B$43,'Dán TĐ nhân viên'!$M$1:$M$1500,0)),0))</f>
        <v/>
      </c>
      <c r="G90">
        <f>IF(OR($B$43="",$B$7=""),0,IFERROR(INDEX('Dán TĐ nhân viên'!$N$1:$N$1500,MATCH("*"&amp;$C$7&amp;"|"&amp;$B$43,'Dán TĐ nhân viên'!$M$1:$M$1500,0)),0))</f>
        <v/>
      </c>
      <c r="H90">
        <f>IF(OR($B$43="",$B$8=""),0,IFERROR(INDEX('Dán TĐ nhân viên'!$N$1:$N$1500,MATCH("*"&amp;$C$8&amp;"|"&amp;$B$43,'Dán TĐ nhân viên'!$M$1:$M$1500,0)),0))</f>
        <v/>
      </c>
      <c r="I90">
        <f>IF(OR($B$43="",$B$9=""),0,IFERROR(INDEX('Dán TĐ nhân viên'!$N$1:$N$1500,MATCH("*"&amp;$C$9&amp;"|"&amp;$B$43,'Dán TĐ nhân viên'!$M$1:$M$1500,0)),0))</f>
        <v/>
      </c>
      <c r="J90">
        <f>IF(OR($B$43="",$B$10=""),0,IFERROR(INDEX('Dán TĐ nhân viên'!$N$1:$N$1500,MATCH("*"&amp;$C$10&amp;"|"&amp;$B$43,'Dán TĐ nhân viên'!$M$1:$M$1500,0)),0))</f>
        <v/>
      </c>
      <c r="K90">
        <f>IF(OR($B$43="",$B$11=""),0,IFERROR(INDEX('Dán TĐ nhân viên'!$N$1:$N$1500,MATCH("*"&amp;$C$11&amp;"|"&amp;$B$43,'Dán TĐ nhân viên'!$M$1:$M$1500,0)),0))</f>
        <v/>
      </c>
      <c r="L90">
        <f>IF(OR($B$43="",$B$12=""),0,IFERROR(INDEX('Dán TĐ nhân viên'!$N$1:$N$1500,MATCH("*"&amp;$C$12&amp;"|"&amp;$B$43,'Dán TĐ nhân viên'!$M$1:$M$1500,0)),0))</f>
        <v/>
      </c>
      <c r="M90">
        <f>IF(OR($B$43="",$B$13=""),0,IFERROR(INDEX('Dán TĐ nhân viên'!$N$1:$N$1500,MATCH("*"&amp;$C$13&amp;"|"&amp;$B$43,'Dán TĐ nhân viên'!$M$1:$M$1500,0)),0))</f>
        <v/>
      </c>
      <c r="N90">
        <f>IF(OR($B$43="",$B$14=""),0,IFERROR(INDEX('Dán TĐ nhân viên'!$N$1:$N$1500,MATCH("*"&amp;$C$14&amp;"|"&amp;$B$43,'Dán TĐ nhân viên'!$M$1:$M$1500,0)),0))</f>
        <v/>
      </c>
      <c r="O90">
        <f>IF(OR($B$43="",$B$15=""),0,IFERROR(INDEX('Dán TĐ nhân viên'!$N$1:$N$1500,MATCH("*"&amp;$C$15&amp;"|"&amp;$B$43,'Dán TĐ nhân viên'!$M$1:$M$1500,0)),0))</f>
        <v/>
      </c>
      <c r="P90">
        <f>IF(OR($B$43="",$B$16=""),0,IFERROR(INDEX('Dán TĐ nhân viên'!$N$1:$N$1500,MATCH("*"&amp;$C$16&amp;"|"&amp;$B$43,'Dán TĐ nhân viên'!$M$1:$M$1500,0)),0))</f>
        <v/>
      </c>
      <c r="Q90">
        <f>IF(OR($B$43="",$B$17=""),0,IFERROR(INDEX('Dán TĐ nhân viên'!$N$1:$N$1500,MATCH("*"&amp;$C$17&amp;"|"&amp;$B$43,'Dán TĐ nhân viên'!$M$1:$M$1500,0)),0))</f>
        <v/>
      </c>
      <c r="R90">
        <f>IF(OR($B$43="",$B$18=""),0,IFERROR(INDEX('Dán TĐ nhân viên'!$N$1:$N$1500,MATCH("*"&amp;$C$18&amp;"|"&amp;$B$43,'Dán TĐ nhân viên'!$M$1:$M$1500,0)),0))</f>
        <v/>
      </c>
      <c r="S90">
        <f>IF(OR($B$43="",$B$19=""),0,IFERROR(INDEX('Dán TĐ nhân viên'!$N$1:$N$1500,MATCH("*"&amp;$C$19&amp;"|"&amp;$B$43,'Dán TĐ nhân viên'!$M$1:$M$1500,0)),0))</f>
        <v/>
      </c>
      <c r="T90">
        <f>IF(OR($B$43="",$B$20=""),0,IFERROR(INDEX('Dán TĐ nhân viên'!$N$1:$N$1500,MATCH("*"&amp;$C$20&amp;"|"&amp;$B$43,'Dán TĐ nhân viên'!$M$1:$M$1500,0)),0))</f>
        <v/>
      </c>
      <c r="U90">
        <f>IF(OR($B$43="",$B$21=""),0,IFERROR(INDEX('Dán TĐ nhân viên'!$N$1:$N$1500,MATCH("*"&amp;$C$21&amp;"|"&amp;$B$43,'Dán TĐ nhân viên'!$M$1:$M$1500,0)),0))</f>
        <v/>
      </c>
      <c r="V90">
        <f>IF(OR($B$43="",$B$22=""),0,IFERROR(INDEX('Dán TĐ nhân viên'!$N$1:$N$1500,MATCH("*"&amp;$C$22&amp;"|"&amp;$B$43,'Dán TĐ nhân viên'!$M$1:$M$1500,0)),0))</f>
        <v/>
      </c>
    </row>
    <row r="91">
      <c r="A91" t="n">
        <v>6</v>
      </c>
      <c r="B91">
        <f>B44</f>
        <v/>
      </c>
      <c r="C91">
        <f>IF(OR($B$44="",$B$3=""),0,IFERROR(INDEX('Dán TĐ nhân viên'!$N$1:$N$1500,MATCH("*"&amp;$C$3&amp;"|"&amp;$B$44,'Dán TĐ nhân viên'!$M$1:$M$1500,0)),0))</f>
        <v/>
      </c>
      <c r="D91">
        <f>IF(OR($B$44="",$B$4=""),0,IFERROR(INDEX('Dán TĐ nhân viên'!$N$1:$N$1500,MATCH("*"&amp;$C$4&amp;"|"&amp;$B$44,'Dán TĐ nhân viên'!$M$1:$M$1500,0)),0))</f>
        <v/>
      </c>
      <c r="E91">
        <f>IF(OR($B$44="",$B$5=""),0,IFERROR(INDEX('Dán TĐ nhân viên'!$N$1:$N$1500,MATCH("*"&amp;$C$5&amp;"|"&amp;$B$44,'Dán TĐ nhân viên'!$M$1:$M$1500,0)),0))</f>
        <v/>
      </c>
      <c r="F91">
        <f>IF(OR($B$44="",$B$6=""),0,IFERROR(INDEX('Dán TĐ nhân viên'!$N$1:$N$1500,MATCH("*"&amp;$C$6&amp;"|"&amp;$B$44,'Dán TĐ nhân viên'!$M$1:$M$1500,0)),0))</f>
        <v/>
      </c>
      <c r="G91">
        <f>IF(OR($B$44="",$B$7=""),0,IFERROR(INDEX('Dán TĐ nhân viên'!$N$1:$N$1500,MATCH("*"&amp;$C$7&amp;"|"&amp;$B$44,'Dán TĐ nhân viên'!$M$1:$M$1500,0)),0))</f>
        <v/>
      </c>
      <c r="H91">
        <f>IF(OR($B$44="",$B$8=""),0,IFERROR(INDEX('Dán TĐ nhân viên'!$N$1:$N$1500,MATCH("*"&amp;$C$8&amp;"|"&amp;$B$44,'Dán TĐ nhân viên'!$M$1:$M$1500,0)),0))</f>
        <v/>
      </c>
      <c r="I91">
        <f>IF(OR($B$44="",$B$9=""),0,IFERROR(INDEX('Dán TĐ nhân viên'!$N$1:$N$1500,MATCH("*"&amp;$C$9&amp;"|"&amp;$B$44,'Dán TĐ nhân viên'!$M$1:$M$1500,0)),0))</f>
        <v/>
      </c>
      <c r="J91">
        <f>IF(OR($B$44="",$B$10=""),0,IFERROR(INDEX('Dán TĐ nhân viên'!$N$1:$N$1500,MATCH("*"&amp;$C$10&amp;"|"&amp;$B$44,'Dán TĐ nhân viên'!$M$1:$M$1500,0)),0))</f>
        <v/>
      </c>
      <c r="K91">
        <f>IF(OR($B$44="",$B$11=""),0,IFERROR(INDEX('Dán TĐ nhân viên'!$N$1:$N$1500,MATCH("*"&amp;$C$11&amp;"|"&amp;$B$44,'Dán TĐ nhân viên'!$M$1:$M$1500,0)),0))</f>
        <v/>
      </c>
      <c r="L91">
        <f>IF(OR($B$44="",$B$12=""),0,IFERROR(INDEX('Dán TĐ nhân viên'!$N$1:$N$1500,MATCH("*"&amp;$C$12&amp;"|"&amp;$B$44,'Dán TĐ nhân viên'!$M$1:$M$1500,0)),0))</f>
        <v/>
      </c>
      <c r="M91">
        <f>IF(OR($B$44="",$B$13=""),0,IFERROR(INDEX('Dán TĐ nhân viên'!$N$1:$N$1500,MATCH("*"&amp;$C$13&amp;"|"&amp;$B$44,'Dán TĐ nhân viên'!$M$1:$M$1500,0)),0))</f>
        <v/>
      </c>
      <c r="N91">
        <f>IF(OR($B$44="",$B$14=""),0,IFERROR(INDEX('Dán TĐ nhân viên'!$N$1:$N$1500,MATCH("*"&amp;$C$14&amp;"|"&amp;$B$44,'Dán TĐ nhân viên'!$M$1:$M$1500,0)),0))</f>
        <v/>
      </c>
      <c r="O91">
        <f>IF(OR($B$44="",$B$15=""),0,IFERROR(INDEX('Dán TĐ nhân viên'!$N$1:$N$1500,MATCH("*"&amp;$C$15&amp;"|"&amp;$B$44,'Dán TĐ nhân viên'!$M$1:$M$1500,0)),0))</f>
        <v/>
      </c>
      <c r="P91">
        <f>IF(OR($B$44="",$B$16=""),0,IFERROR(INDEX('Dán TĐ nhân viên'!$N$1:$N$1500,MATCH("*"&amp;$C$16&amp;"|"&amp;$B$44,'Dán TĐ nhân viên'!$M$1:$M$1500,0)),0))</f>
        <v/>
      </c>
      <c r="Q91">
        <f>IF(OR($B$44="",$B$17=""),0,IFERROR(INDEX('Dán TĐ nhân viên'!$N$1:$N$1500,MATCH("*"&amp;$C$17&amp;"|"&amp;$B$44,'Dán TĐ nhân viên'!$M$1:$M$1500,0)),0))</f>
        <v/>
      </c>
      <c r="R91">
        <f>IF(OR($B$44="",$B$18=""),0,IFERROR(INDEX('Dán TĐ nhân viên'!$N$1:$N$1500,MATCH("*"&amp;$C$18&amp;"|"&amp;$B$44,'Dán TĐ nhân viên'!$M$1:$M$1500,0)),0))</f>
        <v/>
      </c>
      <c r="S91">
        <f>IF(OR($B$44="",$B$19=""),0,IFERROR(INDEX('Dán TĐ nhân viên'!$N$1:$N$1500,MATCH("*"&amp;$C$19&amp;"|"&amp;$B$44,'Dán TĐ nhân viên'!$M$1:$M$1500,0)),0))</f>
        <v/>
      </c>
      <c r="T91">
        <f>IF(OR($B$44="",$B$20=""),0,IFERROR(INDEX('Dán TĐ nhân viên'!$N$1:$N$1500,MATCH("*"&amp;$C$20&amp;"|"&amp;$B$44,'Dán TĐ nhân viên'!$M$1:$M$1500,0)),0))</f>
        <v/>
      </c>
      <c r="U91">
        <f>IF(OR($B$44="",$B$21=""),0,IFERROR(INDEX('Dán TĐ nhân viên'!$N$1:$N$1500,MATCH("*"&amp;$C$21&amp;"|"&amp;$B$44,'Dán TĐ nhân viên'!$M$1:$M$1500,0)),0))</f>
        <v/>
      </c>
      <c r="V91">
        <f>IF(OR($B$44="",$B$22=""),0,IFERROR(INDEX('Dán TĐ nhân viên'!$N$1:$N$1500,MATCH("*"&amp;$C$22&amp;"|"&amp;$B$44,'Dán TĐ nhân viên'!$M$1:$M$1500,0)),0))</f>
        <v/>
      </c>
    </row>
    <row r="92">
      <c r="A92" t="n">
        <v>7</v>
      </c>
      <c r="B92">
        <f>B45</f>
        <v/>
      </c>
      <c r="C92">
        <f>IF(OR($B$45="",$B$3=""),0,IFERROR(INDEX('Dán TĐ nhân viên'!$N$1:$N$1500,MATCH("*"&amp;$C$3&amp;"|"&amp;$B$45,'Dán TĐ nhân viên'!$M$1:$M$1500,0)),0))</f>
        <v/>
      </c>
      <c r="D92">
        <f>IF(OR($B$45="",$B$4=""),0,IFERROR(INDEX('Dán TĐ nhân viên'!$N$1:$N$1500,MATCH("*"&amp;$C$4&amp;"|"&amp;$B$45,'Dán TĐ nhân viên'!$M$1:$M$1500,0)),0))</f>
        <v/>
      </c>
      <c r="E92">
        <f>IF(OR($B$45="",$B$5=""),0,IFERROR(INDEX('Dán TĐ nhân viên'!$N$1:$N$1500,MATCH("*"&amp;$C$5&amp;"|"&amp;$B$45,'Dán TĐ nhân viên'!$M$1:$M$1500,0)),0))</f>
        <v/>
      </c>
      <c r="F92">
        <f>IF(OR($B$45="",$B$6=""),0,IFERROR(INDEX('Dán TĐ nhân viên'!$N$1:$N$1500,MATCH("*"&amp;$C$6&amp;"|"&amp;$B$45,'Dán TĐ nhân viên'!$M$1:$M$1500,0)),0))</f>
        <v/>
      </c>
      <c r="G92">
        <f>IF(OR($B$45="",$B$7=""),0,IFERROR(INDEX('Dán TĐ nhân viên'!$N$1:$N$1500,MATCH("*"&amp;$C$7&amp;"|"&amp;$B$45,'Dán TĐ nhân viên'!$M$1:$M$1500,0)),0))</f>
        <v/>
      </c>
      <c r="H92">
        <f>IF(OR($B$45="",$B$8=""),0,IFERROR(INDEX('Dán TĐ nhân viên'!$N$1:$N$1500,MATCH("*"&amp;$C$8&amp;"|"&amp;$B$45,'Dán TĐ nhân viên'!$M$1:$M$1500,0)),0))</f>
        <v/>
      </c>
      <c r="I92">
        <f>IF(OR($B$45="",$B$9=""),0,IFERROR(INDEX('Dán TĐ nhân viên'!$N$1:$N$1500,MATCH("*"&amp;$C$9&amp;"|"&amp;$B$45,'Dán TĐ nhân viên'!$M$1:$M$1500,0)),0))</f>
        <v/>
      </c>
      <c r="J92">
        <f>IF(OR($B$45="",$B$10=""),0,IFERROR(INDEX('Dán TĐ nhân viên'!$N$1:$N$1500,MATCH("*"&amp;$C$10&amp;"|"&amp;$B$45,'Dán TĐ nhân viên'!$M$1:$M$1500,0)),0))</f>
        <v/>
      </c>
      <c r="K92">
        <f>IF(OR($B$45="",$B$11=""),0,IFERROR(INDEX('Dán TĐ nhân viên'!$N$1:$N$1500,MATCH("*"&amp;$C$11&amp;"|"&amp;$B$45,'Dán TĐ nhân viên'!$M$1:$M$1500,0)),0))</f>
        <v/>
      </c>
      <c r="L92">
        <f>IF(OR($B$45="",$B$12=""),0,IFERROR(INDEX('Dán TĐ nhân viên'!$N$1:$N$1500,MATCH("*"&amp;$C$12&amp;"|"&amp;$B$45,'Dán TĐ nhân viên'!$M$1:$M$1500,0)),0))</f>
        <v/>
      </c>
      <c r="M92">
        <f>IF(OR($B$45="",$B$13=""),0,IFERROR(INDEX('Dán TĐ nhân viên'!$N$1:$N$1500,MATCH("*"&amp;$C$13&amp;"|"&amp;$B$45,'Dán TĐ nhân viên'!$M$1:$M$1500,0)),0))</f>
        <v/>
      </c>
      <c r="N92">
        <f>IF(OR($B$45="",$B$14=""),0,IFERROR(INDEX('Dán TĐ nhân viên'!$N$1:$N$1500,MATCH("*"&amp;$C$14&amp;"|"&amp;$B$45,'Dán TĐ nhân viên'!$M$1:$M$1500,0)),0))</f>
        <v/>
      </c>
      <c r="O92">
        <f>IF(OR($B$45="",$B$15=""),0,IFERROR(INDEX('Dán TĐ nhân viên'!$N$1:$N$1500,MATCH("*"&amp;$C$15&amp;"|"&amp;$B$45,'Dán TĐ nhân viên'!$M$1:$M$1500,0)),0))</f>
        <v/>
      </c>
      <c r="P92">
        <f>IF(OR($B$45="",$B$16=""),0,IFERROR(INDEX('Dán TĐ nhân viên'!$N$1:$N$1500,MATCH("*"&amp;$C$16&amp;"|"&amp;$B$45,'Dán TĐ nhân viên'!$M$1:$M$1500,0)),0))</f>
        <v/>
      </c>
      <c r="Q92">
        <f>IF(OR($B$45="",$B$17=""),0,IFERROR(INDEX('Dán TĐ nhân viên'!$N$1:$N$1500,MATCH("*"&amp;$C$17&amp;"|"&amp;$B$45,'Dán TĐ nhân viên'!$M$1:$M$1500,0)),0))</f>
        <v/>
      </c>
      <c r="R92">
        <f>IF(OR($B$45="",$B$18=""),0,IFERROR(INDEX('Dán TĐ nhân viên'!$N$1:$N$1500,MATCH("*"&amp;$C$18&amp;"|"&amp;$B$45,'Dán TĐ nhân viên'!$M$1:$M$1500,0)),0))</f>
        <v/>
      </c>
      <c r="S92">
        <f>IF(OR($B$45="",$B$19=""),0,IFERROR(INDEX('Dán TĐ nhân viên'!$N$1:$N$1500,MATCH("*"&amp;$C$19&amp;"|"&amp;$B$45,'Dán TĐ nhân viên'!$M$1:$M$1500,0)),0))</f>
        <v/>
      </c>
      <c r="T92">
        <f>IF(OR($B$45="",$B$20=""),0,IFERROR(INDEX('Dán TĐ nhân viên'!$N$1:$N$1500,MATCH("*"&amp;$C$20&amp;"|"&amp;$B$45,'Dán TĐ nhân viên'!$M$1:$M$1500,0)),0))</f>
        <v/>
      </c>
      <c r="U92">
        <f>IF(OR($B$45="",$B$21=""),0,IFERROR(INDEX('Dán TĐ nhân viên'!$N$1:$N$1500,MATCH("*"&amp;$C$21&amp;"|"&amp;$B$45,'Dán TĐ nhân viên'!$M$1:$M$1500,0)),0))</f>
        <v/>
      </c>
      <c r="V92">
        <f>IF(OR($B$45="",$B$22=""),0,IFERROR(INDEX('Dán TĐ nhân viên'!$N$1:$N$1500,MATCH("*"&amp;$C$22&amp;"|"&amp;$B$45,'Dán TĐ nhân viên'!$M$1:$M$1500,0)),0))</f>
        <v/>
      </c>
    </row>
    <row r="93">
      <c r="A93" t="n">
        <v>8</v>
      </c>
      <c r="B93">
        <f>B46</f>
        <v/>
      </c>
      <c r="C93">
        <f>IF(OR($B$46="",$B$3=""),0,IFERROR(INDEX('Dán TĐ nhân viên'!$N$1:$N$1500,MATCH("*"&amp;$C$3&amp;"|"&amp;$B$46,'Dán TĐ nhân viên'!$M$1:$M$1500,0)),0))</f>
        <v/>
      </c>
      <c r="D93">
        <f>IF(OR($B$46="",$B$4=""),0,IFERROR(INDEX('Dán TĐ nhân viên'!$N$1:$N$1500,MATCH("*"&amp;$C$4&amp;"|"&amp;$B$46,'Dán TĐ nhân viên'!$M$1:$M$1500,0)),0))</f>
        <v/>
      </c>
      <c r="E93">
        <f>IF(OR($B$46="",$B$5=""),0,IFERROR(INDEX('Dán TĐ nhân viên'!$N$1:$N$1500,MATCH("*"&amp;$C$5&amp;"|"&amp;$B$46,'Dán TĐ nhân viên'!$M$1:$M$1500,0)),0))</f>
        <v/>
      </c>
      <c r="F93">
        <f>IF(OR($B$46="",$B$6=""),0,IFERROR(INDEX('Dán TĐ nhân viên'!$N$1:$N$1500,MATCH("*"&amp;$C$6&amp;"|"&amp;$B$46,'Dán TĐ nhân viên'!$M$1:$M$1500,0)),0))</f>
        <v/>
      </c>
      <c r="G93">
        <f>IF(OR($B$46="",$B$7=""),0,IFERROR(INDEX('Dán TĐ nhân viên'!$N$1:$N$1500,MATCH("*"&amp;$C$7&amp;"|"&amp;$B$46,'Dán TĐ nhân viên'!$M$1:$M$1500,0)),0))</f>
        <v/>
      </c>
      <c r="H93">
        <f>IF(OR($B$46="",$B$8=""),0,IFERROR(INDEX('Dán TĐ nhân viên'!$N$1:$N$1500,MATCH("*"&amp;$C$8&amp;"|"&amp;$B$46,'Dán TĐ nhân viên'!$M$1:$M$1500,0)),0))</f>
        <v/>
      </c>
      <c r="I93">
        <f>IF(OR($B$46="",$B$9=""),0,IFERROR(INDEX('Dán TĐ nhân viên'!$N$1:$N$1500,MATCH("*"&amp;$C$9&amp;"|"&amp;$B$46,'Dán TĐ nhân viên'!$M$1:$M$1500,0)),0))</f>
        <v/>
      </c>
      <c r="J93">
        <f>IF(OR($B$46="",$B$10=""),0,IFERROR(INDEX('Dán TĐ nhân viên'!$N$1:$N$1500,MATCH("*"&amp;$C$10&amp;"|"&amp;$B$46,'Dán TĐ nhân viên'!$M$1:$M$1500,0)),0))</f>
        <v/>
      </c>
      <c r="K93">
        <f>IF(OR($B$46="",$B$11=""),0,IFERROR(INDEX('Dán TĐ nhân viên'!$N$1:$N$1500,MATCH("*"&amp;$C$11&amp;"|"&amp;$B$46,'Dán TĐ nhân viên'!$M$1:$M$1500,0)),0))</f>
        <v/>
      </c>
      <c r="L93">
        <f>IF(OR($B$46="",$B$12=""),0,IFERROR(INDEX('Dán TĐ nhân viên'!$N$1:$N$1500,MATCH("*"&amp;$C$12&amp;"|"&amp;$B$46,'Dán TĐ nhân viên'!$M$1:$M$1500,0)),0))</f>
        <v/>
      </c>
      <c r="M93">
        <f>IF(OR($B$46="",$B$13=""),0,IFERROR(INDEX('Dán TĐ nhân viên'!$N$1:$N$1500,MATCH("*"&amp;$C$13&amp;"|"&amp;$B$46,'Dán TĐ nhân viên'!$M$1:$M$1500,0)),0))</f>
        <v/>
      </c>
      <c r="N93">
        <f>IF(OR($B$46="",$B$14=""),0,IFERROR(INDEX('Dán TĐ nhân viên'!$N$1:$N$1500,MATCH("*"&amp;$C$14&amp;"|"&amp;$B$46,'Dán TĐ nhân viên'!$M$1:$M$1500,0)),0))</f>
        <v/>
      </c>
      <c r="O93">
        <f>IF(OR($B$46="",$B$15=""),0,IFERROR(INDEX('Dán TĐ nhân viên'!$N$1:$N$1500,MATCH("*"&amp;$C$15&amp;"|"&amp;$B$46,'Dán TĐ nhân viên'!$M$1:$M$1500,0)),0))</f>
        <v/>
      </c>
      <c r="P93">
        <f>IF(OR($B$46="",$B$16=""),0,IFERROR(INDEX('Dán TĐ nhân viên'!$N$1:$N$1500,MATCH("*"&amp;$C$16&amp;"|"&amp;$B$46,'Dán TĐ nhân viên'!$M$1:$M$1500,0)),0))</f>
        <v/>
      </c>
      <c r="Q93">
        <f>IF(OR($B$46="",$B$17=""),0,IFERROR(INDEX('Dán TĐ nhân viên'!$N$1:$N$1500,MATCH("*"&amp;$C$17&amp;"|"&amp;$B$46,'Dán TĐ nhân viên'!$M$1:$M$1500,0)),0))</f>
        <v/>
      </c>
      <c r="R93">
        <f>IF(OR($B$46="",$B$18=""),0,IFERROR(INDEX('Dán TĐ nhân viên'!$N$1:$N$1500,MATCH("*"&amp;$C$18&amp;"|"&amp;$B$46,'Dán TĐ nhân viên'!$M$1:$M$1500,0)),0))</f>
        <v/>
      </c>
      <c r="S93">
        <f>IF(OR($B$46="",$B$19=""),0,IFERROR(INDEX('Dán TĐ nhân viên'!$N$1:$N$1500,MATCH("*"&amp;$C$19&amp;"|"&amp;$B$46,'Dán TĐ nhân viên'!$M$1:$M$1500,0)),0))</f>
        <v/>
      </c>
      <c r="T93">
        <f>IF(OR($B$46="",$B$20=""),0,IFERROR(INDEX('Dán TĐ nhân viên'!$N$1:$N$1500,MATCH("*"&amp;$C$20&amp;"|"&amp;$B$46,'Dán TĐ nhân viên'!$M$1:$M$1500,0)),0))</f>
        <v/>
      </c>
      <c r="U93">
        <f>IF(OR($B$46="",$B$21=""),0,IFERROR(INDEX('Dán TĐ nhân viên'!$N$1:$N$1500,MATCH("*"&amp;$C$21&amp;"|"&amp;$B$46,'Dán TĐ nhân viên'!$M$1:$M$1500,0)),0))</f>
        <v/>
      </c>
      <c r="V93">
        <f>IF(OR($B$46="",$B$22=""),0,IFERROR(INDEX('Dán TĐ nhân viên'!$N$1:$N$1500,MATCH("*"&amp;$C$22&amp;"|"&amp;$B$46,'Dán TĐ nhân viên'!$M$1:$M$1500,0)),0))</f>
        <v/>
      </c>
    </row>
    <row r="94">
      <c r="A94" t="n">
        <v>9</v>
      </c>
      <c r="B94">
        <f>B47</f>
        <v/>
      </c>
      <c r="C94">
        <f>IF(OR($B$47="",$B$3=""),0,IFERROR(INDEX('Dán TĐ nhân viên'!$N$1:$N$1500,MATCH("*"&amp;$C$3&amp;"|"&amp;$B$47,'Dán TĐ nhân viên'!$M$1:$M$1500,0)),0))</f>
        <v/>
      </c>
      <c r="D94">
        <f>IF(OR($B$47="",$B$4=""),0,IFERROR(INDEX('Dán TĐ nhân viên'!$N$1:$N$1500,MATCH("*"&amp;$C$4&amp;"|"&amp;$B$47,'Dán TĐ nhân viên'!$M$1:$M$1500,0)),0))</f>
        <v/>
      </c>
      <c r="E94">
        <f>IF(OR($B$47="",$B$5=""),0,IFERROR(INDEX('Dán TĐ nhân viên'!$N$1:$N$1500,MATCH("*"&amp;$C$5&amp;"|"&amp;$B$47,'Dán TĐ nhân viên'!$M$1:$M$1500,0)),0))</f>
        <v/>
      </c>
      <c r="F94">
        <f>IF(OR($B$47="",$B$6=""),0,IFERROR(INDEX('Dán TĐ nhân viên'!$N$1:$N$1500,MATCH("*"&amp;$C$6&amp;"|"&amp;$B$47,'Dán TĐ nhân viên'!$M$1:$M$1500,0)),0))</f>
        <v/>
      </c>
      <c r="G94">
        <f>IF(OR($B$47="",$B$7=""),0,IFERROR(INDEX('Dán TĐ nhân viên'!$N$1:$N$1500,MATCH("*"&amp;$C$7&amp;"|"&amp;$B$47,'Dán TĐ nhân viên'!$M$1:$M$1500,0)),0))</f>
        <v/>
      </c>
      <c r="H94">
        <f>IF(OR($B$47="",$B$8=""),0,IFERROR(INDEX('Dán TĐ nhân viên'!$N$1:$N$1500,MATCH("*"&amp;$C$8&amp;"|"&amp;$B$47,'Dán TĐ nhân viên'!$M$1:$M$1500,0)),0))</f>
        <v/>
      </c>
      <c r="I94">
        <f>IF(OR($B$47="",$B$9=""),0,IFERROR(INDEX('Dán TĐ nhân viên'!$N$1:$N$1500,MATCH("*"&amp;$C$9&amp;"|"&amp;$B$47,'Dán TĐ nhân viên'!$M$1:$M$1500,0)),0))</f>
        <v/>
      </c>
      <c r="J94">
        <f>IF(OR($B$47="",$B$10=""),0,IFERROR(INDEX('Dán TĐ nhân viên'!$N$1:$N$1500,MATCH("*"&amp;$C$10&amp;"|"&amp;$B$47,'Dán TĐ nhân viên'!$M$1:$M$1500,0)),0))</f>
        <v/>
      </c>
      <c r="K94">
        <f>IF(OR($B$47="",$B$11=""),0,IFERROR(INDEX('Dán TĐ nhân viên'!$N$1:$N$1500,MATCH("*"&amp;$C$11&amp;"|"&amp;$B$47,'Dán TĐ nhân viên'!$M$1:$M$1500,0)),0))</f>
        <v/>
      </c>
      <c r="L94">
        <f>IF(OR($B$47="",$B$12=""),0,IFERROR(INDEX('Dán TĐ nhân viên'!$N$1:$N$1500,MATCH("*"&amp;$C$12&amp;"|"&amp;$B$47,'Dán TĐ nhân viên'!$M$1:$M$1500,0)),0))</f>
        <v/>
      </c>
      <c r="M94">
        <f>IF(OR($B$47="",$B$13=""),0,IFERROR(INDEX('Dán TĐ nhân viên'!$N$1:$N$1500,MATCH("*"&amp;$C$13&amp;"|"&amp;$B$47,'Dán TĐ nhân viên'!$M$1:$M$1500,0)),0))</f>
        <v/>
      </c>
      <c r="N94">
        <f>IF(OR($B$47="",$B$14=""),0,IFERROR(INDEX('Dán TĐ nhân viên'!$N$1:$N$1500,MATCH("*"&amp;$C$14&amp;"|"&amp;$B$47,'Dán TĐ nhân viên'!$M$1:$M$1500,0)),0))</f>
        <v/>
      </c>
      <c r="O94">
        <f>IF(OR($B$47="",$B$15=""),0,IFERROR(INDEX('Dán TĐ nhân viên'!$N$1:$N$1500,MATCH("*"&amp;$C$15&amp;"|"&amp;$B$47,'Dán TĐ nhân viên'!$M$1:$M$1500,0)),0))</f>
        <v/>
      </c>
      <c r="P94">
        <f>IF(OR($B$47="",$B$16=""),0,IFERROR(INDEX('Dán TĐ nhân viên'!$N$1:$N$1500,MATCH("*"&amp;$C$16&amp;"|"&amp;$B$47,'Dán TĐ nhân viên'!$M$1:$M$1500,0)),0))</f>
        <v/>
      </c>
      <c r="Q94">
        <f>IF(OR($B$47="",$B$17=""),0,IFERROR(INDEX('Dán TĐ nhân viên'!$N$1:$N$1500,MATCH("*"&amp;$C$17&amp;"|"&amp;$B$47,'Dán TĐ nhân viên'!$M$1:$M$1500,0)),0))</f>
        <v/>
      </c>
      <c r="R94">
        <f>IF(OR($B$47="",$B$18=""),0,IFERROR(INDEX('Dán TĐ nhân viên'!$N$1:$N$1500,MATCH("*"&amp;$C$18&amp;"|"&amp;$B$47,'Dán TĐ nhân viên'!$M$1:$M$1500,0)),0))</f>
        <v/>
      </c>
      <c r="S94">
        <f>IF(OR($B$47="",$B$19=""),0,IFERROR(INDEX('Dán TĐ nhân viên'!$N$1:$N$1500,MATCH("*"&amp;$C$19&amp;"|"&amp;$B$47,'Dán TĐ nhân viên'!$M$1:$M$1500,0)),0))</f>
        <v/>
      </c>
      <c r="T94">
        <f>IF(OR($B$47="",$B$20=""),0,IFERROR(INDEX('Dán TĐ nhân viên'!$N$1:$N$1500,MATCH("*"&amp;$C$20&amp;"|"&amp;$B$47,'Dán TĐ nhân viên'!$M$1:$M$1500,0)),0))</f>
        <v/>
      </c>
      <c r="U94">
        <f>IF(OR($B$47="",$B$21=""),0,IFERROR(INDEX('Dán TĐ nhân viên'!$N$1:$N$1500,MATCH("*"&amp;$C$21&amp;"|"&amp;$B$47,'Dán TĐ nhân viên'!$M$1:$M$1500,0)),0))</f>
        <v/>
      </c>
      <c r="V94">
        <f>IF(OR($B$47="",$B$22=""),0,IFERROR(INDEX('Dán TĐ nhân viên'!$N$1:$N$1500,MATCH("*"&amp;$C$22&amp;"|"&amp;$B$47,'Dán TĐ nhân viên'!$M$1:$M$1500,0)),0))</f>
        <v/>
      </c>
    </row>
    <row r="95">
      <c r="A95" t="n">
        <v>10</v>
      </c>
      <c r="B95">
        <f>B48</f>
        <v/>
      </c>
      <c r="C95">
        <f>IF(OR($B$48="",$B$3=""),0,IFERROR(INDEX('Dán TĐ nhân viên'!$N$1:$N$1500,MATCH("*"&amp;$C$3&amp;"|"&amp;$B$48,'Dán TĐ nhân viên'!$M$1:$M$1500,0)),0))</f>
        <v/>
      </c>
      <c r="D95">
        <f>IF(OR($B$48="",$B$4=""),0,IFERROR(INDEX('Dán TĐ nhân viên'!$N$1:$N$1500,MATCH("*"&amp;$C$4&amp;"|"&amp;$B$48,'Dán TĐ nhân viên'!$M$1:$M$1500,0)),0))</f>
        <v/>
      </c>
      <c r="E95">
        <f>IF(OR($B$48="",$B$5=""),0,IFERROR(INDEX('Dán TĐ nhân viên'!$N$1:$N$1500,MATCH("*"&amp;$C$5&amp;"|"&amp;$B$48,'Dán TĐ nhân viên'!$M$1:$M$1500,0)),0))</f>
        <v/>
      </c>
      <c r="F95">
        <f>IF(OR($B$48="",$B$6=""),0,IFERROR(INDEX('Dán TĐ nhân viên'!$N$1:$N$1500,MATCH("*"&amp;$C$6&amp;"|"&amp;$B$48,'Dán TĐ nhân viên'!$M$1:$M$1500,0)),0))</f>
        <v/>
      </c>
      <c r="G95">
        <f>IF(OR($B$48="",$B$7=""),0,IFERROR(INDEX('Dán TĐ nhân viên'!$N$1:$N$1500,MATCH("*"&amp;$C$7&amp;"|"&amp;$B$48,'Dán TĐ nhân viên'!$M$1:$M$1500,0)),0))</f>
        <v/>
      </c>
      <c r="H95">
        <f>IF(OR($B$48="",$B$8=""),0,IFERROR(INDEX('Dán TĐ nhân viên'!$N$1:$N$1500,MATCH("*"&amp;$C$8&amp;"|"&amp;$B$48,'Dán TĐ nhân viên'!$M$1:$M$1500,0)),0))</f>
        <v/>
      </c>
      <c r="I95">
        <f>IF(OR($B$48="",$B$9=""),0,IFERROR(INDEX('Dán TĐ nhân viên'!$N$1:$N$1500,MATCH("*"&amp;$C$9&amp;"|"&amp;$B$48,'Dán TĐ nhân viên'!$M$1:$M$1500,0)),0))</f>
        <v/>
      </c>
      <c r="J95">
        <f>IF(OR($B$48="",$B$10=""),0,IFERROR(INDEX('Dán TĐ nhân viên'!$N$1:$N$1500,MATCH("*"&amp;$C$10&amp;"|"&amp;$B$48,'Dán TĐ nhân viên'!$M$1:$M$1500,0)),0))</f>
        <v/>
      </c>
      <c r="K95">
        <f>IF(OR($B$48="",$B$11=""),0,IFERROR(INDEX('Dán TĐ nhân viên'!$N$1:$N$1500,MATCH("*"&amp;$C$11&amp;"|"&amp;$B$48,'Dán TĐ nhân viên'!$M$1:$M$1500,0)),0))</f>
        <v/>
      </c>
      <c r="L95">
        <f>IF(OR($B$48="",$B$12=""),0,IFERROR(INDEX('Dán TĐ nhân viên'!$N$1:$N$1500,MATCH("*"&amp;$C$12&amp;"|"&amp;$B$48,'Dán TĐ nhân viên'!$M$1:$M$1500,0)),0))</f>
        <v/>
      </c>
      <c r="M95">
        <f>IF(OR($B$48="",$B$13=""),0,IFERROR(INDEX('Dán TĐ nhân viên'!$N$1:$N$1500,MATCH("*"&amp;$C$13&amp;"|"&amp;$B$48,'Dán TĐ nhân viên'!$M$1:$M$1500,0)),0))</f>
        <v/>
      </c>
      <c r="N95">
        <f>IF(OR($B$48="",$B$14=""),0,IFERROR(INDEX('Dán TĐ nhân viên'!$N$1:$N$1500,MATCH("*"&amp;$C$14&amp;"|"&amp;$B$48,'Dán TĐ nhân viên'!$M$1:$M$1500,0)),0))</f>
        <v/>
      </c>
      <c r="O95">
        <f>IF(OR($B$48="",$B$15=""),0,IFERROR(INDEX('Dán TĐ nhân viên'!$N$1:$N$1500,MATCH("*"&amp;$C$15&amp;"|"&amp;$B$48,'Dán TĐ nhân viên'!$M$1:$M$1500,0)),0))</f>
        <v/>
      </c>
      <c r="P95">
        <f>IF(OR($B$48="",$B$16=""),0,IFERROR(INDEX('Dán TĐ nhân viên'!$N$1:$N$1500,MATCH("*"&amp;$C$16&amp;"|"&amp;$B$48,'Dán TĐ nhân viên'!$M$1:$M$1500,0)),0))</f>
        <v/>
      </c>
      <c r="Q95">
        <f>IF(OR($B$48="",$B$17=""),0,IFERROR(INDEX('Dán TĐ nhân viên'!$N$1:$N$1500,MATCH("*"&amp;$C$17&amp;"|"&amp;$B$48,'Dán TĐ nhân viên'!$M$1:$M$1500,0)),0))</f>
        <v/>
      </c>
      <c r="R95">
        <f>IF(OR($B$48="",$B$18=""),0,IFERROR(INDEX('Dán TĐ nhân viên'!$N$1:$N$1500,MATCH("*"&amp;$C$18&amp;"|"&amp;$B$48,'Dán TĐ nhân viên'!$M$1:$M$1500,0)),0))</f>
        <v/>
      </c>
      <c r="S95">
        <f>IF(OR($B$48="",$B$19=""),0,IFERROR(INDEX('Dán TĐ nhân viên'!$N$1:$N$1500,MATCH("*"&amp;$C$19&amp;"|"&amp;$B$48,'Dán TĐ nhân viên'!$M$1:$M$1500,0)),0))</f>
        <v/>
      </c>
      <c r="T95">
        <f>IF(OR($B$48="",$B$20=""),0,IFERROR(INDEX('Dán TĐ nhân viên'!$N$1:$N$1500,MATCH("*"&amp;$C$20&amp;"|"&amp;$B$48,'Dán TĐ nhân viên'!$M$1:$M$1500,0)),0))</f>
        <v/>
      </c>
      <c r="U95">
        <f>IF(OR($B$48="",$B$21=""),0,IFERROR(INDEX('Dán TĐ nhân viên'!$N$1:$N$1500,MATCH("*"&amp;$C$21&amp;"|"&amp;$B$48,'Dán TĐ nhân viên'!$M$1:$M$1500,0)),0))</f>
        <v/>
      </c>
      <c r="V95">
        <f>IF(OR($B$48="",$B$22=""),0,IFERROR(INDEX('Dán TĐ nhân viên'!$N$1:$N$1500,MATCH("*"&amp;$C$22&amp;"|"&amp;$B$48,'Dán TĐ nhân viên'!$M$1:$M$1500,0)),0))</f>
        <v/>
      </c>
    </row>
    <row r="96">
      <c r="A96" t="n">
        <v>11</v>
      </c>
      <c r="B96">
        <f>B49</f>
        <v/>
      </c>
      <c r="C96">
        <f>IF(OR($B$49="",$B$3=""),0,IFERROR(INDEX('Dán TĐ nhân viên'!$N$1:$N$1500,MATCH("*"&amp;$C$3&amp;"|"&amp;$B$49,'Dán TĐ nhân viên'!$M$1:$M$1500,0)),0))</f>
        <v/>
      </c>
      <c r="D96">
        <f>IF(OR($B$49="",$B$4=""),0,IFERROR(INDEX('Dán TĐ nhân viên'!$N$1:$N$1500,MATCH("*"&amp;$C$4&amp;"|"&amp;$B$49,'Dán TĐ nhân viên'!$M$1:$M$1500,0)),0))</f>
        <v/>
      </c>
      <c r="E96">
        <f>IF(OR($B$49="",$B$5=""),0,IFERROR(INDEX('Dán TĐ nhân viên'!$N$1:$N$1500,MATCH("*"&amp;$C$5&amp;"|"&amp;$B$49,'Dán TĐ nhân viên'!$M$1:$M$1500,0)),0))</f>
        <v/>
      </c>
      <c r="F96">
        <f>IF(OR($B$49="",$B$6=""),0,IFERROR(INDEX('Dán TĐ nhân viên'!$N$1:$N$1500,MATCH("*"&amp;$C$6&amp;"|"&amp;$B$49,'Dán TĐ nhân viên'!$M$1:$M$1500,0)),0))</f>
        <v/>
      </c>
      <c r="G96">
        <f>IF(OR($B$49="",$B$7=""),0,IFERROR(INDEX('Dán TĐ nhân viên'!$N$1:$N$1500,MATCH("*"&amp;$C$7&amp;"|"&amp;$B$49,'Dán TĐ nhân viên'!$M$1:$M$1500,0)),0))</f>
        <v/>
      </c>
      <c r="H96">
        <f>IF(OR($B$49="",$B$8=""),0,IFERROR(INDEX('Dán TĐ nhân viên'!$N$1:$N$1500,MATCH("*"&amp;$C$8&amp;"|"&amp;$B$49,'Dán TĐ nhân viên'!$M$1:$M$1500,0)),0))</f>
        <v/>
      </c>
      <c r="I96">
        <f>IF(OR($B$49="",$B$9=""),0,IFERROR(INDEX('Dán TĐ nhân viên'!$N$1:$N$1500,MATCH("*"&amp;$C$9&amp;"|"&amp;$B$49,'Dán TĐ nhân viên'!$M$1:$M$1500,0)),0))</f>
        <v/>
      </c>
      <c r="J96">
        <f>IF(OR($B$49="",$B$10=""),0,IFERROR(INDEX('Dán TĐ nhân viên'!$N$1:$N$1500,MATCH("*"&amp;$C$10&amp;"|"&amp;$B$49,'Dán TĐ nhân viên'!$M$1:$M$1500,0)),0))</f>
        <v/>
      </c>
      <c r="K96">
        <f>IF(OR($B$49="",$B$11=""),0,IFERROR(INDEX('Dán TĐ nhân viên'!$N$1:$N$1500,MATCH("*"&amp;$C$11&amp;"|"&amp;$B$49,'Dán TĐ nhân viên'!$M$1:$M$1500,0)),0))</f>
        <v/>
      </c>
      <c r="L96">
        <f>IF(OR($B$49="",$B$12=""),0,IFERROR(INDEX('Dán TĐ nhân viên'!$N$1:$N$1500,MATCH("*"&amp;$C$12&amp;"|"&amp;$B$49,'Dán TĐ nhân viên'!$M$1:$M$1500,0)),0))</f>
        <v/>
      </c>
      <c r="M96">
        <f>IF(OR($B$49="",$B$13=""),0,IFERROR(INDEX('Dán TĐ nhân viên'!$N$1:$N$1500,MATCH("*"&amp;$C$13&amp;"|"&amp;$B$49,'Dán TĐ nhân viên'!$M$1:$M$1500,0)),0))</f>
        <v/>
      </c>
      <c r="N96">
        <f>IF(OR($B$49="",$B$14=""),0,IFERROR(INDEX('Dán TĐ nhân viên'!$N$1:$N$1500,MATCH("*"&amp;$C$14&amp;"|"&amp;$B$49,'Dán TĐ nhân viên'!$M$1:$M$1500,0)),0))</f>
        <v/>
      </c>
      <c r="O96">
        <f>IF(OR($B$49="",$B$15=""),0,IFERROR(INDEX('Dán TĐ nhân viên'!$N$1:$N$1500,MATCH("*"&amp;$C$15&amp;"|"&amp;$B$49,'Dán TĐ nhân viên'!$M$1:$M$1500,0)),0))</f>
        <v/>
      </c>
      <c r="P96">
        <f>IF(OR($B$49="",$B$16=""),0,IFERROR(INDEX('Dán TĐ nhân viên'!$N$1:$N$1500,MATCH("*"&amp;$C$16&amp;"|"&amp;$B$49,'Dán TĐ nhân viên'!$M$1:$M$1500,0)),0))</f>
        <v/>
      </c>
      <c r="Q96">
        <f>IF(OR($B$49="",$B$17=""),0,IFERROR(INDEX('Dán TĐ nhân viên'!$N$1:$N$1500,MATCH("*"&amp;$C$17&amp;"|"&amp;$B$49,'Dán TĐ nhân viên'!$M$1:$M$1500,0)),0))</f>
        <v/>
      </c>
      <c r="R96">
        <f>IF(OR($B$49="",$B$18=""),0,IFERROR(INDEX('Dán TĐ nhân viên'!$N$1:$N$1500,MATCH("*"&amp;$C$18&amp;"|"&amp;$B$49,'Dán TĐ nhân viên'!$M$1:$M$1500,0)),0))</f>
        <v/>
      </c>
      <c r="S96">
        <f>IF(OR($B$49="",$B$19=""),0,IFERROR(INDEX('Dán TĐ nhân viên'!$N$1:$N$1500,MATCH("*"&amp;$C$19&amp;"|"&amp;$B$49,'Dán TĐ nhân viên'!$M$1:$M$1500,0)),0))</f>
        <v/>
      </c>
      <c r="T96">
        <f>IF(OR($B$49="",$B$20=""),0,IFERROR(INDEX('Dán TĐ nhân viên'!$N$1:$N$1500,MATCH("*"&amp;$C$20&amp;"|"&amp;$B$49,'Dán TĐ nhân viên'!$M$1:$M$1500,0)),0))</f>
        <v/>
      </c>
      <c r="U96">
        <f>IF(OR($B$49="",$B$21=""),0,IFERROR(INDEX('Dán TĐ nhân viên'!$N$1:$N$1500,MATCH("*"&amp;$C$21&amp;"|"&amp;$B$49,'Dán TĐ nhân viên'!$M$1:$M$1500,0)),0))</f>
        <v/>
      </c>
      <c r="V96">
        <f>IF(OR($B$49="",$B$22=""),0,IFERROR(INDEX('Dán TĐ nhân viên'!$N$1:$N$1500,MATCH("*"&amp;$C$22&amp;"|"&amp;$B$49,'Dán TĐ nhân viên'!$M$1:$M$1500,0)),0))</f>
        <v/>
      </c>
    </row>
    <row r="97">
      <c r="A97" t="n">
        <v>12</v>
      </c>
      <c r="B97">
        <f>B50</f>
        <v/>
      </c>
      <c r="C97">
        <f>IF(OR($B$50="",$B$3=""),0,IFERROR(INDEX('Dán TĐ nhân viên'!$N$1:$N$1500,MATCH("*"&amp;$C$3&amp;"|"&amp;$B$50,'Dán TĐ nhân viên'!$M$1:$M$1500,0)),0))</f>
        <v/>
      </c>
      <c r="D97">
        <f>IF(OR($B$50="",$B$4=""),0,IFERROR(INDEX('Dán TĐ nhân viên'!$N$1:$N$1500,MATCH("*"&amp;$C$4&amp;"|"&amp;$B$50,'Dán TĐ nhân viên'!$M$1:$M$1500,0)),0))</f>
        <v/>
      </c>
      <c r="E97">
        <f>IF(OR($B$50="",$B$5=""),0,IFERROR(INDEX('Dán TĐ nhân viên'!$N$1:$N$1500,MATCH("*"&amp;$C$5&amp;"|"&amp;$B$50,'Dán TĐ nhân viên'!$M$1:$M$1500,0)),0))</f>
        <v/>
      </c>
      <c r="F97">
        <f>IF(OR($B$50="",$B$6=""),0,IFERROR(INDEX('Dán TĐ nhân viên'!$N$1:$N$1500,MATCH("*"&amp;$C$6&amp;"|"&amp;$B$50,'Dán TĐ nhân viên'!$M$1:$M$1500,0)),0))</f>
        <v/>
      </c>
      <c r="G97">
        <f>IF(OR($B$50="",$B$7=""),0,IFERROR(INDEX('Dán TĐ nhân viên'!$N$1:$N$1500,MATCH("*"&amp;$C$7&amp;"|"&amp;$B$50,'Dán TĐ nhân viên'!$M$1:$M$1500,0)),0))</f>
        <v/>
      </c>
      <c r="H97">
        <f>IF(OR($B$50="",$B$8=""),0,IFERROR(INDEX('Dán TĐ nhân viên'!$N$1:$N$1500,MATCH("*"&amp;$C$8&amp;"|"&amp;$B$50,'Dán TĐ nhân viên'!$M$1:$M$1500,0)),0))</f>
        <v/>
      </c>
      <c r="I97">
        <f>IF(OR($B$50="",$B$9=""),0,IFERROR(INDEX('Dán TĐ nhân viên'!$N$1:$N$1500,MATCH("*"&amp;$C$9&amp;"|"&amp;$B$50,'Dán TĐ nhân viên'!$M$1:$M$1500,0)),0))</f>
        <v/>
      </c>
      <c r="J97">
        <f>IF(OR($B$50="",$B$10=""),0,IFERROR(INDEX('Dán TĐ nhân viên'!$N$1:$N$1500,MATCH("*"&amp;$C$10&amp;"|"&amp;$B$50,'Dán TĐ nhân viên'!$M$1:$M$1500,0)),0))</f>
        <v/>
      </c>
      <c r="K97">
        <f>IF(OR($B$50="",$B$11=""),0,IFERROR(INDEX('Dán TĐ nhân viên'!$N$1:$N$1500,MATCH("*"&amp;$C$11&amp;"|"&amp;$B$50,'Dán TĐ nhân viên'!$M$1:$M$1500,0)),0))</f>
        <v/>
      </c>
      <c r="L97">
        <f>IF(OR($B$50="",$B$12=""),0,IFERROR(INDEX('Dán TĐ nhân viên'!$N$1:$N$1500,MATCH("*"&amp;$C$12&amp;"|"&amp;$B$50,'Dán TĐ nhân viên'!$M$1:$M$1500,0)),0))</f>
        <v/>
      </c>
      <c r="M97">
        <f>IF(OR($B$50="",$B$13=""),0,IFERROR(INDEX('Dán TĐ nhân viên'!$N$1:$N$1500,MATCH("*"&amp;$C$13&amp;"|"&amp;$B$50,'Dán TĐ nhân viên'!$M$1:$M$1500,0)),0))</f>
        <v/>
      </c>
      <c r="N97">
        <f>IF(OR($B$50="",$B$14=""),0,IFERROR(INDEX('Dán TĐ nhân viên'!$N$1:$N$1500,MATCH("*"&amp;$C$14&amp;"|"&amp;$B$50,'Dán TĐ nhân viên'!$M$1:$M$1500,0)),0))</f>
        <v/>
      </c>
      <c r="O97">
        <f>IF(OR($B$50="",$B$15=""),0,IFERROR(INDEX('Dán TĐ nhân viên'!$N$1:$N$1500,MATCH("*"&amp;$C$15&amp;"|"&amp;$B$50,'Dán TĐ nhân viên'!$M$1:$M$1500,0)),0))</f>
        <v/>
      </c>
      <c r="P97">
        <f>IF(OR($B$50="",$B$16=""),0,IFERROR(INDEX('Dán TĐ nhân viên'!$N$1:$N$1500,MATCH("*"&amp;$C$16&amp;"|"&amp;$B$50,'Dán TĐ nhân viên'!$M$1:$M$1500,0)),0))</f>
        <v/>
      </c>
      <c r="Q97">
        <f>IF(OR($B$50="",$B$17=""),0,IFERROR(INDEX('Dán TĐ nhân viên'!$N$1:$N$1500,MATCH("*"&amp;$C$17&amp;"|"&amp;$B$50,'Dán TĐ nhân viên'!$M$1:$M$1500,0)),0))</f>
        <v/>
      </c>
      <c r="R97">
        <f>IF(OR($B$50="",$B$18=""),0,IFERROR(INDEX('Dán TĐ nhân viên'!$N$1:$N$1500,MATCH("*"&amp;$C$18&amp;"|"&amp;$B$50,'Dán TĐ nhân viên'!$M$1:$M$1500,0)),0))</f>
        <v/>
      </c>
      <c r="S97">
        <f>IF(OR($B$50="",$B$19=""),0,IFERROR(INDEX('Dán TĐ nhân viên'!$N$1:$N$1500,MATCH("*"&amp;$C$19&amp;"|"&amp;$B$50,'Dán TĐ nhân viên'!$M$1:$M$1500,0)),0))</f>
        <v/>
      </c>
      <c r="T97">
        <f>IF(OR($B$50="",$B$20=""),0,IFERROR(INDEX('Dán TĐ nhân viên'!$N$1:$N$1500,MATCH("*"&amp;$C$20&amp;"|"&amp;$B$50,'Dán TĐ nhân viên'!$M$1:$M$1500,0)),0))</f>
        <v/>
      </c>
      <c r="U97">
        <f>IF(OR($B$50="",$B$21=""),0,IFERROR(INDEX('Dán TĐ nhân viên'!$N$1:$N$1500,MATCH("*"&amp;$C$21&amp;"|"&amp;$B$50,'Dán TĐ nhân viên'!$M$1:$M$1500,0)),0))</f>
        <v/>
      </c>
      <c r="V97">
        <f>IF(OR($B$50="",$B$22=""),0,IFERROR(INDEX('Dán TĐ nhân viên'!$N$1:$N$1500,MATCH("*"&amp;$C$22&amp;"|"&amp;$B$50,'Dán TĐ nhân viên'!$M$1:$M$1500,0)),0))</f>
        <v/>
      </c>
    </row>
    <row r="98">
      <c r="A98" t="n">
        <v>13</v>
      </c>
      <c r="B98">
        <f>B51</f>
        <v/>
      </c>
      <c r="C98">
        <f>IF(OR($B$51="",$B$3=""),0,IFERROR(INDEX('Dán TĐ nhân viên'!$N$1:$N$1500,MATCH("*"&amp;$C$3&amp;"|"&amp;$B$51,'Dán TĐ nhân viên'!$M$1:$M$1500,0)),0))</f>
        <v/>
      </c>
      <c r="D98">
        <f>IF(OR($B$51="",$B$4=""),0,IFERROR(INDEX('Dán TĐ nhân viên'!$N$1:$N$1500,MATCH("*"&amp;$C$4&amp;"|"&amp;$B$51,'Dán TĐ nhân viên'!$M$1:$M$1500,0)),0))</f>
        <v/>
      </c>
      <c r="E98">
        <f>IF(OR($B$51="",$B$5=""),0,IFERROR(INDEX('Dán TĐ nhân viên'!$N$1:$N$1500,MATCH("*"&amp;$C$5&amp;"|"&amp;$B$51,'Dán TĐ nhân viên'!$M$1:$M$1500,0)),0))</f>
        <v/>
      </c>
      <c r="F98">
        <f>IF(OR($B$51="",$B$6=""),0,IFERROR(INDEX('Dán TĐ nhân viên'!$N$1:$N$1500,MATCH("*"&amp;$C$6&amp;"|"&amp;$B$51,'Dán TĐ nhân viên'!$M$1:$M$1500,0)),0))</f>
        <v/>
      </c>
      <c r="G98">
        <f>IF(OR($B$51="",$B$7=""),0,IFERROR(INDEX('Dán TĐ nhân viên'!$N$1:$N$1500,MATCH("*"&amp;$C$7&amp;"|"&amp;$B$51,'Dán TĐ nhân viên'!$M$1:$M$1500,0)),0))</f>
        <v/>
      </c>
      <c r="H98">
        <f>IF(OR($B$51="",$B$8=""),0,IFERROR(INDEX('Dán TĐ nhân viên'!$N$1:$N$1500,MATCH("*"&amp;$C$8&amp;"|"&amp;$B$51,'Dán TĐ nhân viên'!$M$1:$M$1500,0)),0))</f>
        <v/>
      </c>
      <c r="I98">
        <f>IF(OR($B$51="",$B$9=""),0,IFERROR(INDEX('Dán TĐ nhân viên'!$N$1:$N$1500,MATCH("*"&amp;$C$9&amp;"|"&amp;$B$51,'Dán TĐ nhân viên'!$M$1:$M$1500,0)),0))</f>
        <v/>
      </c>
      <c r="J98">
        <f>IF(OR($B$51="",$B$10=""),0,IFERROR(INDEX('Dán TĐ nhân viên'!$N$1:$N$1500,MATCH("*"&amp;$C$10&amp;"|"&amp;$B$51,'Dán TĐ nhân viên'!$M$1:$M$1500,0)),0))</f>
        <v/>
      </c>
      <c r="K98">
        <f>IF(OR($B$51="",$B$11=""),0,IFERROR(INDEX('Dán TĐ nhân viên'!$N$1:$N$1500,MATCH("*"&amp;$C$11&amp;"|"&amp;$B$51,'Dán TĐ nhân viên'!$M$1:$M$1500,0)),0))</f>
        <v/>
      </c>
      <c r="L98">
        <f>IF(OR($B$51="",$B$12=""),0,IFERROR(INDEX('Dán TĐ nhân viên'!$N$1:$N$1500,MATCH("*"&amp;$C$12&amp;"|"&amp;$B$51,'Dán TĐ nhân viên'!$M$1:$M$1500,0)),0))</f>
        <v/>
      </c>
      <c r="M98">
        <f>IF(OR($B$51="",$B$13=""),0,IFERROR(INDEX('Dán TĐ nhân viên'!$N$1:$N$1500,MATCH("*"&amp;$C$13&amp;"|"&amp;$B$51,'Dán TĐ nhân viên'!$M$1:$M$1500,0)),0))</f>
        <v/>
      </c>
      <c r="N98">
        <f>IF(OR($B$51="",$B$14=""),0,IFERROR(INDEX('Dán TĐ nhân viên'!$N$1:$N$1500,MATCH("*"&amp;$C$14&amp;"|"&amp;$B$51,'Dán TĐ nhân viên'!$M$1:$M$1500,0)),0))</f>
        <v/>
      </c>
      <c r="O98">
        <f>IF(OR($B$51="",$B$15=""),0,IFERROR(INDEX('Dán TĐ nhân viên'!$N$1:$N$1500,MATCH("*"&amp;$C$15&amp;"|"&amp;$B$51,'Dán TĐ nhân viên'!$M$1:$M$1500,0)),0))</f>
        <v/>
      </c>
      <c r="P98">
        <f>IF(OR($B$51="",$B$16=""),0,IFERROR(INDEX('Dán TĐ nhân viên'!$N$1:$N$1500,MATCH("*"&amp;$C$16&amp;"|"&amp;$B$51,'Dán TĐ nhân viên'!$M$1:$M$1500,0)),0))</f>
        <v/>
      </c>
      <c r="Q98">
        <f>IF(OR($B$51="",$B$17=""),0,IFERROR(INDEX('Dán TĐ nhân viên'!$N$1:$N$1500,MATCH("*"&amp;$C$17&amp;"|"&amp;$B$51,'Dán TĐ nhân viên'!$M$1:$M$1500,0)),0))</f>
        <v/>
      </c>
      <c r="R98">
        <f>IF(OR($B$51="",$B$18=""),0,IFERROR(INDEX('Dán TĐ nhân viên'!$N$1:$N$1500,MATCH("*"&amp;$C$18&amp;"|"&amp;$B$51,'Dán TĐ nhân viên'!$M$1:$M$1500,0)),0))</f>
        <v/>
      </c>
      <c r="S98">
        <f>IF(OR($B$51="",$B$19=""),0,IFERROR(INDEX('Dán TĐ nhân viên'!$N$1:$N$1500,MATCH("*"&amp;$C$19&amp;"|"&amp;$B$51,'Dán TĐ nhân viên'!$M$1:$M$1500,0)),0))</f>
        <v/>
      </c>
      <c r="T98">
        <f>IF(OR($B$51="",$B$20=""),0,IFERROR(INDEX('Dán TĐ nhân viên'!$N$1:$N$1500,MATCH("*"&amp;$C$20&amp;"|"&amp;$B$51,'Dán TĐ nhân viên'!$M$1:$M$1500,0)),0))</f>
        <v/>
      </c>
      <c r="U98">
        <f>IF(OR($B$51="",$B$21=""),0,IFERROR(INDEX('Dán TĐ nhân viên'!$N$1:$N$1500,MATCH("*"&amp;$C$21&amp;"|"&amp;$B$51,'Dán TĐ nhân viên'!$M$1:$M$1500,0)),0))</f>
        <v/>
      </c>
      <c r="V98">
        <f>IF(OR($B$51="",$B$22=""),0,IFERROR(INDEX('Dán TĐ nhân viên'!$N$1:$N$1500,MATCH("*"&amp;$C$22&amp;"|"&amp;$B$51,'Dán TĐ nhân viên'!$M$1:$M$1500,0)),0))</f>
        <v/>
      </c>
    </row>
    <row r="99">
      <c r="A99" t="n">
        <v>14</v>
      </c>
      <c r="B99">
        <f>B52</f>
        <v/>
      </c>
      <c r="C99">
        <f>IF(OR($B$52="",$B$3=""),0,IFERROR(INDEX('Dán TĐ nhân viên'!$N$1:$N$1500,MATCH("*"&amp;$C$3&amp;"|"&amp;$B$52,'Dán TĐ nhân viên'!$M$1:$M$1500,0)),0))</f>
        <v/>
      </c>
      <c r="D99">
        <f>IF(OR($B$52="",$B$4=""),0,IFERROR(INDEX('Dán TĐ nhân viên'!$N$1:$N$1500,MATCH("*"&amp;$C$4&amp;"|"&amp;$B$52,'Dán TĐ nhân viên'!$M$1:$M$1500,0)),0))</f>
        <v/>
      </c>
      <c r="E99">
        <f>IF(OR($B$52="",$B$5=""),0,IFERROR(INDEX('Dán TĐ nhân viên'!$N$1:$N$1500,MATCH("*"&amp;$C$5&amp;"|"&amp;$B$52,'Dán TĐ nhân viên'!$M$1:$M$1500,0)),0))</f>
        <v/>
      </c>
      <c r="F99">
        <f>IF(OR($B$52="",$B$6=""),0,IFERROR(INDEX('Dán TĐ nhân viên'!$N$1:$N$1500,MATCH("*"&amp;$C$6&amp;"|"&amp;$B$52,'Dán TĐ nhân viên'!$M$1:$M$1500,0)),0))</f>
        <v/>
      </c>
      <c r="G99">
        <f>IF(OR($B$52="",$B$7=""),0,IFERROR(INDEX('Dán TĐ nhân viên'!$N$1:$N$1500,MATCH("*"&amp;$C$7&amp;"|"&amp;$B$52,'Dán TĐ nhân viên'!$M$1:$M$1500,0)),0))</f>
        <v/>
      </c>
      <c r="H99">
        <f>IF(OR($B$52="",$B$8=""),0,IFERROR(INDEX('Dán TĐ nhân viên'!$N$1:$N$1500,MATCH("*"&amp;$C$8&amp;"|"&amp;$B$52,'Dán TĐ nhân viên'!$M$1:$M$1500,0)),0))</f>
        <v/>
      </c>
      <c r="I99">
        <f>IF(OR($B$52="",$B$9=""),0,IFERROR(INDEX('Dán TĐ nhân viên'!$N$1:$N$1500,MATCH("*"&amp;$C$9&amp;"|"&amp;$B$52,'Dán TĐ nhân viên'!$M$1:$M$1500,0)),0))</f>
        <v/>
      </c>
      <c r="J99">
        <f>IF(OR($B$52="",$B$10=""),0,IFERROR(INDEX('Dán TĐ nhân viên'!$N$1:$N$1500,MATCH("*"&amp;$C$10&amp;"|"&amp;$B$52,'Dán TĐ nhân viên'!$M$1:$M$1500,0)),0))</f>
        <v/>
      </c>
      <c r="K99">
        <f>IF(OR($B$52="",$B$11=""),0,IFERROR(INDEX('Dán TĐ nhân viên'!$N$1:$N$1500,MATCH("*"&amp;$C$11&amp;"|"&amp;$B$52,'Dán TĐ nhân viên'!$M$1:$M$1500,0)),0))</f>
        <v/>
      </c>
      <c r="L99">
        <f>IF(OR($B$52="",$B$12=""),0,IFERROR(INDEX('Dán TĐ nhân viên'!$N$1:$N$1500,MATCH("*"&amp;$C$12&amp;"|"&amp;$B$52,'Dán TĐ nhân viên'!$M$1:$M$1500,0)),0))</f>
        <v/>
      </c>
      <c r="M99">
        <f>IF(OR($B$52="",$B$13=""),0,IFERROR(INDEX('Dán TĐ nhân viên'!$N$1:$N$1500,MATCH("*"&amp;$C$13&amp;"|"&amp;$B$52,'Dán TĐ nhân viên'!$M$1:$M$1500,0)),0))</f>
        <v/>
      </c>
      <c r="N99">
        <f>IF(OR($B$52="",$B$14=""),0,IFERROR(INDEX('Dán TĐ nhân viên'!$N$1:$N$1500,MATCH("*"&amp;$C$14&amp;"|"&amp;$B$52,'Dán TĐ nhân viên'!$M$1:$M$1500,0)),0))</f>
        <v/>
      </c>
      <c r="O99">
        <f>IF(OR($B$52="",$B$15=""),0,IFERROR(INDEX('Dán TĐ nhân viên'!$N$1:$N$1500,MATCH("*"&amp;$C$15&amp;"|"&amp;$B$52,'Dán TĐ nhân viên'!$M$1:$M$1500,0)),0))</f>
        <v/>
      </c>
      <c r="P99">
        <f>IF(OR($B$52="",$B$16=""),0,IFERROR(INDEX('Dán TĐ nhân viên'!$N$1:$N$1500,MATCH("*"&amp;$C$16&amp;"|"&amp;$B$52,'Dán TĐ nhân viên'!$M$1:$M$1500,0)),0))</f>
        <v/>
      </c>
      <c r="Q99">
        <f>IF(OR($B$52="",$B$17=""),0,IFERROR(INDEX('Dán TĐ nhân viên'!$N$1:$N$1500,MATCH("*"&amp;$C$17&amp;"|"&amp;$B$52,'Dán TĐ nhân viên'!$M$1:$M$1500,0)),0))</f>
        <v/>
      </c>
      <c r="R99">
        <f>IF(OR($B$52="",$B$18=""),0,IFERROR(INDEX('Dán TĐ nhân viên'!$N$1:$N$1500,MATCH("*"&amp;$C$18&amp;"|"&amp;$B$52,'Dán TĐ nhân viên'!$M$1:$M$1500,0)),0))</f>
        <v/>
      </c>
      <c r="S99">
        <f>IF(OR($B$52="",$B$19=""),0,IFERROR(INDEX('Dán TĐ nhân viên'!$N$1:$N$1500,MATCH("*"&amp;$C$19&amp;"|"&amp;$B$52,'Dán TĐ nhân viên'!$M$1:$M$1500,0)),0))</f>
        <v/>
      </c>
      <c r="T99">
        <f>IF(OR($B$52="",$B$20=""),0,IFERROR(INDEX('Dán TĐ nhân viên'!$N$1:$N$1500,MATCH("*"&amp;$C$20&amp;"|"&amp;$B$52,'Dán TĐ nhân viên'!$M$1:$M$1500,0)),0))</f>
        <v/>
      </c>
      <c r="U99">
        <f>IF(OR($B$52="",$B$21=""),0,IFERROR(INDEX('Dán TĐ nhân viên'!$N$1:$N$1500,MATCH("*"&amp;$C$21&amp;"|"&amp;$B$52,'Dán TĐ nhân viên'!$M$1:$M$1500,0)),0))</f>
        <v/>
      </c>
      <c r="V99">
        <f>IF(OR($B$52="",$B$22=""),0,IFERROR(INDEX('Dán TĐ nhân viên'!$N$1:$N$1500,MATCH("*"&amp;$C$22&amp;"|"&amp;$B$52,'Dán TĐ nhân viên'!$M$1:$M$1500,0)),0))</f>
        <v/>
      </c>
    </row>
    <row r="100">
      <c r="A100" t="n">
        <v>15</v>
      </c>
      <c r="B100">
        <f>B53</f>
        <v/>
      </c>
      <c r="C100">
        <f>IF(OR($B$53="",$B$3=""),0,IFERROR(INDEX('Dán TĐ nhân viên'!$N$1:$N$1500,MATCH("*"&amp;$C$3&amp;"|"&amp;$B$53,'Dán TĐ nhân viên'!$M$1:$M$1500,0)),0))</f>
        <v/>
      </c>
      <c r="D100">
        <f>IF(OR($B$53="",$B$4=""),0,IFERROR(INDEX('Dán TĐ nhân viên'!$N$1:$N$1500,MATCH("*"&amp;$C$4&amp;"|"&amp;$B$53,'Dán TĐ nhân viên'!$M$1:$M$1500,0)),0))</f>
        <v/>
      </c>
      <c r="E100">
        <f>IF(OR($B$53="",$B$5=""),0,IFERROR(INDEX('Dán TĐ nhân viên'!$N$1:$N$1500,MATCH("*"&amp;$C$5&amp;"|"&amp;$B$53,'Dán TĐ nhân viên'!$M$1:$M$1500,0)),0))</f>
        <v/>
      </c>
      <c r="F100">
        <f>IF(OR($B$53="",$B$6=""),0,IFERROR(INDEX('Dán TĐ nhân viên'!$N$1:$N$1500,MATCH("*"&amp;$C$6&amp;"|"&amp;$B$53,'Dán TĐ nhân viên'!$M$1:$M$1500,0)),0))</f>
        <v/>
      </c>
      <c r="G100">
        <f>IF(OR($B$53="",$B$7=""),0,IFERROR(INDEX('Dán TĐ nhân viên'!$N$1:$N$1500,MATCH("*"&amp;$C$7&amp;"|"&amp;$B$53,'Dán TĐ nhân viên'!$M$1:$M$1500,0)),0))</f>
        <v/>
      </c>
      <c r="H100">
        <f>IF(OR($B$53="",$B$8=""),0,IFERROR(INDEX('Dán TĐ nhân viên'!$N$1:$N$1500,MATCH("*"&amp;$C$8&amp;"|"&amp;$B$53,'Dán TĐ nhân viên'!$M$1:$M$1500,0)),0))</f>
        <v/>
      </c>
      <c r="I100">
        <f>IF(OR($B$53="",$B$9=""),0,IFERROR(INDEX('Dán TĐ nhân viên'!$N$1:$N$1500,MATCH("*"&amp;$C$9&amp;"|"&amp;$B$53,'Dán TĐ nhân viên'!$M$1:$M$1500,0)),0))</f>
        <v/>
      </c>
      <c r="J100">
        <f>IF(OR($B$53="",$B$10=""),0,IFERROR(INDEX('Dán TĐ nhân viên'!$N$1:$N$1500,MATCH("*"&amp;$C$10&amp;"|"&amp;$B$53,'Dán TĐ nhân viên'!$M$1:$M$1500,0)),0))</f>
        <v/>
      </c>
      <c r="K100">
        <f>IF(OR($B$53="",$B$11=""),0,IFERROR(INDEX('Dán TĐ nhân viên'!$N$1:$N$1500,MATCH("*"&amp;$C$11&amp;"|"&amp;$B$53,'Dán TĐ nhân viên'!$M$1:$M$1500,0)),0))</f>
        <v/>
      </c>
      <c r="L100">
        <f>IF(OR($B$53="",$B$12=""),0,IFERROR(INDEX('Dán TĐ nhân viên'!$N$1:$N$1500,MATCH("*"&amp;$C$12&amp;"|"&amp;$B$53,'Dán TĐ nhân viên'!$M$1:$M$1500,0)),0))</f>
        <v/>
      </c>
      <c r="M100">
        <f>IF(OR($B$53="",$B$13=""),0,IFERROR(INDEX('Dán TĐ nhân viên'!$N$1:$N$1500,MATCH("*"&amp;$C$13&amp;"|"&amp;$B$53,'Dán TĐ nhân viên'!$M$1:$M$1500,0)),0))</f>
        <v/>
      </c>
      <c r="N100">
        <f>IF(OR($B$53="",$B$14=""),0,IFERROR(INDEX('Dán TĐ nhân viên'!$N$1:$N$1500,MATCH("*"&amp;$C$14&amp;"|"&amp;$B$53,'Dán TĐ nhân viên'!$M$1:$M$1500,0)),0))</f>
        <v/>
      </c>
      <c r="O100">
        <f>IF(OR($B$53="",$B$15=""),0,IFERROR(INDEX('Dán TĐ nhân viên'!$N$1:$N$1500,MATCH("*"&amp;$C$15&amp;"|"&amp;$B$53,'Dán TĐ nhân viên'!$M$1:$M$1500,0)),0))</f>
        <v/>
      </c>
      <c r="P100">
        <f>IF(OR($B$53="",$B$16=""),0,IFERROR(INDEX('Dán TĐ nhân viên'!$N$1:$N$1500,MATCH("*"&amp;$C$16&amp;"|"&amp;$B$53,'Dán TĐ nhân viên'!$M$1:$M$1500,0)),0))</f>
        <v/>
      </c>
      <c r="Q100">
        <f>IF(OR($B$53="",$B$17=""),0,IFERROR(INDEX('Dán TĐ nhân viên'!$N$1:$N$1500,MATCH("*"&amp;$C$17&amp;"|"&amp;$B$53,'Dán TĐ nhân viên'!$M$1:$M$1500,0)),0))</f>
        <v/>
      </c>
      <c r="R100">
        <f>IF(OR($B$53="",$B$18=""),0,IFERROR(INDEX('Dán TĐ nhân viên'!$N$1:$N$1500,MATCH("*"&amp;$C$18&amp;"|"&amp;$B$53,'Dán TĐ nhân viên'!$M$1:$M$1500,0)),0))</f>
        <v/>
      </c>
      <c r="S100">
        <f>IF(OR($B$53="",$B$19=""),0,IFERROR(INDEX('Dán TĐ nhân viên'!$N$1:$N$1500,MATCH("*"&amp;$C$19&amp;"|"&amp;$B$53,'Dán TĐ nhân viên'!$M$1:$M$1500,0)),0))</f>
        <v/>
      </c>
      <c r="T100">
        <f>IF(OR($B$53="",$B$20=""),0,IFERROR(INDEX('Dán TĐ nhân viên'!$N$1:$N$1500,MATCH("*"&amp;$C$20&amp;"|"&amp;$B$53,'Dán TĐ nhân viên'!$M$1:$M$1500,0)),0))</f>
        <v/>
      </c>
      <c r="U100">
        <f>IF(OR($B$53="",$B$21=""),0,IFERROR(INDEX('Dán TĐ nhân viên'!$N$1:$N$1500,MATCH("*"&amp;$C$21&amp;"|"&amp;$B$53,'Dán TĐ nhân viên'!$M$1:$M$1500,0)),0))</f>
        <v/>
      </c>
      <c r="V100">
        <f>IF(OR($B$53="",$B$22=""),0,IFERROR(INDEX('Dán TĐ nhân viên'!$N$1:$N$1500,MATCH("*"&amp;$C$22&amp;"|"&amp;$B$53,'Dán TĐ nhân viên'!$M$1:$M$1500,0)),0))</f>
        <v/>
      </c>
    </row>
    <row r="101">
      <c r="A101" t="n">
        <v>16</v>
      </c>
      <c r="B101">
        <f>B54</f>
        <v/>
      </c>
      <c r="C101">
        <f>IF(OR($B$54="",$B$3=""),0,IFERROR(INDEX('Dán TĐ nhân viên'!$N$1:$N$1500,MATCH("*"&amp;$C$3&amp;"|"&amp;$B$54,'Dán TĐ nhân viên'!$M$1:$M$1500,0)),0))</f>
        <v/>
      </c>
      <c r="D101">
        <f>IF(OR($B$54="",$B$4=""),0,IFERROR(INDEX('Dán TĐ nhân viên'!$N$1:$N$1500,MATCH("*"&amp;$C$4&amp;"|"&amp;$B$54,'Dán TĐ nhân viên'!$M$1:$M$1500,0)),0))</f>
        <v/>
      </c>
      <c r="E101">
        <f>IF(OR($B$54="",$B$5=""),0,IFERROR(INDEX('Dán TĐ nhân viên'!$N$1:$N$1500,MATCH("*"&amp;$C$5&amp;"|"&amp;$B$54,'Dán TĐ nhân viên'!$M$1:$M$1500,0)),0))</f>
        <v/>
      </c>
      <c r="F101">
        <f>IF(OR($B$54="",$B$6=""),0,IFERROR(INDEX('Dán TĐ nhân viên'!$N$1:$N$1500,MATCH("*"&amp;$C$6&amp;"|"&amp;$B$54,'Dán TĐ nhân viên'!$M$1:$M$1500,0)),0))</f>
        <v/>
      </c>
      <c r="G101">
        <f>IF(OR($B$54="",$B$7=""),0,IFERROR(INDEX('Dán TĐ nhân viên'!$N$1:$N$1500,MATCH("*"&amp;$C$7&amp;"|"&amp;$B$54,'Dán TĐ nhân viên'!$M$1:$M$1500,0)),0))</f>
        <v/>
      </c>
      <c r="H101">
        <f>IF(OR($B$54="",$B$8=""),0,IFERROR(INDEX('Dán TĐ nhân viên'!$N$1:$N$1500,MATCH("*"&amp;$C$8&amp;"|"&amp;$B$54,'Dán TĐ nhân viên'!$M$1:$M$1500,0)),0))</f>
        <v/>
      </c>
      <c r="I101">
        <f>IF(OR($B$54="",$B$9=""),0,IFERROR(INDEX('Dán TĐ nhân viên'!$N$1:$N$1500,MATCH("*"&amp;$C$9&amp;"|"&amp;$B$54,'Dán TĐ nhân viên'!$M$1:$M$1500,0)),0))</f>
        <v/>
      </c>
      <c r="J101">
        <f>IF(OR($B$54="",$B$10=""),0,IFERROR(INDEX('Dán TĐ nhân viên'!$N$1:$N$1500,MATCH("*"&amp;$C$10&amp;"|"&amp;$B$54,'Dán TĐ nhân viên'!$M$1:$M$1500,0)),0))</f>
        <v/>
      </c>
      <c r="K101">
        <f>IF(OR($B$54="",$B$11=""),0,IFERROR(INDEX('Dán TĐ nhân viên'!$N$1:$N$1500,MATCH("*"&amp;$C$11&amp;"|"&amp;$B$54,'Dán TĐ nhân viên'!$M$1:$M$1500,0)),0))</f>
        <v/>
      </c>
      <c r="L101">
        <f>IF(OR($B$54="",$B$12=""),0,IFERROR(INDEX('Dán TĐ nhân viên'!$N$1:$N$1500,MATCH("*"&amp;$C$12&amp;"|"&amp;$B$54,'Dán TĐ nhân viên'!$M$1:$M$1500,0)),0))</f>
        <v/>
      </c>
      <c r="M101">
        <f>IF(OR($B$54="",$B$13=""),0,IFERROR(INDEX('Dán TĐ nhân viên'!$N$1:$N$1500,MATCH("*"&amp;$C$13&amp;"|"&amp;$B$54,'Dán TĐ nhân viên'!$M$1:$M$1500,0)),0))</f>
        <v/>
      </c>
      <c r="N101">
        <f>IF(OR($B$54="",$B$14=""),0,IFERROR(INDEX('Dán TĐ nhân viên'!$N$1:$N$1500,MATCH("*"&amp;$C$14&amp;"|"&amp;$B$54,'Dán TĐ nhân viên'!$M$1:$M$1500,0)),0))</f>
        <v/>
      </c>
      <c r="O101">
        <f>IF(OR($B$54="",$B$15=""),0,IFERROR(INDEX('Dán TĐ nhân viên'!$N$1:$N$1500,MATCH("*"&amp;$C$15&amp;"|"&amp;$B$54,'Dán TĐ nhân viên'!$M$1:$M$1500,0)),0))</f>
        <v/>
      </c>
      <c r="P101">
        <f>IF(OR($B$54="",$B$16=""),0,IFERROR(INDEX('Dán TĐ nhân viên'!$N$1:$N$1500,MATCH("*"&amp;$C$16&amp;"|"&amp;$B$54,'Dán TĐ nhân viên'!$M$1:$M$1500,0)),0))</f>
        <v/>
      </c>
      <c r="Q101">
        <f>IF(OR($B$54="",$B$17=""),0,IFERROR(INDEX('Dán TĐ nhân viên'!$N$1:$N$1500,MATCH("*"&amp;$C$17&amp;"|"&amp;$B$54,'Dán TĐ nhân viên'!$M$1:$M$1500,0)),0))</f>
        <v/>
      </c>
      <c r="R101">
        <f>IF(OR($B$54="",$B$18=""),0,IFERROR(INDEX('Dán TĐ nhân viên'!$N$1:$N$1500,MATCH("*"&amp;$C$18&amp;"|"&amp;$B$54,'Dán TĐ nhân viên'!$M$1:$M$1500,0)),0))</f>
        <v/>
      </c>
      <c r="S101">
        <f>IF(OR($B$54="",$B$19=""),0,IFERROR(INDEX('Dán TĐ nhân viên'!$N$1:$N$1500,MATCH("*"&amp;$C$19&amp;"|"&amp;$B$54,'Dán TĐ nhân viên'!$M$1:$M$1500,0)),0))</f>
        <v/>
      </c>
      <c r="T101">
        <f>IF(OR($B$54="",$B$20=""),0,IFERROR(INDEX('Dán TĐ nhân viên'!$N$1:$N$1500,MATCH("*"&amp;$C$20&amp;"|"&amp;$B$54,'Dán TĐ nhân viên'!$M$1:$M$1500,0)),0))</f>
        <v/>
      </c>
      <c r="U101">
        <f>IF(OR($B$54="",$B$21=""),0,IFERROR(INDEX('Dán TĐ nhân viên'!$N$1:$N$1500,MATCH("*"&amp;$C$21&amp;"|"&amp;$B$54,'Dán TĐ nhân viên'!$M$1:$M$1500,0)),0))</f>
        <v/>
      </c>
      <c r="V101">
        <f>IF(OR($B$54="",$B$22=""),0,IFERROR(INDEX('Dán TĐ nhân viên'!$N$1:$N$1500,MATCH("*"&amp;$C$22&amp;"|"&amp;$B$54,'Dán TĐ nhân viên'!$M$1:$M$1500,0)),0))</f>
        <v/>
      </c>
    </row>
    <row r="102">
      <c r="A102" t="n">
        <v>17</v>
      </c>
      <c r="B102">
        <f>B55</f>
        <v/>
      </c>
      <c r="C102">
        <f>IF(OR($B$55="",$B$3=""),0,IFERROR(INDEX('Dán TĐ nhân viên'!$N$1:$N$1500,MATCH("*"&amp;$C$3&amp;"|"&amp;$B$55,'Dán TĐ nhân viên'!$M$1:$M$1500,0)),0))</f>
        <v/>
      </c>
      <c r="D102">
        <f>IF(OR($B$55="",$B$4=""),0,IFERROR(INDEX('Dán TĐ nhân viên'!$N$1:$N$1500,MATCH("*"&amp;$C$4&amp;"|"&amp;$B$55,'Dán TĐ nhân viên'!$M$1:$M$1500,0)),0))</f>
        <v/>
      </c>
      <c r="E102">
        <f>IF(OR($B$55="",$B$5=""),0,IFERROR(INDEX('Dán TĐ nhân viên'!$N$1:$N$1500,MATCH("*"&amp;$C$5&amp;"|"&amp;$B$55,'Dán TĐ nhân viên'!$M$1:$M$1500,0)),0))</f>
        <v/>
      </c>
      <c r="F102">
        <f>IF(OR($B$55="",$B$6=""),0,IFERROR(INDEX('Dán TĐ nhân viên'!$N$1:$N$1500,MATCH("*"&amp;$C$6&amp;"|"&amp;$B$55,'Dán TĐ nhân viên'!$M$1:$M$1500,0)),0))</f>
        <v/>
      </c>
      <c r="G102">
        <f>IF(OR($B$55="",$B$7=""),0,IFERROR(INDEX('Dán TĐ nhân viên'!$N$1:$N$1500,MATCH("*"&amp;$C$7&amp;"|"&amp;$B$55,'Dán TĐ nhân viên'!$M$1:$M$1500,0)),0))</f>
        <v/>
      </c>
      <c r="H102">
        <f>IF(OR($B$55="",$B$8=""),0,IFERROR(INDEX('Dán TĐ nhân viên'!$N$1:$N$1500,MATCH("*"&amp;$C$8&amp;"|"&amp;$B$55,'Dán TĐ nhân viên'!$M$1:$M$1500,0)),0))</f>
        <v/>
      </c>
      <c r="I102">
        <f>IF(OR($B$55="",$B$9=""),0,IFERROR(INDEX('Dán TĐ nhân viên'!$N$1:$N$1500,MATCH("*"&amp;$C$9&amp;"|"&amp;$B$55,'Dán TĐ nhân viên'!$M$1:$M$1500,0)),0))</f>
        <v/>
      </c>
      <c r="J102">
        <f>IF(OR($B$55="",$B$10=""),0,IFERROR(INDEX('Dán TĐ nhân viên'!$N$1:$N$1500,MATCH("*"&amp;$C$10&amp;"|"&amp;$B$55,'Dán TĐ nhân viên'!$M$1:$M$1500,0)),0))</f>
        <v/>
      </c>
      <c r="K102">
        <f>IF(OR($B$55="",$B$11=""),0,IFERROR(INDEX('Dán TĐ nhân viên'!$N$1:$N$1500,MATCH("*"&amp;$C$11&amp;"|"&amp;$B$55,'Dán TĐ nhân viên'!$M$1:$M$1500,0)),0))</f>
        <v/>
      </c>
      <c r="L102">
        <f>IF(OR($B$55="",$B$12=""),0,IFERROR(INDEX('Dán TĐ nhân viên'!$N$1:$N$1500,MATCH("*"&amp;$C$12&amp;"|"&amp;$B$55,'Dán TĐ nhân viên'!$M$1:$M$1500,0)),0))</f>
        <v/>
      </c>
      <c r="M102">
        <f>IF(OR($B$55="",$B$13=""),0,IFERROR(INDEX('Dán TĐ nhân viên'!$N$1:$N$1500,MATCH("*"&amp;$C$13&amp;"|"&amp;$B$55,'Dán TĐ nhân viên'!$M$1:$M$1500,0)),0))</f>
        <v/>
      </c>
      <c r="N102">
        <f>IF(OR($B$55="",$B$14=""),0,IFERROR(INDEX('Dán TĐ nhân viên'!$N$1:$N$1500,MATCH("*"&amp;$C$14&amp;"|"&amp;$B$55,'Dán TĐ nhân viên'!$M$1:$M$1500,0)),0))</f>
        <v/>
      </c>
      <c r="O102">
        <f>IF(OR($B$55="",$B$15=""),0,IFERROR(INDEX('Dán TĐ nhân viên'!$N$1:$N$1500,MATCH("*"&amp;$C$15&amp;"|"&amp;$B$55,'Dán TĐ nhân viên'!$M$1:$M$1500,0)),0))</f>
        <v/>
      </c>
      <c r="P102">
        <f>IF(OR($B$55="",$B$16=""),0,IFERROR(INDEX('Dán TĐ nhân viên'!$N$1:$N$1500,MATCH("*"&amp;$C$16&amp;"|"&amp;$B$55,'Dán TĐ nhân viên'!$M$1:$M$1500,0)),0))</f>
        <v/>
      </c>
      <c r="Q102">
        <f>IF(OR($B$55="",$B$17=""),0,IFERROR(INDEX('Dán TĐ nhân viên'!$N$1:$N$1500,MATCH("*"&amp;$C$17&amp;"|"&amp;$B$55,'Dán TĐ nhân viên'!$M$1:$M$1500,0)),0))</f>
        <v/>
      </c>
      <c r="R102">
        <f>IF(OR($B$55="",$B$18=""),0,IFERROR(INDEX('Dán TĐ nhân viên'!$N$1:$N$1500,MATCH("*"&amp;$C$18&amp;"|"&amp;$B$55,'Dán TĐ nhân viên'!$M$1:$M$1500,0)),0))</f>
        <v/>
      </c>
      <c r="S102">
        <f>IF(OR($B$55="",$B$19=""),0,IFERROR(INDEX('Dán TĐ nhân viên'!$N$1:$N$1500,MATCH("*"&amp;$C$19&amp;"|"&amp;$B$55,'Dán TĐ nhân viên'!$M$1:$M$1500,0)),0))</f>
        <v/>
      </c>
      <c r="T102">
        <f>IF(OR($B$55="",$B$20=""),0,IFERROR(INDEX('Dán TĐ nhân viên'!$N$1:$N$1500,MATCH("*"&amp;$C$20&amp;"|"&amp;$B$55,'Dán TĐ nhân viên'!$M$1:$M$1500,0)),0))</f>
        <v/>
      </c>
      <c r="U102">
        <f>IF(OR($B$55="",$B$21=""),0,IFERROR(INDEX('Dán TĐ nhân viên'!$N$1:$N$1500,MATCH("*"&amp;$C$21&amp;"|"&amp;$B$55,'Dán TĐ nhân viên'!$M$1:$M$1500,0)),0))</f>
        <v/>
      </c>
      <c r="V102">
        <f>IF(OR($B$55="",$B$22=""),0,IFERROR(INDEX('Dán TĐ nhân viên'!$N$1:$N$1500,MATCH("*"&amp;$C$22&amp;"|"&amp;$B$55,'Dán TĐ nhân viên'!$M$1:$M$1500,0)),0))</f>
        <v/>
      </c>
    </row>
    <row r="103">
      <c r="A103" t="n">
        <v>18</v>
      </c>
      <c r="B103">
        <f>B56</f>
        <v/>
      </c>
      <c r="C103">
        <f>IF(OR($B$56="",$B$3=""),0,IFERROR(INDEX('Dán TĐ nhân viên'!$N$1:$N$1500,MATCH("*"&amp;$C$3&amp;"|"&amp;$B$56,'Dán TĐ nhân viên'!$M$1:$M$1500,0)),0))</f>
        <v/>
      </c>
      <c r="D103">
        <f>IF(OR($B$56="",$B$4=""),0,IFERROR(INDEX('Dán TĐ nhân viên'!$N$1:$N$1500,MATCH("*"&amp;$C$4&amp;"|"&amp;$B$56,'Dán TĐ nhân viên'!$M$1:$M$1500,0)),0))</f>
        <v/>
      </c>
      <c r="E103">
        <f>IF(OR($B$56="",$B$5=""),0,IFERROR(INDEX('Dán TĐ nhân viên'!$N$1:$N$1500,MATCH("*"&amp;$C$5&amp;"|"&amp;$B$56,'Dán TĐ nhân viên'!$M$1:$M$1500,0)),0))</f>
        <v/>
      </c>
      <c r="F103">
        <f>IF(OR($B$56="",$B$6=""),0,IFERROR(INDEX('Dán TĐ nhân viên'!$N$1:$N$1500,MATCH("*"&amp;$C$6&amp;"|"&amp;$B$56,'Dán TĐ nhân viên'!$M$1:$M$1500,0)),0))</f>
        <v/>
      </c>
      <c r="G103">
        <f>IF(OR($B$56="",$B$7=""),0,IFERROR(INDEX('Dán TĐ nhân viên'!$N$1:$N$1500,MATCH("*"&amp;$C$7&amp;"|"&amp;$B$56,'Dán TĐ nhân viên'!$M$1:$M$1500,0)),0))</f>
        <v/>
      </c>
      <c r="H103">
        <f>IF(OR($B$56="",$B$8=""),0,IFERROR(INDEX('Dán TĐ nhân viên'!$N$1:$N$1500,MATCH("*"&amp;$C$8&amp;"|"&amp;$B$56,'Dán TĐ nhân viên'!$M$1:$M$1500,0)),0))</f>
        <v/>
      </c>
      <c r="I103">
        <f>IF(OR($B$56="",$B$9=""),0,IFERROR(INDEX('Dán TĐ nhân viên'!$N$1:$N$1500,MATCH("*"&amp;$C$9&amp;"|"&amp;$B$56,'Dán TĐ nhân viên'!$M$1:$M$1500,0)),0))</f>
        <v/>
      </c>
      <c r="J103">
        <f>IF(OR($B$56="",$B$10=""),0,IFERROR(INDEX('Dán TĐ nhân viên'!$N$1:$N$1500,MATCH("*"&amp;$C$10&amp;"|"&amp;$B$56,'Dán TĐ nhân viên'!$M$1:$M$1500,0)),0))</f>
        <v/>
      </c>
      <c r="K103">
        <f>IF(OR($B$56="",$B$11=""),0,IFERROR(INDEX('Dán TĐ nhân viên'!$N$1:$N$1500,MATCH("*"&amp;$C$11&amp;"|"&amp;$B$56,'Dán TĐ nhân viên'!$M$1:$M$1500,0)),0))</f>
        <v/>
      </c>
      <c r="L103">
        <f>IF(OR($B$56="",$B$12=""),0,IFERROR(INDEX('Dán TĐ nhân viên'!$N$1:$N$1500,MATCH("*"&amp;$C$12&amp;"|"&amp;$B$56,'Dán TĐ nhân viên'!$M$1:$M$1500,0)),0))</f>
        <v/>
      </c>
      <c r="M103">
        <f>IF(OR($B$56="",$B$13=""),0,IFERROR(INDEX('Dán TĐ nhân viên'!$N$1:$N$1500,MATCH("*"&amp;$C$13&amp;"|"&amp;$B$56,'Dán TĐ nhân viên'!$M$1:$M$1500,0)),0))</f>
        <v/>
      </c>
      <c r="N103">
        <f>IF(OR($B$56="",$B$14=""),0,IFERROR(INDEX('Dán TĐ nhân viên'!$N$1:$N$1500,MATCH("*"&amp;$C$14&amp;"|"&amp;$B$56,'Dán TĐ nhân viên'!$M$1:$M$1500,0)),0))</f>
        <v/>
      </c>
      <c r="O103">
        <f>IF(OR($B$56="",$B$15=""),0,IFERROR(INDEX('Dán TĐ nhân viên'!$N$1:$N$1500,MATCH("*"&amp;$C$15&amp;"|"&amp;$B$56,'Dán TĐ nhân viên'!$M$1:$M$1500,0)),0))</f>
        <v/>
      </c>
      <c r="P103">
        <f>IF(OR($B$56="",$B$16=""),0,IFERROR(INDEX('Dán TĐ nhân viên'!$N$1:$N$1500,MATCH("*"&amp;$C$16&amp;"|"&amp;$B$56,'Dán TĐ nhân viên'!$M$1:$M$1500,0)),0))</f>
        <v/>
      </c>
      <c r="Q103">
        <f>IF(OR($B$56="",$B$17=""),0,IFERROR(INDEX('Dán TĐ nhân viên'!$N$1:$N$1500,MATCH("*"&amp;$C$17&amp;"|"&amp;$B$56,'Dán TĐ nhân viên'!$M$1:$M$1500,0)),0))</f>
        <v/>
      </c>
      <c r="R103">
        <f>IF(OR($B$56="",$B$18=""),0,IFERROR(INDEX('Dán TĐ nhân viên'!$N$1:$N$1500,MATCH("*"&amp;$C$18&amp;"|"&amp;$B$56,'Dán TĐ nhân viên'!$M$1:$M$1500,0)),0))</f>
        <v/>
      </c>
      <c r="S103">
        <f>IF(OR($B$56="",$B$19=""),0,IFERROR(INDEX('Dán TĐ nhân viên'!$N$1:$N$1500,MATCH("*"&amp;$C$19&amp;"|"&amp;$B$56,'Dán TĐ nhân viên'!$M$1:$M$1500,0)),0))</f>
        <v/>
      </c>
      <c r="T103">
        <f>IF(OR($B$56="",$B$20=""),0,IFERROR(INDEX('Dán TĐ nhân viên'!$N$1:$N$1500,MATCH("*"&amp;$C$20&amp;"|"&amp;$B$56,'Dán TĐ nhân viên'!$M$1:$M$1500,0)),0))</f>
        <v/>
      </c>
      <c r="U103">
        <f>IF(OR($B$56="",$B$21=""),0,IFERROR(INDEX('Dán TĐ nhân viên'!$N$1:$N$1500,MATCH("*"&amp;$C$21&amp;"|"&amp;$B$56,'Dán TĐ nhân viên'!$M$1:$M$1500,0)),0))</f>
        <v/>
      </c>
      <c r="V103">
        <f>IF(OR($B$56="",$B$22=""),0,IFERROR(INDEX('Dán TĐ nhân viên'!$N$1:$N$1500,MATCH("*"&amp;$C$22&amp;"|"&amp;$B$56,'Dán TĐ nhân viên'!$M$1:$M$1500,0)),0))</f>
        <v/>
      </c>
    </row>
    <row r="104">
      <c r="A104" t="n">
        <v>19</v>
      </c>
      <c r="B104">
        <f>B57</f>
        <v/>
      </c>
      <c r="C104">
        <f>IF(OR($B$57="",$B$3=""),0,IFERROR(INDEX('Dán TĐ nhân viên'!$N$1:$N$1500,MATCH("*"&amp;$C$3&amp;"|"&amp;$B$57,'Dán TĐ nhân viên'!$M$1:$M$1500,0)),0))</f>
        <v/>
      </c>
      <c r="D104">
        <f>IF(OR($B$57="",$B$4=""),0,IFERROR(INDEX('Dán TĐ nhân viên'!$N$1:$N$1500,MATCH("*"&amp;$C$4&amp;"|"&amp;$B$57,'Dán TĐ nhân viên'!$M$1:$M$1500,0)),0))</f>
        <v/>
      </c>
      <c r="E104">
        <f>IF(OR($B$57="",$B$5=""),0,IFERROR(INDEX('Dán TĐ nhân viên'!$N$1:$N$1500,MATCH("*"&amp;$C$5&amp;"|"&amp;$B$57,'Dán TĐ nhân viên'!$M$1:$M$1500,0)),0))</f>
        <v/>
      </c>
      <c r="F104">
        <f>IF(OR($B$57="",$B$6=""),0,IFERROR(INDEX('Dán TĐ nhân viên'!$N$1:$N$1500,MATCH("*"&amp;$C$6&amp;"|"&amp;$B$57,'Dán TĐ nhân viên'!$M$1:$M$1500,0)),0))</f>
        <v/>
      </c>
      <c r="G104">
        <f>IF(OR($B$57="",$B$7=""),0,IFERROR(INDEX('Dán TĐ nhân viên'!$N$1:$N$1500,MATCH("*"&amp;$C$7&amp;"|"&amp;$B$57,'Dán TĐ nhân viên'!$M$1:$M$1500,0)),0))</f>
        <v/>
      </c>
      <c r="H104">
        <f>IF(OR($B$57="",$B$8=""),0,IFERROR(INDEX('Dán TĐ nhân viên'!$N$1:$N$1500,MATCH("*"&amp;$C$8&amp;"|"&amp;$B$57,'Dán TĐ nhân viên'!$M$1:$M$1500,0)),0))</f>
        <v/>
      </c>
      <c r="I104">
        <f>IF(OR($B$57="",$B$9=""),0,IFERROR(INDEX('Dán TĐ nhân viên'!$N$1:$N$1500,MATCH("*"&amp;$C$9&amp;"|"&amp;$B$57,'Dán TĐ nhân viên'!$M$1:$M$1500,0)),0))</f>
        <v/>
      </c>
      <c r="J104">
        <f>IF(OR($B$57="",$B$10=""),0,IFERROR(INDEX('Dán TĐ nhân viên'!$N$1:$N$1500,MATCH("*"&amp;$C$10&amp;"|"&amp;$B$57,'Dán TĐ nhân viên'!$M$1:$M$1500,0)),0))</f>
        <v/>
      </c>
      <c r="K104">
        <f>IF(OR($B$57="",$B$11=""),0,IFERROR(INDEX('Dán TĐ nhân viên'!$N$1:$N$1500,MATCH("*"&amp;$C$11&amp;"|"&amp;$B$57,'Dán TĐ nhân viên'!$M$1:$M$1500,0)),0))</f>
        <v/>
      </c>
      <c r="L104">
        <f>IF(OR($B$57="",$B$12=""),0,IFERROR(INDEX('Dán TĐ nhân viên'!$N$1:$N$1500,MATCH("*"&amp;$C$12&amp;"|"&amp;$B$57,'Dán TĐ nhân viên'!$M$1:$M$1500,0)),0))</f>
        <v/>
      </c>
      <c r="M104">
        <f>IF(OR($B$57="",$B$13=""),0,IFERROR(INDEX('Dán TĐ nhân viên'!$N$1:$N$1500,MATCH("*"&amp;$C$13&amp;"|"&amp;$B$57,'Dán TĐ nhân viên'!$M$1:$M$1500,0)),0))</f>
        <v/>
      </c>
      <c r="N104">
        <f>IF(OR($B$57="",$B$14=""),0,IFERROR(INDEX('Dán TĐ nhân viên'!$N$1:$N$1500,MATCH("*"&amp;$C$14&amp;"|"&amp;$B$57,'Dán TĐ nhân viên'!$M$1:$M$1500,0)),0))</f>
        <v/>
      </c>
      <c r="O104">
        <f>IF(OR($B$57="",$B$15=""),0,IFERROR(INDEX('Dán TĐ nhân viên'!$N$1:$N$1500,MATCH("*"&amp;$C$15&amp;"|"&amp;$B$57,'Dán TĐ nhân viên'!$M$1:$M$1500,0)),0))</f>
        <v/>
      </c>
      <c r="P104">
        <f>IF(OR($B$57="",$B$16=""),0,IFERROR(INDEX('Dán TĐ nhân viên'!$N$1:$N$1500,MATCH("*"&amp;$C$16&amp;"|"&amp;$B$57,'Dán TĐ nhân viên'!$M$1:$M$1500,0)),0))</f>
        <v/>
      </c>
      <c r="Q104">
        <f>IF(OR($B$57="",$B$17=""),0,IFERROR(INDEX('Dán TĐ nhân viên'!$N$1:$N$1500,MATCH("*"&amp;$C$17&amp;"|"&amp;$B$57,'Dán TĐ nhân viên'!$M$1:$M$1500,0)),0))</f>
        <v/>
      </c>
      <c r="R104">
        <f>IF(OR($B$57="",$B$18=""),0,IFERROR(INDEX('Dán TĐ nhân viên'!$N$1:$N$1500,MATCH("*"&amp;$C$18&amp;"|"&amp;$B$57,'Dán TĐ nhân viên'!$M$1:$M$1500,0)),0))</f>
        <v/>
      </c>
      <c r="S104">
        <f>IF(OR($B$57="",$B$19=""),0,IFERROR(INDEX('Dán TĐ nhân viên'!$N$1:$N$1500,MATCH("*"&amp;$C$19&amp;"|"&amp;$B$57,'Dán TĐ nhân viên'!$M$1:$M$1500,0)),0))</f>
        <v/>
      </c>
      <c r="T104">
        <f>IF(OR($B$57="",$B$20=""),0,IFERROR(INDEX('Dán TĐ nhân viên'!$N$1:$N$1500,MATCH("*"&amp;$C$20&amp;"|"&amp;$B$57,'Dán TĐ nhân viên'!$M$1:$M$1500,0)),0))</f>
        <v/>
      </c>
      <c r="U104">
        <f>IF(OR($B$57="",$B$21=""),0,IFERROR(INDEX('Dán TĐ nhân viên'!$N$1:$N$1500,MATCH("*"&amp;$C$21&amp;"|"&amp;$B$57,'Dán TĐ nhân viên'!$M$1:$M$1500,0)),0))</f>
        <v/>
      </c>
      <c r="V104">
        <f>IF(OR($B$57="",$B$22=""),0,IFERROR(INDEX('Dán TĐ nhân viên'!$N$1:$N$1500,MATCH("*"&amp;$C$22&amp;"|"&amp;$B$57,'Dán TĐ nhân viên'!$M$1:$M$1500,0)),0))</f>
        <v/>
      </c>
    </row>
    <row r="105">
      <c r="A105" t="n">
        <v>20</v>
      </c>
      <c r="B105">
        <f>B58</f>
        <v/>
      </c>
      <c r="C105">
        <f>IF(OR($B$58="",$B$3=""),0,IFERROR(INDEX('Dán TĐ nhân viên'!$N$1:$N$1500,MATCH("*"&amp;$C$3&amp;"|"&amp;$B$58,'Dán TĐ nhân viên'!$M$1:$M$1500,0)),0))</f>
        <v/>
      </c>
      <c r="D105">
        <f>IF(OR($B$58="",$B$4=""),0,IFERROR(INDEX('Dán TĐ nhân viên'!$N$1:$N$1500,MATCH("*"&amp;$C$4&amp;"|"&amp;$B$58,'Dán TĐ nhân viên'!$M$1:$M$1500,0)),0))</f>
        <v/>
      </c>
      <c r="E105">
        <f>IF(OR($B$58="",$B$5=""),0,IFERROR(INDEX('Dán TĐ nhân viên'!$N$1:$N$1500,MATCH("*"&amp;$C$5&amp;"|"&amp;$B$58,'Dán TĐ nhân viên'!$M$1:$M$1500,0)),0))</f>
        <v/>
      </c>
      <c r="F105">
        <f>IF(OR($B$58="",$B$6=""),0,IFERROR(INDEX('Dán TĐ nhân viên'!$N$1:$N$1500,MATCH("*"&amp;$C$6&amp;"|"&amp;$B$58,'Dán TĐ nhân viên'!$M$1:$M$1500,0)),0))</f>
        <v/>
      </c>
      <c r="G105">
        <f>IF(OR($B$58="",$B$7=""),0,IFERROR(INDEX('Dán TĐ nhân viên'!$N$1:$N$1500,MATCH("*"&amp;$C$7&amp;"|"&amp;$B$58,'Dán TĐ nhân viên'!$M$1:$M$1500,0)),0))</f>
        <v/>
      </c>
      <c r="H105">
        <f>IF(OR($B$58="",$B$8=""),0,IFERROR(INDEX('Dán TĐ nhân viên'!$N$1:$N$1500,MATCH("*"&amp;$C$8&amp;"|"&amp;$B$58,'Dán TĐ nhân viên'!$M$1:$M$1500,0)),0))</f>
        <v/>
      </c>
      <c r="I105">
        <f>IF(OR($B$58="",$B$9=""),0,IFERROR(INDEX('Dán TĐ nhân viên'!$N$1:$N$1500,MATCH("*"&amp;$C$9&amp;"|"&amp;$B$58,'Dán TĐ nhân viên'!$M$1:$M$1500,0)),0))</f>
        <v/>
      </c>
      <c r="J105">
        <f>IF(OR($B$58="",$B$10=""),0,IFERROR(INDEX('Dán TĐ nhân viên'!$N$1:$N$1500,MATCH("*"&amp;$C$10&amp;"|"&amp;$B$58,'Dán TĐ nhân viên'!$M$1:$M$1500,0)),0))</f>
        <v/>
      </c>
      <c r="K105">
        <f>IF(OR($B$58="",$B$11=""),0,IFERROR(INDEX('Dán TĐ nhân viên'!$N$1:$N$1500,MATCH("*"&amp;$C$11&amp;"|"&amp;$B$58,'Dán TĐ nhân viên'!$M$1:$M$1500,0)),0))</f>
        <v/>
      </c>
      <c r="L105">
        <f>IF(OR($B$58="",$B$12=""),0,IFERROR(INDEX('Dán TĐ nhân viên'!$N$1:$N$1500,MATCH("*"&amp;$C$12&amp;"|"&amp;$B$58,'Dán TĐ nhân viên'!$M$1:$M$1500,0)),0))</f>
        <v/>
      </c>
      <c r="M105">
        <f>IF(OR($B$58="",$B$13=""),0,IFERROR(INDEX('Dán TĐ nhân viên'!$N$1:$N$1500,MATCH("*"&amp;$C$13&amp;"|"&amp;$B$58,'Dán TĐ nhân viên'!$M$1:$M$1500,0)),0))</f>
        <v/>
      </c>
      <c r="N105">
        <f>IF(OR($B$58="",$B$14=""),0,IFERROR(INDEX('Dán TĐ nhân viên'!$N$1:$N$1500,MATCH("*"&amp;$C$14&amp;"|"&amp;$B$58,'Dán TĐ nhân viên'!$M$1:$M$1500,0)),0))</f>
        <v/>
      </c>
      <c r="O105">
        <f>IF(OR($B$58="",$B$15=""),0,IFERROR(INDEX('Dán TĐ nhân viên'!$N$1:$N$1500,MATCH("*"&amp;$C$15&amp;"|"&amp;$B$58,'Dán TĐ nhân viên'!$M$1:$M$1500,0)),0))</f>
        <v/>
      </c>
      <c r="P105">
        <f>IF(OR($B$58="",$B$16=""),0,IFERROR(INDEX('Dán TĐ nhân viên'!$N$1:$N$1500,MATCH("*"&amp;$C$16&amp;"|"&amp;$B$58,'Dán TĐ nhân viên'!$M$1:$M$1500,0)),0))</f>
        <v/>
      </c>
      <c r="Q105">
        <f>IF(OR($B$58="",$B$17=""),0,IFERROR(INDEX('Dán TĐ nhân viên'!$N$1:$N$1500,MATCH("*"&amp;$C$17&amp;"|"&amp;$B$58,'Dán TĐ nhân viên'!$M$1:$M$1500,0)),0))</f>
        <v/>
      </c>
      <c r="R105">
        <f>IF(OR($B$58="",$B$18=""),0,IFERROR(INDEX('Dán TĐ nhân viên'!$N$1:$N$1500,MATCH("*"&amp;$C$18&amp;"|"&amp;$B$58,'Dán TĐ nhân viên'!$M$1:$M$1500,0)),0))</f>
        <v/>
      </c>
      <c r="S105">
        <f>IF(OR($B$58="",$B$19=""),0,IFERROR(INDEX('Dán TĐ nhân viên'!$N$1:$N$1500,MATCH("*"&amp;$C$19&amp;"|"&amp;$B$58,'Dán TĐ nhân viên'!$M$1:$M$1500,0)),0))</f>
        <v/>
      </c>
      <c r="T105">
        <f>IF(OR($B$58="",$B$20=""),0,IFERROR(INDEX('Dán TĐ nhân viên'!$N$1:$N$1500,MATCH("*"&amp;$C$20&amp;"|"&amp;$B$58,'Dán TĐ nhân viên'!$M$1:$M$1500,0)),0))</f>
        <v/>
      </c>
      <c r="U105">
        <f>IF(OR($B$58="",$B$21=""),0,IFERROR(INDEX('Dán TĐ nhân viên'!$N$1:$N$1500,MATCH("*"&amp;$C$21&amp;"|"&amp;$B$58,'Dán TĐ nhân viên'!$M$1:$M$1500,0)),0))</f>
        <v/>
      </c>
      <c r="V105">
        <f>IF(OR($B$58="",$B$22=""),0,IFERROR(INDEX('Dán TĐ nhân viên'!$N$1:$N$1500,MATCH("*"&amp;$C$22&amp;"|"&amp;$B$58,'Dán TĐ nhân viên'!$M$1:$M$1500,0)),0))</f>
        <v/>
      </c>
    </row>
    <row r="106">
      <c r="A106" t="n">
        <v>21</v>
      </c>
      <c r="B106">
        <f>B59</f>
        <v/>
      </c>
      <c r="C106">
        <f>IF(OR($B$59="",$B$3=""),0,IFERROR(INDEX('Dán TĐ nhân viên'!$N$1:$N$1500,MATCH("*"&amp;$C$3&amp;"|"&amp;$B$59,'Dán TĐ nhân viên'!$M$1:$M$1500,0)),0))</f>
        <v/>
      </c>
      <c r="D106">
        <f>IF(OR($B$59="",$B$4=""),0,IFERROR(INDEX('Dán TĐ nhân viên'!$N$1:$N$1500,MATCH("*"&amp;$C$4&amp;"|"&amp;$B$59,'Dán TĐ nhân viên'!$M$1:$M$1500,0)),0))</f>
        <v/>
      </c>
      <c r="E106">
        <f>IF(OR($B$59="",$B$5=""),0,IFERROR(INDEX('Dán TĐ nhân viên'!$N$1:$N$1500,MATCH("*"&amp;$C$5&amp;"|"&amp;$B$59,'Dán TĐ nhân viên'!$M$1:$M$1500,0)),0))</f>
        <v/>
      </c>
      <c r="F106">
        <f>IF(OR($B$59="",$B$6=""),0,IFERROR(INDEX('Dán TĐ nhân viên'!$N$1:$N$1500,MATCH("*"&amp;$C$6&amp;"|"&amp;$B$59,'Dán TĐ nhân viên'!$M$1:$M$1500,0)),0))</f>
        <v/>
      </c>
      <c r="G106">
        <f>IF(OR($B$59="",$B$7=""),0,IFERROR(INDEX('Dán TĐ nhân viên'!$N$1:$N$1500,MATCH("*"&amp;$C$7&amp;"|"&amp;$B$59,'Dán TĐ nhân viên'!$M$1:$M$1500,0)),0))</f>
        <v/>
      </c>
      <c r="H106">
        <f>IF(OR($B$59="",$B$8=""),0,IFERROR(INDEX('Dán TĐ nhân viên'!$N$1:$N$1500,MATCH("*"&amp;$C$8&amp;"|"&amp;$B$59,'Dán TĐ nhân viên'!$M$1:$M$1500,0)),0))</f>
        <v/>
      </c>
      <c r="I106">
        <f>IF(OR($B$59="",$B$9=""),0,IFERROR(INDEX('Dán TĐ nhân viên'!$N$1:$N$1500,MATCH("*"&amp;$C$9&amp;"|"&amp;$B$59,'Dán TĐ nhân viên'!$M$1:$M$1500,0)),0))</f>
        <v/>
      </c>
      <c r="J106">
        <f>IF(OR($B$59="",$B$10=""),0,IFERROR(INDEX('Dán TĐ nhân viên'!$N$1:$N$1500,MATCH("*"&amp;$C$10&amp;"|"&amp;$B$59,'Dán TĐ nhân viên'!$M$1:$M$1500,0)),0))</f>
        <v/>
      </c>
      <c r="K106">
        <f>IF(OR($B$59="",$B$11=""),0,IFERROR(INDEX('Dán TĐ nhân viên'!$N$1:$N$1500,MATCH("*"&amp;$C$11&amp;"|"&amp;$B$59,'Dán TĐ nhân viên'!$M$1:$M$1500,0)),0))</f>
        <v/>
      </c>
      <c r="L106">
        <f>IF(OR($B$59="",$B$12=""),0,IFERROR(INDEX('Dán TĐ nhân viên'!$N$1:$N$1500,MATCH("*"&amp;$C$12&amp;"|"&amp;$B$59,'Dán TĐ nhân viên'!$M$1:$M$1500,0)),0))</f>
        <v/>
      </c>
      <c r="M106">
        <f>IF(OR($B$59="",$B$13=""),0,IFERROR(INDEX('Dán TĐ nhân viên'!$N$1:$N$1500,MATCH("*"&amp;$C$13&amp;"|"&amp;$B$59,'Dán TĐ nhân viên'!$M$1:$M$1500,0)),0))</f>
        <v/>
      </c>
      <c r="N106">
        <f>IF(OR($B$59="",$B$14=""),0,IFERROR(INDEX('Dán TĐ nhân viên'!$N$1:$N$1500,MATCH("*"&amp;$C$14&amp;"|"&amp;$B$59,'Dán TĐ nhân viên'!$M$1:$M$1500,0)),0))</f>
        <v/>
      </c>
      <c r="O106">
        <f>IF(OR($B$59="",$B$15=""),0,IFERROR(INDEX('Dán TĐ nhân viên'!$N$1:$N$1500,MATCH("*"&amp;$C$15&amp;"|"&amp;$B$59,'Dán TĐ nhân viên'!$M$1:$M$1500,0)),0))</f>
        <v/>
      </c>
      <c r="P106">
        <f>IF(OR($B$59="",$B$16=""),0,IFERROR(INDEX('Dán TĐ nhân viên'!$N$1:$N$1500,MATCH("*"&amp;$C$16&amp;"|"&amp;$B$59,'Dán TĐ nhân viên'!$M$1:$M$1500,0)),0))</f>
        <v/>
      </c>
      <c r="Q106">
        <f>IF(OR($B$59="",$B$17=""),0,IFERROR(INDEX('Dán TĐ nhân viên'!$N$1:$N$1500,MATCH("*"&amp;$C$17&amp;"|"&amp;$B$59,'Dán TĐ nhân viên'!$M$1:$M$1500,0)),0))</f>
        <v/>
      </c>
      <c r="R106">
        <f>IF(OR($B$59="",$B$18=""),0,IFERROR(INDEX('Dán TĐ nhân viên'!$N$1:$N$1500,MATCH("*"&amp;$C$18&amp;"|"&amp;$B$59,'Dán TĐ nhân viên'!$M$1:$M$1500,0)),0))</f>
        <v/>
      </c>
      <c r="S106">
        <f>IF(OR($B$59="",$B$19=""),0,IFERROR(INDEX('Dán TĐ nhân viên'!$N$1:$N$1500,MATCH("*"&amp;$C$19&amp;"|"&amp;$B$59,'Dán TĐ nhân viên'!$M$1:$M$1500,0)),0))</f>
        <v/>
      </c>
      <c r="T106">
        <f>IF(OR($B$59="",$B$20=""),0,IFERROR(INDEX('Dán TĐ nhân viên'!$N$1:$N$1500,MATCH("*"&amp;$C$20&amp;"|"&amp;$B$59,'Dán TĐ nhân viên'!$M$1:$M$1500,0)),0))</f>
        <v/>
      </c>
      <c r="U106">
        <f>IF(OR($B$59="",$B$21=""),0,IFERROR(INDEX('Dán TĐ nhân viên'!$N$1:$N$1500,MATCH("*"&amp;$C$21&amp;"|"&amp;$B$59,'Dán TĐ nhân viên'!$M$1:$M$1500,0)),0))</f>
        <v/>
      </c>
      <c r="V106">
        <f>IF(OR($B$59="",$B$22=""),0,IFERROR(INDEX('Dán TĐ nhân viên'!$N$1:$N$1500,MATCH("*"&amp;$C$22&amp;"|"&amp;$B$59,'Dán TĐ nhân viên'!$M$1:$M$1500,0)),0))</f>
        <v/>
      </c>
    </row>
    <row r="107">
      <c r="A107" t="n">
        <v>22</v>
      </c>
      <c r="B107">
        <f>B60</f>
        <v/>
      </c>
      <c r="C107">
        <f>IF(OR($B$60="",$B$3=""),0,IFERROR(INDEX('Dán TĐ nhân viên'!$N$1:$N$1500,MATCH("*"&amp;$C$3&amp;"|"&amp;$B$60,'Dán TĐ nhân viên'!$M$1:$M$1500,0)),0))</f>
        <v/>
      </c>
      <c r="D107">
        <f>IF(OR($B$60="",$B$4=""),0,IFERROR(INDEX('Dán TĐ nhân viên'!$N$1:$N$1500,MATCH("*"&amp;$C$4&amp;"|"&amp;$B$60,'Dán TĐ nhân viên'!$M$1:$M$1500,0)),0))</f>
        <v/>
      </c>
      <c r="E107">
        <f>IF(OR($B$60="",$B$5=""),0,IFERROR(INDEX('Dán TĐ nhân viên'!$N$1:$N$1500,MATCH("*"&amp;$C$5&amp;"|"&amp;$B$60,'Dán TĐ nhân viên'!$M$1:$M$1500,0)),0))</f>
        <v/>
      </c>
      <c r="F107">
        <f>IF(OR($B$60="",$B$6=""),0,IFERROR(INDEX('Dán TĐ nhân viên'!$N$1:$N$1500,MATCH("*"&amp;$C$6&amp;"|"&amp;$B$60,'Dán TĐ nhân viên'!$M$1:$M$1500,0)),0))</f>
        <v/>
      </c>
      <c r="G107">
        <f>IF(OR($B$60="",$B$7=""),0,IFERROR(INDEX('Dán TĐ nhân viên'!$N$1:$N$1500,MATCH("*"&amp;$C$7&amp;"|"&amp;$B$60,'Dán TĐ nhân viên'!$M$1:$M$1500,0)),0))</f>
        <v/>
      </c>
      <c r="H107">
        <f>IF(OR($B$60="",$B$8=""),0,IFERROR(INDEX('Dán TĐ nhân viên'!$N$1:$N$1500,MATCH("*"&amp;$C$8&amp;"|"&amp;$B$60,'Dán TĐ nhân viên'!$M$1:$M$1500,0)),0))</f>
        <v/>
      </c>
      <c r="I107">
        <f>IF(OR($B$60="",$B$9=""),0,IFERROR(INDEX('Dán TĐ nhân viên'!$N$1:$N$1500,MATCH("*"&amp;$C$9&amp;"|"&amp;$B$60,'Dán TĐ nhân viên'!$M$1:$M$1500,0)),0))</f>
        <v/>
      </c>
      <c r="J107">
        <f>IF(OR($B$60="",$B$10=""),0,IFERROR(INDEX('Dán TĐ nhân viên'!$N$1:$N$1500,MATCH("*"&amp;$C$10&amp;"|"&amp;$B$60,'Dán TĐ nhân viên'!$M$1:$M$1500,0)),0))</f>
        <v/>
      </c>
      <c r="K107">
        <f>IF(OR($B$60="",$B$11=""),0,IFERROR(INDEX('Dán TĐ nhân viên'!$N$1:$N$1500,MATCH("*"&amp;$C$11&amp;"|"&amp;$B$60,'Dán TĐ nhân viên'!$M$1:$M$1500,0)),0))</f>
        <v/>
      </c>
      <c r="L107">
        <f>IF(OR($B$60="",$B$12=""),0,IFERROR(INDEX('Dán TĐ nhân viên'!$N$1:$N$1500,MATCH("*"&amp;$C$12&amp;"|"&amp;$B$60,'Dán TĐ nhân viên'!$M$1:$M$1500,0)),0))</f>
        <v/>
      </c>
      <c r="M107">
        <f>IF(OR($B$60="",$B$13=""),0,IFERROR(INDEX('Dán TĐ nhân viên'!$N$1:$N$1500,MATCH("*"&amp;$C$13&amp;"|"&amp;$B$60,'Dán TĐ nhân viên'!$M$1:$M$1500,0)),0))</f>
        <v/>
      </c>
      <c r="N107">
        <f>IF(OR($B$60="",$B$14=""),0,IFERROR(INDEX('Dán TĐ nhân viên'!$N$1:$N$1500,MATCH("*"&amp;$C$14&amp;"|"&amp;$B$60,'Dán TĐ nhân viên'!$M$1:$M$1500,0)),0))</f>
        <v/>
      </c>
      <c r="O107">
        <f>IF(OR($B$60="",$B$15=""),0,IFERROR(INDEX('Dán TĐ nhân viên'!$N$1:$N$1500,MATCH("*"&amp;$C$15&amp;"|"&amp;$B$60,'Dán TĐ nhân viên'!$M$1:$M$1500,0)),0))</f>
        <v/>
      </c>
      <c r="P107">
        <f>IF(OR($B$60="",$B$16=""),0,IFERROR(INDEX('Dán TĐ nhân viên'!$N$1:$N$1500,MATCH("*"&amp;$C$16&amp;"|"&amp;$B$60,'Dán TĐ nhân viên'!$M$1:$M$1500,0)),0))</f>
        <v/>
      </c>
      <c r="Q107">
        <f>IF(OR($B$60="",$B$17=""),0,IFERROR(INDEX('Dán TĐ nhân viên'!$N$1:$N$1500,MATCH("*"&amp;$C$17&amp;"|"&amp;$B$60,'Dán TĐ nhân viên'!$M$1:$M$1500,0)),0))</f>
        <v/>
      </c>
      <c r="R107">
        <f>IF(OR($B$60="",$B$18=""),0,IFERROR(INDEX('Dán TĐ nhân viên'!$N$1:$N$1500,MATCH("*"&amp;$C$18&amp;"|"&amp;$B$60,'Dán TĐ nhân viên'!$M$1:$M$1500,0)),0))</f>
        <v/>
      </c>
      <c r="S107">
        <f>IF(OR($B$60="",$B$19=""),0,IFERROR(INDEX('Dán TĐ nhân viên'!$N$1:$N$1500,MATCH("*"&amp;$C$19&amp;"|"&amp;$B$60,'Dán TĐ nhân viên'!$M$1:$M$1500,0)),0))</f>
        <v/>
      </c>
      <c r="T107">
        <f>IF(OR($B$60="",$B$20=""),0,IFERROR(INDEX('Dán TĐ nhân viên'!$N$1:$N$1500,MATCH("*"&amp;$C$20&amp;"|"&amp;$B$60,'Dán TĐ nhân viên'!$M$1:$M$1500,0)),0))</f>
        <v/>
      </c>
      <c r="U107">
        <f>IF(OR($B$60="",$B$21=""),0,IFERROR(INDEX('Dán TĐ nhân viên'!$N$1:$N$1500,MATCH("*"&amp;$C$21&amp;"|"&amp;$B$60,'Dán TĐ nhân viên'!$M$1:$M$1500,0)),0))</f>
        <v/>
      </c>
      <c r="V107">
        <f>IF(OR($B$60="",$B$22=""),0,IFERROR(INDEX('Dán TĐ nhân viên'!$N$1:$N$1500,MATCH("*"&amp;$C$22&amp;"|"&amp;$B$60,'Dán TĐ nhân viên'!$M$1:$M$1500,0)),0))</f>
        <v/>
      </c>
    </row>
    <row r="108">
      <c r="A108" t="n">
        <v>23</v>
      </c>
      <c r="B108">
        <f>B61</f>
        <v/>
      </c>
      <c r="C108">
        <f>IF(OR($B$61="",$B$3=""),0,IFERROR(INDEX('Dán TĐ nhân viên'!$N$1:$N$1500,MATCH("*"&amp;$C$3&amp;"|"&amp;$B$61,'Dán TĐ nhân viên'!$M$1:$M$1500,0)),0))</f>
        <v/>
      </c>
      <c r="D108">
        <f>IF(OR($B$61="",$B$4=""),0,IFERROR(INDEX('Dán TĐ nhân viên'!$N$1:$N$1500,MATCH("*"&amp;$C$4&amp;"|"&amp;$B$61,'Dán TĐ nhân viên'!$M$1:$M$1500,0)),0))</f>
        <v/>
      </c>
      <c r="E108">
        <f>IF(OR($B$61="",$B$5=""),0,IFERROR(INDEX('Dán TĐ nhân viên'!$N$1:$N$1500,MATCH("*"&amp;$C$5&amp;"|"&amp;$B$61,'Dán TĐ nhân viên'!$M$1:$M$1500,0)),0))</f>
        <v/>
      </c>
      <c r="F108">
        <f>IF(OR($B$61="",$B$6=""),0,IFERROR(INDEX('Dán TĐ nhân viên'!$N$1:$N$1500,MATCH("*"&amp;$C$6&amp;"|"&amp;$B$61,'Dán TĐ nhân viên'!$M$1:$M$1500,0)),0))</f>
        <v/>
      </c>
      <c r="G108">
        <f>IF(OR($B$61="",$B$7=""),0,IFERROR(INDEX('Dán TĐ nhân viên'!$N$1:$N$1500,MATCH("*"&amp;$C$7&amp;"|"&amp;$B$61,'Dán TĐ nhân viên'!$M$1:$M$1500,0)),0))</f>
        <v/>
      </c>
      <c r="H108">
        <f>IF(OR($B$61="",$B$8=""),0,IFERROR(INDEX('Dán TĐ nhân viên'!$N$1:$N$1500,MATCH("*"&amp;$C$8&amp;"|"&amp;$B$61,'Dán TĐ nhân viên'!$M$1:$M$1500,0)),0))</f>
        <v/>
      </c>
      <c r="I108">
        <f>IF(OR($B$61="",$B$9=""),0,IFERROR(INDEX('Dán TĐ nhân viên'!$N$1:$N$1500,MATCH("*"&amp;$C$9&amp;"|"&amp;$B$61,'Dán TĐ nhân viên'!$M$1:$M$1500,0)),0))</f>
        <v/>
      </c>
      <c r="J108">
        <f>IF(OR($B$61="",$B$10=""),0,IFERROR(INDEX('Dán TĐ nhân viên'!$N$1:$N$1500,MATCH("*"&amp;$C$10&amp;"|"&amp;$B$61,'Dán TĐ nhân viên'!$M$1:$M$1500,0)),0))</f>
        <v/>
      </c>
      <c r="K108">
        <f>IF(OR($B$61="",$B$11=""),0,IFERROR(INDEX('Dán TĐ nhân viên'!$N$1:$N$1500,MATCH("*"&amp;$C$11&amp;"|"&amp;$B$61,'Dán TĐ nhân viên'!$M$1:$M$1500,0)),0))</f>
        <v/>
      </c>
      <c r="L108">
        <f>IF(OR($B$61="",$B$12=""),0,IFERROR(INDEX('Dán TĐ nhân viên'!$N$1:$N$1500,MATCH("*"&amp;$C$12&amp;"|"&amp;$B$61,'Dán TĐ nhân viên'!$M$1:$M$1500,0)),0))</f>
        <v/>
      </c>
      <c r="M108">
        <f>IF(OR($B$61="",$B$13=""),0,IFERROR(INDEX('Dán TĐ nhân viên'!$N$1:$N$1500,MATCH("*"&amp;$C$13&amp;"|"&amp;$B$61,'Dán TĐ nhân viên'!$M$1:$M$1500,0)),0))</f>
        <v/>
      </c>
      <c r="N108">
        <f>IF(OR($B$61="",$B$14=""),0,IFERROR(INDEX('Dán TĐ nhân viên'!$N$1:$N$1500,MATCH("*"&amp;$C$14&amp;"|"&amp;$B$61,'Dán TĐ nhân viên'!$M$1:$M$1500,0)),0))</f>
        <v/>
      </c>
      <c r="O108">
        <f>IF(OR($B$61="",$B$15=""),0,IFERROR(INDEX('Dán TĐ nhân viên'!$N$1:$N$1500,MATCH("*"&amp;$C$15&amp;"|"&amp;$B$61,'Dán TĐ nhân viên'!$M$1:$M$1500,0)),0))</f>
        <v/>
      </c>
      <c r="P108">
        <f>IF(OR($B$61="",$B$16=""),0,IFERROR(INDEX('Dán TĐ nhân viên'!$N$1:$N$1500,MATCH("*"&amp;$C$16&amp;"|"&amp;$B$61,'Dán TĐ nhân viên'!$M$1:$M$1500,0)),0))</f>
        <v/>
      </c>
      <c r="Q108">
        <f>IF(OR($B$61="",$B$17=""),0,IFERROR(INDEX('Dán TĐ nhân viên'!$N$1:$N$1500,MATCH("*"&amp;$C$17&amp;"|"&amp;$B$61,'Dán TĐ nhân viên'!$M$1:$M$1500,0)),0))</f>
        <v/>
      </c>
      <c r="R108">
        <f>IF(OR($B$61="",$B$18=""),0,IFERROR(INDEX('Dán TĐ nhân viên'!$N$1:$N$1500,MATCH("*"&amp;$C$18&amp;"|"&amp;$B$61,'Dán TĐ nhân viên'!$M$1:$M$1500,0)),0))</f>
        <v/>
      </c>
      <c r="S108">
        <f>IF(OR($B$61="",$B$19=""),0,IFERROR(INDEX('Dán TĐ nhân viên'!$N$1:$N$1500,MATCH("*"&amp;$C$19&amp;"|"&amp;$B$61,'Dán TĐ nhân viên'!$M$1:$M$1500,0)),0))</f>
        <v/>
      </c>
      <c r="T108">
        <f>IF(OR($B$61="",$B$20=""),0,IFERROR(INDEX('Dán TĐ nhân viên'!$N$1:$N$1500,MATCH("*"&amp;$C$20&amp;"|"&amp;$B$61,'Dán TĐ nhân viên'!$M$1:$M$1500,0)),0))</f>
        <v/>
      </c>
      <c r="U108">
        <f>IF(OR($B$61="",$B$21=""),0,IFERROR(INDEX('Dán TĐ nhân viên'!$N$1:$N$1500,MATCH("*"&amp;$C$21&amp;"|"&amp;$B$61,'Dán TĐ nhân viên'!$M$1:$M$1500,0)),0))</f>
        <v/>
      </c>
      <c r="V108">
        <f>IF(OR($B$61="",$B$22=""),0,IFERROR(INDEX('Dán TĐ nhân viên'!$N$1:$N$1500,MATCH("*"&amp;$C$22&amp;"|"&amp;$B$61,'Dán TĐ nhân viên'!$M$1:$M$1500,0)),0))</f>
        <v/>
      </c>
    </row>
    <row r="109">
      <c r="A109" t="n">
        <v>24</v>
      </c>
      <c r="B109">
        <f>B62</f>
        <v/>
      </c>
      <c r="C109">
        <f>IF(OR($B$62="",$B$3=""),0,IFERROR(INDEX('Dán TĐ nhân viên'!$N$1:$N$1500,MATCH("*"&amp;$C$3&amp;"|"&amp;$B$62,'Dán TĐ nhân viên'!$M$1:$M$1500,0)),0))</f>
        <v/>
      </c>
      <c r="D109">
        <f>IF(OR($B$62="",$B$4=""),0,IFERROR(INDEX('Dán TĐ nhân viên'!$N$1:$N$1500,MATCH("*"&amp;$C$4&amp;"|"&amp;$B$62,'Dán TĐ nhân viên'!$M$1:$M$1500,0)),0))</f>
        <v/>
      </c>
      <c r="E109">
        <f>IF(OR($B$62="",$B$5=""),0,IFERROR(INDEX('Dán TĐ nhân viên'!$N$1:$N$1500,MATCH("*"&amp;$C$5&amp;"|"&amp;$B$62,'Dán TĐ nhân viên'!$M$1:$M$1500,0)),0))</f>
        <v/>
      </c>
      <c r="F109">
        <f>IF(OR($B$62="",$B$6=""),0,IFERROR(INDEX('Dán TĐ nhân viên'!$N$1:$N$1500,MATCH("*"&amp;$C$6&amp;"|"&amp;$B$62,'Dán TĐ nhân viên'!$M$1:$M$1500,0)),0))</f>
        <v/>
      </c>
      <c r="G109">
        <f>IF(OR($B$62="",$B$7=""),0,IFERROR(INDEX('Dán TĐ nhân viên'!$N$1:$N$1500,MATCH("*"&amp;$C$7&amp;"|"&amp;$B$62,'Dán TĐ nhân viên'!$M$1:$M$1500,0)),0))</f>
        <v/>
      </c>
      <c r="H109">
        <f>IF(OR($B$62="",$B$8=""),0,IFERROR(INDEX('Dán TĐ nhân viên'!$N$1:$N$1500,MATCH("*"&amp;$C$8&amp;"|"&amp;$B$62,'Dán TĐ nhân viên'!$M$1:$M$1500,0)),0))</f>
        <v/>
      </c>
      <c r="I109">
        <f>IF(OR($B$62="",$B$9=""),0,IFERROR(INDEX('Dán TĐ nhân viên'!$N$1:$N$1500,MATCH("*"&amp;$C$9&amp;"|"&amp;$B$62,'Dán TĐ nhân viên'!$M$1:$M$1500,0)),0))</f>
        <v/>
      </c>
      <c r="J109">
        <f>IF(OR($B$62="",$B$10=""),0,IFERROR(INDEX('Dán TĐ nhân viên'!$N$1:$N$1500,MATCH("*"&amp;$C$10&amp;"|"&amp;$B$62,'Dán TĐ nhân viên'!$M$1:$M$1500,0)),0))</f>
        <v/>
      </c>
      <c r="K109">
        <f>IF(OR($B$62="",$B$11=""),0,IFERROR(INDEX('Dán TĐ nhân viên'!$N$1:$N$1500,MATCH("*"&amp;$C$11&amp;"|"&amp;$B$62,'Dán TĐ nhân viên'!$M$1:$M$1500,0)),0))</f>
        <v/>
      </c>
      <c r="L109">
        <f>IF(OR($B$62="",$B$12=""),0,IFERROR(INDEX('Dán TĐ nhân viên'!$N$1:$N$1500,MATCH("*"&amp;$C$12&amp;"|"&amp;$B$62,'Dán TĐ nhân viên'!$M$1:$M$1500,0)),0))</f>
        <v/>
      </c>
      <c r="M109">
        <f>IF(OR($B$62="",$B$13=""),0,IFERROR(INDEX('Dán TĐ nhân viên'!$N$1:$N$1500,MATCH("*"&amp;$C$13&amp;"|"&amp;$B$62,'Dán TĐ nhân viên'!$M$1:$M$1500,0)),0))</f>
        <v/>
      </c>
      <c r="N109">
        <f>IF(OR($B$62="",$B$14=""),0,IFERROR(INDEX('Dán TĐ nhân viên'!$N$1:$N$1500,MATCH("*"&amp;$C$14&amp;"|"&amp;$B$62,'Dán TĐ nhân viên'!$M$1:$M$1500,0)),0))</f>
        <v/>
      </c>
      <c r="O109">
        <f>IF(OR($B$62="",$B$15=""),0,IFERROR(INDEX('Dán TĐ nhân viên'!$N$1:$N$1500,MATCH("*"&amp;$C$15&amp;"|"&amp;$B$62,'Dán TĐ nhân viên'!$M$1:$M$1500,0)),0))</f>
        <v/>
      </c>
      <c r="P109">
        <f>IF(OR($B$62="",$B$16=""),0,IFERROR(INDEX('Dán TĐ nhân viên'!$N$1:$N$1500,MATCH("*"&amp;$C$16&amp;"|"&amp;$B$62,'Dán TĐ nhân viên'!$M$1:$M$1500,0)),0))</f>
        <v/>
      </c>
      <c r="Q109">
        <f>IF(OR($B$62="",$B$17=""),0,IFERROR(INDEX('Dán TĐ nhân viên'!$N$1:$N$1500,MATCH("*"&amp;$C$17&amp;"|"&amp;$B$62,'Dán TĐ nhân viên'!$M$1:$M$1500,0)),0))</f>
        <v/>
      </c>
      <c r="R109">
        <f>IF(OR($B$62="",$B$18=""),0,IFERROR(INDEX('Dán TĐ nhân viên'!$N$1:$N$1500,MATCH("*"&amp;$C$18&amp;"|"&amp;$B$62,'Dán TĐ nhân viên'!$M$1:$M$1500,0)),0))</f>
        <v/>
      </c>
      <c r="S109">
        <f>IF(OR($B$62="",$B$19=""),0,IFERROR(INDEX('Dán TĐ nhân viên'!$N$1:$N$1500,MATCH("*"&amp;$C$19&amp;"|"&amp;$B$62,'Dán TĐ nhân viên'!$M$1:$M$1500,0)),0))</f>
        <v/>
      </c>
      <c r="T109">
        <f>IF(OR($B$62="",$B$20=""),0,IFERROR(INDEX('Dán TĐ nhân viên'!$N$1:$N$1500,MATCH("*"&amp;$C$20&amp;"|"&amp;$B$62,'Dán TĐ nhân viên'!$M$1:$M$1500,0)),0))</f>
        <v/>
      </c>
      <c r="U109">
        <f>IF(OR($B$62="",$B$21=""),0,IFERROR(INDEX('Dán TĐ nhân viên'!$N$1:$N$1500,MATCH("*"&amp;$C$21&amp;"|"&amp;$B$62,'Dán TĐ nhân viên'!$M$1:$M$1500,0)),0))</f>
        <v/>
      </c>
      <c r="V109">
        <f>IF(OR($B$62="",$B$22=""),0,IFERROR(INDEX('Dán TĐ nhân viên'!$N$1:$N$1500,MATCH("*"&amp;$C$22&amp;"|"&amp;$B$62,'Dán TĐ nhân viên'!$M$1:$M$1500,0)),0))</f>
        <v/>
      </c>
    </row>
    <row r="110">
      <c r="A110" t="n">
        <v>25</v>
      </c>
      <c r="B110">
        <f>B63</f>
        <v/>
      </c>
      <c r="C110">
        <f>IF(OR($B$63="",$B$3=""),0,IFERROR(INDEX('Dán TĐ nhân viên'!$N$1:$N$1500,MATCH("*"&amp;$C$3&amp;"|"&amp;$B$63,'Dán TĐ nhân viên'!$M$1:$M$1500,0)),0))</f>
        <v/>
      </c>
      <c r="D110">
        <f>IF(OR($B$63="",$B$4=""),0,IFERROR(INDEX('Dán TĐ nhân viên'!$N$1:$N$1500,MATCH("*"&amp;$C$4&amp;"|"&amp;$B$63,'Dán TĐ nhân viên'!$M$1:$M$1500,0)),0))</f>
        <v/>
      </c>
      <c r="E110">
        <f>IF(OR($B$63="",$B$5=""),0,IFERROR(INDEX('Dán TĐ nhân viên'!$N$1:$N$1500,MATCH("*"&amp;$C$5&amp;"|"&amp;$B$63,'Dán TĐ nhân viên'!$M$1:$M$1500,0)),0))</f>
        <v/>
      </c>
      <c r="F110">
        <f>IF(OR($B$63="",$B$6=""),0,IFERROR(INDEX('Dán TĐ nhân viên'!$N$1:$N$1500,MATCH("*"&amp;$C$6&amp;"|"&amp;$B$63,'Dán TĐ nhân viên'!$M$1:$M$1500,0)),0))</f>
        <v/>
      </c>
      <c r="G110">
        <f>IF(OR($B$63="",$B$7=""),0,IFERROR(INDEX('Dán TĐ nhân viên'!$N$1:$N$1500,MATCH("*"&amp;$C$7&amp;"|"&amp;$B$63,'Dán TĐ nhân viên'!$M$1:$M$1500,0)),0))</f>
        <v/>
      </c>
      <c r="H110">
        <f>IF(OR($B$63="",$B$8=""),0,IFERROR(INDEX('Dán TĐ nhân viên'!$N$1:$N$1500,MATCH("*"&amp;$C$8&amp;"|"&amp;$B$63,'Dán TĐ nhân viên'!$M$1:$M$1500,0)),0))</f>
        <v/>
      </c>
      <c r="I110">
        <f>IF(OR($B$63="",$B$9=""),0,IFERROR(INDEX('Dán TĐ nhân viên'!$N$1:$N$1500,MATCH("*"&amp;$C$9&amp;"|"&amp;$B$63,'Dán TĐ nhân viên'!$M$1:$M$1500,0)),0))</f>
        <v/>
      </c>
      <c r="J110">
        <f>IF(OR($B$63="",$B$10=""),0,IFERROR(INDEX('Dán TĐ nhân viên'!$N$1:$N$1500,MATCH("*"&amp;$C$10&amp;"|"&amp;$B$63,'Dán TĐ nhân viên'!$M$1:$M$1500,0)),0))</f>
        <v/>
      </c>
      <c r="K110">
        <f>IF(OR($B$63="",$B$11=""),0,IFERROR(INDEX('Dán TĐ nhân viên'!$N$1:$N$1500,MATCH("*"&amp;$C$11&amp;"|"&amp;$B$63,'Dán TĐ nhân viên'!$M$1:$M$1500,0)),0))</f>
        <v/>
      </c>
      <c r="L110">
        <f>IF(OR($B$63="",$B$12=""),0,IFERROR(INDEX('Dán TĐ nhân viên'!$N$1:$N$1500,MATCH("*"&amp;$C$12&amp;"|"&amp;$B$63,'Dán TĐ nhân viên'!$M$1:$M$1500,0)),0))</f>
        <v/>
      </c>
      <c r="M110">
        <f>IF(OR($B$63="",$B$13=""),0,IFERROR(INDEX('Dán TĐ nhân viên'!$N$1:$N$1500,MATCH("*"&amp;$C$13&amp;"|"&amp;$B$63,'Dán TĐ nhân viên'!$M$1:$M$1500,0)),0))</f>
        <v/>
      </c>
      <c r="N110">
        <f>IF(OR($B$63="",$B$14=""),0,IFERROR(INDEX('Dán TĐ nhân viên'!$N$1:$N$1500,MATCH("*"&amp;$C$14&amp;"|"&amp;$B$63,'Dán TĐ nhân viên'!$M$1:$M$1500,0)),0))</f>
        <v/>
      </c>
      <c r="O110">
        <f>IF(OR($B$63="",$B$15=""),0,IFERROR(INDEX('Dán TĐ nhân viên'!$N$1:$N$1500,MATCH("*"&amp;$C$15&amp;"|"&amp;$B$63,'Dán TĐ nhân viên'!$M$1:$M$1500,0)),0))</f>
        <v/>
      </c>
      <c r="P110">
        <f>IF(OR($B$63="",$B$16=""),0,IFERROR(INDEX('Dán TĐ nhân viên'!$N$1:$N$1500,MATCH("*"&amp;$C$16&amp;"|"&amp;$B$63,'Dán TĐ nhân viên'!$M$1:$M$1500,0)),0))</f>
        <v/>
      </c>
      <c r="Q110">
        <f>IF(OR($B$63="",$B$17=""),0,IFERROR(INDEX('Dán TĐ nhân viên'!$N$1:$N$1500,MATCH("*"&amp;$C$17&amp;"|"&amp;$B$63,'Dán TĐ nhân viên'!$M$1:$M$1500,0)),0))</f>
        <v/>
      </c>
      <c r="R110">
        <f>IF(OR($B$63="",$B$18=""),0,IFERROR(INDEX('Dán TĐ nhân viên'!$N$1:$N$1500,MATCH("*"&amp;$C$18&amp;"|"&amp;$B$63,'Dán TĐ nhân viên'!$M$1:$M$1500,0)),0))</f>
        <v/>
      </c>
      <c r="S110">
        <f>IF(OR($B$63="",$B$19=""),0,IFERROR(INDEX('Dán TĐ nhân viên'!$N$1:$N$1500,MATCH("*"&amp;$C$19&amp;"|"&amp;$B$63,'Dán TĐ nhân viên'!$M$1:$M$1500,0)),0))</f>
        <v/>
      </c>
      <c r="T110">
        <f>IF(OR($B$63="",$B$20=""),0,IFERROR(INDEX('Dán TĐ nhân viên'!$N$1:$N$1500,MATCH("*"&amp;$C$20&amp;"|"&amp;$B$63,'Dán TĐ nhân viên'!$M$1:$M$1500,0)),0))</f>
        <v/>
      </c>
      <c r="U110">
        <f>IF(OR($B$63="",$B$21=""),0,IFERROR(INDEX('Dán TĐ nhân viên'!$N$1:$N$1500,MATCH("*"&amp;$C$21&amp;"|"&amp;$B$63,'Dán TĐ nhân viên'!$M$1:$M$1500,0)),0))</f>
        <v/>
      </c>
      <c r="V110">
        <f>IF(OR($B$63="",$B$22=""),0,IFERROR(INDEX('Dán TĐ nhân viên'!$N$1:$N$1500,MATCH("*"&amp;$C$22&amp;"|"&amp;$B$63,'Dán TĐ nhân viên'!$M$1:$M$1500,0)),0))</f>
        <v/>
      </c>
    </row>
    <row r="111">
      <c r="A111" t="n">
        <v>26</v>
      </c>
      <c r="B111">
        <f>B64</f>
        <v/>
      </c>
      <c r="C111">
        <f>IF(OR($B$64="",$B$3=""),0,IFERROR(INDEX('Dán TĐ nhân viên'!$N$1:$N$1500,MATCH("*"&amp;$C$3&amp;"|"&amp;$B$64,'Dán TĐ nhân viên'!$M$1:$M$1500,0)),0))</f>
        <v/>
      </c>
      <c r="D111">
        <f>IF(OR($B$64="",$B$4=""),0,IFERROR(INDEX('Dán TĐ nhân viên'!$N$1:$N$1500,MATCH("*"&amp;$C$4&amp;"|"&amp;$B$64,'Dán TĐ nhân viên'!$M$1:$M$1500,0)),0))</f>
        <v/>
      </c>
      <c r="E111">
        <f>IF(OR($B$64="",$B$5=""),0,IFERROR(INDEX('Dán TĐ nhân viên'!$N$1:$N$1500,MATCH("*"&amp;$C$5&amp;"|"&amp;$B$64,'Dán TĐ nhân viên'!$M$1:$M$1500,0)),0))</f>
        <v/>
      </c>
      <c r="F111">
        <f>IF(OR($B$64="",$B$6=""),0,IFERROR(INDEX('Dán TĐ nhân viên'!$N$1:$N$1500,MATCH("*"&amp;$C$6&amp;"|"&amp;$B$64,'Dán TĐ nhân viên'!$M$1:$M$1500,0)),0))</f>
        <v/>
      </c>
      <c r="G111">
        <f>IF(OR($B$64="",$B$7=""),0,IFERROR(INDEX('Dán TĐ nhân viên'!$N$1:$N$1500,MATCH("*"&amp;$C$7&amp;"|"&amp;$B$64,'Dán TĐ nhân viên'!$M$1:$M$1500,0)),0))</f>
        <v/>
      </c>
      <c r="H111">
        <f>IF(OR($B$64="",$B$8=""),0,IFERROR(INDEX('Dán TĐ nhân viên'!$N$1:$N$1500,MATCH("*"&amp;$C$8&amp;"|"&amp;$B$64,'Dán TĐ nhân viên'!$M$1:$M$1500,0)),0))</f>
        <v/>
      </c>
      <c r="I111">
        <f>IF(OR($B$64="",$B$9=""),0,IFERROR(INDEX('Dán TĐ nhân viên'!$N$1:$N$1500,MATCH("*"&amp;$C$9&amp;"|"&amp;$B$64,'Dán TĐ nhân viên'!$M$1:$M$1500,0)),0))</f>
        <v/>
      </c>
      <c r="J111">
        <f>IF(OR($B$64="",$B$10=""),0,IFERROR(INDEX('Dán TĐ nhân viên'!$N$1:$N$1500,MATCH("*"&amp;$C$10&amp;"|"&amp;$B$64,'Dán TĐ nhân viên'!$M$1:$M$1500,0)),0))</f>
        <v/>
      </c>
      <c r="K111">
        <f>IF(OR($B$64="",$B$11=""),0,IFERROR(INDEX('Dán TĐ nhân viên'!$N$1:$N$1500,MATCH("*"&amp;$C$11&amp;"|"&amp;$B$64,'Dán TĐ nhân viên'!$M$1:$M$1500,0)),0))</f>
        <v/>
      </c>
      <c r="L111">
        <f>IF(OR($B$64="",$B$12=""),0,IFERROR(INDEX('Dán TĐ nhân viên'!$N$1:$N$1500,MATCH("*"&amp;$C$12&amp;"|"&amp;$B$64,'Dán TĐ nhân viên'!$M$1:$M$1500,0)),0))</f>
        <v/>
      </c>
      <c r="M111">
        <f>IF(OR($B$64="",$B$13=""),0,IFERROR(INDEX('Dán TĐ nhân viên'!$N$1:$N$1500,MATCH("*"&amp;$C$13&amp;"|"&amp;$B$64,'Dán TĐ nhân viên'!$M$1:$M$1500,0)),0))</f>
        <v/>
      </c>
      <c r="N111">
        <f>IF(OR($B$64="",$B$14=""),0,IFERROR(INDEX('Dán TĐ nhân viên'!$N$1:$N$1500,MATCH("*"&amp;$C$14&amp;"|"&amp;$B$64,'Dán TĐ nhân viên'!$M$1:$M$1500,0)),0))</f>
        <v/>
      </c>
      <c r="O111">
        <f>IF(OR($B$64="",$B$15=""),0,IFERROR(INDEX('Dán TĐ nhân viên'!$N$1:$N$1500,MATCH("*"&amp;$C$15&amp;"|"&amp;$B$64,'Dán TĐ nhân viên'!$M$1:$M$1500,0)),0))</f>
        <v/>
      </c>
      <c r="P111">
        <f>IF(OR($B$64="",$B$16=""),0,IFERROR(INDEX('Dán TĐ nhân viên'!$N$1:$N$1500,MATCH("*"&amp;$C$16&amp;"|"&amp;$B$64,'Dán TĐ nhân viên'!$M$1:$M$1500,0)),0))</f>
        <v/>
      </c>
      <c r="Q111">
        <f>IF(OR($B$64="",$B$17=""),0,IFERROR(INDEX('Dán TĐ nhân viên'!$N$1:$N$1500,MATCH("*"&amp;$C$17&amp;"|"&amp;$B$64,'Dán TĐ nhân viên'!$M$1:$M$1500,0)),0))</f>
        <v/>
      </c>
      <c r="R111">
        <f>IF(OR($B$64="",$B$18=""),0,IFERROR(INDEX('Dán TĐ nhân viên'!$N$1:$N$1500,MATCH("*"&amp;$C$18&amp;"|"&amp;$B$64,'Dán TĐ nhân viên'!$M$1:$M$1500,0)),0))</f>
        <v/>
      </c>
      <c r="S111">
        <f>IF(OR($B$64="",$B$19=""),0,IFERROR(INDEX('Dán TĐ nhân viên'!$N$1:$N$1500,MATCH("*"&amp;$C$19&amp;"|"&amp;$B$64,'Dán TĐ nhân viên'!$M$1:$M$1500,0)),0))</f>
        <v/>
      </c>
      <c r="T111">
        <f>IF(OR($B$64="",$B$20=""),0,IFERROR(INDEX('Dán TĐ nhân viên'!$N$1:$N$1500,MATCH("*"&amp;$C$20&amp;"|"&amp;$B$64,'Dán TĐ nhân viên'!$M$1:$M$1500,0)),0))</f>
        <v/>
      </c>
      <c r="U111">
        <f>IF(OR($B$64="",$B$21=""),0,IFERROR(INDEX('Dán TĐ nhân viên'!$N$1:$N$1500,MATCH("*"&amp;$C$21&amp;"|"&amp;$B$64,'Dán TĐ nhân viên'!$M$1:$M$1500,0)),0))</f>
        <v/>
      </c>
      <c r="V111">
        <f>IF(OR($B$64="",$B$22=""),0,IFERROR(INDEX('Dán TĐ nhân viên'!$N$1:$N$1500,MATCH("*"&amp;$C$22&amp;"|"&amp;$B$64,'Dán TĐ nhân viên'!$M$1:$M$1500,0)),0))</f>
        <v/>
      </c>
    </row>
    <row r="112">
      <c r="A112" t="n">
        <v>27</v>
      </c>
      <c r="B112">
        <f>B65</f>
        <v/>
      </c>
      <c r="C112">
        <f>IF(OR($B$65="",$B$3=""),0,IFERROR(INDEX('Dán TĐ nhân viên'!$N$1:$N$1500,MATCH("*"&amp;$C$3&amp;"|"&amp;$B$65,'Dán TĐ nhân viên'!$M$1:$M$1500,0)),0))</f>
        <v/>
      </c>
      <c r="D112">
        <f>IF(OR($B$65="",$B$4=""),0,IFERROR(INDEX('Dán TĐ nhân viên'!$N$1:$N$1500,MATCH("*"&amp;$C$4&amp;"|"&amp;$B$65,'Dán TĐ nhân viên'!$M$1:$M$1500,0)),0))</f>
        <v/>
      </c>
      <c r="E112">
        <f>IF(OR($B$65="",$B$5=""),0,IFERROR(INDEX('Dán TĐ nhân viên'!$N$1:$N$1500,MATCH("*"&amp;$C$5&amp;"|"&amp;$B$65,'Dán TĐ nhân viên'!$M$1:$M$1500,0)),0))</f>
        <v/>
      </c>
      <c r="F112">
        <f>IF(OR($B$65="",$B$6=""),0,IFERROR(INDEX('Dán TĐ nhân viên'!$N$1:$N$1500,MATCH("*"&amp;$C$6&amp;"|"&amp;$B$65,'Dán TĐ nhân viên'!$M$1:$M$1500,0)),0))</f>
        <v/>
      </c>
      <c r="G112">
        <f>IF(OR($B$65="",$B$7=""),0,IFERROR(INDEX('Dán TĐ nhân viên'!$N$1:$N$1500,MATCH("*"&amp;$C$7&amp;"|"&amp;$B$65,'Dán TĐ nhân viên'!$M$1:$M$1500,0)),0))</f>
        <v/>
      </c>
      <c r="H112">
        <f>IF(OR($B$65="",$B$8=""),0,IFERROR(INDEX('Dán TĐ nhân viên'!$N$1:$N$1500,MATCH("*"&amp;$C$8&amp;"|"&amp;$B$65,'Dán TĐ nhân viên'!$M$1:$M$1500,0)),0))</f>
        <v/>
      </c>
      <c r="I112">
        <f>IF(OR($B$65="",$B$9=""),0,IFERROR(INDEX('Dán TĐ nhân viên'!$N$1:$N$1500,MATCH("*"&amp;$C$9&amp;"|"&amp;$B$65,'Dán TĐ nhân viên'!$M$1:$M$1500,0)),0))</f>
        <v/>
      </c>
      <c r="J112">
        <f>IF(OR($B$65="",$B$10=""),0,IFERROR(INDEX('Dán TĐ nhân viên'!$N$1:$N$1500,MATCH("*"&amp;$C$10&amp;"|"&amp;$B$65,'Dán TĐ nhân viên'!$M$1:$M$1500,0)),0))</f>
        <v/>
      </c>
      <c r="K112">
        <f>IF(OR($B$65="",$B$11=""),0,IFERROR(INDEX('Dán TĐ nhân viên'!$N$1:$N$1500,MATCH("*"&amp;$C$11&amp;"|"&amp;$B$65,'Dán TĐ nhân viên'!$M$1:$M$1500,0)),0))</f>
        <v/>
      </c>
      <c r="L112">
        <f>IF(OR($B$65="",$B$12=""),0,IFERROR(INDEX('Dán TĐ nhân viên'!$N$1:$N$1500,MATCH("*"&amp;$C$12&amp;"|"&amp;$B$65,'Dán TĐ nhân viên'!$M$1:$M$1500,0)),0))</f>
        <v/>
      </c>
      <c r="M112">
        <f>IF(OR($B$65="",$B$13=""),0,IFERROR(INDEX('Dán TĐ nhân viên'!$N$1:$N$1500,MATCH("*"&amp;$C$13&amp;"|"&amp;$B$65,'Dán TĐ nhân viên'!$M$1:$M$1500,0)),0))</f>
        <v/>
      </c>
      <c r="N112">
        <f>IF(OR($B$65="",$B$14=""),0,IFERROR(INDEX('Dán TĐ nhân viên'!$N$1:$N$1500,MATCH("*"&amp;$C$14&amp;"|"&amp;$B$65,'Dán TĐ nhân viên'!$M$1:$M$1500,0)),0))</f>
        <v/>
      </c>
      <c r="O112">
        <f>IF(OR($B$65="",$B$15=""),0,IFERROR(INDEX('Dán TĐ nhân viên'!$N$1:$N$1500,MATCH("*"&amp;$C$15&amp;"|"&amp;$B$65,'Dán TĐ nhân viên'!$M$1:$M$1500,0)),0))</f>
        <v/>
      </c>
      <c r="P112">
        <f>IF(OR($B$65="",$B$16=""),0,IFERROR(INDEX('Dán TĐ nhân viên'!$N$1:$N$1500,MATCH("*"&amp;$C$16&amp;"|"&amp;$B$65,'Dán TĐ nhân viên'!$M$1:$M$1500,0)),0))</f>
        <v/>
      </c>
      <c r="Q112">
        <f>IF(OR($B$65="",$B$17=""),0,IFERROR(INDEX('Dán TĐ nhân viên'!$N$1:$N$1500,MATCH("*"&amp;$C$17&amp;"|"&amp;$B$65,'Dán TĐ nhân viên'!$M$1:$M$1500,0)),0))</f>
        <v/>
      </c>
      <c r="R112">
        <f>IF(OR($B$65="",$B$18=""),0,IFERROR(INDEX('Dán TĐ nhân viên'!$N$1:$N$1500,MATCH("*"&amp;$C$18&amp;"|"&amp;$B$65,'Dán TĐ nhân viên'!$M$1:$M$1500,0)),0))</f>
        <v/>
      </c>
      <c r="S112">
        <f>IF(OR($B$65="",$B$19=""),0,IFERROR(INDEX('Dán TĐ nhân viên'!$N$1:$N$1500,MATCH("*"&amp;$C$19&amp;"|"&amp;$B$65,'Dán TĐ nhân viên'!$M$1:$M$1500,0)),0))</f>
        <v/>
      </c>
      <c r="T112">
        <f>IF(OR($B$65="",$B$20=""),0,IFERROR(INDEX('Dán TĐ nhân viên'!$N$1:$N$1500,MATCH("*"&amp;$C$20&amp;"|"&amp;$B$65,'Dán TĐ nhân viên'!$M$1:$M$1500,0)),0))</f>
        <v/>
      </c>
      <c r="U112">
        <f>IF(OR($B$65="",$B$21=""),0,IFERROR(INDEX('Dán TĐ nhân viên'!$N$1:$N$1500,MATCH("*"&amp;$C$21&amp;"|"&amp;$B$65,'Dán TĐ nhân viên'!$M$1:$M$1500,0)),0))</f>
        <v/>
      </c>
      <c r="V112">
        <f>IF(OR($B$65="",$B$22=""),0,IFERROR(INDEX('Dán TĐ nhân viên'!$N$1:$N$1500,MATCH("*"&amp;$C$22&amp;"|"&amp;$B$65,'Dán TĐ nhân viên'!$M$1:$M$1500,0)),0))</f>
        <v/>
      </c>
    </row>
    <row r="113">
      <c r="A113" t="n">
        <v>28</v>
      </c>
      <c r="B113">
        <f>B66</f>
        <v/>
      </c>
      <c r="C113">
        <f>IF(OR($B$66="",$B$3=""),0,IFERROR(INDEX('Dán TĐ nhân viên'!$N$1:$N$1500,MATCH("*"&amp;$C$3&amp;"|"&amp;$B$66,'Dán TĐ nhân viên'!$M$1:$M$1500,0)),0))</f>
        <v/>
      </c>
      <c r="D113">
        <f>IF(OR($B$66="",$B$4=""),0,IFERROR(INDEX('Dán TĐ nhân viên'!$N$1:$N$1500,MATCH("*"&amp;$C$4&amp;"|"&amp;$B$66,'Dán TĐ nhân viên'!$M$1:$M$1500,0)),0))</f>
        <v/>
      </c>
      <c r="E113">
        <f>IF(OR($B$66="",$B$5=""),0,IFERROR(INDEX('Dán TĐ nhân viên'!$N$1:$N$1500,MATCH("*"&amp;$C$5&amp;"|"&amp;$B$66,'Dán TĐ nhân viên'!$M$1:$M$1500,0)),0))</f>
        <v/>
      </c>
      <c r="F113">
        <f>IF(OR($B$66="",$B$6=""),0,IFERROR(INDEX('Dán TĐ nhân viên'!$N$1:$N$1500,MATCH("*"&amp;$C$6&amp;"|"&amp;$B$66,'Dán TĐ nhân viên'!$M$1:$M$1500,0)),0))</f>
        <v/>
      </c>
      <c r="G113">
        <f>IF(OR($B$66="",$B$7=""),0,IFERROR(INDEX('Dán TĐ nhân viên'!$N$1:$N$1500,MATCH("*"&amp;$C$7&amp;"|"&amp;$B$66,'Dán TĐ nhân viên'!$M$1:$M$1500,0)),0))</f>
        <v/>
      </c>
      <c r="H113">
        <f>IF(OR($B$66="",$B$8=""),0,IFERROR(INDEX('Dán TĐ nhân viên'!$N$1:$N$1500,MATCH("*"&amp;$C$8&amp;"|"&amp;$B$66,'Dán TĐ nhân viên'!$M$1:$M$1500,0)),0))</f>
        <v/>
      </c>
      <c r="I113">
        <f>IF(OR($B$66="",$B$9=""),0,IFERROR(INDEX('Dán TĐ nhân viên'!$N$1:$N$1500,MATCH("*"&amp;$C$9&amp;"|"&amp;$B$66,'Dán TĐ nhân viên'!$M$1:$M$1500,0)),0))</f>
        <v/>
      </c>
      <c r="J113">
        <f>IF(OR($B$66="",$B$10=""),0,IFERROR(INDEX('Dán TĐ nhân viên'!$N$1:$N$1500,MATCH("*"&amp;$C$10&amp;"|"&amp;$B$66,'Dán TĐ nhân viên'!$M$1:$M$1500,0)),0))</f>
        <v/>
      </c>
      <c r="K113">
        <f>IF(OR($B$66="",$B$11=""),0,IFERROR(INDEX('Dán TĐ nhân viên'!$N$1:$N$1500,MATCH("*"&amp;$C$11&amp;"|"&amp;$B$66,'Dán TĐ nhân viên'!$M$1:$M$1500,0)),0))</f>
        <v/>
      </c>
      <c r="L113">
        <f>IF(OR($B$66="",$B$12=""),0,IFERROR(INDEX('Dán TĐ nhân viên'!$N$1:$N$1500,MATCH("*"&amp;$C$12&amp;"|"&amp;$B$66,'Dán TĐ nhân viên'!$M$1:$M$1500,0)),0))</f>
        <v/>
      </c>
      <c r="M113">
        <f>IF(OR($B$66="",$B$13=""),0,IFERROR(INDEX('Dán TĐ nhân viên'!$N$1:$N$1500,MATCH("*"&amp;$C$13&amp;"|"&amp;$B$66,'Dán TĐ nhân viên'!$M$1:$M$1500,0)),0))</f>
        <v/>
      </c>
      <c r="N113">
        <f>IF(OR($B$66="",$B$14=""),0,IFERROR(INDEX('Dán TĐ nhân viên'!$N$1:$N$1500,MATCH("*"&amp;$C$14&amp;"|"&amp;$B$66,'Dán TĐ nhân viên'!$M$1:$M$1500,0)),0))</f>
        <v/>
      </c>
      <c r="O113">
        <f>IF(OR($B$66="",$B$15=""),0,IFERROR(INDEX('Dán TĐ nhân viên'!$N$1:$N$1500,MATCH("*"&amp;$C$15&amp;"|"&amp;$B$66,'Dán TĐ nhân viên'!$M$1:$M$1500,0)),0))</f>
        <v/>
      </c>
      <c r="P113">
        <f>IF(OR($B$66="",$B$16=""),0,IFERROR(INDEX('Dán TĐ nhân viên'!$N$1:$N$1500,MATCH("*"&amp;$C$16&amp;"|"&amp;$B$66,'Dán TĐ nhân viên'!$M$1:$M$1500,0)),0))</f>
        <v/>
      </c>
      <c r="Q113">
        <f>IF(OR($B$66="",$B$17=""),0,IFERROR(INDEX('Dán TĐ nhân viên'!$N$1:$N$1500,MATCH("*"&amp;$C$17&amp;"|"&amp;$B$66,'Dán TĐ nhân viên'!$M$1:$M$1500,0)),0))</f>
        <v/>
      </c>
      <c r="R113">
        <f>IF(OR($B$66="",$B$18=""),0,IFERROR(INDEX('Dán TĐ nhân viên'!$N$1:$N$1500,MATCH("*"&amp;$C$18&amp;"|"&amp;$B$66,'Dán TĐ nhân viên'!$M$1:$M$1500,0)),0))</f>
        <v/>
      </c>
      <c r="S113">
        <f>IF(OR($B$66="",$B$19=""),0,IFERROR(INDEX('Dán TĐ nhân viên'!$N$1:$N$1500,MATCH("*"&amp;$C$19&amp;"|"&amp;$B$66,'Dán TĐ nhân viên'!$M$1:$M$1500,0)),0))</f>
        <v/>
      </c>
      <c r="T113">
        <f>IF(OR($B$66="",$B$20=""),0,IFERROR(INDEX('Dán TĐ nhân viên'!$N$1:$N$1500,MATCH("*"&amp;$C$20&amp;"|"&amp;$B$66,'Dán TĐ nhân viên'!$M$1:$M$1500,0)),0))</f>
        <v/>
      </c>
      <c r="U113">
        <f>IF(OR($B$66="",$B$21=""),0,IFERROR(INDEX('Dán TĐ nhân viên'!$N$1:$N$1500,MATCH("*"&amp;$C$21&amp;"|"&amp;$B$66,'Dán TĐ nhân viên'!$M$1:$M$1500,0)),0))</f>
        <v/>
      </c>
      <c r="V113">
        <f>IF(OR($B$66="",$B$22=""),0,IFERROR(INDEX('Dán TĐ nhân viên'!$N$1:$N$1500,MATCH("*"&amp;$C$22&amp;"|"&amp;$B$66,'Dán TĐ nhân viên'!$M$1:$M$1500,0)),0))</f>
        <v/>
      </c>
    </row>
    <row r="114">
      <c r="A114" t="n">
        <v>29</v>
      </c>
      <c r="B114">
        <f>B67</f>
        <v/>
      </c>
      <c r="C114">
        <f>IF(OR($B$67="",$B$3=""),0,IFERROR(INDEX('Dán TĐ nhân viên'!$N$1:$N$1500,MATCH("*"&amp;$C$3&amp;"|"&amp;$B$67,'Dán TĐ nhân viên'!$M$1:$M$1500,0)),0))</f>
        <v/>
      </c>
      <c r="D114">
        <f>IF(OR($B$67="",$B$4=""),0,IFERROR(INDEX('Dán TĐ nhân viên'!$N$1:$N$1500,MATCH("*"&amp;$C$4&amp;"|"&amp;$B$67,'Dán TĐ nhân viên'!$M$1:$M$1500,0)),0))</f>
        <v/>
      </c>
      <c r="E114">
        <f>IF(OR($B$67="",$B$5=""),0,IFERROR(INDEX('Dán TĐ nhân viên'!$N$1:$N$1500,MATCH("*"&amp;$C$5&amp;"|"&amp;$B$67,'Dán TĐ nhân viên'!$M$1:$M$1500,0)),0))</f>
        <v/>
      </c>
      <c r="F114">
        <f>IF(OR($B$67="",$B$6=""),0,IFERROR(INDEX('Dán TĐ nhân viên'!$N$1:$N$1500,MATCH("*"&amp;$C$6&amp;"|"&amp;$B$67,'Dán TĐ nhân viên'!$M$1:$M$1500,0)),0))</f>
        <v/>
      </c>
      <c r="G114">
        <f>IF(OR($B$67="",$B$7=""),0,IFERROR(INDEX('Dán TĐ nhân viên'!$N$1:$N$1500,MATCH("*"&amp;$C$7&amp;"|"&amp;$B$67,'Dán TĐ nhân viên'!$M$1:$M$1500,0)),0))</f>
        <v/>
      </c>
      <c r="H114">
        <f>IF(OR($B$67="",$B$8=""),0,IFERROR(INDEX('Dán TĐ nhân viên'!$N$1:$N$1500,MATCH("*"&amp;$C$8&amp;"|"&amp;$B$67,'Dán TĐ nhân viên'!$M$1:$M$1500,0)),0))</f>
        <v/>
      </c>
      <c r="I114">
        <f>IF(OR($B$67="",$B$9=""),0,IFERROR(INDEX('Dán TĐ nhân viên'!$N$1:$N$1500,MATCH("*"&amp;$C$9&amp;"|"&amp;$B$67,'Dán TĐ nhân viên'!$M$1:$M$1500,0)),0))</f>
        <v/>
      </c>
      <c r="J114">
        <f>IF(OR($B$67="",$B$10=""),0,IFERROR(INDEX('Dán TĐ nhân viên'!$N$1:$N$1500,MATCH("*"&amp;$C$10&amp;"|"&amp;$B$67,'Dán TĐ nhân viên'!$M$1:$M$1500,0)),0))</f>
        <v/>
      </c>
      <c r="K114">
        <f>IF(OR($B$67="",$B$11=""),0,IFERROR(INDEX('Dán TĐ nhân viên'!$N$1:$N$1500,MATCH("*"&amp;$C$11&amp;"|"&amp;$B$67,'Dán TĐ nhân viên'!$M$1:$M$1500,0)),0))</f>
        <v/>
      </c>
      <c r="L114">
        <f>IF(OR($B$67="",$B$12=""),0,IFERROR(INDEX('Dán TĐ nhân viên'!$N$1:$N$1500,MATCH("*"&amp;$C$12&amp;"|"&amp;$B$67,'Dán TĐ nhân viên'!$M$1:$M$1500,0)),0))</f>
        <v/>
      </c>
      <c r="M114">
        <f>IF(OR($B$67="",$B$13=""),0,IFERROR(INDEX('Dán TĐ nhân viên'!$N$1:$N$1500,MATCH("*"&amp;$C$13&amp;"|"&amp;$B$67,'Dán TĐ nhân viên'!$M$1:$M$1500,0)),0))</f>
        <v/>
      </c>
      <c r="N114">
        <f>IF(OR($B$67="",$B$14=""),0,IFERROR(INDEX('Dán TĐ nhân viên'!$N$1:$N$1500,MATCH("*"&amp;$C$14&amp;"|"&amp;$B$67,'Dán TĐ nhân viên'!$M$1:$M$1500,0)),0))</f>
        <v/>
      </c>
      <c r="O114">
        <f>IF(OR($B$67="",$B$15=""),0,IFERROR(INDEX('Dán TĐ nhân viên'!$N$1:$N$1500,MATCH("*"&amp;$C$15&amp;"|"&amp;$B$67,'Dán TĐ nhân viên'!$M$1:$M$1500,0)),0))</f>
        <v/>
      </c>
      <c r="P114">
        <f>IF(OR($B$67="",$B$16=""),0,IFERROR(INDEX('Dán TĐ nhân viên'!$N$1:$N$1500,MATCH("*"&amp;$C$16&amp;"|"&amp;$B$67,'Dán TĐ nhân viên'!$M$1:$M$1500,0)),0))</f>
        <v/>
      </c>
      <c r="Q114">
        <f>IF(OR($B$67="",$B$17=""),0,IFERROR(INDEX('Dán TĐ nhân viên'!$N$1:$N$1500,MATCH("*"&amp;$C$17&amp;"|"&amp;$B$67,'Dán TĐ nhân viên'!$M$1:$M$1500,0)),0))</f>
        <v/>
      </c>
      <c r="R114">
        <f>IF(OR($B$67="",$B$18=""),0,IFERROR(INDEX('Dán TĐ nhân viên'!$N$1:$N$1500,MATCH("*"&amp;$C$18&amp;"|"&amp;$B$67,'Dán TĐ nhân viên'!$M$1:$M$1500,0)),0))</f>
        <v/>
      </c>
      <c r="S114">
        <f>IF(OR($B$67="",$B$19=""),0,IFERROR(INDEX('Dán TĐ nhân viên'!$N$1:$N$1500,MATCH("*"&amp;$C$19&amp;"|"&amp;$B$67,'Dán TĐ nhân viên'!$M$1:$M$1500,0)),0))</f>
        <v/>
      </c>
      <c r="T114">
        <f>IF(OR($B$67="",$B$20=""),0,IFERROR(INDEX('Dán TĐ nhân viên'!$N$1:$N$1500,MATCH("*"&amp;$C$20&amp;"|"&amp;$B$67,'Dán TĐ nhân viên'!$M$1:$M$1500,0)),0))</f>
        <v/>
      </c>
      <c r="U114">
        <f>IF(OR($B$67="",$B$21=""),0,IFERROR(INDEX('Dán TĐ nhân viên'!$N$1:$N$1500,MATCH("*"&amp;$C$21&amp;"|"&amp;$B$67,'Dán TĐ nhân viên'!$M$1:$M$1500,0)),0))</f>
        <v/>
      </c>
      <c r="V114">
        <f>IF(OR($B$67="",$B$22=""),0,IFERROR(INDEX('Dán TĐ nhân viên'!$N$1:$N$1500,MATCH("*"&amp;$C$22&amp;"|"&amp;$B$67,'Dán TĐ nhân viên'!$M$1:$M$1500,0)),0))</f>
        <v/>
      </c>
    </row>
    <row r="115">
      <c r="A115" t="n">
        <v>30</v>
      </c>
      <c r="B115">
        <f>B68</f>
        <v/>
      </c>
      <c r="C115">
        <f>IF(OR($B$68="",$B$3=""),0,IFERROR(INDEX('Dán TĐ nhân viên'!$N$1:$N$1500,MATCH("*"&amp;$C$3&amp;"|"&amp;$B$68,'Dán TĐ nhân viên'!$M$1:$M$1500,0)),0))</f>
        <v/>
      </c>
      <c r="D115">
        <f>IF(OR($B$68="",$B$4=""),0,IFERROR(INDEX('Dán TĐ nhân viên'!$N$1:$N$1500,MATCH("*"&amp;$C$4&amp;"|"&amp;$B$68,'Dán TĐ nhân viên'!$M$1:$M$1500,0)),0))</f>
        <v/>
      </c>
      <c r="E115">
        <f>IF(OR($B$68="",$B$5=""),0,IFERROR(INDEX('Dán TĐ nhân viên'!$N$1:$N$1500,MATCH("*"&amp;$C$5&amp;"|"&amp;$B$68,'Dán TĐ nhân viên'!$M$1:$M$1500,0)),0))</f>
        <v/>
      </c>
      <c r="F115">
        <f>IF(OR($B$68="",$B$6=""),0,IFERROR(INDEX('Dán TĐ nhân viên'!$N$1:$N$1500,MATCH("*"&amp;$C$6&amp;"|"&amp;$B$68,'Dán TĐ nhân viên'!$M$1:$M$1500,0)),0))</f>
        <v/>
      </c>
      <c r="G115">
        <f>IF(OR($B$68="",$B$7=""),0,IFERROR(INDEX('Dán TĐ nhân viên'!$N$1:$N$1500,MATCH("*"&amp;$C$7&amp;"|"&amp;$B$68,'Dán TĐ nhân viên'!$M$1:$M$1500,0)),0))</f>
        <v/>
      </c>
      <c r="H115">
        <f>IF(OR($B$68="",$B$8=""),0,IFERROR(INDEX('Dán TĐ nhân viên'!$N$1:$N$1500,MATCH("*"&amp;$C$8&amp;"|"&amp;$B$68,'Dán TĐ nhân viên'!$M$1:$M$1500,0)),0))</f>
        <v/>
      </c>
      <c r="I115">
        <f>IF(OR($B$68="",$B$9=""),0,IFERROR(INDEX('Dán TĐ nhân viên'!$N$1:$N$1500,MATCH("*"&amp;$C$9&amp;"|"&amp;$B$68,'Dán TĐ nhân viên'!$M$1:$M$1500,0)),0))</f>
        <v/>
      </c>
      <c r="J115">
        <f>IF(OR($B$68="",$B$10=""),0,IFERROR(INDEX('Dán TĐ nhân viên'!$N$1:$N$1500,MATCH("*"&amp;$C$10&amp;"|"&amp;$B$68,'Dán TĐ nhân viên'!$M$1:$M$1500,0)),0))</f>
        <v/>
      </c>
      <c r="K115">
        <f>IF(OR($B$68="",$B$11=""),0,IFERROR(INDEX('Dán TĐ nhân viên'!$N$1:$N$1500,MATCH("*"&amp;$C$11&amp;"|"&amp;$B$68,'Dán TĐ nhân viên'!$M$1:$M$1500,0)),0))</f>
        <v/>
      </c>
      <c r="L115">
        <f>IF(OR($B$68="",$B$12=""),0,IFERROR(INDEX('Dán TĐ nhân viên'!$N$1:$N$1500,MATCH("*"&amp;$C$12&amp;"|"&amp;$B$68,'Dán TĐ nhân viên'!$M$1:$M$1500,0)),0))</f>
        <v/>
      </c>
      <c r="M115">
        <f>IF(OR($B$68="",$B$13=""),0,IFERROR(INDEX('Dán TĐ nhân viên'!$N$1:$N$1500,MATCH("*"&amp;$C$13&amp;"|"&amp;$B$68,'Dán TĐ nhân viên'!$M$1:$M$1500,0)),0))</f>
        <v/>
      </c>
      <c r="N115">
        <f>IF(OR($B$68="",$B$14=""),0,IFERROR(INDEX('Dán TĐ nhân viên'!$N$1:$N$1500,MATCH("*"&amp;$C$14&amp;"|"&amp;$B$68,'Dán TĐ nhân viên'!$M$1:$M$1500,0)),0))</f>
        <v/>
      </c>
      <c r="O115">
        <f>IF(OR($B$68="",$B$15=""),0,IFERROR(INDEX('Dán TĐ nhân viên'!$N$1:$N$1500,MATCH("*"&amp;$C$15&amp;"|"&amp;$B$68,'Dán TĐ nhân viên'!$M$1:$M$1500,0)),0))</f>
        <v/>
      </c>
      <c r="P115">
        <f>IF(OR($B$68="",$B$16=""),0,IFERROR(INDEX('Dán TĐ nhân viên'!$N$1:$N$1500,MATCH("*"&amp;$C$16&amp;"|"&amp;$B$68,'Dán TĐ nhân viên'!$M$1:$M$1500,0)),0))</f>
        <v/>
      </c>
      <c r="Q115">
        <f>IF(OR($B$68="",$B$17=""),0,IFERROR(INDEX('Dán TĐ nhân viên'!$N$1:$N$1500,MATCH("*"&amp;$C$17&amp;"|"&amp;$B$68,'Dán TĐ nhân viên'!$M$1:$M$1500,0)),0))</f>
        <v/>
      </c>
      <c r="R115">
        <f>IF(OR($B$68="",$B$18=""),0,IFERROR(INDEX('Dán TĐ nhân viên'!$N$1:$N$1500,MATCH("*"&amp;$C$18&amp;"|"&amp;$B$68,'Dán TĐ nhân viên'!$M$1:$M$1500,0)),0))</f>
        <v/>
      </c>
      <c r="S115">
        <f>IF(OR($B$68="",$B$19=""),0,IFERROR(INDEX('Dán TĐ nhân viên'!$N$1:$N$1500,MATCH("*"&amp;$C$19&amp;"|"&amp;$B$68,'Dán TĐ nhân viên'!$M$1:$M$1500,0)),0))</f>
        <v/>
      </c>
      <c r="T115">
        <f>IF(OR($B$68="",$B$20=""),0,IFERROR(INDEX('Dán TĐ nhân viên'!$N$1:$N$1500,MATCH("*"&amp;$C$20&amp;"|"&amp;$B$68,'Dán TĐ nhân viên'!$M$1:$M$1500,0)),0))</f>
        <v/>
      </c>
      <c r="U115">
        <f>IF(OR($B$68="",$B$21=""),0,IFERROR(INDEX('Dán TĐ nhân viên'!$N$1:$N$1500,MATCH("*"&amp;$C$21&amp;"|"&amp;$B$68,'Dán TĐ nhân viên'!$M$1:$M$1500,0)),0))</f>
        <v/>
      </c>
      <c r="V115">
        <f>IF(OR($B$68="",$B$22=""),0,IFERROR(INDEX('Dán TĐ nhân viên'!$N$1:$N$1500,MATCH("*"&amp;$C$22&amp;"|"&amp;$B$68,'Dán TĐ nhân viên'!$M$1:$M$1500,0)),0))</f>
        <v/>
      </c>
    </row>
    <row r="116">
      <c r="A116" t="n">
        <v>31</v>
      </c>
      <c r="B116">
        <f>B69</f>
        <v/>
      </c>
      <c r="C116">
        <f>IF(OR($B$69="",$B$3=""),0,IFERROR(INDEX('Dán TĐ nhân viên'!$N$1:$N$1500,MATCH("*"&amp;$C$3&amp;"|"&amp;$B$69,'Dán TĐ nhân viên'!$M$1:$M$1500,0)),0))</f>
        <v/>
      </c>
      <c r="D116">
        <f>IF(OR($B$69="",$B$4=""),0,IFERROR(INDEX('Dán TĐ nhân viên'!$N$1:$N$1500,MATCH("*"&amp;$C$4&amp;"|"&amp;$B$69,'Dán TĐ nhân viên'!$M$1:$M$1500,0)),0))</f>
        <v/>
      </c>
      <c r="E116">
        <f>IF(OR($B$69="",$B$5=""),0,IFERROR(INDEX('Dán TĐ nhân viên'!$N$1:$N$1500,MATCH("*"&amp;$C$5&amp;"|"&amp;$B$69,'Dán TĐ nhân viên'!$M$1:$M$1500,0)),0))</f>
        <v/>
      </c>
      <c r="F116">
        <f>IF(OR($B$69="",$B$6=""),0,IFERROR(INDEX('Dán TĐ nhân viên'!$N$1:$N$1500,MATCH("*"&amp;$C$6&amp;"|"&amp;$B$69,'Dán TĐ nhân viên'!$M$1:$M$1500,0)),0))</f>
        <v/>
      </c>
      <c r="G116">
        <f>IF(OR($B$69="",$B$7=""),0,IFERROR(INDEX('Dán TĐ nhân viên'!$N$1:$N$1500,MATCH("*"&amp;$C$7&amp;"|"&amp;$B$69,'Dán TĐ nhân viên'!$M$1:$M$1500,0)),0))</f>
        <v/>
      </c>
      <c r="H116">
        <f>IF(OR($B$69="",$B$8=""),0,IFERROR(INDEX('Dán TĐ nhân viên'!$N$1:$N$1500,MATCH("*"&amp;$C$8&amp;"|"&amp;$B$69,'Dán TĐ nhân viên'!$M$1:$M$1500,0)),0))</f>
        <v/>
      </c>
      <c r="I116">
        <f>IF(OR($B$69="",$B$9=""),0,IFERROR(INDEX('Dán TĐ nhân viên'!$N$1:$N$1500,MATCH("*"&amp;$C$9&amp;"|"&amp;$B$69,'Dán TĐ nhân viên'!$M$1:$M$1500,0)),0))</f>
        <v/>
      </c>
      <c r="J116">
        <f>IF(OR($B$69="",$B$10=""),0,IFERROR(INDEX('Dán TĐ nhân viên'!$N$1:$N$1500,MATCH("*"&amp;$C$10&amp;"|"&amp;$B$69,'Dán TĐ nhân viên'!$M$1:$M$1500,0)),0))</f>
        <v/>
      </c>
      <c r="K116">
        <f>IF(OR($B$69="",$B$11=""),0,IFERROR(INDEX('Dán TĐ nhân viên'!$N$1:$N$1500,MATCH("*"&amp;$C$11&amp;"|"&amp;$B$69,'Dán TĐ nhân viên'!$M$1:$M$1500,0)),0))</f>
        <v/>
      </c>
      <c r="L116">
        <f>IF(OR($B$69="",$B$12=""),0,IFERROR(INDEX('Dán TĐ nhân viên'!$N$1:$N$1500,MATCH("*"&amp;$C$12&amp;"|"&amp;$B$69,'Dán TĐ nhân viên'!$M$1:$M$1500,0)),0))</f>
        <v/>
      </c>
      <c r="M116">
        <f>IF(OR($B$69="",$B$13=""),0,IFERROR(INDEX('Dán TĐ nhân viên'!$N$1:$N$1500,MATCH("*"&amp;$C$13&amp;"|"&amp;$B$69,'Dán TĐ nhân viên'!$M$1:$M$1500,0)),0))</f>
        <v/>
      </c>
      <c r="N116">
        <f>IF(OR($B$69="",$B$14=""),0,IFERROR(INDEX('Dán TĐ nhân viên'!$N$1:$N$1500,MATCH("*"&amp;$C$14&amp;"|"&amp;$B$69,'Dán TĐ nhân viên'!$M$1:$M$1500,0)),0))</f>
        <v/>
      </c>
      <c r="O116">
        <f>IF(OR($B$69="",$B$15=""),0,IFERROR(INDEX('Dán TĐ nhân viên'!$N$1:$N$1500,MATCH("*"&amp;$C$15&amp;"|"&amp;$B$69,'Dán TĐ nhân viên'!$M$1:$M$1500,0)),0))</f>
        <v/>
      </c>
      <c r="P116">
        <f>IF(OR($B$69="",$B$16=""),0,IFERROR(INDEX('Dán TĐ nhân viên'!$N$1:$N$1500,MATCH("*"&amp;$C$16&amp;"|"&amp;$B$69,'Dán TĐ nhân viên'!$M$1:$M$1500,0)),0))</f>
        <v/>
      </c>
      <c r="Q116">
        <f>IF(OR($B$69="",$B$17=""),0,IFERROR(INDEX('Dán TĐ nhân viên'!$N$1:$N$1500,MATCH("*"&amp;$C$17&amp;"|"&amp;$B$69,'Dán TĐ nhân viên'!$M$1:$M$1500,0)),0))</f>
        <v/>
      </c>
      <c r="R116">
        <f>IF(OR($B$69="",$B$18=""),0,IFERROR(INDEX('Dán TĐ nhân viên'!$N$1:$N$1500,MATCH("*"&amp;$C$18&amp;"|"&amp;$B$69,'Dán TĐ nhân viên'!$M$1:$M$1500,0)),0))</f>
        <v/>
      </c>
      <c r="S116">
        <f>IF(OR($B$69="",$B$19=""),0,IFERROR(INDEX('Dán TĐ nhân viên'!$N$1:$N$1500,MATCH("*"&amp;$C$19&amp;"|"&amp;$B$69,'Dán TĐ nhân viên'!$M$1:$M$1500,0)),0))</f>
        <v/>
      </c>
      <c r="T116">
        <f>IF(OR($B$69="",$B$20=""),0,IFERROR(INDEX('Dán TĐ nhân viên'!$N$1:$N$1500,MATCH("*"&amp;$C$20&amp;"|"&amp;$B$69,'Dán TĐ nhân viên'!$M$1:$M$1500,0)),0))</f>
        <v/>
      </c>
      <c r="U116">
        <f>IF(OR($B$69="",$B$21=""),0,IFERROR(INDEX('Dán TĐ nhân viên'!$N$1:$N$1500,MATCH("*"&amp;$C$21&amp;"|"&amp;$B$69,'Dán TĐ nhân viên'!$M$1:$M$1500,0)),0))</f>
        <v/>
      </c>
      <c r="V116">
        <f>IF(OR($B$69="",$B$22=""),0,IFERROR(INDEX('Dán TĐ nhân viên'!$N$1:$N$1500,MATCH("*"&amp;$C$22&amp;"|"&amp;$B$69,'Dán TĐ nhân viên'!$M$1:$M$1500,0)),0))</f>
        <v/>
      </c>
    </row>
    <row r="117">
      <c r="A117" t="n">
        <v>32</v>
      </c>
      <c r="B117">
        <f>B70</f>
        <v/>
      </c>
      <c r="C117">
        <f>IF(OR($B$70="",$B$3=""),0,IFERROR(INDEX('Dán TĐ nhân viên'!$N$1:$N$1500,MATCH("*"&amp;$C$3&amp;"|"&amp;$B$70,'Dán TĐ nhân viên'!$M$1:$M$1500,0)),0))</f>
        <v/>
      </c>
      <c r="D117">
        <f>IF(OR($B$70="",$B$4=""),0,IFERROR(INDEX('Dán TĐ nhân viên'!$N$1:$N$1500,MATCH("*"&amp;$C$4&amp;"|"&amp;$B$70,'Dán TĐ nhân viên'!$M$1:$M$1500,0)),0))</f>
        <v/>
      </c>
      <c r="E117">
        <f>IF(OR($B$70="",$B$5=""),0,IFERROR(INDEX('Dán TĐ nhân viên'!$N$1:$N$1500,MATCH("*"&amp;$C$5&amp;"|"&amp;$B$70,'Dán TĐ nhân viên'!$M$1:$M$1500,0)),0))</f>
        <v/>
      </c>
      <c r="F117">
        <f>IF(OR($B$70="",$B$6=""),0,IFERROR(INDEX('Dán TĐ nhân viên'!$N$1:$N$1500,MATCH("*"&amp;$C$6&amp;"|"&amp;$B$70,'Dán TĐ nhân viên'!$M$1:$M$1500,0)),0))</f>
        <v/>
      </c>
      <c r="G117">
        <f>IF(OR($B$70="",$B$7=""),0,IFERROR(INDEX('Dán TĐ nhân viên'!$N$1:$N$1500,MATCH("*"&amp;$C$7&amp;"|"&amp;$B$70,'Dán TĐ nhân viên'!$M$1:$M$1500,0)),0))</f>
        <v/>
      </c>
      <c r="H117">
        <f>IF(OR($B$70="",$B$8=""),0,IFERROR(INDEX('Dán TĐ nhân viên'!$N$1:$N$1500,MATCH("*"&amp;$C$8&amp;"|"&amp;$B$70,'Dán TĐ nhân viên'!$M$1:$M$1500,0)),0))</f>
        <v/>
      </c>
      <c r="I117">
        <f>IF(OR($B$70="",$B$9=""),0,IFERROR(INDEX('Dán TĐ nhân viên'!$N$1:$N$1500,MATCH("*"&amp;$C$9&amp;"|"&amp;$B$70,'Dán TĐ nhân viên'!$M$1:$M$1500,0)),0))</f>
        <v/>
      </c>
      <c r="J117">
        <f>IF(OR($B$70="",$B$10=""),0,IFERROR(INDEX('Dán TĐ nhân viên'!$N$1:$N$1500,MATCH("*"&amp;$C$10&amp;"|"&amp;$B$70,'Dán TĐ nhân viên'!$M$1:$M$1500,0)),0))</f>
        <v/>
      </c>
      <c r="K117">
        <f>IF(OR($B$70="",$B$11=""),0,IFERROR(INDEX('Dán TĐ nhân viên'!$N$1:$N$1500,MATCH("*"&amp;$C$11&amp;"|"&amp;$B$70,'Dán TĐ nhân viên'!$M$1:$M$1500,0)),0))</f>
        <v/>
      </c>
      <c r="L117">
        <f>IF(OR($B$70="",$B$12=""),0,IFERROR(INDEX('Dán TĐ nhân viên'!$N$1:$N$1500,MATCH("*"&amp;$C$12&amp;"|"&amp;$B$70,'Dán TĐ nhân viên'!$M$1:$M$1500,0)),0))</f>
        <v/>
      </c>
      <c r="M117">
        <f>IF(OR($B$70="",$B$13=""),0,IFERROR(INDEX('Dán TĐ nhân viên'!$N$1:$N$1500,MATCH("*"&amp;$C$13&amp;"|"&amp;$B$70,'Dán TĐ nhân viên'!$M$1:$M$1500,0)),0))</f>
        <v/>
      </c>
      <c r="N117">
        <f>IF(OR($B$70="",$B$14=""),0,IFERROR(INDEX('Dán TĐ nhân viên'!$N$1:$N$1500,MATCH("*"&amp;$C$14&amp;"|"&amp;$B$70,'Dán TĐ nhân viên'!$M$1:$M$1500,0)),0))</f>
        <v/>
      </c>
      <c r="O117">
        <f>IF(OR($B$70="",$B$15=""),0,IFERROR(INDEX('Dán TĐ nhân viên'!$N$1:$N$1500,MATCH("*"&amp;$C$15&amp;"|"&amp;$B$70,'Dán TĐ nhân viên'!$M$1:$M$1500,0)),0))</f>
        <v/>
      </c>
      <c r="P117">
        <f>IF(OR($B$70="",$B$16=""),0,IFERROR(INDEX('Dán TĐ nhân viên'!$N$1:$N$1500,MATCH("*"&amp;$C$16&amp;"|"&amp;$B$70,'Dán TĐ nhân viên'!$M$1:$M$1500,0)),0))</f>
        <v/>
      </c>
      <c r="Q117">
        <f>IF(OR($B$70="",$B$17=""),0,IFERROR(INDEX('Dán TĐ nhân viên'!$N$1:$N$1500,MATCH("*"&amp;$C$17&amp;"|"&amp;$B$70,'Dán TĐ nhân viên'!$M$1:$M$1500,0)),0))</f>
        <v/>
      </c>
      <c r="R117">
        <f>IF(OR($B$70="",$B$18=""),0,IFERROR(INDEX('Dán TĐ nhân viên'!$N$1:$N$1500,MATCH("*"&amp;$C$18&amp;"|"&amp;$B$70,'Dán TĐ nhân viên'!$M$1:$M$1500,0)),0))</f>
        <v/>
      </c>
      <c r="S117">
        <f>IF(OR($B$70="",$B$19=""),0,IFERROR(INDEX('Dán TĐ nhân viên'!$N$1:$N$1500,MATCH("*"&amp;$C$19&amp;"|"&amp;$B$70,'Dán TĐ nhân viên'!$M$1:$M$1500,0)),0))</f>
        <v/>
      </c>
      <c r="T117">
        <f>IF(OR($B$70="",$B$20=""),0,IFERROR(INDEX('Dán TĐ nhân viên'!$N$1:$N$1500,MATCH("*"&amp;$C$20&amp;"|"&amp;$B$70,'Dán TĐ nhân viên'!$M$1:$M$1500,0)),0))</f>
        <v/>
      </c>
      <c r="U117">
        <f>IF(OR($B$70="",$B$21=""),0,IFERROR(INDEX('Dán TĐ nhân viên'!$N$1:$N$1500,MATCH("*"&amp;$C$21&amp;"|"&amp;$B$70,'Dán TĐ nhân viên'!$M$1:$M$1500,0)),0))</f>
        <v/>
      </c>
      <c r="V117">
        <f>IF(OR($B$70="",$B$22=""),0,IFERROR(INDEX('Dán TĐ nhân viên'!$N$1:$N$1500,MATCH("*"&amp;$C$22&amp;"|"&amp;$B$70,'Dán TĐ nhân viên'!$M$1:$M$1500,0)),0))</f>
        <v/>
      </c>
    </row>
    <row r="118">
      <c r="A118" t="n">
        <v>33</v>
      </c>
      <c r="B118">
        <f>B71</f>
        <v/>
      </c>
      <c r="C118">
        <f>IF(OR($B$71="",$B$3=""),0,IFERROR(INDEX('Dán TĐ nhân viên'!$N$1:$N$1500,MATCH("*"&amp;$C$3&amp;"|"&amp;$B$71,'Dán TĐ nhân viên'!$M$1:$M$1500,0)),0))</f>
        <v/>
      </c>
      <c r="D118">
        <f>IF(OR($B$71="",$B$4=""),0,IFERROR(INDEX('Dán TĐ nhân viên'!$N$1:$N$1500,MATCH("*"&amp;$C$4&amp;"|"&amp;$B$71,'Dán TĐ nhân viên'!$M$1:$M$1500,0)),0))</f>
        <v/>
      </c>
      <c r="E118">
        <f>IF(OR($B$71="",$B$5=""),0,IFERROR(INDEX('Dán TĐ nhân viên'!$N$1:$N$1500,MATCH("*"&amp;$C$5&amp;"|"&amp;$B$71,'Dán TĐ nhân viên'!$M$1:$M$1500,0)),0))</f>
        <v/>
      </c>
      <c r="F118">
        <f>IF(OR($B$71="",$B$6=""),0,IFERROR(INDEX('Dán TĐ nhân viên'!$N$1:$N$1500,MATCH("*"&amp;$C$6&amp;"|"&amp;$B$71,'Dán TĐ nhân viên'!$M$1:$M$1500,0)),0))</f>
        <v/>
      </c>
      <c r="G118">
        <f>IF(OR($B$71="",$B$7=""),0,IFERROR(INDEX('Dán TĐ nhân viên'!$N$1:$N$1500,MATCH("*"&amp;$C$7&amp;"|"&amp;$B$71,'Dán TĐ nhân viên'!$M$1:$M$1500,0)),0))</f>
        <v/>
      </c>
      <c r="H118">
        <f>IF(OR($B$71="",$B$8=""),0,IFERROR(INDEX('Dán TĐ nhân viên'!$N$1:$N$1500,MATCH("*"&amp;$C$8&amp;"|"&amp;$B$71,'Dán TĐ nhân viên'!$M$1:$M$1500,0)),0))</f>
        <v/>
      </c>
      <c r="I118">
        <f>IF(OR($B$71="",$B$9=""),0,IFERROR(INDEX('Dán TĐ nhân viên'!$N$1:$N$1500,MATCH("*"&amp;$C$9&amp;"|"&amp;$B$71,'Dán TĐ nhân viên'!$M$1:$M$1500,0)),0))</f>
        <v/>
      </c>
      <c r="J118">
        <f>IF(OR($B$71="",$B$10=""),0,IFERROR(INDEX('Dán TĐ nhân viên'!$N$1:$N$1500,MATCH("*"&amp;$C$10&amp;"|"&amp;$B$71,'Dán TĐ nhân viên'!$M$1:$M$1500,0)),0))</f>
        <v/>
      </c>
      <c r="K118">
        <f>IF(OR($B$71="",$B$11=""),0,IFERROR(INDEX('Dán TĐ nhân viên'!$N$1:$N$1500,MATCH("*"&amp;$C$11&amp;"|"&amp;$B$71,'Dán TĐ nhân viên'!$M$1:$M$1500,0)),0))</f>
        <v/>
      </c>
      <c r="L118">
        <f>IF(OR($B$71="",$B$12=""),0,IFERROR(INDEX('Dán TĐ nhân viên'!$N$1:$N$1500,MATCH("*"&amp;$C$12&amp;"|"&amp;$B$71,'Dán TĐ nhân viên'!$M$1:$M$1500,0)),0))</f>
        <v/>
      </c>
      <c r="M118">
        <f>IF(OR($B$71="",$B$13=""),0,IFERROR(INDEX('Dán TĐ nhân viên'!$N$1:$N$1500,MATCH("*"&amp;$C$13&amp;"|"&amp;$B$71,'Dán TĐ nhân viên'!$M$1:$M$1500,0)),0))</f>
        <v/>
      </c>
      <c r="N118">
        <f>IF(OR($B$71="",$B$14=""),0,IFERROR(INDEX('Dán TĐ nhân viên'!$N$1:$N$1500,MATCH("*"&amp;$C$14&amp;"|"&amp;$B$71,'Dán TĐ nhân viên'!$M$1:$M$1500,0)),0))</f>
        <v/>
      </c>
      <c r="O118">
        <f>IF(OR($B$71="",$B$15=""),0,IFERROR(INDEX('Dán TĐ nhân viên'!$N$1:$N$1500,MATCH("*"&amp;$C$15&amp;"|"&amp;$B$71,'Dán TĐ nhân viên'!$M$1:$M$1500,0)),0))</f>
        <v/>
      </c>
      <c r="P118">
        <f>IF(OR($B$71="",$B$16=""),0,IFERROR(INDEX('Dán TĐ nhân viên'!$N$1:$N$1500,MATCH("*"&amp;$C$16&amp;"|"&amp;$B$71,'Dán TĐ nhân viên'!$M$1:$M$1500,0)),0))</f>
        <v/>
      </c>
      <c r="Q118">
        <f>IF(OR($B$71="",$B$17=""),0,IFERROR(INDEX('Dán TĐ nhân viên'!$N$1:$N$1500,MATCH("*"&amp;$C$17&amp;"|"&amp;$B$71,'Dán TĐ nhân viên'!$M$1:$M$1500,0)),0))</f>
        <v/>
      </c>
      <c r="R118">
        <f>IF(OR($B$71="",$B$18=""),0,IFERROR(INDEX('Dán TĐ nhân viên'!$N$1:$N$1500,MATCH("*"&amp;$C$18&amp;"|"&amp;$B$71,'Dán TĐ nhân viên'!$M$1:$M$1500,0)),0))</f>
        <v/>
      </c>
      <c r="S118">
        <f>IF(OR($B$71="",$B$19=""),0,IFERROR(INDEX('Dán TĐ nhân viên'!$N$1:$N$1500,MATCH("*"&amp;$C$19&amp;"|"&amp;$B$71,'Dán TĐ nhân viên'!$M$1:$M$1500,0)),0))</f>
        <v/>
      </c>
      <c r="T118">
        <f>IF(OR($B$71="",$B$20=""),0,IFERROR(INDEX('Dán TĐ nhân viên'!$N$1:$N$1500,MATCH("*"&amp;$C$20&amp;"|"&amp;$B$71,'Dán TĐ nhân viên'!$M$1:$M$1500,0)),0))</f>
        <v/>
      </c>
      <c r="U118">
        <f>IF(OR($B$71="",$B$21=""),0,IFERROR(INDEX('Dán TĐ nhân viên'!$N$1:$N$1500,MATCH("*"&amp;$C$21&amp;"|"&amp;$B$71,'Dán TĐ nhân viên'!$M$1:$M$1500,0)),0))</f>
        <v/>
      </c>
      <c r="V118">
        <f>IF(OR($B$71="",$B$22=""),0,IFERROR(INDEX('Dán TĐ nhân viên'!$N$1:$N$1500,MATCH("*"&amp;$C$22&amp;"|"&amp;$B$71,'Dán TĐ nhân viên'!$M$1:$M$1500,0)),0))</f>
        <v/>
      </c>
    </row>
    <row r="119">
      <c r="A119" t="n">
        <v>34</v>
      </c>
      <c r="B119">
        <f>B72</f>
        <v/>
      </c>
      <c r="C119">
        <f>IF(OR($B$72="",$B$3=""),0,IFERROR(INDEX('Dán TĐ nhân viên'!$N$1:$N$1500,MATCH("*"&amp;$C$3&amp;"|"&amp;$B$72,'Dán TĐ nhân viên'!$M$1:$M$1500,0)),0))</f>
        <v/>
      </c>
      <c r="D119">
        <f>IF(OR($B$72="",$B$4=""),0,IFERROR(INDEX('Dán TĐ nhân viên'!$N$1:$N$1500,MATCH("*"&amp;$C$4&amp;"|"&amp;$B$72,'Dán TĐ nhân viên'!$M$1:$M$1500,0)),0))</f>
        <v/>
      </c>
      <c r="E119">
        <f>IF(OR($B$72="",$B$5=""),0,IFERROR(INDEX('Dán TĐ nhân viên'!$N$1:$N$1500,MATCH("*"&amp;$C$5&amp;"|"&amp;$B$72,'Dán TĐ nhân viên'!$M$1:$M$1500,0)),0))</f>
        <v/>
      </c>
      <c r="F119">
        <f>IF(OR($B$72="",$B$6=""),0,IFERROR(INDEX('Dán TĐ nhân viên'!$N$1:$N$1500,MATCH("*"&amp;$C$6&amp;"|"&amp;$B$72,'Dán TĐ nhân viên'!$M$1:$M$1500,0)),0))</f>
        <v/>
      </c>
      <c r="G119">
        <f>IF(OR($B$72="",$B$7=""),0,IFERROR(INDEX('Dán TĐ nhân viên'!$N$1:$N$1500,MATCH("*"&amp;$C$7&amp;"|"&amp;$B$72,'Dán TĐ nhân viên'!$M$1:$M$1500,0)),0))</f>
        <v/>
      </c>
      <c r="H119">
        <f>IF(OR($B$72="",$B$8=""),0,IFERROR(INDEX('Dán TĐ nhân viên'!$N$1:$N$1500,MATCH("*"&amp;$C$8&amp;"|"&amp;$B$72,'Dán TĐ nhân viên'!$M$1:$M$1500,0)),0))</f>
        <v/>
      </c>
      <c r="I119">
        <f>IF(OR($B$72="",$B$9=""),0,IFERROR(INDEX('Dán TĐ nhân viên'!$N$1:$N$1500,MATCH("*"&amp;$C$9&amp;"|"&amp;$B$72,'Dán TĐ nhân viên'!$M$1:$M$1500,0)),0))</f>
        <v/>
      </c>
      <c r="J119">
        <f>IF(OR($B$72="",$B$10=""),0,IFERROR(INDEX('Dán TĐ nhân viên'!$N$1:$N$1500,MATCH("*"&amp;$C$10&amp;"|"&amp;$B$72,'Dán TĐ nhân viên'!$M$1:$M$1500,0)),0))</f>
        <v/>
      </c>
      <c r="K119">
        <f>IF(OR($B$72="",$B$11=""),0,IFERROR(INDEX('Dán TĐ nhân viên'!$N$1:$N$1500,MATCH("*"&amp;$C$11&amp;"|"&amp;$B$72,'Dán TĐ nhân viên'!$M$1:$M$1500,0)),0))</f>
        <v/>
      </c>
      <c r="L119">
        <f>IF(OR($B$72="",$B$12=""),0,IFERROR(INDEX('Dán TĐ nhân viên'!$N$1:$N$1500,MATCH("*"&amp;$C$12&amp;"|"&amp;$B$72,'Dán TĐ nhân viên'!$M$1:$M$1500,0)),0))</f>
        <v/>
      </c>
      <c r="M119">
        <f>IF(OR($B$72="",$B$13=""),0,IFERROR(INDEX('Dán TĐ nhân viên'!$N$1:$N$1500,MATCH("*"&amp;$C$13&amp;"|"&amp;$B$72,'Dán TĐ nhân viên'!$M$1:$M$1500,0)),0))</f>
        <v/>
      </c>
      <c r="N119">
        <f>IF(OR($B$72="",$B$14=""),0,IFERROR(INDEX('Dán TĐ nhân viên'!$N$1:$N$1500,MATCH("*"&amp;$C$14&amp;"|"&amp;$B$72,'Dán TĐ nhân viên'!$M$1:$M$1500,0)),0))</f>
        <v/>
      </c>
      <c r="O119">
        <f>IF(OR($B$72="",$B$15=""),0,IFERROR(INDEX('Dán TĐ nhân viên'!$N$1:$N$1500,MATCH("*"&amp;$C$15&amp;"|"&amp;$B$72,'Dán TĐ nhân viên'!$M$1:$M$1500,0)),0))</f>
        <v/>
      </c>
      <c r="P119">
        <f>IF(OR($B$72="",$B$16=""),0,IFERROR(INDEX('Dán TĐ nhân viên'!$N$1:$N$1500,MATCH("*"&amp;$C$16&amp;"|"&amp;$B$72,'Dán TĐ nhân viên'!$M$1:$M$1500,0)),0))</f>
        <v/>
      </c>
      <c r="Q119">
        <f>IF(OR($B$72="",$B$17=""),0,IFERROR(INDEX('Dán TĐ nhân viên'!$N$1:$N$1500,MATCH("*"&amp;$C$17&amp;"|"&amp;$B$72,'Dán TĐ nhân viên'!$M$1:$M$1500,0)),0))</f>
        <v/>
      </c>
      <c r="R119">
        <f>IF(OR($B$72="",$B$18=""),0,IFERROR(INDEX('Dán TĐ nhân viên'!$N$1:$N$1500,MATCH("*"&amp;$C$18&amp;"|"&amp;$B$72,'Dán TĐ nhân viên'!$M$1:$M$1500,0)),0))</f>
        <v/>
      </c>
      <c r="S119">
        <f>IF(OR($B$72="",$B$19=""),0,IFERROR(INDEX('Dán TĐ nhân viên'!$N$1:$N$1500,MATCH("*"&amp;$C$19&amp;"|"&amp;$B$72,'Dán TĐ nhân viên'!$M$1:$M$1500,0)),0))</f>
        <v/>
      </c>
      <c r="T119">
        <f>IF(OR($B$72="",$B$20=""),0,IFERROR(INDEX('Dán TĐ nhân viên'!$N$1:$N$1500,MATCH("*"&amp;$C$20&amp;"|"&amp;$B$72,'Dán TĐ nhân viên'!$M$1:$M$1500,0)),0))</f>
        <v/>
      </c>
      <c r="U119">
        <f>IF(OR($B$72="",$B$21=""),0,IFERROR(INDEX('Dán TĐ nhân viên'!$N$1:$N$1500,MATCH("*"&amp;$C$21&amp;"|"&amp;$B$72,'Dán TĐ nhân viên'!$M$1:$M$1500,0)),0))</f>
        <v/>
      </c>
      <c r="V119">
        <f>IF(OR($B$72="",$B$22=""),0,IFERROR(INDEX('Dán TĐ nhân viên'!$N$1:$N$1500,MATCH("*"&amp;$C$22&amp;"|"&amp;$B$72,'Dán TĐ nhân viên'!$M$1:$M$1500,0)),0))</f>
        <v/>
      </c>
    </row>
    <row r="120">
      <c r="A120" t="n">
        <v>35</v>
      </c>
      <c r="B120">
        <f>B73</f>
        <v/>
      </c>
      <c r="C120">
        <f>IF(OR($B$73="",$B$3=""),0,IFERROR(INDEX('Dán TĐ nhân viên'!$N$1:$N$1500,MATCH("*"&amp;$C$3&amp;"|"&amp;$B$73,'Dán TĐ nhân viên'!$M$1:$M$1500,0)),0))</f>
        <v/>
      </c>
      <c r="D120">
        <f>IF(OR($B$73="",$B$4=""),0,IFERROR(INDEX('Dán TĐ nhân viên'!$N$1:$N$1500,MATCH("*"&amp;$C$4&amp;"|"&amp;$B$73,'Dán TĐ nhân viên'!$M$1:$M$1500,0)),0))</f>
        <v/>
      </c>
      <c r="E120">
        <f>IF(OR($B$73="",$B$5=""),0,IFERROR(INDEX('Dán TĐ nhân viên'!$N$1:$N$1500,MATCH("*"&amp;$C$5&amp;"|"&amp;$B$73,'Dán TĐ nhân viên'!$M$1:$M$1500,0)),0))</f>
        <v/>
      </c>
      <c r="F120">
        <f>IF(OR($B$73="",$B$6=""),0,IFERROR(INDEX('Dán TĐ nhân viên'!$N$1:$N$1500,MATCH("*"&amp;$C$6&amp;"|"&amp;$B$73,'Dán TĐ nhân viên'!$M$1:$M$1500,0)),0))</f>
        <v/>
      </c>
      <c r="G120">
        <f>IF(OR($B$73="",$B$7=""),0,IFERROR(INDEX('Dán TĐ nhân viên'!$N$1:$N$1500,MATCH("*"&amp;$C$7&amp;"|"&amp;$B$73,'Dán TĐ nhân viên'!$M$1:$M$1500,0)),0))</f>
        <v/>
      </c>
      <c r="H120">
        <f>IF(OR($B$73="",$B$8=""),0,IFERROR(INDEX('Dán TĐ nhân viên'!$N$1:$N$1500,MATCH("*"&amp;$C$8&amp;"|"&amp;$B$73,'Dán TĐ nhân viên'!$M$1:$M$1500,0)),0))</f>
        <v/>
      </c>
      <c r="I120">
        <f>IF(OR($B$73="",$B$9=""),0,IFERROR(INDEX('Dán TĐ nhân viên'!$N$1:$N$1500,MATCH("*"&amp;$C$9&amp;"|"&amp;$B$73,'Dán TĐ nhân viên'!$M$1:$M$1500,0)),0))</f>
        <v/>
      </c>
      <c r="J120">
        <f>IF(OR($B$73="",$B$10=""),0,IFERROR(INDEX('Dán TĐ nhân viên'!$N$1:$N$1500,MATCH("*"&amp;$C$10&amp;"|"&amp;$B$73,'Dán TĐ nhân viên'!$M$1:$M$1500,0)),0))</f>
        <v/>
      </c>
      <c r="K120">
        <f>IF(OR($B$73="",$B$11=""),0,IFERROR(INDEX('Dán TĐ nhân viên'!$N$1:$N$1500,MATCH("*"&amp;$C$11&amp;"|"&amp;$B$73,'Dán TĐ nhân viên'!$M$1:$M$1500,0)),0))</f>
        <v/>
      </c>
      <c r="L120">
        <f>IF(OR($B$73="",$B$12=""),0,IFERROR(INDEX('Dán TĐ nhân viên'!$N$1:$N$1500,MATCH("*"&amp;$C$12&amp;"|"&amp;$B$73,'Dán TĐ nhân viên'!$M$1:$M$1500,0)),0))</f>
        <v/>
      </c>
      <c r="M120">
        <f>IF(OR($B$73="",$B$13=""),0,IFERROR(INDEX('Dán TĐ nhân viên'!$N$1:$N$1500,MATCH("*"&amp;$C$13&amp;"|"&amp;$B$73,'Dán TĐ nhân viên'!$M$1:$M$1500,0)),0))</f>
        <v/>
      </c>
      <c r="N120">
        <f>IF(OR($B$73="",$B$14=""),0,IFERROR(INDEX('Dán TĐ nhân viên'!$N$1:$N$1500,MATCH("*"&amp;$C$14&amp;"|"&amp;$B$73,'Dán TĐ nhân viên'!$M$1:$M$1500,0)),0))</f>
        <v/>
      </c>
      <c r="O120">
        <f>IF(OR($B$73="",$B$15=""),0,IFERROR(INDEX('Dán TĐ nhân viên'!$N$1:$N$1500,MATCH("*"&amp;$C$15&amp;"|"&amp;$B$73,'Dán TĐ nhân viên'!$M$1:$M$1500,0)),0))</f>
        <v/>
      </c>
      <c r="P120">
        <f>IF(OR($B$73="",$B$16=""),0,IFERROR(INDEX('Dán TĐ nhân viên'!$N$1:$N$1500,MATCH("*"&amp;$C$16&amp;"|"&amp;$B$73,'Dán TĐ nhân viên'!$M$1:$M$1500,0)),0))</f>
        <v/>
      </c>
      <c r="Q120">
        <f>IF(OR($B$73="",$B$17=""),0,IFERROR(INDEX('Dán TĐ nhân viên'!$N$1:$N$1500,MATCH("*"&amp;$C$17&amp;"|"&amp;$B$73,'Dán TĐ nhân viên'!$M$1:$M$1500,0)),0))</f>
        <v/>
      </c>
      <c r="R120">
        <f>IF(OR($B$73="",$B$18=""),0,IFERROR(INDEX('Dán TĐ nhân viên'!$N$1:$N$1500,MATCH("*"&amp;$C$18&amp;"|"&amp;$B$73,'Dán TĐ nhân viên'!$M$1:$M$1500,0)),0))</f>
        <v/>
      </c>
      <c r="S120">
        <f>IF(OR($B$73="",$B$19=""),0,IFERROR(INDEX('Dán TĐ nhân viên'!$N$1:$N$1500,MATCH("*"&amp;$C$19&amp;"|"&amp;$B$73,'Dán TĐ nhân viên'!$M$1:$M$1500,0)),0))</f>
        <v/>
      </c>
      <c r="T120">
        <f>IF(OR($B$73="",$B$20=""),0,IFERROR(INDEX('Dán TĐ nhân viên'!$N$1:$N$1500,MATCH("*"&amp;$C$20&amp;"|"&amp;$B$73,'Dán TĐ nhân viên'!$M$1:$M$1500,0)),0))</f>
        <v/>
      </c>
      <c r="U120">
        <f>IF(OR($B$73="",$B$21=""),0,IFERROR(INDEX('Dán TĐ nhân viên'!$N$1:$N$1500,MATCH("*"&amp;$C$21&amp;"|"&amp;$B$73,'Dán TĐ nhân viên'!$M$1:$M$1500,0)),0))</f>
        <v/>
      </c>
      <c r="V120">
        <f>IF(OR($B$73="",$B$22=""),0,IFERROR(INDEX('Dán TĐ nhân viên'!$N$1:$N$1500,MATCH("*"&amp;$C$22&amp;"|"&amp;$B$73,'Dán TĐ nhân viên'!$M$1:$M$1500,0)),0))</f>
        <v/>
      </c>
    </row>
    <row r="121">
      <c r="A121" t="n">
        <v>36</v>
      </c>
      <c r="B121">
        <f>B74</f>
        <v/>
      </c>
      <c r="C121">
        <f>IF(OR($B$74="",$B$3=""),0,IFERROR(INDEX('Dán TĐ nhân viên'!$N$1:$N$1500,MATCH("*"&amp;$C$3&amp;"|"&amp;$B$74,'Dán TĐ nhân viên'!$M$1:$M$1500,0)),0))</f>
        <v/>
      </c>
      <c r="D121">
        <f>IF(OR($B$74="",$B$4=""),0,IFERROR(INDEX('Dán TĐ nhân viên'!$N$1:$N$1500,MATCH("*"&amp;$C$4&amp;"|"&amp;$B$74,'Dán TĐ nhân viên'!$M$1:$M$1500,0)),0))</f>
        <v/>
      </c>
      <c r="E121">
        <f>IF(OR($B$74="",$B$5=""),0,IFERROR(INDEX('Dán TĐ nhân viên'!$N$1:$N$1500,MATCH("*"&amp;$C$5&amp;"|"&amp;$B$74,'Dán TĐ nhân viên'!$M$1:$M$1500,0)),0))</f>
        <v/>
      </c>
      <c r="F121">
        <f>IF(OR($B$74="",$B$6=""),0,IFERROR(INDEX('Dán TĐ nhân viên'!$N$1:$N$1500,MATCH("*"&amp;$C$6&amp;"|"&amp;$B$74,'Dán TĐ nhân viên'!$M$1:$M$1500,0)),0))</f>
        <v/>
      </c>
      <c r="G121">
        <f>IF(OR($B$74="",$B$7=""),0,IFERROR(INDEX('Dán TĐ nhân viên'!$N$1:$N$1500,MATCH("*"&amp;$C$7&amp;"|"&amp;$B$74,'Dán TĐ nhân viên'!$M$1:$M$1500,0)),0))</f>
        <v/>
      </c>
      <c r="H121">
        <f>IF(OR($B$74="",$B$8=""),0,IFERROR(INDEX('Dán TĐ nhân viên'!$N$1:$N$1500,MATCH("*"&amp;$C$8&amp;"|"&amp;$B$74,'Dán TĐ nhân viên'!$M$1:$M$1500,0)),0))</f>
        <v/>
      </c>
      <c r="I121">
        <f>IF(OR($B$74="",$B$9=""),0,IFERROR(INDEX('Dán TĐ nhân viên'!$N$1:$N$1500,MATCH("*"&amp;$C$9&amp;"|"&amp;$B$74,'Dán TĐ nhân viên'!$M$1:$M$1500,0)),0))</f>
        <v/>
      </c>
      <c r="J121">
        <f>IF(OR($B$74="",$B$10=""),0,IFERROR(INDEX('Dán TĐ nhân viên'!$N$1:$N$1500,MATCH("*"&amp;$C$10&amp;"|"&amp;$B$74,'Dán TĐ nhân viên'!$M$1:$M$1500,0)),0))</f>
        <v/>
      </c>
      <c r="K121">
        <f>IF(OR($B$74="",$B$11=""),0,IFERROR(INDEX('Dán TĐ nhân viên'!$N$1:$N$1500,MATCH("*"&amp;$C$11&amp;"|"&amp;$B$74,'Dán TĐ nhân viên'!$M$1:$M$1500,0)),0))</f>
        <v/>
      </c>
      <c r="L121">
        <f>IF(OR($B$74="",$B$12=""),0,IFERROR(INDEX('Dán TĐ nhân viên'!$N$1:$N$1500,MATCH("*"&amp;$C$12&amp;"|"&amp;$B$74,'Dán TĐ nhân viên'!$M$1:$M$1500,0)),0))</f>
        <v/>
      </c>
      <c r="M121">
        <f>IF(OR($B$74="",$B$13=""),0,IFERROR(INDEX('Dán TĐ nhân viên'!$N$1:$N$1500,MATCH("*"&amp;$C$13&amp;"|"&amp;$B$74,'Dán TĐ nhân viên'!$M$1:$M$1500,0)),0))</f>
        <v/>
      </c>
      <c r="N121">
        <f>IF(OR($B$74="",$B$14=""),0,IFERROR(INDEX('Dán TĐ nhân viên'!$N$1:$N$1500,MATCH("*"&amp;$C$14&amp;"|"&amp;$B$74,'Dán TĐ nhân viên'!$M$1:$M$1500,0)),0))</f>
        <v/>
      </c>
      <c r="O121">
        <f>IF(OR($B$74="",$B$15=""),0,IFERROR(INDEX('Dán TĐ nhân viên'!$N$1:$N$1500,MATCH("*"&amp;$C$15&amp;"|"&amp;$B$74,'Dán TĐ nhân viên'!$M$1:$M$1500,0)),0))</f>
        <v/>
      </c>
      <c r="P121">
        <f>IF(OR($B$74="",$B$16=""),0,IFERROR(INDEX('Dán TĐ nhân viên'!$N$1:$N$1500,MATCH("*"&amp;$C$16&amp;"|"&amp;$B$74,'Dán TĐ nhân viên'!$M$1:$M$1500,0)),0))</f>
        <v/>
      </c>
      <c r="Q121">
        <f>IF(OR($B$74="",$B$17=""),0,IFERROR(INDEX('Dán TĐ nhân viên'!$N$1:$N$1500,MATCH("*"&amp;$C$17&amp;"|"&amp;$B$74,'Dán TĐ nhân viên'!$M$1:$M$1500,0)),0))</f>
        <v/>
      </c>
      <c r="R121">
        <f>IF(OR($B$74="",$B$18=""),0,IFERROR(INDEX('Dán TĐ nhân viên'!$N$1:$N$1500,MATCH("*"&amp;$C$18&amp;"|"&amp;$B$74,'Dán TĐ nhân viên'!$M$1:$M$1500,0)),0))</f>
        <v/>
      </c>
      <c r="S121">
        <f>IF(OR($B$74="",$B$19=""),0,IFERROR(INDEX('Dán TĐ nhân viên'!$N$1:$N$1500,MATCH("*"&amp;$C$19&amp;"|"&amp;$B$74,'Dán TĐ nhân viên'!$M$1:$M$1500,0)),0))</f>
        <v/>
      </c>
      <c r="T121">
        <f>IF(OR($B$74="",$B$20=""),0,IFERROR(INDEX('Dán TĐ nhân viên'!$N$1:$N$1500,MATCH("*"&amp;$C$20&amp;"|"&amp;$B$74,'Dán TĐ nhân viên'!$M$1:$M$1500,0)),0))</f>
        <v/>
      </c>
      <c r="U121">
        <f>IF(OR($B$74="",$B$21=""),0,IFERROR(INDEX('Dán TĐ nhân viên'!$N$1:$N$1500,MATCH("*"&amp;$C$21&amp;"|"&amp;$B$74,'Dán TĐ nhân viên'!$M$1:$M$1500,0)),0))</f>
        <v/>
      </c>
      <c r="V121">
        <f>IF(OR($B$74="",$B$22=""),0,IFERROR(INDEX('Dán TĐ nhân viên'!$N$1:$N$1500,MATCH("*"&amp;$C$22&amp;"|"&amp;$B$74,'Dán TĐ nhân viên'!$M$1:$M$1500,0)),0))</f>
        <v/>
      </c>
    </row>
    <row r="122">
      <c r="A122" t="n">
        <v>37</v>
      </c>
      <c r="B122">
        <f>B75</f>
        <v/>
      </c>
      <c r="C122">
        <f>IF(OR($B$75="",$B$3=""),0,IFERROR(INDEX('Dán TĐ nhân viên'!$N$1:$N$1500,MATCH("*"&amp;$C$3&amp;"|"&amp;$B$75,'Dán TĐ nhân viên'!$M$1:$M$1500,0)),0))</f>
        <v/>
      </c>
      <c r="D122">
        <f>IF(OR($B$75="",$B$4=""),0,IFERROR(INDEX('Dán TĐ nhân viên'!$N$1:$N$1500,MATCH("*"&amp;$C$4&amp;"|"&amp;$B$75,'Dán TĐ nhân viên'!$M$1:$M$1500,0)),0))</f>
        <v/>
      </c>
      <c r="E122">
        <f>IF(OR($B$75="",$B$5=""),0,IFERROR(INDEX('Dán TĐ nhân viên'!$N$1:$N$1500,MATCH("*"&amp;$C$5&amp;"|"&amp;$B$75,'Dán TĐ nhân viên'!$M$1:$M$1500,0)),0))</f>
        <v/>
      </c>
      <c r="F122">
        <f>IF(OR($B$75="",$B$6=""),0,IFERROR(INDEX('Dán TĐ nhân viên'!$N$1:$N$1500,MATCH("*"&amp;$C$6&amp;"|"&amp;$B$75,'Dán TĐ nhân viên'!$M$1:$M$1500,0)),0))</f>
        <v/>
      </c>
      <c r="G122">
        <f>IF(OR($B$75="",$B$7=""),0,IFERROR(INDEX('Dán TĐ nhân viên'!$N$1:$N$1500,MATCH("*"&amp;$C$7&amp;"|"&amp;$B$75,'Dán TĐ nhân viên'!$M$1:$M$1500,0)),0))</f>
        <v/>
      </c>
      <c r="H122">
        <f>IF(OR($B$75="",$B$8=""),0,IFERROR(INDEX('Dán TĐ nhân viên'!$N$1:$N$1500,MATCH("*"&amp;$C$8&amp;"|"&amp;$B$75,'Dán TĐ nhân viên'!$M$1:$M$1500,0)),0))</f>
        <v/>
      </c>
      <c r="I122">
        <f>IF(OR($B$75="",$B$9=""),0,IFERROR(INDEX('Dán TĐ nhân viên'!$N$1:$N$1500,MATCH("*"&amp;$C$9&amp;"|"&amp;$B$75,'Dán TĐ nhân viên'!$M$1:$M$1500,0)),0))</f>
        <v/>
      </c>
      <c r="J122">
        <f>IF(OR($B$75="",$B$10=""),0,IFERROR(INDEX('Dán TĐ nhân viên'!$N$1:$N$1500,MATCH("*"&amp;$C$10&amp;"|"&amp;$B$75,'Dán TĐ nhân viên'!$M$1:$M$1500,0)),0))</f>
        <v/>
      </c>
      <c r="K122">
        <f>IF(OR($B$75="",$B$11=""),0,IFERROR(INDEX('Dán TĐ nhân viên'!$N$1:$N$1500,MATCH("*"&amp;$C$11&amp;"|"&amp;$B$75,'Dán TĐ nhân viên'!$M$1:$M$1500,0)),0))</f>
        <v/>
      </c>
      <c r="L122">
        <f>IF(OR($B$75="",$B$12=""),0,IFERROR(INDEX('Dán TĐ nhân viên'!$N$1:$N$1500,MATCH("*"&amp;$C$12&amp;"|"&amp;$B$75,'Dán TĐ nhân viên'!$M$1:$M$1500,0)),0))</f>
        <v/>
      </c>
      <c r="M122">
        <f>IF(OR($B$75="",$B$13=""),0,IFERROR(INDEX('Dán TĐ nhân viên'!$N$1:$N$1500,MATCH("*"&amp;$C$13&amp;"|"&amp;$B$75,'Dán TĐ nhân viên'!$M$1:$M$1500,0)),0))</f>
        <v/>
      </c>
      <c r="N122">
        <f>IF(OR($B$75="",$B$14=""),0,IFERROR(INDEX('Dán TĐ nhân viên'!$N$1:$N$1500,MATCH("*"&amp;$C$14&amp;"|"&amp;$B$75,'Dán TĐ nhân viên'!$M$1:$M$1500,0)),0))</f>
        <v/>
      </c>
      <c r="O122">
        <f>IF(OR($B$75="",$B$15=""),0,IFERROR(INDEX('Dán TĐ nhân viên'!$N$1:$N$1500,MATCH("*"&amp;$C$15&amp;"|"&amp;$B$75,'Dán TĐ nhân viên'!$M$1:$M$1500,0)),0))</f>
        <v/>
      </c>
      <c r="P122">
        <f>IF(OR($B$75="",$B$16=""),0,IFERROR(INDEX('Dán TĐ nhân viên'!$N$1:$N$1500,MATCH("*"&amp;$C$16&amp;"|"&amp;$B$75,'Dán TĐ nhân viên'!$M$1:$M$1500,0)),0))</f>
        <v/>
      </c>
      <c r="Q122">
        <f>IF(OR($B$75="",$B$17=""),0,IFERROR(INDEX('Dán TĐ nhân viên'!$N$1:$N$1500,MATCH("*"&amp;$C$17&amp;"|"&amp;$B$75,'Dán TĐ nhân viên'!$M$1:$M$1500,0)),0))</f>
        <v/>
      </c>
      <c r="R122">
        <f>IF(OR($B$75="",$B$18=""),0,IFERROR(INDEX('Dán TĐ nhân viên'!$N$1:$N$1500,MATCH("*"&amp;$C$18&amp;"|"&amp;$B$75,'Dán TĐ nhân viên'!$M$1:$M$1500,0)),0))</f>
        <v/>
      </c>
      <c r="S122">
        <f>IF(OR($B$75="",$B$19=""),0,IFERROR(INDEX('Dán TĐ nhân viên'!$N$1:$N$1500,MATCH("*"&amp;$C$19&amp;"|"&amp;$B$75,'Dán TĐ nhân viên'!$M$1:$M$1500,0)),0))</f>
        <v/>
      </c>
      <c r="T122">
        <f>IF(OR($B$75="",$B$20=""),0,IFERROR(INDEX('Dán TĐ nhân viên'!$N$1:$N$1500,MATCH("*"&amp;$C$20&amp;"|"&amp;$B$75,'Dán TĐ nhân viên'!$M$1:$M$1500,0)),0))</f>
        <v/>
      </c>
      <c r="U122">
        <f>IF(OR($B$75="",$B$21=""),0,IFERROR(INDEX('Dán TĐ nhân viên'!$N$1:$N$1500,MATCH("*"&amp;$C$21&amp;"|"&amp;$B$75,'Dán TĐ nhân viên'!$M$1:$M$1500,0)),0))</f>
        <v/>
      </c>
      <c r="V122">
        <f>IF(OR($B$75="",$B$22=""),0,IFERROR(INDEX('Dán TĐ nhân viên'!$N$1:$N$1500,MATCH("*"&amp;$C$22&amp;"|"&amp;$B$75,'Dán TĐ nhân viên'!$M$1:$M$1500,0)),0))</f>
        <v/>
      </c>
    </row>
    <row r="123">
      <c r="A123" t="n">
        <v>38</v>
      </c>
      <c r="B123">
        <f>B76</f>
        <v/>
      </c>
      <c r="C123">
        <f>IF(OR($B$76="",$B$3=""),0,IFERROR(INDEX('Dán TĐ nhân viên'!$N$1:$N$1500,MATCH("*"&amp;$C$3&amp;"|"&amp;$B$76,'Dán TĐ nhân viên'!$M$1:$M$1500,0)),0))</f>
        <v/>
      </c>
      <c r="D123">
        <f>IF(OR($B$76="",$B$4=""),0,IFERROR(INDEX('Dán TĐ nhân viên'!$N$1:$N$1500,MATCH("*"&amp;$C$4&amp;"|"&amp;$B$76,'Dán TĐ nhân viên'!$M$1:$M$1500,0)),0))</f>
        <v/>
      </c>
      <c r="E123">
        <f>IF(OR($B$76="",$B$5=""),0,IFERROR(INDEX('Dán TĐ nhân viên'!$N$1:$N$1500,MATCH("*"&amp;$C$5&amp;"|"&amp;$B$76,'Dán TĐ nhân viên'!$M$1:$M$1500,0)),0))</f>
        <v/>
      </c>
      <c r="F123">
        <f>IF(OR($B$76="",$B$6=""),0,IFERROR(INDEX('Dán TĐ nhân viên'!$N$1:$N$1500,MATCH("*"&amp;$C$6&amp;"|"&amp;$B$76,'Dán TĐ nhân viên'!$M$1:$M$1500,0)),0))</f>
        <v/>
      </c>
      <c r="G123">
        <f>IF(OR($B$76="",$B$7=""),0,IFERROR(INDEX('Dán TĐ nhân viên'!$N$1:$N$1500,MATCH("*"&amp;$C$7&amp;"|"&amp;$B$76,'Dán TĐ nhân viên'!$M$1:$M$1500,0)),0))</f>
        <v/>
      </c>
      <c r="H123">
        <f>IF(OR($B$76="",$B$8=""),0,IFERROR(INDEX('Dán TĐ nhân viên'!$N$1:$N$1500,MATCH("*"&amp;$C$8&amp;"|"&amp;$B$76,'Dán TĐ nhân viên'!$M$1:$M$1500,0)),0))</f>
        <v/>
      </c>
      <c r="I123">
        <f>IF(OR($B$76="",$B$9=""),0,IFERROR(INDEX('Dán TĐ nhân viên'!$N$1:$N$1500,MATCH("*"&amp;$C$9&amp;"|"&amp;$B$76,'Dán TĐ nhân viên'!$M$1:$M$1500,0)),0))</f>
        <v/>
      </c>
      <c r="J123">
        <f>IF(OR($B$76="",$B$10=""),0,IFERROR(INDEX('Dán TĐ nhân viên'!$N$1:$N$1500,MATCH("*"&amp;$C$10&amp;"|"&amp;$B$76,'Dán TĐ nhân viên'!$M$1:$M$1500,0)),0))</f>
        <v/>
      </c>
      <c r="K123">
        <f>IF(OR($B$76="",$B$11=""),0,IFERROR(INDEX('Dán TĐ nhân viên'!$N$1:$N$1500,MATCH("*"&amp;$C$11&amp;"|"&amp;$B$76,'Dán TĐ nhân viên'!$M$1:$M$1500,0)),0))</f>
        <v/>
      </c>
      <c r="L123">
        <f>IF(OR($B$76="",$B$12=""),0,IFERROR(INDEX('Dán TĐ nhân viên'!$N$1:$N$1500,MATCH("*"&amp;$C$12&amp;"|"&amp;$B$76,'Dán TĐ nhân viên'!$M$1:$M$1500,0)),0))</f>
        <v/>
      </c>
      <c r="M123">
        <f>IF(OR($B$76="",$B$13=""),0,IFERROR(INDEX('Dán TĐ nhân viên'!$N$1:$N$1500,MATCH("*"&amp;$C$13&amp;"|"&amp;$B$76,'Dán TĐ nhân viên'!$M$1:$M$1500,0)),0))</f>
        <v/>
      </c>
      <c r="N123">
        <f>IF(OR($B$76="",$B$14=""),0,IFERROR(INDEX('Dán TĐ nhân viên'!$N$1:$N$1500,MATCH("*"&amp;$C$14&amp;"|"&amp;$B$76,'Dán TĐ nhân viên'!$M$1:$M$1500,0)),0))</f>
        <v/>
      </c>
      <c r="O123">
        <f>IF(OR($B$76="",$B$15=""),0,IFERROR(INDEX('Dán TĐ nhân viên'!$N$1:$N$1500,MATCH("*"&amp;$C$15&amp;"|"&amp;$B$76,'Dán TĐ nhân viên'!$M$1:$M$1500,0)),0))</f>
        <v/>
      </c>
      <c r="P123">
        <f>IF(OR($B$76="",$B$16=""),0,IFERROR(INDEX('Dán TĐ nhân viên'!$N$1:$N$1500,MATCH("*"&amp;$C$16&amp;"|"&amp;$B$76,'Dán TĐ nhân viên'!$M$1:$M$1500,0)),0))</f>
        <v/>
      </c>
      <c r="Q123">
        <f>IF(OR($B$76="",$B$17=""),0,IFERROR(INDEX('Dán TĐ nhân viên'!$N$1:$N$1500,MATCH("*"&amp;$C$17&amp;"|"&amp;$B$76,'Dán TĐ nhân viên'!$M$1:$M$1500,0)),0))</f>
        <v/>
      </c>
      <c r="R123">
        <f>IF(OR($B$76="",$B$18=""),0,IFERROR(INDEX('Dán TĐ nhân viên'!$N$1:$N$1500,MATCH("*"&amp;$C$18&amp;"|"&amp;$B$76,'Dán TĐ nhân viên'!$M$1:$M$1500,0)),0))</f>
        <v/>
      </c>
      <c r="S123">
        <f>IF(OR($B$76="",$B$19=""),0,IFERROR(INDEX('Dán TĐ nhân viên'!$N$1:$N$1500,MATCH("*"&amp;$C$19&amp;"|"&amp;$B$76,'Dán TĐ nhân viên'!$M$1:$M$1500,0)),0))</f>
        <v/>
      </c>
      <c r="T123">
        <f>IF(OR($B$76="",$B$20=""),0,IFERROR(INDEX('Dán TĐ nhân viên'!$N$1:$N$1500,MATCH("*"&amp;$C$20&amp;"|"&amp;$B$76,'Dán TĐ nhân viên'!$M$1:$M$1500,0)),0))</f>
        <v/>
      </c>
      <c r="U123">
        <f>IF(OR($B$76="",$B$21=""),0,IFERROR(INDEX('Dán TĐ nhân viên'!$N$1:$N$1500,MATCH("*"&amp;$C$21&amp;"|"&amp;$B$76,'Dán TĐ nhân viên'!$M$1:$M$1500,0)),0))</f>
        <v/>
      </c>
      <c r="V123">
        <f>IF(OR($B$76="",$B$22=""),0,IFERROR(INDEX('Dán TĐ nhân viên'!$N$1:$N$1500,MATCH("*"&amp;$C$22&amp;"|"&amp;$B$76,'Dán TĐ nhân viên'!$M$1:$M$1500,0)),0))</f>
        <v/>
      </c>
    </row>
    <row r="124">
      <c r="A124" t="n">
        <v>39</v>
      </c>
      <c r="B124">
        <f>B77</f>
        <v/>
      </c>
      <c r="C124">
        <f>IF(OR($B$77="",$B$3=""),0,IFERROR(INDEX('Dán TĐ nhân viên'!$N$1:$N$1500,MATCH("*"&amp;$C$3&amp;"|"&amp;$B$77,'Dán TĐ nhân viên'!$M$1:$M$1500,0)),0))</f>
        <v/>
      </c>
      <c r="D124">
        <f>IF(OR($B$77="",$B$4=""),0,IFERROR(INDEX('Dán TĐ nhân viên'!$N$1:$N$1500,MATCH("*"&amp;$C$4&amp;"|"&amp;$B$77,'Dán TĐ nhân viên'!$M$1:$M$1500,0)),0))</f>
        <v/>
      </c>
      <c r="E124">
        <f>IF(OR($B$77="",$B$5=""),0,IFERROR(INDEX('Dán TĐ nhân viên'!$N$1:$N$1500,MATCH("*"&amp;$C$5&amp;"|"&amp;$B$77,'Dán TĐ nhân viên'!$M$1:$M$1500,0)),0))</f>
        <v/>
      </c>
      <c r="F124">
        <f>IF(OR($B$77="",$B$6=""),0,IFERROR(INDEX('Dán TĐ nhân viên'!$N$1:$N$1500,MATCH("*"&amp;$C$6&amp;"|"&amp;$B$77,'Dán TĐ nhân viên'!$M$1:$M$1500,0)),0))</f>
        <v/>
      </c>
      <c r="G124">
        <f>IF(OR($B$77="",$B$7=""),0,IFERROR(INDEX('Dán TĐ nhân viên'!$N$1:$N$1500,MATCH("*"&amp;$C$7&amp;"|"&amp;$B$77,'Dán TĐ nhân viên'!$M$1:$M$1500,0)),0))</f>
        <v/>
      </c>
      <c r="H124">
        <f>IF(OR($B$77="",$B$8=""),0,IFERROR(INDEX('Dán TĐ nhân viên'!$N$1:$N$1500,MATCH("*"&amp;$C$8&amp;"|"&amp;$B$77,'Dán TĐ nhân viên'!$M$1:$M$1500,0)),0))</f>
        <v/>
      </c>
      <c r="I124">
        <f>IF(OR($B$77="",$B$9=""),0,IFERROR(INDEX('Dán TĐ nhân viên'!$N$1:$N$1500,MATCH("*"&amp;$C$9&amp;"|"&amp;$B$77,'Dán TĐ nhân viên'!$M$1:$M$1500,0)),0))</f>
        <v/>
      </c>
      <c r="J124">
        <f>IF(OR($B$77="",$B$10=""),0,IFERROR(INDEX('Dán TĐ nhân viên'!$N$1:$N$1500,MATCH("*"&amp;$C$10&amp;"|"&amp;$B$77,'Dán TĐ nhân viên'!$M$1:$M$1500,0)),0))</f>
        <v/>
      </c>
      <c r="K124">
        <f>IF(OR($B$77="",$B$11=""),0,IFERROR(INDEX('Dán TĐ nhân viên'!$N$1:$N$1500,MATCH("*"&amp;$C$11&amp;"|"&amp;$B$77,'Dán TĐ nhân viên'!$M$1:$M$1500,0)),0))</f>
        <v/>
      </c>
      <c r="L124">
        <f>IF(OR($B$77="",$B$12=""),0,IFERROR(INDEX('Dán TĐ nhân viên'!$N$1:$N$1500,MATCH("*"&amp;$C$12&amp;"|"&amp;$B$77,'Dán TĐ nhân viên'!$M$1:$M$1500,0)),0))</f>
        <v/>
      </c>
      <c r="M124">
        <f>IF(OR($B$77="",$B$13=""),0,IFERROR(INDEX('Dán TĐ nhân viên'!$N$1:$N$1500,MATCH("*"&amp;$C$13&amp;"|"&amp;$B$77,'Dán TĐ nhân viên'!$M$1:$M$1500,0)),0))</f>
        <v/>
      </c>
      <c r="N124">
        <f>IF(OR($B$77="",$B$14=""),0,IFERROR(INDEX('Dán TĐ nhân viên'!$N$1:$N$1500,MATCH("*"&amp;$C$14&amp;"|"&amp;$B$77,'Dán TĐ nhân viên'!$M$1:$M$1500,0)),0))</f>
        <v/>
      </c>
      <c r="O124">
        <f>IF(OR($B$77="",$B$15=""),0,IFERROR(INDEX('Dán TĐ nhân viên'!$N$1:$N$1500,MATCH("*"&amp;$C$15&amp;"|"&amp;$B$77,'Dán TĐ nhân viên'!$M$1:$M$1500,0)),0))</f>
        <v/>
      </c>
      <c r="P124">
        <f>IF(OR($B$77="",$B$16=""),0,IFERROR(INDEX('Dán TĐ nhân viên'!$N$1:$N$1500,MATCH("*"&amp;$C$16&amp;"|"&amp;$B$77,'Dán TĐ nhân viên'!$M$1:$M$1500,0)),0))</f>
        <v/>
      </c>
      <c r="Q124">
        <f>IF(OR($B$77="",$B$17=""),0,IFERROR(INDEX('Dán TĐ nhân viên'!$N$1:$N$1500,MATCH("*"&amp;$C$17&amp;"|"&amp;$B$77,'Dán TĐ nhân viên'!$M$1:$M$1500,0)),0))</f>
        <v/>
      </c>
      <c r="R124">
        <f>IF(OR($B$77="",$B$18=""),0,IFERROR(INDEX('Dán TĐ nhân viên'!$N$1:$N$1500,MATCH("*"&amp;$C$18&amp;"|"&amp;$B$77,'Dán TĐ nhân viên'!$M$1:$M$1500,0)),0))</f>
        <v/>
      </c>
      <c r="S124">
        <f>IF(OR($B$77="",$B$19=""),0,IFERROR(INDEX('Dán TĐ nhân viên'!$N$1:$N$1500,MATCH("*"&amp;$C$19&amp;"|"&amp;$B$77,'Dán TĐ nhân viên'!$M$1:$M$1500,0)),0))</f>
        <v/>
      </c>
      <c r="T124">
        <f>IF(OR($B$77="",$B$20=""),0,IFERROR(INDEX('Dán TĐ nhân viên'!$N$1:$N$1500,MATCH("*"&amp;$C$20&amp;"|"&amp;$B$77,'Dán TĐ nhân viên'!$M$1:$M$1500,0)),0))</f>
        <v/>
      </c>
      <c r="U124">
        <f>IF(OR($B$77="",$B$21=""),0,IFERROR(INDEX('Dán TĐ nhân viên'!$N$1:$N$1500,MATCH("*"&amp;$C$21&amp;"|"&amp;$B$77,'Dán TĐ nhân viên'!$M$1:$M$1500,0)),0))</f>
        <v/>
      </c>
      <c r="V124">
        <f>IF(OR($B$77="",$B$22=""),0,IFERROR(INDEX('Dán TĐ nhân viên'!$N$1:$N$1500,MATCH("*"&amp;$C$22&amp;"|"&amp;$B$77,'Dán TĐ nhân viên'!$M$1:$M$1500,0)),0))</f>
        <v/>
      </c>
    </row>
    <row r="125">
      <c r="A125" t="n">
        <v>40</v>
      </c>
      <c r="B125">
        <f>B78</f>
        <v/>
      </c>
      <c r="C125">
        <f>IF(OR($B$78="",$B$3=""),0,IFERROR(INDEX('Dán TĐ nhân viên'!$N$1:$N$1500,MATCH("*"&amp;$C$3&amp;"|"&amp;$B$78,'Dán TĐ nhân viên'!$M$1:$M$1500,0)),0))</f>
        <v/>
      </c>
      <c r="D125">
        <f>IF(OR($B$78="",$B$4=""),0,IFERROR(INDEX('Dán TĐ nhân viên'!$N$1:$N$1500,MATCH("*"&amp;$C$4&amp;"|"&amp;$B$78,'Dán TĐ nhân viên'!$M$1:$M$1500,0)),0))</f>
        <v/>
      </c>
      <c r="E125">
        <f>IF(OR($B$78="",$B$5=""),0,IFERROR(INDEX('Dán TĐ nhân viên'!$N$1:$N$1500,MATCH("*"&amp;$C$5&amp;"|"&amp;$B$78,'Dán TĐ nhân viên'!$M$1:$M$1500,0)),0))</f>
        <v/>
      </c>
      <c r="F125">
        <f>IF(OR($B$78="",$B$6=""),0,IFERROR(INDEX('Dán TĐ nhân viên'!$N$1:$N$1500,MATCH("*"&amp;$C$6&amp;"|"&amp;$B$78,'Dán TĐ nhân viên'!$M$1:$M$1500,0)),0))</f>
        <v/>
      </c>
      <c r="G125">
        <f>IF(OR($B$78="",$B$7=""),0,IFERROR(INDEX('Dán TĐ nhân viên'!$N$1:$N$1500,MATCH("*"&amp;$C$7&amp;"|"&amp;$B$78,'Dán TĐ nhân viên'!$M$1:$M$1500,0)),0))</f>
        <v/>
      </c>
      <c r="H125">
        <f>IF(OR($B$78="",$B$8=""),0,IFERROR(INDEX('Dán TĐ nhân viên'!$N$1:$N$1500,MATCH("*"&amp;$C$8&amp;"|"&amp;$B$78,'Dán TĐ nhân viên'!$M$1:$M$1500,0)),0))</f>
        <v/>
      </c>
      <c r="I125">
        <f>IF(OR($B$78="",$B$9=""),0,IFERROR(INDEX('Dán TĐ nhân viên'!$N$1:$N$1500,MATCH("*"&amp;$C$9&amp;"|"&amp;$B$78,'Dán TĐ nhân viên'!$M$1:$M$1500,0)),0))</f>
        <v/>
      </c>
      <c r="J125">
        <f>IF(OR($B$78="",$B$10=""),0,IFERROR(INDEX('Dán TĐ nhân viên'!$N$1:$N$1500,MATCH("*"&amp;$C$10&amp;"|"&amp;$B$78,'Dán TĐ nhân viên'!$M$1:$M$1500,0)),0))</f>
        <v/>
      </c>
      <c r="K125">
        <f>IF(OR($B$78="",$B$11=""),0,IFERROR(INDEX('Dán TĐ nhân viên'!$N$1:$N$1500,MATCH("*"&amp;$C$11&amp;"|"&amp;$B$78,'Dán TĐ nhân viên'!$M$1:$M$1500,0)),0))</f>
        <v/>
      </c>
      <c r="L125">
        <f>IF(OR($B$78="",$B$12=""),0,IFERROR(INDEX('Dán TĐ nhân viên'!$N$1:$N$1500,MATCH("*"&amp;$C$12&amp;"|"&amp;$B$78,'Dán TĐ nhân viên'!$M$1:$M$1500,0)),0))</f>
        <v/>
      </c>
      <c r="M125">
        <f>IF(OR($B$78="",$B$13=""),0,IFERROR(INDEX('Dán TĐ nhân viên'!$N$1:$N$1500,MATCH("*"&amp;$C$13&amp;"|"&amp;$B$78,'Dán TĐ nhân viên'!$M$1:$M$1500,0)),0))</f>
        <v/>
      </c>
      <c r="N125">
        <f>IF(OR($B$78="",$B$14=""),0,IFERROR(INDEX('Dán TĐ nhân viên'!$N$1:$N$1500,MATCH("*"&amp;$C$14&amp;"|"&amp;$B$78,'Dán TĐ nhân viên'!$M$1:$M$1500,0)),0))</f>
        <v/>
      </c>
      <c r="O125">
        <f>IF(OR($B$78="",$B$15=""),0,IFERROR(INDEX('Dán TĐ nhân viên'!$N$1:$N$1500,MATCH("*"&amp;$C$15&amp;"|"&amp;$B$78,'Dán TĐ nhân viên'!$M$1:$M$1500,0)),0))</f>
        <v/>
      </c>
      <c r="P125">
        <f>IF(OR($B$78="",$B$16=""),0,IFERROR(INDEX('Dán TĐ nhân viên'!$N$1:$N$1500,MATCH("*"&amp;$C$16&amp;"|"&amp;$B$78,'Dán TĐ nhân viên'!$M$1:$M$1500,0)),0))</f>
        <v/>
      </c>
      <c r="Q125">
        <f>IF(OR($B$78="",$B$17=""),0,IFERROR(INDEX('Dán TĐ nhân viên'!$N$1:$N$1500,MATCH("*"&amp;$C$17&amp;"|"&amp;$B$78,'Dán TĐ nhân viên'!$M$1:$M$1500,0)),0))</f>
        <v/>
      </c>
      <c r="R125">
        <f>IF(OR($B$78="",$B$18=""),0,IFERROR(INDEX('Dán TĐ nhân viên'!$N$1:$N$1500,MATCH("*"&amp;$C$18&amp;"|"&amp;$B$78,'Dán TĐ nhân viên'!$M$1:$M$1500,0)),0))</f>
        <v/>
      </c>
      <c r="S125">
        <f>IF(OR($B$78="",$B$19=""),0,IFERROR(INDEX('Dán TĐ nhân viên'!$N$1:$N$1500,MATCH("*"&amp;$C$19&amp;"|"&amp;$B$78,'Dán TĐ nhân viên'!$M$1:$M$1500,0)),0))</f>
        <v/>
      </c>
      <c r="T125">
        <f>IF(OR($B$78="",$B$20=""),0,IFERROR(INDEX('Dán TĐ nhân viên'!$N$1:$N$1500,MATCH("*"&amp;$C$20&amp;"|"&amp;$B$78,'Dán TĐ nhân viên'!$M$1:$M$1500,0)),0))</f>
        <v/>
      </c>
      <c r="U125">
        <f>IF(OR($B$78="",$B$21=""),0,IFERROR(INDEX('Dán TĐ nhân viên'!$N$1:$N$1500,MATCH("*"&amp;$C$21&amp;"|"&amp;$B$78,'Dán TĐ nhân viên'!$M$1:$M$1500,0)),0))</f>
        <v/>
      </c>
      <c r="V125">
        <f>IF(OR($B$78="",$B$22=""),0,IFERROR(INDEX('Dán TĐ nhân viên'!$N$1:$N$1500,MATCH("*"&amp;$C$22&amp;"|"&amp;$B$78,'Dán TĐ nhân viên'!$M$1:$M$1500,0)),0))</f>
        <v/>
      </c>
    </row>
    <row r="126">
      <c r="A126" t="n">
        <v>41</v>
      </c>
      <c r="B126">
        <f>B79</f>
        <v/>
      </c>
      <c r="C126">
        <f>IF(OR($B$79="",$B$3=""),0,IFERROR(INDEX('Dán TĐ nhân viên'!$N$1:$N$1500,MATCH("*"&amp;$C$3&amp;"|"&amp;$B$79,'Dán TĐ nhân viên'!$M$1:$M$1500,0)),0))</f>
        <v/>
      </c>
      <c r="D126">
        <f>IF(OR($B$79="",$B$4=""),0,IFERROR(INDEX('Dán TĐ nhân viên'!$N$1:$N$1500,MATCH("*"&amp;$C$4&amp;"|"&amp;$B$79,'Dán TĐ nhân viên'!$M$1:$M$1500,0)),0))</f>
        <v/>
      </c>
      <c r="E126">
        <f>IF(OR($B$79="",$B$5=""),0,IFERROR(INDEX('Dán TĐ nhân viên'!$N$1:$N$1500,MATCH("*"&amp;$C$5&amp;"|"&amp;$B$79,'Dán TĐ nhân viên'!$M$1:$M$1500,0)),0))</f>
        <v/>
      </c>
      <c r="F126">
        <f>IF(OR($B$79="",$B$6=""),0,IFERROR(INDEX('Dán TĐ nhân viên'!$N$1:$N$1500,MATCH("*"&amp;$C$6&amp;"|"&amp;$B$79,'Dán TĐ nhân viên'!$M$1:$M$1500,0)),0))</f>
        <v/>
      </c>
      <c r="G126">
        <f>IF(OR($B$79="",$B$7=""),0,IFERROR(INDEX('Dán TĐ nhân viên'!$N$1:$N$1500,MATCH("*"&amp;$C$7&amp;"|"&amp;$B$79,'Dán TĐ nhân viên'!$M$1:$M$1500,0)),0))</f>
        <v/>
      </c>
      <c r="H126">
        <f>IF(OR($B$79="",$B$8=""),0,IFERROR(INDEX('Dán TĐ nhân viên'!$N$1:$N$1500,MATCH("*"&amp;$C$8&amp;"|"&amp;$B$79,'Dán TĐ nhân viên'!$M$1:$M$1500,0)),0))</f>
        <v/>
      </c>
      <c r="I126">
        <f>IF(OR($B$79="",$B$9=""),0,IFERROR(INDEX('Dán TĐ nhân viên'!$N$1:$N$1500,MATCH("*"&amp;$C$9&amp;"|"&amp;$B$79,'Dán TĐ nhân viên'!$M$1:$M$1500,0)),0))</f>
        <v/>
      </c>
      <c r="J126">
        <f>IF(OR($B$79="",$B$10=""),0,IFERROR(INDEX('Dán TĐ nhân viên'!$N$1:$N$1500,MATCH("*"&amp;$C$10&amp;"|"&amp;$B$79,'Dán TĐ nhân viên'!$M$1:$M$1500,0)),0))</f>
        <v/>
      </c>
      <c r="K126">
        <f>IF(OR($B$79="",$B$11=""),0,IFERROR(INDEX('Dán TĐ nhân viên'!$N$1:$N$1500,MATCH("*"&amp;$C$11&amp;"|"&amp;$B$79,'Dán TĐ nhân viên'!$M$1:$M$1500,0)),0))</f>
        <v/>
      </c>
      <c r="L126">
        <f>IF(OR($B$79="",$B$12=""),0,IFERROR(INDEX('Dán TĐ nhân viên'!$N$1:$N$1500,MATCH("*"&amp;$C$12&amp;"|"&amp;$B$79,'Dán TĐ nhân viên'!$M$1:$M$1500,0)),0))</f>
        <v/>
      </c>
      <c r="M126">
        <f>IF(OR($B$79="",$B$13=""),0,IFERROR(INDEX('Dán TĐ nhân viên'!$N$1:$N$1500,MATCH("*"&amp;$C$13&amp;"|"&amp;$B$79,'Dán TĐ nhân viên'!$M$1:$M$1500,0)),0))</f>
        <v/>
      </c>
      <c r="N126">
        <f>IF(OR($B$79="",$B$14=""),0,IFERROR(INDEX('Dán TĐ nhân viên'!$N$1:$N$1500,MATCH("*"&amp;$C$14&amp;"|"&amp;$B$79,'Dán TĐ nhân viên'!$M$1:$M$1500,0)),0))</f>
        <v/>
      </c>
      <c r="O126">
        <f>IF(OR($B$79="",$B$15=""),0,IFERROR(INDEX('Dán TĐ nhân viên'!$N$1:$N$1500,MATCH("*"&amp;$C$15&amp;"|"&amp;$B$79,'Dán TĐ nhân viên'!$M$1:$M$1500,0)),0))</f>
        <v/>
      </c>
      <c r="P126">
        <f>IF(OR($B$79="",$B$16=""),0,IFERROR(INDEX('Dán TĐ nhân viên'!$N$1:$N$1500,MATCH("*"&amp;$C$16&amp;"|"&amp;$B$79,'Dán TĐ nhân viên'!$M$1:$M$1500,0)),0))</f>
        <v/>
      </c>
      <c r="Q126">
        <f>IF(OR($B$79="",$B$17=""),0,IFERROR(INDEX('Dán TĐ nhân viên'!$N$1:$N$1500,MATCH("*"&amp;$C$17&amp;"|"&amp;$B$79,'Dán TĐ nhân viên'!$M$1:$M$1500,0)),0))</f>
        <v/>
      </c>
      <c r="R126">
        <f>IF(OR($B$79="",$B$18=""),0,IFERROR(INDEX('Dán TĐ nhân viên'!$N$1:$N$1500,MATCH("*"&amp;$C$18&amp;"|"&amp;$B$79,'Dán TĐ nhân viên'!$M$1:$M$1500,0)),0))</f>
        <v/>
      </c>
      <c r="S126">
        <f>IF(OR($B$79="",$B$19=""),0,IFERROR(INDEX('Dán TĐ nhân viên'!$N$1:$N$1500,MATCH("*"&amp;$C$19&amp;"|"&amp;$B$79,'Dán TĐ nhân viên'!$M$1:$M$1500,0)),0))</f>
        <v/>
      </c>
      <c r="T126">
        <f>IF(OR($B$79="",$B$20=""),0,IFERROR(INDEX('Dán TĐ nhân viên'!$N$1:$N$1500,MATCH("*"&amp;$C$20&amp;"|"&amp;$B$79,'Dán TĐ nhân viên'!$M$1:$M$1500,0)),0))</f>
        <v/>
      </c>
      <c r="U126">
        <f>IF(OR($B$79="",$B$21=""),0,IFERROR(INDEX('Dán TĐ nhân viên'!$N$1:$N$1500,MATCH("*"&amp;$C$21&amp;"|"&amp;$B$79,'Dán TĐ nhân viên'!$M$1:$M$1500,0)),0))</f>
        <v/>
      </c>
      <c r="V126">
        <f>IF(OR($B$79="",$B$22=""),0,IFERROR(INDEX('Dán TĐ nhân viên'!$N$1:$N$1500,MATCH("*"&amp;$C$22&amp;"|"&amp;$B$79,'Dán TĐ nhân viên'!$M$1:$M$1500,0)),0))</f>
        <v/>
      </c>
    </row>
    <row r="127">
      <c r="A127" t="n">
        <v>42</v>
      </c>
      <c r="B127">
        <f>B80</f>
        <v/>
      </c>
      <c r="C127">
        <f>IF(OR($B$80="",$B$3=""),0,IFERROR(INDEX('Dán TĐ nhân viên'!$N$1:$N$1500,MATCH("*"&amp;$C$3&amp;"|"&amp;$B$80,'Dán TĐ nhân viên'!$M$1:$M$1500,0)),0))</f>
        <v/>
      </c>
      <c r="D127">
        <f>IF(OR($B$80="",$B$4=""),0,IFERROR(INDEX('Dán TĐ nhân viên'!$N$1:$N$1500,MATCH("*"&amp;$C$4&amp;"|"&amp;$B$80,'Dán TĐ nhân viên'!$M$1:$M$1500,0)),0))</f>
        <v/>
      </c>
      <c r="E127">
        <f>IF(OR($B$80="",$B$5=""),0,IFERROR(INDEX('Dán TĐ nhân viên'!$N$1:$N$1500,MATCH("*"&amp;$C$5&amp;"|"&amp;$B$80,'Dán TĐ nhân viên'!$M$1:$M$1500,0)),0))</f>
        <v/>
      </c>
      <c r="F127">
        <f>IF(OR($B$80="",$B$6=""),0,IFERROR(INDEX('Dán TĐ nhân viên'!$N$1:$N$1500,MATCH("*"&amp;$C$6&amp;"|"&amp;$B$80,'Dán TĐ nhân viên'!$M$1:$M$1500,0)),0))</f>
        <v/>
      </c>
      <c r="G127">
        <f>IF(OR($B$80="",$B$7=""),0,IFERROR(INDEX('Dán TĐ nhân viên'!$N$1:$N$1500,MATCH("*"&amp;$C$7&amp;"|"&amp;$B$80,'Dán TĐ nhân viên'!$M$1:$M$1500,0)),0))</f>
        <v/>
      </c>
      <c r="H127">
        <f>IF(OR($B$80="",$B$8=""),0,IFERROR(INDEX('Dán TĐ nhân viên'!$N$1:$N$1500,MATCH("*"&amp;$C$8&amp;"|"&amp;$B$80,'Dán TĐ nhân viên'!$M$1:$M$1500,0)),0))</f>
        <v/>
      </c>
      <c r="I127">
        <f>IF(OR($B$80="",$B$9=""),0,IFERROR(INDEX('Dán TĐ nhân viên'!$N$1:$N$1500,MATCH("*"&amp;$C$9&amp;"|"&amp;$B$80,'Dán TĐ nhân viên'!$M$1:$M$1500,0)),0))</f>
        <v/>
      </c>
      <c r="J127">
        <f>IF(OR($B$80="",$B$10=""),0,IFERROR(INDEX('Dán TĐ nhân viên'!$N$1:$N$1500,MATCH("*"&amp;$C$10&amp;"|"&amp;$B$80,'Dán TĐ nhân viên'!$M$1:$M$1500,0)),0))</f>
        <v/>
      </c>
      <c r="K127">
        <f>IF(OR($B$80="",$B$11=""),0,IFERROR(INDEX('Dán TĐ nhân viên'!$N$1:$N$1500,MATCH("*"&amp;$C$11&amp;"|"&amp;$B$80,'Dán TĐ nhân viên'!$M$1:$M$1500,0)),0))</f>
        <v/>
      </c>
      <c r="L127">
        <f>IF(OR($B$80="",$B$12=""),0,IFERROR(INDEX('Dán TĐ nhân viên'!$N$1:$N$1500,MATCH("*"&amp;$C$12&amp;"|"&amp;$B$80,'Dán TĐ nhân viên'!$M$1:$M$1500,0)),0))</f>
        <v/>
      </c>
      <c r="M127">
        <f>IF(OR($B$80="",$B$13=""),0,IFERROR(INDEX('Dán TĐ nhân viên'!$N$1:$N$1500,MATCH("*"&amp;$C$13&amp;"|"&amp;$B$80,'Dán TĐ nhân viên'!$M$1:$M$1500,0)),0))</f>
        <v/>
      </c>
      <c r="N127">
        <f>IF(OR($B$80="",$B$14=""),0,IFERROR(INDEX('Dán TĐ nhân viên'!$N$1:$N$1500,MATCH("*"&amp;$C$14&amp;"|"&amp;$B$80,'Dán TĐ nhân viên'!$M$1:$M$1500,0)),0))</f>
        <v/>
      </c>
      <c r="O127">
        <f>IF(OR($B$80="",$B$15=""),0,IFERROR(INDEX('Dán TĐ nhân viên'!$N$1:$N$1500,MATCH("*"&amp;$C$15&amp;"|"&amp;$B$80,'Dán TĐ nhân viên'!$M$1:$M$1500,0)),0))</f>
        <v/>
      </c>
      <c r="P127">
        <f>IF(OR($B$80="",$B$16=""),0,IFERROR(INDEX('Dán TĐ nhân viên'!$N$1:$N$1500,MATCH("*"&amp;$C$16&amp;"|"&amp;$B$80,'Dán TĐ nhân viên'!$M$1:$M$1500,0)),0))</f>
        <v/>
      </c>
      <c r="Q127">
        <f>IF(OR($B$80="",$B$17=""),0,IFERROR(INDEX('Dán TĐ nhân viên'!$N$1:$N$1500,MATCH("*"&amp;$C$17&amp;"|"&amp;$B$80,'Dán TĐ nhân viên'!$M$1:$M$1500,0)),0))</f>
        <v/>
      </c>
      <c r="R127">
        <f>IF(OR($B$80="",$B$18=""),0,IFERROR(INDEX('Dán TĐ nhân viên'!$N$1:$N$1500,MATCH("*"&amp;$C$18&amp;"|"&amp;$B$80,'Dán TĐ nhân viên'!$M$1:$M$1500,0)),0))</f>
        <v/>
      </c>
      <c r="S127">
        <f>IF(OR($B$80="",$B$19=""),0,IFERROR(INDEX('Dán TĐ nhân viên'!$N$1:$N$1500,MATCH("*"&amp;$C$19&amp;"|"&amp;$B$80,'Dán TĐ nhân viên'!$M$1:$M$1500,0)),0))</f>
        <v/>
      </c>
      <c r="T127">
        <f>IF(OR($B$80="",$B$20=""),0,IFERROR(INDEX('Dán TĐ nhân viên'!$N$1:$N$1500,MATCH("*"&amp;$C$20&amp;"|"&amp;$B$80,'Dán TĐ nhân viên'!$M$1:$M$1500,0)),0))</f>
        <v/>
      </c>
      <c r="U127">
        <f>IF(OR($B$80="",$B$21=""),0,IFERROR(INDEX('Dán TĐ nhân viên'!$N$1:$N$1500,MATCH("*"&amp;$C$21&amp;"|"&amp;$B$80,'Dán TĐ nhân viên'!$M$1:$M$1500,0)),0))</f>
        <v/>
      </c>
      <c r="V127">
        <f>IF(OR($B$80="",$B$22=""),0,IFERROR(INDEX('Dán TĐ nhân viên'!$N$1:$N$1500,MATCH("*"&amp;$C$22&amp;"|"&amp;$B$80,'Dán TĐ nhân viên'!$M$1:$M$1500,0)),0))</f>
        <v/>
      </c>
    </row>
    <row r="128">
      <c r="A128" t="n">
        <v>43</v>
      </c>
      <c r="B128">
        <f>B81</f>
        <v/>
      </c>
      <c r="C128">
        <f>IF(OR($B$81="",$B$3=""),0,IFERROR(INDEX('Dán TĐ nhân viên'!$N$1:$N$1500,MATCH("*"&amp;$C$3&amp;"|"&amp;$B$81,'Dán TĐ nhân viên'!$M$1:$M$1500,0)),0))</f>
        <v/>
      </c>
      <c r="D128">
        <f>IF(OR($B$81="",$B$4=""),0,IFERROR(INDEX('Dán TĐ nhân viên'!$N$1:$N$1500,MATCH("*"&amp;$C$4&amp;"|"&amp;$B$81,'Dán TĐ nhân viên'!$M$1:$M$1500,0)),0))</f>
        <v/>
      </c>
      <c r="E128">
        <f>IF(OR($B$81="",$B$5=""),0,IFERROR(INDEX('Dán TĐ nhân viên'!$N$1:$N$1500,MATCH("*"&amp;$C$5&amp;"|"&amp;$B$81,'Dán TĐ nhân viên'!$M$1:$M$1500,0)),0))</f>
        <v/>
      </c>
      <c r="F128">
        <f>IF(OR($B$81="",$B$6=""),0,IFERROR(INDEX('Dán TĐ nhân viên'!$N$1:$N$1500,MATCH("*"&amp;$C$6&amp;"|"&amp;$B$81,'Dán TĐ nhân viên'!$M$1:$M$1500,0)),0))</f>
        <v/>
      </c>
      <c r="G128">
        <f>IF(OR($B$81="",$B$7=""),0,IFERROR(INDEX('Dán TĐ nhân viên'!$N$1:$N$1500,MATCH("*"&amp;$C$7&amp;"|"&amp;$B$81,'Dán TĐ nhân viên'!$M$1:$M$1500,0)),0))</f>
        <v/>
      </c>
      <c r="H128">
        <f>IF(OR($B$81="",$B$8=""),0,IFERROR(INDEX('Dán TĐ nhân viên'!$N$1:$N$1500,MATCH("*"&amp;$C$8&amp;"|"&amp;$B$81,'Dán TĐ nhân viên'!$M$1:$M$1500,0)),0))</f>
        <v/>
      </c>
      <c r="I128">
        <f>IF(OR($B$81="",$B$9=""),0,IFERROR(INDEX('Dán TĐ nhân viên'!$N$1:$N$1500,MATCH("*"&amp;$C$9&amp;"|"&amp;$B$81,'Dán TĐ nhân viên'!$M$1:$M$1500,0)),0))</f>
        <v/>
      </c>
      <c r="J128">
        <f>IF(OR($B$81="",$B$10=""),0,IFERROR(INDEX('Dán TĐ nhân viên'!$N$1:$N$1500,MATCH("*"&amp;$C$10&amp;"|"&amp;$B$81,'Dán TĐ nhân viên'!$M$1:$M$1500,0)),0))</f>
        <v/>
      </c>
      <c r="K128">
        <f>IF(OR($B$81="",$B$11=""),0,IFERROR(INDEX('Dán TĐ nhân viên'!$N$1:$N$1500,MATCH("*"&amp;$C$11&amp;"|"&amp;$B$81,'Dán TĐ nhân viên'!$M$1:$M$1500,0)),0))</f>
        <v/>
      </c>
      <c r="L128">
        <f>IF(OR($B$81="",$B$12=""),0,IFERROR(INDEX('Dán TĐ nhân viên'!$N$1:$N$1500,MATCH("*"&amp;$C$12&amp;"|"&amp;$B$81,'Dán TĐ nhân viên'!$M$1:$M$1500,0)),0))</f>
        <v/>
      </c>
      <c r="M128">
        <f>IF(OR($B$81="",$B$13=""),0,IFERROR(INDEX('Dán TĐ nhân viên'!$N$1:$N$1500,MATCH("*"&amp;$C$13&amp;"|"&amp;$B$81,'Dán TĐ nhân viên'!$M$1:$M$1500,0)),0))</f>
        <v/>
      </c>
      <c r="N128">
        <f>IF(OR($B$81="",$B$14=""),0,IFERROR(INDEX('Dán TĐ nhân viên'!$N$1:$N$1500,MATCH("*"&amp;$C$14&amp;"|"&amp;$B$81,'Dán TĐ nhân viên'!$M$1:$M$1500,0)),0))</f>
        <v/>
      </c>
      <c r="O128">
        <f>IF(OR($B$81="",$B$15=""),0,IFERROR(INDEX('Dán TĐ nhân viên'!$N$1:$N$1500,MATCH("*"&amp;$C$15&amp;"|"&amp;$B$81,'Dán TĐ nhân viên'!$M$1:$M$1500,0)),0))</f>
        <v/>
      </c>
      <c r="P128">
        <f>IF(OR($B$81="",$B$16=""),0,IFERROR(INDEX('Dán TĐ nhân viên'!$N$1:$N$1500,MATCH("*"&amp;$C$16&amp;"|"&amp;$B$81,'Dán TĐ nhân viên'!$M$1:$M$1500,0)),0))</f>
        <v/>
      </c>
      <c r="Q128">
        <f>IF(OR($B$81="",$B$17=""),0,IFERROR(INDEX('Dán TĐ nhân viên'!$N$1:$N$1500,MATCH("*"&amp;$C$17&amp;"|"&amp;$B$81,'Dán TĐ nhân viên'!$M$1:$M$1500,0)),0))</f>
        <v/>
      </c>
      <c r="R128">
        <f>IF(OR($B$81="",$B$18=""),0,IFERROR(INDEX('Dán TĐ nhân viên'!$N$1:$N$1500,MATCH("*"&amp;$C$18&amp;"|"&amp;$B$81,'Dán TĐ nhân viên'!$M$1:$M$1500,0)),0))</f>
        <v/>
      </c>
      <c r="S128">
        <f>IF(OR($B$81="",$B$19=""),0,IFERROR(INDEX('Dán TĐ nhân viên'!$N$1:$N$1500,MATCH("*"&amp;$C$19&amp;"|"&amp;$B$81,'Dán TĐ nhân viên'!$M$1:$M$1500,0)),0))</f>
        <v/>
      </c>
      <c r="T128">
        <f>IF(OR($B$81="",$B$20=""),0,IFERROR(INDEX('Dán TĐ nhân viên'!$N$1:$N$1500,MATCH("*"&amp;$C$20&amp;"|"&amp;$B$81,'Dán TĐ nhân viên'!$M$1:$M$1500,0)),0))</f>
        <v/>
      </c>
      <c r="U128">
        <f>IF(OR($B$81="",$B$21=""),0,IFERROR(INDEX('Dán TĐ nhân viên'!$N$1:$N$1500,MATCH("*"&amp;$C$21&amp;"|"&amp;$B$81,'Dán TĐ nhân viên'!$M$1:$M$1500,0)),0))</f>
        <v/>
      </c>
      <c r="V128">
        <f>IF(OR($B$81="",$B$22=""),0,IFERROR(INDEX('Dán TĐ nhân viên'!$N$1:$N$1500,MATCH("*"&amp;$C$22&amp;"|"&amp;$B$81,'Dán TĐ nhân viên'!$M$1:$M$1500,0)),0))</f>
        <v/>
      </c>
    </row>
    <row r="129">
      <c r="A129" t="n">
        <v>44</v>
      </c>
      <c r="B129">
        <f>B82</f>
        <v/>
      </c>
      <c r="C129">
        <f>IF(OR($B$82="",$B$3=""),0,IFERROR(INDEX('Dán TĐ nhân viên'!$N$1:$N$1500,MATCH("*"&amp;$C$3&amp;"|"&amp;$B$82,'Dán TĐ nhân viên'!$M$1:$M$1500,0)),0))</f>
        <v/>
      </c>
      <c r="D129">
        <f>IF(OR($B$82="",$B$4=""),0,IFERROR(INDEX('Dán TĐ nhân viên'!$N$1:$N$1500,MATCH("*"&amp;$C$4&amp;"|"&amp;$B$82,'Dán TĐ nhân viên'!$M$1:$M$1500,0)),0))</f>
        <v/>
      </c>
      <c r="E129">
        <f>IF(OR($B$82="",$B$5=""),0,IFERROR(INDEX('Dán TĐ nhân viên'!$N$1:$N$1500,MATCH("*"&amp;$C$5&amp;"|"&amp;$B$82,'Dán TĐ nhân viên'!$M$1:$M$1500,0)),0))</f>
        <v/>
      </c>
      <c r="F129">
        <f>IF(OR($B$82="",$B$6=""),0,IFERROR(INDEX('Dán TĐ nhân viên'!$N$1:$N$1500,MATCH("*"&amp;$C$6&amp;"|"&amp;$B$82,'Dán TĐ nhân viên'!$M$1:$M$1500,0)),0))</f>
        <v/>
      </c>
      <c r="G129">
        <f>IF(OR($B$82="",$B$7=""),0,IFERROR(INDEX('Dán TĐ nhân viên'!$N$1:$N$1500,MATCH("*"&amp;$C$7&amp;"|"&amp;$B$82,'Dán TĐ nhân viên'!$M$1:$M$1500,0)),0))</f>
        <v/>
      </c>
      <c r="H129">
        <f>IF(OR($B$82="",$B$8=""),0,IFERROR(INDEX('Dán TĐ nhân viên'!$N$1:$N$1500,MATCH("*"&amp;$C$8&amp;"|"&amp;$B$82,'Dán TĐ nhân viên'!$M$1:$M$1500,0)),0))</f>
        <v/>
      </c>
      <c r="I129">
        <f>IF(OR($B$82="",$B$9=""),0,IFERROR(INDEX('Dán TĐ nhân viên'!$N$1:$N$1500,MATCH("*"&amp;$C$9&amp;"|"&amp;$B$82,'Dán TĐ nhân viên'!$M$1:$M$1500,0)),0))</f>
        <v/>
      </c>
      <c r="J129">
        <f>IF(OR($B$82="",$B$10=""),0,IFERROR(INDEX('Dán TĐ nhân viên'!$N$1:$N$1500,MATCH("*"&amp;$C$10&amp;"|"&amp;$B$82,'Dán TĐ nhân viên'!$M$1:$M$1500,0)),0))</f>
        <v/>
      </c>
      <c r="K129">
        <f>IF(OR($B$82="",$B$11=""),0,IFERROR(INDEX('Dán TĐ nhân viên'!$N$1:$N$1500,MATCH("*"&amp;$C$11&amp;"|"&amp;$B$82,'Dán TĐ nhân viên'!$M$1:$M$1500,0)),0))</f>
        <v/>
      </c>
      <c r="L129">
        <f>IF(OR($B$82="",$B$12=""),0,IFERROR(INDEX('Dán TĐ nhân viên'!$N$1:$N$1500,MATCH("*"&amp;$C$12&amp;"|"&amp;$B$82,'Dán TĐ nhân viên'!$M$1:$M$1500,0)),0))</f>
        <v/>
      </c>
      <c r="M129">
        <f>IF(OR($B$82="",$B$13=""),0,IFERROR(INDEX('Dán TĐ nhân viên'!$N$1:$N$1500,MATCH("*"&amp;$C$13&amp;"|"&amp;$B$82,'Dán TĐ nhân viên'!$M$1:$M$1500,0)),0))</f>
        <v/>
      </c>
      <c r="N129">
        <f>IF(OR($B$82="",$B$14=""),0,IFERROR(INDEX('Dán TĐ nhân viên'!$N$1:$N$1500,MATCH("*"&amp;$C$14&amp;"|"&amp;$B$82,'Dán TĐ nhân viên'!$M$1:$M$1500,0)),0))</f>
        <v/>
      </c>
      <c r="O129">
        <f>IF(OR($B$82="",$B$15=""),0,IFERROR(INDEX('Dán TĐ nhân viên'!$N$1:$N$1500,MATCH("*"&amp;$C$15&amp;"|"&amp;$B$82,'Dán TĐ nhân viên'!$M$1:$M$1500,0)),0))</f>
        <v/>
      </c>
      <c r="P129">
        <f>IF(OR($B$82="",$B$16=""),0,IFERROR(INDEX('Dán TĐ nhân viên'!$N$1:$N$1500,MATCH("*"&amp;$C$16&amp;"|"&amp;$B$82,'Dán TĐ nhân viên'!$M$1:$M$1500,0)),0))</f>
        <v/>
      </c>
      <c r="Q129">
        <f>IF(OR($B$82="",$B$17=""),0,IFERROR(INDEX('Dán TĐ nhân viên'!$N$1:$N$1500,MATCH("*"&amp;$C$17&amp;"|"&amp;$B$82,'Dán TĐ nhân viên'!$M$1:$M$1500,0)),0))</f>
        <v/>
      </c>
      <c r="R129">
        <f>IF(OR($B$82="",$B$18=""),0,IFERROR(INDEX('Dán TĐ nhân viên'!$N$1:$N$1500,MATCH("*"&amp;$C$18&amp;"|"&amp;$B$82,'Dán TĐ nhân viên'!$M$1:$M$1500,0)),0))</f>
        <v/>
      </c>
      <c r="S129">
        <f>IF(OR($B$82="",$B$19=""),0,IFERROR(INDEX('Dán TĐ nhân viên'!$N$1:$N$1500,MATCH("*"&amp;$C$19&amp;"|"&amp;$B$82,'Dán TĐ nhân viên'!$M$1:$M$1500,0)),0))</f>
        <v/>
      </c>
      <c r="T129">
        <f>IF(OR($B$82="",$B$20=""),0,IFERROR(INDEX('Dán TĐ nhân viên'!$N$1:$N$1500,MATCH("*"&amp;$C$20&amp;"|"&amp;$B$82,'Dán TĐ nhân viên'!$M$1:$M$1500,0)),0))</f>
        <v/>
      </c>
      <c r="U129">
        <f>IF(OR($B$82="",$B$21=""),0,IFERROR(INDEX('Dán TĐ nhân viên'!$N$1:$N$1500,MATCH("*"&amp;$C$21&amp;"|"&amp;$B$82,'Dán TĐ nhân viên'!$M$1:$M$1500,0)),0))</f>
        <v/>
      </c>
      <c r="V129">
        <f>IF(OR($B$82="",$B$22=""),0,IFERROR(INDEX('Dán TĐ nhân viên'!$N$1:$N$1500,MATCH("*"&amp;$C$22&amp;"|"&amp;$B$82,'Dán TĐ nhân viên'!$M$1:$M$1500,0)),0))</f>
        <v/>
      </c>
    </row>
    <row r="130">
      <c r="A130" t="n">
        <v>45</v>
      </c>
      <c r="B130">
        <f>B83</f>
        <v/>
      </c>
      <c r="C130">
        <f>IF(OR($B$83="",$B$3=""),0,IFERROR(INDEX('Dán TĐ nhân viên'!$N$1:$N$1500,MATCH("*"&amp;$C$3&amp;"|"&amp;$B$83,'Dán TĐ nhân viên'!$M$1:$M$1500,0)),0))</f>
        <v/>
      </c>
      <c r="D130">
        <f>IF(OR($B$83="",$B$4=""),0,IFERROR(INDEX('Dán TĐ nhân viên'!$N$1:$N$1500,MATCH("*"&amp;$C$4&amp;"|"&amp;$B$83,'Dán TĐ nhân viên'!$M$1:$M$1500,0)),0))</f>
        <v/>
      </c>
      <c r="E130">
        <f>IF(OR($B$83="",$B$5=""),0,IFERROR(INDEX('Dán TĐ nhân viên'!$N$1:$N$1500,MATCH("*"&amp;$C$5&amp;"|"&amp;$B$83,'Dán TĐ nhân viên'!$M$1:$M$1500,0)),0))</f>
        <v/>
      </c>
      <c r="F130">
        <f>IF(OR($B$83="",$B$6=""),0,IFERROR(INDEX('Dán TĐ nhân viên'!$N$1:$N$1500,MATCH("*"&amp;$C$6&amp;"|"&amp;$B$83,'Dán TĐ nhân viên'!$M$1:$M$1500,0)),0))</f>
        <v/>
      </c>
      <c r="G130">
        <f>IF(OR($B$83="",$B$7=""),0,IFERROR(INDEX('Dán TĐ nhân viên'!$N$1:$N$1500,MATCH("*"&amp;$C$7&amp;"|"&amp;$B$83,'Dán TĐ nhân viên'!$M$1:$M$1500,0)),0))</f>
        <v/>
      </c>
      <c r="H130">
        <f>IF(OR($B$83="",$B$8=""),0,IFERROR(INDEX('Dán TĐ nhân viên'!$N$1:$N$1500,MATCH("*"&amp;$C$8&amp;"|"&amp;$B$83,'Dán TĐ nhân viên'!$M$1:$M$1500,0)),0))</f>
        <v/>
      </c>
      <c r="I130">
        <f>IF(OR($B$83="",$B$9=""),0,IFERROR(INDEX('Dán TĐ nhân viên'!$N$1:$N$1500,MATCH("*"&amp;$C$9&amp;"|"&amp;$B$83,'Dán TĐ nhân viên'!$M$1:$M$1500,0)),0))</f>
        <v/>
      </c>
      <c r="J130">
        <f>IF(OR($B$83="",$B$10=""),0,IFERROR(INDEX('Dán TĐ nhân viên'!$N$1:$N$1500,MATCH("*"&amp;$C$10&amp;"|"&amp;$B$83,'Dán TĐ nhân viên'!$M$1:$M$1500,0)),0))</f>
        <v/>
      </c>
      <c r="K130">
        <f>IF(OR($B$83="",$B$11=""),0,IFERROR(INDEX('Dán TĐ nhân viên'!$N$1:$N$1500,MATCH("*"&amp;$C$11&amp;"|"&amp;$B$83,'Dán TĐ nhân viên'!$M$1:$M$1500,0)),0))</f>
        <v/>
      </c>
      <c r="L130">
        <f>IF(OR($B$83="",$B$12=""),0,IFERROR(INDEX('Dán TĐ nhân viên'!$N$1:$N$1500,MATCH("*"&amp;$C$12&amp;"|"&amp;$B$83,'Dán TĐ nhân viên'!$M$1:$M$1500,0)),0))</f>
        <v/>
      </c>
      <c r="M130">
        <f>IF(OR($B$83="",$B$13=""),0,IFERROR(INDEX('Dán TĐ nhân viên'!$N$1:$N$1500,MATCH("*"&amp;$C$13&amp;"|"&amp;$B$83,'Dán TĐ nhân viên'!$M$1:$M$1500,0)),0))</f>
        <v/>
      </c>
      <c r="N130">
        <f>IF(OR($B$83="",$B$14=""),0,IFERROR(INDEX('Dán TĐ nhân viên'!$N$1:$N$1500,MATCH("*"&amp;$C$14&amp;"|"&amp;$B$83,'Dán TĐ nhân viên'!$M$1:$M$1500,0)),0))</f>
        <v/>
      </c>
      <c r="O130">
        <f>IF(OR($B$83="",$B$15=""),0,IFERROR(INDEX('Dán TĐ nhân viên'!$N$1:$N$1500,MATCH("*"&amp;$C$15&amp;"|"&amp;$B$83,'Dán TĐ nhân viên'!$M$1:$M$1500,0)),0))</f>
        <v/>
      </c>
      <c r="P130">
        <f>IF(OR($B$83="",$B$16=""),0,IFERROR(INDEX('Dán TĐ nhân viên'!$N$1:$N$1500,MATCH("*"&amp;$C$16&amp;"|"&amp;$B$83,'Dán TĐ nhân viên'!$M$1:$M$1500,0)),0))</f>
        <v/>
      </c>
      <c r="Q130">
        <f>IF(OR($B$83="",$B$17=""),0,IFERROR(INDEX('Dán TĐ nhân viên'!$N$1:$N$1500,MATCH("*"&amp;$C$17&amp;"|"&amp;$B$83,'Dán TĐ nhân viên'!$M$1:$M$1500,0)),0))</f>
        <v/>
      </c>
      <c r="R130">
        <f>IF(OR($B$83="",$B$18=""),0,IFERROR(INDEX('Dán TĐ nhân viên'!$N$1:$N$1500,MATCH("*"&amp;$C$18&amp;"|"&amp;$B$83,'Dán TĐ nhân viên'!$M$1:$M$1500,0)),0))</f>
        <v/>
      </c>
      <c r="S130">
        <f>IF(OR($B$83="",$B$19=""),0,IFERROR(INDEX('Dán TĐ nhân viên'!$N$1:$N$1500,MATCH("*"&amp;$C$19&amp;"|"&amp;$B$83,'Dán TĐ nhân viên'!$M$1:$M$1500,0)),0))</f>
        <v/>
      </c>
      <c r="T130">
        <f>IF(OR($B$83="",$B$20=""),0,IFERROR(INDEX('Dán TĐ nhân viên'!$N$1:$N$1500,MATCH("*"&amp;$C$20&amp;"|"&amp;$B$83,'Dán TĐ nhân viên'!$M$1:$M$1500,0)),0))</f>
        <v/>
      </c>
      <c r="U130">
        <f>IF(OR($B$83="",$B$21=""),0,IFERROR(INDEX('Dán TĐ nhân viên'!$N$1:$N$1500,MATCH("*"&amp;$C$21&amp;"|"&amp;$B$83,'Dán TĐ nhân viên'!$M$1:$M$1500,0)),0))</f>
        <v/>
      </c>
      <c r="V130">
        <f>IF(OR($B$83="",$B$22=""),0,IFERROR(INDEX('Dán TĐ nhân viên'!$N$1:$N$1500,MATCH("*"&amp;$C$22&amp;"|"&amp;$B$83,'Dán TĐ nhân viên'!$M$1:$M$1500,0)),0))</f>
        <v/>
      </c>
    </row>
    <row r="133">
      <c r="A133" s="58" t="inlineStr">
        <is>
          <t>Target NV × nhóm</t>
        </is>
      </c>
      <c r="C133">
        <f>B3</f>
        <v/>
      </c>
      <c r="D133">
        <f>B4</f>
        <v/>
      </c>
      <c r="E133">
        <f>B5</f>
        <v/>
      </c>
      <c r="F133">
        <f>B6</f>
        <v/>
      </c>
      <c r="G133">
        <f>B7</f>
        <v/>
      </c>
      <c r="H133">
        <f>B8</f>
        <v/>
      </c>
      <c r="I133">
        <f>B9</f>
        <v/>
      </c>
      <c r="J133">
        <f>B10</f>
        <v/>
      </c>
      <c r="K133">
        <f>B11</f>
        <v/>
      </c>
      <c r="L133">
        <f>B12</f>
        <v/>
      </c>
      <c r="M133">
        <f>B13</f>
        <v/>
      </c>
      <c r="N133">
        <f>B14</f>
        <v/>
      </c>
      <c r="O133">
        <f>B15</f>
        <v/>
      </c>
      <c r="P133">
        <f>B16</f>
        <v/>
      </c>
      <c r="Q133">
        <f>B17</f>
        <v/>
      </c>
      <c r="R133">
        <f>B18</f>
        <v/>
      </c>
      <c r="S133">
        <f>B19</f>
        <v/>
      </c>
      <c r="T133">
        <f>B20</f>
        <v/>
      </c>
      <c r="U133">
        <f>B21</f>
        <v/>
      </c>
      <c r="V133">
        <f>B22</f>
        <v/>
      </c>
    </row>
    <row r="134">
      <c r="A134" t="n">
        <v>1</v>
      </c>
      <c r="B134">
        <f>B39</f>
        <v/>
      </c>
      <c r="C134">
        <f>IF(OR($B$39="",$B$3=""),0,IF($E$39&gt;0,CHOOSE($D$39,$G$3,$L$3,$Q$3,$V$3)*$E$39/100,IFERROR((CHOOSE($D$39,$G$3,$L$3,$Q$3,$V$3)-CHOOSE($D$39,$G$3,$L$3,$Q$3,$V$3)*$G$39/100)/$H$39,0)))</f>
        <v/>
      </c>
      <c r="D134">
        <f>IF(OR($B$39="",$B$4=""),0,IF($E$39&gt;0,CHOOSE($D$39,$G$4,$L$4,$Q$4,$V$4)*$E$39/100,IFERROR((CHOOSE($D$39,$G$4,$L$4,$Q$4,$V$4)-CHOOSE($D$39,$G$4,$L$4,$Q$4,$V$4)*$G$39/100)/$H$39,0)))</f>
        <v/>
      </c>
      <c r="E134">
        <f>IF(OR($B$39="",$B$5=""),0,IF($E$39&gt;0,CHOOSE($D$39,$G$5,$L$5,$Q$5,$V$5)*$E$39/100,IFERROR((CHOOSE($D$39,$G$5,$L$5,$Q$5,$V$5)-CHOOSE($D$39,$G$5,$L$5,$Q$5,$V$5)*$G$39/100)/$H$39,0)))</f>
        <v/>
      </c>
      <c r="F134">
        <f>IF(OR($B$39="",$B$6=""),0,IF($E$39&gt;0,CHOOSE($D$39,$G$6,$L$6,$Q$6,$V$6)*$E$39/100,IFERROR((CHOOSE($D$39,$G$6,$L$6,$Q$6,$V$6)-CHOOSE($D$39,$G$6,$L$6,$Q$6,$V$6)*$G$39/100)/$H$39,0)))</f>
        <v/>
      </c>
      <c r="G134">
        <f>IF(OR($B$39="",$B$7=""),0,IF($E$39&gt;0,CHOOSE($D$39,$G$7,$L$7,$Q$7,$V$7)*$E$39/100,IFERROR((CHOOSE($D$39,$G$7,$L$7,$Q$7,$V$7)-CHOOSE($D$39,$G$7,$L$7,$Q$7,$V$7)*$G$39/100)/$H$39,0)))</f>
        <v/>
      </c>
      <c r="H134">
        <f>IF(OR($B$39="",$B$8=""),0,IF($E$39&gt;0,CHOOSE($D$39,$G$8,$L$8,$Q$8,$V$8)*$E$39/100,IFERROR((CHOOSE($D$39,$G$8,$L$8,$Q$8,$V$8)-CHOOSE($D$39,$G$8,$L$8,$Q$8,$V$8)*$G$39/100)/$H$39,0)))</f>
        <v/>
      </c>
      <c r="I134">
        <f>IF(OR($B$39="",$B$9=""),0,IF($E$39&gt;0,CHOOSE($D$39,$G$9,$L$9,$Q$9,$V$9)*$E$39/100,IFERROR((CHOOSE($D$39,$G$9,$L$9,$Q$9,$V$9)-CHOOSE($D$39,$G$9,$L$9,$Q$9,$V$9)*$G$39/100)/$H$39,0)))</f>
        <v/>
      </c>
      <c r="J134">
        <f>IF(OR($B$39="",$B$10=""),0,IF($E$39&gt;0,CHOOSE($D$39,$G$10,$L$10,$Q$10,$V$10)*$E$39/100,IFERROR((CHOOSE($D$39,$G$10,$L$10,$Q$10,$V$10)-CHOOSE($D$39,$G$10,$L$10,$Q$10,$V$10)*$G$39/100)/$H$39,0)))</f>
        <v/>
      </c>
      <c r="K134">
        <f>IF(OR($B$39="",$B$11=""),0,IF($E$39&gt;0,CHOOSE($D$39,$G$11,$L$11,$Q$11,$V$11)*$E$39/100,IFERROR((CHOOSE($D$39,$G$11,$L$11,$Q$11,$V$11)-CHOOSE($D$39,$G$11,$L$11,$Q$11,$V$11)*$G$39/100)/$H$39,0)))</f>
        <v/>
      </c>
      <c r="L134">
        <f>IF(OR($B$39="",$B$12=""),0,IF($E$39&gt;0,CHOOSE($D$39,$G$12,$L$12,$Q$12,$V$12)*$E$39/100,IFERROR((CHOOSE($D$39,$G$12,$L$12,$Q$12,$V$12)-CHOOSE($D$39,$G$12,$L$12,$Q$12,$V$12)*$G$39/100)/$H$39,0)))</f>
        <v/>
      </c>
      <c r="M134">
        <f>IF(OR($B$39="",$B$13=""),0,IF($E$39&gt;0,CHOOSE($D$39,$G$13,$L$13,$Q$13,$V$13)*$E$39/100,IFERROR((CHOOSE($D$39,$G$13,$L$13,$Q$13,$V$13)-CHOOSE($D$39,$G$13,$L$13,$Q$13,$V$13)*$G$39/100)/$H$39,0)))</f>
        <v/>
      </c>
      <c r="N134">
        <f>IF(OR($B$39="",$B$14=""),0,IF($E$39&gt;0,CHOOSE($D$39,$G$14,$L$14,$Q$14,$V$14)*$E$39/100,IFERROR((CHOOSE($D$39,$G$14,$L$14,$Q$14,$V$14)-CHOOSE($D$39,$G$14,$L$14,$Q$14,$V$14)*$G$39/100)/$H$39,0)))</f>
        <v/>
      </c>
      <c r="O134">
        <f>IF(OR($B$39="",$B$15=""),0,IF($E$39&gt;0,CHOOSE($D$39,$G$15,$L$15,$Q$15,$V$15)*$E$39/100,IFERROR((CHOOSE($D$39,$G$15,$L$15,$Q$15,$V$15)-CHOOSE($D$39,$G$15,$L$15,$Q$15,$V$15)*$G$39/100)/$H$39,0)))</f>
        <v/>
      </c>
      <c r="P134">
        <f>IF(OR($B$39="",$B$16=""),0,IF($E$39&gt;0,CHOOSE($D$39,$G$16,$L$16,$Q$16,$V$16)*$E$39/100,IFERROR((CHOOSE($D$39,$G$16,$L$16,$Q$16,$V$16)-CHOOSE($D$39,$G$16,$L$16,$Q$16,$V$16)*$G$39/100)/$H$39,0)))</f>
        <v/>
      </c>
      <c r="Q134">
        <f>IF(OR($B$39="",$B$17=""),0,IF($E$39&gt;0,CHOOSE($D$39,$G$17,$L$17,$Q$17,$V$17)*$E$39/100,IFERROR((CHOOSE($D$39,$G$17,$L$17,$Q$17,$V$17)-CHOOSE($D$39,$G$17,$L$17,$Q$17,$V$17)*$G$39/100)/$H$39,0)))</f>
        <v/>
      </c>
      <c r="R134">
        <f>IF(OR($B$39="",$B$18=""),0,IF($E$39&gt;0,CHOOSE($D$39,$G$18,$L$18,$Q$18,$V$18)*$E$39/100,IFERROR((CHOOSE($D$39,$G$18,$L$18,$Q$18,$V$18)-CHOOSE($D$39,$G$18,$L$18,$Q$18,$V$18)*$G$39/100)/$H$39,0)))</f>
        <v/>
      </c>
      <c r="S134">
        <f>IF(OR($B$39="",$B$19=""),0,IF($E$39&gt;0,CHOOSE($D$39,$G$19,$L$19,$Q$19,$V$19)*$E$39/100,IFERROR((CHOOSE($D$39,$G$19,$L$19,$Q$19,$V$19)-CHOOSE($D$39,$G$19,$L$19,$Q$19,$V$19)*$G$39/100)/$H$39,0)))</f>
        <v/>
      </c>
      <c r="T134">
        <f>IF(OR($B$39="",$B$20=""),0,IF($E$39&gt;0,CHOOSE($D$39,$G$20,$L$20,$Q$20,$V$20)*$E$39/100,IFERROR((CHOOSE($D$39,$G$20,$L$20,$Q$20,$V$20)-CHOOSE($D$39,$G$20,$L$20,$Q$20,$V$20)*$G$39/100)/$H$39,0)))</f>
        <v/>
      </c>
      <c r="U134">
        <f>IF(OR($B$39="",$B$21=""),0,IF($E$39&gt;0,CHOOSE($D$39,$G$21,$L$21,$Q$21,$V$21)*$E$39/100,IFERROR((CHOOSE($D$39,$G$21,$L$21,$Q$21,$V$21)-CHOOSE($D$39,$G$21,$L$21,$Q$21,$V$21)*$G$39/100)/$H$39,0)))</f>
        <v/>
      </c>
      <c r="V134">
        <f>IF(OR($B$39="",$B$22=""),0,IF($E$39&gt;0,CHOOSE($D$39,$G$22,$L$22,$Q$22,$V$22)*$E$39/100,IFERROR((CHOOSE($D$39,$G$22,$L$22,$Q$22,$V$22)-CHOOSE($D$39,$G$22,$L$22,$Q$22,$V$22)*$G$39/100)/$H$39,0)))</f>
        <v/>
      </c>
    </row>
    <row r="135">
      <c r="A135" t="n">
        <v>2</v>
      </c>
      <c r="B135">
        <f>B40</f>
        <v/>
      </c>
      <c r="C135">
        <f>IF(OR($B$40="",$B$3=""),0,IF($E$40&gt;0,CHOOSE($D$40,$G$3,$L$3,$Q$3,$V$3)*$E$40/100,IFERROR((CHOOSE($D$40,$G$3,$L$3,$Q$3,$V$3)-CHOOSE($D$40,$G$3,$L$3,$Q$3,$V$3)*$G$40/100)/$H$40,0)))</f>
        <v/>
      </c>
      <c r="D135">
        <f>IF(OR($B$40="",$B$4=""),0,IF($E$40&gt;0,CHOOSE($D$40,$G$4,$L$4,$Q$4,$V$4)*$E$40/100,IFERROR((CHOOSE($D$40,$G$4,$L$4,$Q$4,$V$4)-CHOOSE($D$40,$G$4,$L$4,$Q$4,$V$4)*$G$40/100)/$H$40,0)))</f>
        <v/>
      </c>
      <c r="E135">
        <f>IF(OR($B$40="",$B$5=""),0,IF($E$40&gt;0,CHOOSE($D$40,$G$5,$L$5,$Q$5,$V$5)*$E$40/100,IFERROR((CHOOSE($D$40,$G$5,$L$5,$Q$5,$V$5)-CHOOSE($D$40,$G$5,$L$5,$Q$5,$V$5)*$G$40/100)/$H$40,0)))</f>
        <v/>
      </c>
      <c r="F135">
        <f>IF(OR($B$40="",$B$6=""),0,IF($E$40&gt;0,CHOOSE($D$40,$G$6,$L$6,$Q$6,$V$6)*$E$40/100,IFERROR((CHOOSE($D$40,$G$6,$L$6,$Q$6,$V$6)-CHOOSE($D$40,$G$6,$L$6,$Q$6,$V$6)*$G$40/100)/$H$40,0)))</f>
        <v/>
      </c>
      <c r="G135">
        <f>IF(OR($B$40="",$B$7=""),0,IF($E$40&gt;0,CHOOSE($D$40,$G$7,$L$7,$Q$7,$V$7)*$E$40/100,IFERROR((CHOOSE($D$40,$G$7,$L$7,$Q$7,$V$7)-CHOOSE($D$40,$G$7,$L$7,$Q$7,$V$7)*$G$40/100)/$H$40,0)))</f>
        <v/>
      </c>
      <c r="H135">
        <f>IF(OR($B$40="",$B$8=""),0,IF($E$40&gt;0,CHOOSE($D$40,$G$8,$L$8,$Q$8,$V$8)*$E$40/100,IFERROR((CHOOSE($D$40,$G$8,$L$8,$Q$8,$V$8)-CHOOSE($D$40,$G$8,$L$8,$Q$8,$V$8)*$G$40/100)/$H$40,0)))</f>
        <v/>
      </c>
      <c r="I135">
        <f>IF(OR($B$40="",$B$9=""),0,IF($E$40&gt;0,CHOOSE($D$40,$G$9,$L$9,$Q$9,$V$9)*$E$40/100,IFERROR((CHOOSE($D$40,$G$9,$L$9,$Q$9,$V$9)-CHOOSE($D$40,$G$9,$L$9,$Q$9,$V$9)*$G$40/100)/$H$40,0)))</f>
        <v/>
      </c>
      <c r="J135">
        <f>IF(OR($B$40="",$B$10=""),0,IF($E$40&gt;0,CHOOSE($D$40,$G$10,$L$10,$Q$10,$V$10)*$E$40/100,IFERROR((CHOOSE($D$40,$G$10,$L$10,$Q$10,$V$10)-CHOOSE($D$40,$G$10,$L$10,$Q$10,$V$10)*$G$40/100)/$H$40,0)))</f>
        <v/>
      </c>
      <c r="K135">
        <f>IF(OR($B$40="",$B$11=""),0,IF($E$40&gt;0,CHOOSE($D$40,$G$11,$L$11,$Q$11,$V$11)*$E$40/100,IFERROR((CHOOSE($D$40,$G$11,$L$11,$Q$11,$V$11)-CHOOSE($D$40,$G$11,$L$11,$Q$11,$V$11)*$G$40/100)/$H$40,0)))</f>
        <v/>
      </c>
      <c r="L135">
        <f>IF(OR($B$40="",$B$12=""),0,IF($E$40&gt;0,CHOOSE($D$40,$G$12,$L$12,$Q$12,$V$12)*$E$40/100,IFERROR((CHOOSE($D$40,$G$12,$L$12,$Q$12,$V$12)-CHOOSE($D$40,$G$12,$L$12,$Q$12,$V$12)*$G$40/100)/$H$40,0)))</f>
        <v/>
      </c>
      <c r="M135">
        <f>IF(OR($B$40="",$B$13=""),0,IF($E$40&gt;0,CHOOSE($D$40,$G$13,$L$13,$Q$13,$V$13)*$E$40/100,IFERROR((CHOOSE($D$40,$G$13,$L$13,$Q$13,$V$13)-CHOOSE($D$40,$G$13,$L$13,$Q$13,$V$13)*$G$40/100)/$H$40,0)))</f>
        <v/>
      </c>
      <c r="N135">
        <f>IF(OR($B$40="",$B$14=""),0,IF($E$40&gt;0,CHOOSE($D$40,$G$14,$L$14,$Q$14,$V$14)*$E$40/100,IFERROR((CHOOSE($D$40,$G$14,$L$14,$Q$14,$V$14)-CHOOSE($D$40,$G$14,$L$14,$Q$14,$V$14)*$G$40/100)/$H$40,0)))</f>
        <v/>
      </c>
      <c r="O135">
        <f>IF(OR($B$40="",$B$15=""),0,IF($E$40&gt;0,CHOOSE($D$40,$G$15,$L$15,$Q$15,$V$15)*$E$40/100,IFERROR((CHOOSE($D$40,$G$15,$L$15,$Q$15,$V$15)-CHOOSE($D$40,$G$15,$L$15,$Q$15,$V$15)*$G$40/100)/$H$40,0)))</f>
        <v/>
      </c>
      <c r="P135">
        <f>IF(OR($B$40="",$B$16=""),0,IF($E$40&gt;0,CHOOSE($D$40,$G$16,$L$16,$Q$16,$V$16)*$E$40/100,IFERROR((CHOOSE($D$40,$G$16,$L$16,$Q$16,$V$16)-CHOOSE($D$40,$G$16,$L$16,$Q$16,$V$16)*$G$40/100)/$H$40,0)))</f>
        <v/>
      </c>
      <c r="Q135">
        <f>IF(OR($B$40="",$B$17=""),0,IF($E$40&gt;0,CHOOSE($D$40,$G$17,$L$17,$Q$17,$V$17)*$E$40/100,IFERROR((CHOOSE($D$40,$G$17,$L$17,$Q$17,$V$17)-CHOOSE($D$40,$G$17,$L$17,$Q$17,$V$17)*$G$40/100)/$H$40,0)))</f>
        <v/>
      </c>
      <c r="R135">
        <f>IF(OR($B$40="",$B$18=""),0,IF($E$40&gt;0,CHOOSE($D$40,$G$18,$L$18,$Q$18,$V$18)*$E$40/100,IFERROR((CHOOSE($D$40,$G$18,$L$18,$Q$18,$V$18)-CHOOSE($D$40,$G$18,$L$18,$Q$18,$V$18)*$G$40/100)/$H$40,0)))</f>
        <v/>
      </c>
      <c r="S135">
        <f>IF(OR($B$40="",$B$19=""),0,IF($E$40&gt;0,CHOOSE($D$40,$G$19,$L$19,$Q$19,$V$19)*$E$40/100,IFERROR((CHOOSE($D$40,$G$19,$L$19,$Q$19,$V$19)-CHOOSE($D$40,$G$19,$L$19,$Q$19,$V$19)*$G$40/100)/$H$40,0)))</f>
        <v/>
      </c>
      <c r="T135">
        <f>IF(OR($B$40="",$B$20=""),0,IF($E$40&gt;0,CHOOSE($D$40,$G$20,$L$20,$Q$20,$V$20)*$E$40/100,IFERROR((CHOOSE($D$40,$G$20,$L$20,$Q$20,$V$20)-CHOOSE($D$40,$G$20,$L$20,$Q$20,$V$20)*$G$40/100)/$H$40,0)))</f>
        <v/>
      </c>
      <c r="U135">
        <f>IF(OR($B$40="",$B$21=""),0,IF($E$40&gt;0,CHOOSE($D$40,$G$21,$L$21,$Q$21,$V$21)*$E$40/100,IFERROR((CHOOSE($D$40,$G$21,$L$21,$Q$21,$V$21)-CHOOSE($D$40,$G$21,$L$21,$Q$21,$V$21)*$G$40/100)/$H$40,0)))</f>
        <v/>
      </c>
      <c r="V135">
        <f>IF(OR($B$40="",$B$22=""),0,IF($E$40&gt;0,CHOOSE($D$40,$G$22,$L$22,$Q$22,$V$22)*$E$40/100,IFERROR((CHOOSE($D$40,$G$22,$L$22,$Q$22,$V$22)-CHOOSE($D$40,$G$22,$L$22,$Q$22,$V$22)*$G$40/100)/$H$40,0)))</f>
        <v/>
      </c>
    </row>
    <row r="136">
      <c r="A136" t="n">
        <v>3</v>
      </c>
      <c r="B136">
        <f>B41</f>
        <v/>
      </c>
      <c r="C136">
        <f>IF(OR($B$41="",$B$3=""),0,IF($E$41&gt;0,CHOOSE($D$41,$G$3,$L$3,$Q$3,$V$3)*$E$41/100,IFERROR((CHOOSE($D$41,$G$3,$L$3,$Q$3,$V$3)-CHOOSE($D$41,$G$3,$L$3,$Q$3,$V$3)*$G$41/100)/$H$41,0)))</f>
        <v/>
      </c>
      <c r="D136">
        <f>IF(OR($B$41="",$B$4=""),0,IF($E$41&gt;0,CHOOSE($D$41,$G$4,$L$4,$Q$4,$V$4)*$E$41/100,IFERROR((CHOOSE($D$41,$G$4,$L$4,$Q$4,$V$4)-CHOOSE($D$41,$G$4,$L$4,$Q$4,$V$4)*$G$41/100)/$H$41,0)))</f>
        <v/>
      </c>
      <c r="E136">
        <f>IF(OR($B$41="",$B$5=""),0,IF($E$41&gt;0,CHOOSE($D$41,$G$5,$L$5,$Q$5,$V$5)*$E$41/100,IFERROR((CHOOSE($D$41,$G$5,$L$5,$Q$5,$V$5)-CHOOSE($D$41,$G$5,$L$5,$Q$5,$V$5)*$G$41/100)/$H$41,0)))</f>
        <v/>
      </c>
      <c r="F136">
        <f>IF(OR($B$41="",$B$6=""),0,IF($E$41&gt;0,CHOOSE($D$41,$G$6,$L$6,$Q$6,$V$6)*$E$41/100,IFERROR((CHOOSE($D$41,$G$6,$L$6,$Q$6,$V$6)-CHOOSE($D$41,$G$6,$L$6,$Q$6,$V$6)*$G$41/100)/$H$41,0)))</f>
        <v/>
      </c>
      <c r="G136">
        <f>IF(OR($B$41="",$B$7=""),0,IF($E$41&gt;0,CHOOSE($D$41,$G$7,$L$7,$Q$7,$V$7)*$E$41/100,IFERROR((CHOOSE($D$41,$G$7,$L$7,$Q$7,$V$7)-CHOOSE($D$41,$G$7,$L$7,$Q$7,$V$7)*$G$41/100)/$H$41,0)))</f>
        <v/>
      </c>
      <c r="H136">
        <f>IF(OR($B$41="",$B$8=""),0,IF($E$41&gt;0,CHOOSE($D$41,$G$8,$L$8,$Q$8,$V$8)*$E$41/100,IFERROR((CHOOSE($D$41,$G$8,$L$8,$Q$8,$V$8)-CHOOSE($D$41,$G$8,$L$8,$Q$8,$V$8)*$G$41/100)/$H$41,0)))</f>
        <v/>
      </c>
      <c r="I136">
        <f>IF(OR($B$41="",$B$9=""),0,IF($E$41&gt;0,CHOOSE($D$41,$G$9,$L$9,$Q$9,$V$9)*$E$41/100,IFERROR((CHOOSE($D$41,$G$9,$L$9,$Q$9,$V$9)-CHOOSE($D$41,$G$9,$L$9,$Q$9,$V$9)*$G$41/100)/$H$41,0)))</f>
        <v/>
      </c>
      <c r="J136">
        <f>IF(OR($B$41="",$B$10=""),0,IF($E$41&gt;0,CHOOSE($D$41,$G$10,$L$10,$Q$10,$V$10)*$E$41/100,IFERROR((CHOOSE($D$41,$G$10,$L$10,$Q$10,$V$10)-CHOOSE($D$41,$G$10,$L$10,$Q$10,$V$10)*$G$41/100)/$H$41,0)))</f>
        <v/>
      </c>
      <c r="K136">
        <f>IF(OR($B$41="",$B$11=""),0,IF($E$41&gt;0,CHOOSE($D$41,$G$11,$L$11,$Q$11,$V$11)*$E$41/100,IFERROR((CHOOSE($D$41,$G$11,$L$11,$Q$11,$V$11)-CHOOSE($D$41,$G$11,$L$11,$Q$11,$V$11)*$G$41/100)/$H$41,0)))</f>
        <v/>
      </c>
      <c r="L136">
        <f>IF(OR($B$41="",$B$12=""),0,IF($E$41&gt;0,CHOOSE($D$41,$G$12,$L$12,$Q$12,$V$12)*$E$41/100,IFERROR((CHOOSE($D$41,$G$12,$L$12,$Q$12,$V$12)-CHOOSE($D$41,$G$12,$L$12,$Q$12,$V$12)*$G$41/100)/$H$41,0)))</f>
        <v/>
      </c>
      <c r="M136">
        <f>IF(OR($B$41="",$B$13=""),0,IF($E$41&gt;0,CHOOSE($D$41,$G$13,$L$13,$Q$13,$V$13)*$E$41/100,IFERROR((CHOOSE($D$41,$G$13,$L$13,$Q$13,$V$13)-CHOOSE($D$41,$G$13,$L$13,$Q$13,$V$13)*$G$41/100)/$H$41,0)))</f>
        <v/>
      </c>
      <c r="N136">
        <f>IF(OR($B$41="",$B$14=""),0,IF($E$41&gt;0,CHOOSE($D$41,$G$14,$L$14,$Q$14,$V$14)*$E$41/100,IFERROR((CHOOSE($D$41,$G$14,$L$14,$Q$14,$V$14)-CHOOSE($D$41,$G$14,$L$14,$Q$14,$V$14)*$G$41/100)/$H$41,0)))</f>
        <v/>
      </c>
      <c r="O136">
        <f>IF(OR($B$41="",$B$15=""),0,IF($E$41&gt;0,CHOOSE($D$41,$G$15,$L$15,$Q$15,$V$15)*$E$41/100,IFERROR((CHOOSE($D$41,$G$15,$L$15,$Q$15,$V$15)-CHOOSE($D$41,$G$15,$L$15,$Q$15,$V$15)*$G$41/100)/$H$41,0)))</f>
        <v/>
      </c>
      <c r="P136">
        <f>IF(OR($B$41="",$B$16=""),0,IF($E$41&gt;0,CHOOSE($D$41,$G$16,$L$16,$Q$16,$V$16)*$E$41/100,IFERROR((CHOOSE($D$41,$G$16,$L$16,$Q$16,$V$16)-CHOOSE($D$41,$G$16,$L$16,$Q$16,$V$16)*$G$41/100)/$H$41,0)))</f>
        <v/>
      </c>
      <c r="Q136">
        <f>IF(OR($B$41="",$B$17=""),0,IF($E$41&gt;0,CHOOSE($D$41,$G$17,$L$17,$Q$17,$V$17)*$E$41/100,IFERROR((CHOOSE($D$41,$G$17,$L$17,$Q$17,$V$17)-CHOOSE($D$41,$G$17,$L$17,$Q$17,$V$17)*$G$41/100)/$H$41,0)))</f>
        <v/>
      </c>
      <c r="R136">
        <f>IF(OR($B$41="",$B$18=""),0,IF($E$41&gt;0,CHOOSE($D$41,$G$18,$L$18,$Q$18,$V$18)*$E$41/100,IFERROR((CHOOSE($D$41,$G$18,$L$18,$Q$18,$V$18)-CHOOSE($D$41,$G$18,$L$18,$Q$18,$V$18)*$G$41/100)/$H$41,0)))</f>
        <v/>
      </c>
      <c r="S136">
        <f>IF(OR($B$41="",$B$19=""),0,IF($E$41&gt;0,CHOOSE($D$41,$G$19,$L$19,$Q$19,$V$19)*$E$41/100,IFERROR((CHOOSE($D$41,$G$19,$L$19,$Q$19,$V$19)-CHOOSE($D$41,$G$19,$L$19,$Q$19,$V$19)*$G$41/100)/$H$41,0)))</f>
        <v/>
      </c>
      <c r="T136">
        <f>IF(OR($B$41="",$B$20=""),0,IF($E$41&gt;0,CHOOSE($D$41,$G$20,$L$20,$Q$20,$V$20)*$E$41/100,IFERROR((CHOOSE($D$41,$G$20,$L$20,$Q$20,$V$20)-CHOOSE($D$41,$G$20,$L$20,$Q$20,$V$20)*$G$41/100)/$H$41,0)))</f>
        <v/>
      </c>
      <c r="U136">
        <f>IF(OR($B$41="",$B$21=""),0,IF($E$41&gt;0,CHOOSE($D$41,$G$21,$L$21,$Q$21,$V$21)*$E$41/100,IFERROR((CHOOSE($D$41,$G$21,$L$21,$Q$21,$V$21)-CHOOSE($D$41,$G$21,$L$21,$Q$21,$V$21)*$G$41/100)/$H$41,0)))</f>
        <v/>
      </c>
      <c r="V136">
        <f>IF(OR($B$41="",$B$22=""),0,IF($E$41&gt;0,CHOOSE($D$41,$G$22,$L$22,$Q$22,$V$22)*$E$41/100,IFERROR((CHOOSE($D$41,$G$22,$L$22,$Q$22,$V$22)-CHOOSE($D$41,$G$22,$L$22,$Q$22,$V$22)*$G$41/100)/$H$41,0)))</f>
        <v/>
      </c>
    </row>
    <row r="137">
      <c r="A137" t="n">
        <v>4</v>
      </c>
      <c r="B137">
        <f>B42</f>
        <v/>
      </c>
      <c r="C137">
        <f>IF(OR($B$42="",$B$3=""),0,IF($E$42&gt;0,CHOOSE($D$42,$G$3,$L$3,$Q$3,$V$3)*$E$42/100,IFERROR((CHOOSE($D$42,$G$3,$L$3,$Q$3,$V$3)-CHOOSE($D$42,$G$3,$L$3,$Q$3,$V$3)*$G$42/100)/$H$42,0)))</f>
        <v/>
      </c>
      <c r="D137">
        <f>IF(OR($B$42="",$B$4=""),0,IF($E$42&gt;0,CHOOSE($D$42,$G$4,$L$4,$Q$4,$V$4)*$E$42/100,IFERROR((CHOOSE($D$42,$G$4,$L$4,$Q$4,$V$4)-CHOOSE($D$42,$G$4,$L$4,$Q$4,$V$4)*$G$42/100)/$H$42,0)))</f>
        <v/>
      </c>
      <c r="E137">
        <f>IF(OR($B$42="",$B$5=""),0,IF($E$42&gt;0,CHOOSE($D$42,$G$5,$L$5,$Q$5,$V$5)*$E$42/100,IFERROR((CHOOSE($D$42,$G$5,$L$5,$Q$5,$V$5)-CHOOSE($D$42,$G$5,$L$5,$Q$5,$V$5)*$G$42/100)/$H$42,0)))</f>
        <v/>
      </c>
      <c r="F137">
        <f>IF(OR($B$42="",$B$6=""),0,IF($E$42&gt;0,CHOOSE($D$42,$G$6,$L$6,$Q$6,$V$6)*$E$42/100,IFERROR((CHOOSE($D$42,$G$6,$L$6,$Q$6,$V$6)-CHOOSE($D$42,$G$6,$L$6,$Q$6,$V$6)*$G$42/100)/$H$42,0)))</f>
        <v/>
      </c>
      <c r="G137">
        <f>IF(OR($B$42="",$B$7=""),0,IF($E$42&gt;0,CHOOSE($D$42,$G$7,$L$7,$Q$7,$V$7)*$E$42/100,IFERROR((CHOOSE($D$42,$G$7,$L$7,$Q$7,$V$7)-CHOOSE($D$42,$G$7,$L$7,$Q$7,$V$7)*$G$42/100)/$H$42,0)))</f>
        <v/>
      </c>
      <c r="H137">
        <f>IF(OR($B$42="",$B$8=""),0,IF($E$42&gt;0,CHOOSE($D$42,$G$8,$L$8,$Q$8,$V$8)*$E$42/100,IFERROR((CHOOSE($D$42,$G$8,$L$8,$Q$8,$V$8)-CHOOSE($D$42,$G$8,$L$8,$Q$8,$V$8)*$G$42/100)/$H$42,0)))</f>
        <v/>
      </c>
      <c r="I137">
        <f>IF(OR($B$42="",$B$9=""),0,IF($E$42&gt;0,CHOOSE($D$42,$G$9,$L$9,$Q$9,$V$9)*$E$42/100,IFERROR((CHOOSE($D$42,$G$9,$L$9,$Q$9,$V$9)-CHOOSE($D$42,$G$9,$L$9,$Q$9,$V$9)*$G$42/100)/$H$42,0)))</f>
        <v/>
      </c>
      <c r="J137">
        <f>IF(OR($B$42="",$B$10=""),0,IF($E$42&gt;0,CHOOSE($D$42,$G$10,$L$10,$Q$10,$V$10)*$E$42/100,IFERROR((CHOOSE($D$42,$G$10,$L$10,$Q$10,$V$10)-CHOOSE($D$42,$G$10,$L$10,$Q$10,$V$10)*$G$42/100)/$H$42,0)))</f>
        <v/>
      </c>
      <c r="K137">
        <f>IF(OR($B$42="",$B$11=""),0,IF($E$42&gt;0,CHOOSE($D$42,$G$11,$L$11,$Q$11,$V$11)*$E$42/100,IFERROR((CHOOSE($D$42,$G$11,$L$11,$Q$11,$V$11)-CHOOSE($D$42,$G$11,$L$11,$Q$11,$V$11)*$G$42/100)/$H$42,0)))</f>
        <v/>
      </c>
      <c r="L137">
        <f>IF(OR($B$42="",$B$12=""),0,IF($E$42&gt;0,CHOOSE($D$42,$G$12,$L$12,$Q$12,$V$12)*$E$42/100,IFERROR((CHOOSE($D$42,$G$12,$L$12,$Q$12,$V$12)-CHOOSE($D$42,$G$12,$L$12,$Q$12,$V$12)*$G$42/100)/$H$42,0)))</f>
        <v/>
      </c>
      <c r="M137">
        <f>IF(OR($B$42="",$B$13=""),0,IF($E$42&gt;0,CHOOSE($D$42,$G$13,$L$13,$Q$13,$V$13)*$E$42/100,IFERROR((CHOOSE($D$42,$G$13,$L$13,$Q$13,$V$13)-CHOOSE($D$42,$G$13,$L$13,$Q$13,$V$13)*$G$42/100)/$H$42,0)))</f>
        <v/>
      </c>
      <c r="N137">
        <f>IF(OR($B$42="",$B$14=""),0,IF($E$42&gt;0,CHOOSE($D$42,$G$14,$L$14,$Q$14,$V$14)*$E$42/100,IFERROR((CHOOSE($D$42,$G$14,$L$14,$Q$14,$V$14)-CHOOSE($D$42,$G$14,$L$14,$Q$14,$V$14)*$G$42/100)/$H$42,0)))</f>
        <v/>
      </c>
      <c r="O137">
        <f>IF(OR($B$42="",$B$15=""),0,IF($E$42&gt;0,CHOOSE($D$42,$G$15,$L$15,$Q$15,$V$15)*$E$42/100,IFERROR((CHOOSE($D$42,$G$15,$L$15,$Q$15,$V$15)-CHOOSE($D$42,$G$15,$L$15,$Q$15,$V$15)*$G$42/100)/$H$42,0)))</f>
        <v/>
      </c>
      <c r="P137">
        <f>IF(OR($B$42="",$B$16=""),0,IF($E$42&gt;0,CHOOSE($D$42,$G$16,$L$16,$Q$16,$V$16)*$E$42/100,IFERROR((CHOOSE($D$42,$G$16,$L$16,$Q$16,$V$16)-CHOOSE($D$42,$G$16,$L$16,$Q$16,$V$16)*$G$42/100)/$H$42,0)))</f>
        <v/>
      </c>
      <c r="Q137">
        <f>IF(OR($B$42="",$B$17=""),0,IF($E$42&gt;0,CHOOSE($D$42,$G$17,$L$17,$Q$17,$V$17)*$E$42/100,IFERROR((CHOOSE($D$42,$G$17,$L$17,$Q$17,$V$17)-CHOOSE($D$42,$G$17,$L$17,$Q$17,$V$17)*$G$42/100)/$H$42,0)))</f>
        <v/>
      </c>
      <c r="R137">
        <f>IF(OR($B$42="",$B$18=""),0,IF($E$42&gt;0,CHOOSE($D$42,$G$18,$L$18,$Q$18,$V$18)*$E$42/100,IFERROR((CHOOSE($D$42,$G$18,$L$18,$Q$18,$V$18)-CHOOSE($D$42,$G$18,$L$18,$Q$18,$V$18)*$G$42/100)/$H$42,0)))</f>
        <v/>
      </c>
      <c r="S137">
        <f>IF(OR($B$42="",$B$19=""),0,IF($E$42&gt;0,CHOOSE($D$42,$G$19,$L$19,$Q$19,$V$19)*$E$42/100,IFERROR((CHOOSE($D$42,$G$19,$L$19,$Q$19,$V$19)-CHOOSE($D$42,$G$19,$L$19,$Q$19,$V$19)*$G$42/100)/$H$42,0)))</f>
        <v/>
      </c>
      <c r="T137">
        <f>IF(OR($B$42="",$B$20=""),0,IF($E$42&gt;0,CHOOSE($D$42,$G$20,$L$20,$Q$20,$V$20)*$E$42/100,IFERROR((CHOOSE($D$42,$G$20,$L$20,$Q$20,$V$20)-CHOOSE($D$42,$G$20,$L$20,$Q$20,$V$20)*$G$42/100)/$H$42,0)))</f>
        <v/>
      </c>
      <c r="U137">
        <f>IF(OR($B$42="",$B$21=""),0,IF($E$42&gt;0,CHOOSE($D$42,$G$21,$L$21,$Q$21,$V$21)*$E$42/100,IFERROR((CHOOSE($D$42,$G$21,$L$21,$Q$21,$V$21)-CHOOSE($D$42,$G$21,$L$21,$Q$21,$V$21)*$G$42/100)/$H$42,0)))</f>
        <v/>
      </c>
      <c r="V137">
        <f>IF(OR($B$42="",$B$22=""),0,IF($E$42&gt;0,CHOOSE($D$42,$G$22,$L$22,$Q$22,$V$22)*$E$42/100,IFERROR((CHOOSE($D$42,$G$22,$L$22,$Q$22,$V$22)-CHOOSE($D$42,$G$22,$L$22,$Q$22,$V$22)*$G$42/100)/$H$42,0)))</f>
        <v/>
      </c>
    </row>
    <row r="138">
      <c r="A138" t="n">
        <v>5</v>
      </c>
      <c r="B138">
        <f>B43</f>
        <v/>
      </c>
      <c r="C138">
        <f>IF(OR($B$43="",$B$3=""),0,IF($E$43&gt;0,CHOOSE($D$43,$G$3,$L$3,$Q$3,$V$3)*$E$43/100,IFERROR((CHOOSE($D$43,$G$3,$L$3,$Q$3,$V$3)-CHOOSE($D$43,$G$3,$L$3,$Q$3,$V$3)*$G$43/100)/$H$43,0)))</f>
        <v/>
      </c>
      <c r="D138">
        <f>IF(OR($B$43="",$B$4=""),0,IF($E$43&gt;0,CHOOSE($D$43,$G$4,$L$4,$Q$4,$V$4)*$E$43/100,IFERROR((CHOOSE($D$43,$G$4,$L$4,$Q$4,$V$4)-CHOOSE($D$43,$G$4,$L$4,$Q$4,$V$4)*$G$43/100)/$H$43,0)))</f>
        <v/>
      </c>
      <c r="E138">
        <f>IF(OR($B$43="",$B$5=""),0,IF($E$43&gt;0,CHOOSE($D$43,$G$5,$L$5,$Q$5,$V$5)*$E$43/100,IFERROR((CHOOSE($D$43,$G$5,$L$5,$Q$5,$V$5)-CHOOSE($D$43,$G$5,$L$5,$Q$5,$V$5)*$G$43/100)/$H$43,0)))</f>
        <v/>
      </c>
      <c r="F138">
        <f>IF(OR($B$43="",$B$6=""),0,IF($E$43&gt;0,CHOOSE($D$43,$G$6,$L$6,$Q$6,$V$6)*$E$43/100,IFERROR((CHOOSE($D$43,$G$6,$L$6,$Q$6,$V$6)-CHOOSE($D$43,$G$6,$L$6,$Q$6,$V$6)*$G$43/100)/$H$43,0)))</f>
        <v/>
      </c>
      <c r="G138">
        <f>IF(OR($B$43="",$B$7=""),0,IF($E$43&gt;0,CHOOSE($D$43,$G$7,$L$7,$Q$7,$V$7)*$E$43/100,IFERROR((CHOOSE($D$43,$G$7,$L$7,$Q$7,$V$7)-CHOOSE($D$43,$G$7,$L$7,$Q$7,$V$7)*$G$43/100)/$H$43,0)))</f>
        <v/>
      </c>
      <c r="H138">
        <f>IF(OR($B$43="",$B$8=""),0,IF($E$43&gt;0,CHOOSE($D$43,$G$8,$L$8,$Q$8,$V$8)*$E$43/100,IFERROR((CHOOSE($D$43,$G$8,$L$8,$Q$8,$V$8)-CHOOSE($D$43,$G$8,$L$8,$Q$8,$V$8)*$G$43/100)/$H$43,0)))</f>
        <v/>
      </c>
      <c r="I138">
        <f>IF(OR($B$43="",$B$9=""),0,IF($E$43&gt;0,CHOOSE($D$43,$G$9,$L$9,$Q$9,$V$9)*$E$43/100,IFERROR((CHOOSE($D$43,$G$9,$L$9,$Q$9,$V$9)-CHOOSE($D$43,$G$9,$L$9,$Q$9,$V$9)*$G$43/100)/$H$43,0)))</f>
        <v/>
      </c>
      <c r="J138">
        <f>IF(OR($B$43="",$B$10=""),0,IF($E$43&gt;0,CHOOSE($D$43,$G$10,$L$10,$Q$10,$V$10)*$E$43/100,IFERROR((CHOOSE($D$43,$G$10,$L$10,$Q$10,$V$10)-CHOOSE($D$43,$G$10,$L$10,$Q$10,$V$10)*$G$43/100)/$H$43,0)))</f>
        <v/>
      </c>
      <c r="K138">
        <f>IF(OR($B$43="",$B$11=""),0,IF($E$43&gt;0,CHOOSE($D$43,$G$11,$L$11,$Q$11,$V$11)*$E$43/100,IFERROR((CHOOSE($D$43,$G$11,$L$11,$Q$11,$V$11)-CHOOSE($D$43,$G$11,$L$11,$Q$11,$V$11)*$G$43/100)/$H$43,0)))</f>
        <v/>
      </c>
      <c r="L138">
        <f>IF(OR($B$43="",$B$12=""),0,IF($E$43&gt;0,CHOOSE($D$43,$G$12,$L$12,$Q$12,$V$12)*$E$43/100,IFERROR((CHOOSE($D$43,$G$12,$L$12,$Q$12,$V$12)-CHOOSE($D$43,$G$12,$L$12,$Q$12,$V$12)*$G$43/100)/$H$43,0)))</f>
        <v/>
      </c>
      <c r="M138">
        <f>IF(OR($B$43="",$B$13=""),0,IF($E$43&gt;0,CHOOSE($D$43,$G$13,$L$13,$Q$13,$V$13)*$E$43/100,IFERROR((CHOOSE($D$43,$G$13,$L$13,$Q$13,$V$13)-CHOOSE($D$43,$G$13,$L$13,$Q$13,$V$13)*$G$43/100)/$H$43,0)))</f>
        <v/>
      </c>
      <c r="N138">
        <f>IF(OR($B$43="",$B$14=""),0,IF($E$43&gt;0,CHOOSE($D$43,$G$14,$L$14,$Q$14,$V$14)*$E$43/100,IFERROR((CHOOSE($D$43,$G$14,$L$14,$Q$14,$V$14)-CHOOSE($D$43,$G$14,$L$14,$Q$14,$V$14)*$G$43/100)/$H$43,0)))</f>
        <v/>
      </c>
      <c r="O138">
        <f>IF(OR($B$43="",$B$15=""),0,IF($E$43&gt;0,CHOOSE($D$43,$G$15,$L$15,$Q$15,$V$15)*$E$43/100,IFERROR((CHOOSE($D$43,$G$15,$L$15,$Q$15,$V$15)-CHOOSE($D$43,$G$15,$L$15,$Q$15,$V$15)*$G$43/100)/$H$43,0)))</f>
        <v/>
      </c>
      <c r="P138">
        <f>IF(OR($B$43="",$B$16=""),0,IF($E$43&gt;0,CHOOSE($D$43,$G$16,$L$16,$Q$16,$V$16)*$E$43/100,IFERROR((CHOOSE($D$43,$G$16,$L$16,$Q$16,$V$16)-CHOOSE($D$43,$G$16,$L$16,$Q$16,$V$16)*$G$43/100)/$H$43,0)))</f>
        <v/>
      </c>
      <c r="Q138">
        <f>IF(OR($B$43="",$B$17=""),0,IF($E$43&gt;0,CHOOSE($D$43,$G$17,$L$17,$Q$17,$V$17)*$E$43/100,IFERROR((CHOOSE($D$43,$G$17,$L$17,$Q$17,$V$17)-CHOOSE($D$43,$G$17,$L$17,$Q$17,$V$17)*$G$43/100)/$H$43,0)))</f>
        <v/>
      </c>
      <c r="R138">
        <f>IF(OR($B$43="",$B$18=""),0,IF($E$43&gt;0,CHOOSE($D$43,$G$18,$L$18,$Q$18,$V$18)*$E$43/100,IFERROR((CHOOSE($D$43,$G$18,$L$18,$Q$18,$V$18)-CHOOSE($D$43,$G$18,$L$18,$Q$18,$V$18)*$G$43/100)/$H$43,0)))</f>
        <v/>
      </c>
      <c r="S138">
        <f>IF(OR($B$43="",$B$19=""),0,IF($E$43&gt;0,CHOOSE($D$43,$G$19,$L$19,$Q$19,$V$19)*$E$43/100,IFERROR((CHOOSE($D$43,$G$19,$L$19,$Q$19,$V$19)-CHOOSE($D$43,$G$19,$L$19,$Q$19,$V$19)*$G$43/100)/$H$43,0)))</f>
        <v/>
      </c>
      <c r="T138">
        <f>IF(OR($B$43="",$B$20=""),0,IF($E$43&gt;0,CHOOSE($D$43,$G$20,$L$20,$Q$20,$V$20)*$E$43/100,IFERROR((CHOOSE($D$43,$G$20,$L$20,$Q$20,$V$20)-CHOOSE($D$43,$G$20,$L$20,$Q$20,$V$20)*$G$43/100)/$H$43,0)))</f>
        <v/>
      </c>
      <c r="U138">
        <f>IF(OR($B$43="",$B$21=""),0,IF($E$43&gt;0,CHOOSE($D$43,$G$21,$L$21,$Q$21,$V$21)*$E$43/100,IFERROR((CHOOSE($D$43,$G$21,$L$21,$Q$21,$V$21)-CHOOSE($D$43,$G$21,$L$21,$Q$21,$V$21)*$G$43/100)/$H$43,0)))</f>
        <v/>
      </c>
      <c r="V138">
        <f>IF(OR($B$43="",$B$22=""),0,IF($E$43&gt;0,CHOOSE($D$43,$G$22,$L$22,$Q$22,$V$22)*$E$43/100,IFERROR((CHOOSE($D$43,$G$22,$L$22,$Q$22,$V$22)-CHOOSE($D$43,$G$22,$L$22,$Q$22,$V$22)*$G$43/100)/$H$43,0)))</f>
        <v/>
      </c>
    </row>
    <row r="139">
      <c r="A139" t="n">
        <v>6</v>
      </c>
      <c r="B139">
        <f>B44</f>
        <v/>
      </c>
      <c r="C139">
        <f>IF(OR($B$44="",$B$3=""),0,IF($E$44&gt;0,CHOOSE($D$44,$G$3,$L$3,$Q$3,$V$3)*$E$44/100,IFERROR((CHOOSE($D$44,$G$3,$L$3,$Q$3,$V$3)-CHOOSE($D$44,$G$3,$L$3,$Q$3,$V$3)*$G$44/100)/$H$44,0)))</f>
        <v/>
      </c>
      <c r="D139">
        <f>IF(OR($B$44="",$B$4=""),0,IF($E$44&gt;0,CHOOSE($D$44,$G$4,$L$4,$Q$4,$V$4)*$E$44/100,IFERROR((CHOOSE($D$44,$G$4,$L$4,$Q$4,$V$4)-CHOOSE($D$44,$G$4,$L$4,$Q$4,$V$4)*$G$44/100)/$H$44,0)))</f>
        <v/>
      </c>
      <c r="E139">
        <f>IF(OR($B$44="",$B$5=""),0,IF($E$44&gt;0,CHOOSE($D$44,$G$5,$L$5,$Q$5,$V$5)*$E$44/100,IFERROR((CHOOSE($D$44,$G$5,$L$5,$Q$5,$V$5)-CHOOSE($D$44,$G$5,$L$5,$Q$5,$V$5)*$G$44/100)/$H$44,0)))</f>
        <v/>
      </c>
      <c r="F139">
        <f>IF(OR($B$44="",$B$6=""),0,IF($E$44&gt;0,CHOOSE($D$44,$G$6,$L$6,$Q$6,$V$6)*$E$44/100,IFERROR((CHOOSE($D$44,$G$6,$L$6,$Q$6,$V$6)-CHOOSE($D$44,$G$6,$L$6,$Q$6,$V$6)*$G$44/100)/$H$44,0)))</f>
        <v/>
      </c>
      <c r="G139">
        <f>IF(OR($B$44="",$B$7=""),0,IF($E$44&gt;0,CHOOSE($D$44,$G$7,$L$7,$Q$7,$V$7)*$E$44/100,IFERROR((CHOOSE($D$44,$G$7,$L$7,$Q$7,$V$7)-CHOOSE($D$44,$G$7,$L$7,$Q$7,$V$7)*$G$44/100)/$H$44,0)))</f>
        <v/>
      </c>
      <c r="H139">
        <f>IF(OR($B$44="",$B$8=""),0,IF($E$44&gt;0,CHOOSE($D$44,$G$8,$L$8,$Q$8,$V$8)*$E$44/100,IFERROR((CHOOSE($D$44,$G$8,$L$8,$Q$8,$V$8)-CHOOSE($D$44,$G$8,$L$8,$Q$8,$V$8)*$G$44/100)/$H$44,0)))</f>
        <v/>
      </c>
      <c r="I139">
        <f>IF(OR($B$44="",$B$9=""),0,IF($E$44&gt;0,CHOOSE($D$44,$G$9,$L$9,$Q$9,$V$9)*$E$44/100,IFERROR((CHOOSE($D$44,$G$9,$L$9,$Q$9,$V$9)-CHOOSE($D$44,$G$9,$L$9,$Q$9,$V$9)*$G$44/100)/$H$44,0)))</f>
        <v/>
      </c>
      <c r="J139">
        <f>IF(OR($B$44="",$B$10=""),0,IF($E$44&gt;0,CHOOSE($D$44,$G$10,$L$10,$Q$10,$V$10)*$E$44/100,IFERROR((CHOOSE($D$44,$G$10,$L$10,$Q$10,$V$10)-CHOOSE($D$44,$G$10,$L$10,$Q$10,$V$10)*$G$44/100)/$H$44,0)))</f>
        <v/>
      </c>
      <c r="K139">
        <f>IF(OR($B$44="",$B$11=""),0,IF($E$44&gt;0,CHOOSE($D$44,$G$11,$L$11,$Q$11,$V$11)*$E$44/100,IFERROR((CHOOSE($D$44,$G$11,$L$11,$Q$11,$V$11)-CHOOSE($D$44,$G$11,$L$11,$Q$11,$V$11)*$G$44/100)/$H$44,0)))</f>
        <v/>
      </c>
      <c r="L139">
        <f>IF(OR($B$44="",$B$12=""),0,IF($E$44&gt;0,CHOOSE($D$44,$G$12,$L$12,$Q$12,$V$12)*$E$44/100,IFERROR((CHOOSE($D$44,$G$12,$L$12,$Q$12,$V$12)-CHOOSE($D$44,$G$12,$L$12,$Q$12,$V$12)*$G$44/100)/$H$44,0)))</f>
        <v/>
      </c>
      <c r="M139">
        <f>IF(OR($B$44="",$B$13=""),0,IF($E$44&gt;0,CHOOSE($D$44,$G$13,$L$13,$Q$13,$V$13)*$E$44/100,IFERROR((CHOOSE($D$44,$G$13,$L$13,$Q$13,$V$13)-CHOOSE($D$44,$G$13,$L$13,$Q$13,$V$13)*$G$44/100)/$H$44,0)))</f>
        <v/>
      </c>
      <c r="N139">
        <f>IF(OR($B$44="",$B$14=""),0,IF($E$44&gt;0,CHOOSE($D$44,$G$14,$L$14,$Q$14,$V$14)*$E$44/100,IFERROR((CHOOSE($D$44,$G$14,$L$14,$Q$14,$V$14)-CHOOSE($D$44,$G$14,$L$14,$Q$14,$V$14)*$G$44/100)/$H$44,0)))</f>
        <v/>
      </c>
      <c r="O139">
        <f>IF(OR($B$44="",$B$15=""),0,IF($E$44&gt;0,CHOOSE($D$44,$G$15,$L$15,$Q$15,$V$15)*$E$44/100,IFERROR((CHOOSE($D$44,$G$15,$L$15,$Q$15,$V$15)-CHOOSE($D$44,$G$15,$L$15,$Q$15,$V$15)*$G$44/100)/$H$44,0)))</f>
        <v/>
      </c>
      <c r="P139">
        <f>IF(OR($B$44="",$B$16=""),0,IF($E$44&gt;0,CHOOSE($D$44,$G$16,$L$16,$Q$16,$V$16)*$E$44/100,IFERROR((CHOOSE($D$44,$G$16,$L$16,$Q$16,$V$16)-CHOOSE($D$44,$G$16,$L$16,$Q$16,$V$16)*$G$44/100)/$H$44,0)))</f>
        <v/>
      </c>
      <c r="Q139">
        <f>IF(OR($B$44="",$B$17=""),0,IF($E$44&gt;0,CHOOSE($D$44,$G$17,$L$17,$Q$17,$V$17)*$E$44/100,IFERROR((CHOOSE($D$44,$G$17,$L$17,$Q$17,$V$17)-CHOOSE($D$44,$G$17,$L$17,$Q$17,$V$17)*$G$44/100)/$H$44,0)))</f>
        <v/>
      </c>
      <c r="R139">
        <f>IF(OR($B$44="",$B$18=""),0,IF($E$44&gt;0,CHOOSE($D$44,$G$18,$L$18,$Q$18,$V$18)*$E$44/100,IFERROR((CHOOSE($D$44,$G$18,$L$18,$Q$18,$V$18)-CHOOSE($D$44,$G$18,$L$18,$Q$18,$V$18)*$G$44/100)/$H$44,0)))</f>
        <v/>
      </c>
      <c r="S139">
        <f>IF(OR($B$44="",$B$19=""),0,IF($E$44&gt;0,CHOOSE($D$44,$G$19,$L$19,$Q$19,$V$19)*$E$44/100,IFERROR((CHOOSE($D$44,$G$19,$L$19,$Q$19,$V$19)-CHOOSE($D$44,$G$19,$L$19,$Q$19,$V$19)*$G$44/100)/$H$44,0)))</f>
        <v/>
      </c>
      <c r="T139">
        <f>IF(OR($B$44="",$B$20=""),0,IF($E$44&gt;0,CHOOSE($D$44,$G$20,$L$20,$Q$20,$V$20)*$E$44/100,IFERROR((CHOOSE($D$44,$G$20,$L$20,$Q$20,$V$20)-CHOOSE($D$44,$G$20,$L$20,$Q$20,$V$20)*$G$44/100)/$H$44,0)))</f>
        <v/>
      </c>
      <c r="U139">
        <f>IF(OR($B$44="",$B$21=""),0,IF($E$44&gt;0,CHOOSE($D$44,$G$21,$L$21,$Q$21,$V$21)*$E$44/100,IFERROR((CHOOSE($D$44,$G$21,$L$21,$Q$21,$V$21)-CHOOSE($D$44,$G$21,$L$21,$Q$21,$V$21)*$G$44/100)/$H$44,0)))</f>
        <v/>
      </c>
      <c r="V139">
        <f>IF(OR($B$44="",$B$22=""),0,IF($E$44&gt;0,CHOOSE($D$44,$G$22,$L$22,$Q$22,$V$22)*$E$44/100,IFERROR((CHOOSE($D$44,$G$22,$L$22,$Q$22,$V$22)-CHOOSE($D$44,$G$22,$L$22,$Q$22,$V$22)*$G$44/100)/$H$44,0)))</f>
        <v/>
      </c>
    </row>
    <row r="140">
      <c r="A140" t="n">
        <v>7</v>
      </c>
      <c r="B140">
        <f>B45</f>
        <v/>
      </c>
      <c r="C140">
        <f>IF(OR($B$45="",$B$3=""),0,IF($E$45&gt;0,CHOOSE($D$45,$G$3,$L$3,$Q$3,$V$3)*$E$45/100,IFERROR((CHOOSE($D$45,$G$3,$L$3,$Q$3,$V$3)-CHOOSE($D$45,$G$3,$L$3,$Q$3,$V$3)*$G$45/100)/$H$45,0)))</f>
        <v/>
      </c>
      <c r="D140">
        <f>IF(OR($B$45="",$B$4=""),0,IF($E$45&gt;0,CHOOSE($D$45,$G$4,$L$4,$Q$4,$V$4)*$E$45/100,IFERROR((CHOOSE($D$45,$G$4,$L$4,$Q$4,$V$4)-CHOOSE($D$45,$G$4,$L$4,$Q$4,$V$4)*$G$45/100)/$H$45,0)))</f>
        <v/>
      </c>
      <c r="E140">
        <f>IF(OR($B$45="",$B$5=""),0,IF($E$45&gt;0,CHOOSE($D$45,$G$5,$L$5,$Q$5,$V$5)*$E$45/100,IFERROR((CHOOSE($D$45,$G$5,$L$5,$Q$5,$V$5)-CHOOSE($D$45,$G$5,$L$5,$Q$5,$V$5)*$G$45/100)/$H$45,0)))</f>
        <v/>
      </c>
      <c r="F140">
        <f>IF(OR($B$45="",$B$6=""),0,IF($E$45&gt;0,CHOOSE($D$45,$G$6,$L$6,$Q$6,$V$6)*$E$45/100,IFERROR((CHOOSE($D$45,$G$6,$L$6,$Q$6,$V$6)-CHOOSE($D$45,$G$6,$L$6,$Q$6,$V$6)*$G$45/100)/$H$45,0)))</f>
        <v/>
      </c>
      <c r="G140">
        <f>IF(OR($B$45="",$B$7=""),0,IF($E$45&gt;0,CHOOSE($D$45,$G$7,$L$7,$Q$7,$V$7)*$E$45/100,IFERROR((CHOOSE($D$45,$G$7,$L$7,$Q$7,$V$7)-CHOOSE($D$45,$G$7,$L$7,$Q$7,$V$7)*$G$45/100)/$H$45,0)))</f>
        <v/>
      </c>
      <c r="H140">
        <f>IF(OR($B$45="",$B$8=""),0,IF($E$45&gt;0,CHOOSE($D$45,$G$8,$L$8,$Q$8,$V$8)*$E$45/100,IFERROR((CHOOSE($D$45,$G$8,$L$8,$Q$8,$V$8)-CHOOSE($D$45,$G$8,$L$8,$Q$8,$V$8)*$G$45/100)/$H$45,0)))</f>
        <v/>
      </c>
      <c r="I140">
        <f>IF(OR($B$45="",$B$9=""),0,IF($E$45&gt;0,CHOOSE($D$45,$G$9,$L$9,$Q$9,$V$9)*$E$45/100,IFERROR((CHOOSE($D$45,$G$9,$L$9,$Q$9,$V$9)-CHOOSE($D$45,$G$9,$L$9,$Q$9,$V$9)*$G$45/100)/$H$45,0)))</f>
        <v/>
      </c>
      <c r="J140">
        <f>IF(OR($B$45="",$B$10=""),0,IF($E$45&gt;0,CHOOSE($D$45,$G$10,$L$10,$Q$10,$V$10)*$E$45/100,IFERROR((CHOOSE($D$45,$G$10,$L$10,$Q$10,$V$10)-CHOOSE($D$45,$G$10,$L$10,$Q$10,$V$10)*$G$45/100)/$H$45,0)))</f>
        <v/>
      </c>
      <c r="K140">
        <f>IF(OR($B$45="",$B$11=""),0,IF($E$45&gt;0,CHOOSE($D$45,$G$11,$L$11,$Q$11,$V$11)*$E$45/100,IFERROR((CHOOSE($D$45,$G$11,$L$11,$Q$11,$V$11)-CHOOSE($D$45,$G$11,$L$11,$Q$11,$V$11)*$G$45/100)/$H$45,0)))</f>
        <v/>
      </c>
      <c r="L140">
        <f>IF(OR($B$45="",$B$12=""),0,IF($E$45&gt;0,CHOOSE($D$45,$G$12,$L$12,$Q$12,$V$12)*$E$45/100,IFERROR((CHOOSE($D$45,$G$12,$L$12,$Q$12,$V$12)-CHOOSE($D$45,$G$12,$L$12,$Q$12,$V$12)*$G$45/100)/$H$45,0)))</f>
        <v/>
      </c>
      <c r="M140">
        <f>IF(OR($B$45="",$B$13=""),0,IF($E$45&gt;0,CHOOSE($D$45,$G$13,$L$13,$Q$13,$V$13)*$E$45/100,IFERROR((CHOOSE($D$45,$G$13,$L$13,$Q$13,$V$13)-CHOOSE($D$45,$G$13,$L$13,$Q$13,$V$13)*$G$45/100)/$H$45,0)))</f>
        <v/>
      </c>
      <c r="N140">
        <f>IF(OR($B$45="",$B$14=""),0,IF($E$45&gt;0,CHOOSE($D$45,$G$14,$L$14,$Q$14,$V$14)*$E$45/100,IFERROR((CHOOSE($D$45,$G$14,$L$14,$Q$14,$V$14)-CHOOSE($D$45,$G$14,$L$14,$Q$14,$V$14)*$G$45/100)/$H$45,0)))</f>
        <v/>
      </c>
      <c r="O140">
        <f>IF(OR($B$45="",$B$15=""),0,IF($E$45&gt;0,CHOOSE($D$45,$G$15,$L$15,$Q$15,$V$15)*$E$45/100,IFERROR((CHOOSE($D$45,$G$15,$L$15,$Q$15,$V$15)-CHOOSE($D$45,$G$15,$L$15,$Q$15,$V$15)*$G$45/100)/$H$45,0)))</f>
        <v/>
      </c>
      <c r="P140">
        <f>IF(OR($B$45="",$B$16=""),0,IF($E$45&gt;0,CHOOSE($D$45,$G$16,$L$16,$Q$16,$V$16)*$E$45/100,IFERROR((CHOOSE($D$45,$G$16,$L$16,$Q$16,$V$16)-CHOOSE($D$45,$G$16,$L$16,$Q$16,$V$16)*$G$45/100)/$H$45,0)))</f>
        <v/>
      </c>
      <c r="Q140">
        <f>IF(OR($B$45="",$B$17=""),0,IF($E$45&gt;0,CHOOSE($D$45,$G$17,$L$17,$Q$17,$V$17)*$E$45/100,IFERROR((CHOOSE($D$45,$G$17,$L$17,$Q$17,$V$17)-CHOOSE($D$45,$G$17,$L$17,$Q$17,$V$17)*$G$45/100)/$H$45,0)))</f>
        <v/>
      </c>
      <c r="R140">
        <f>IF(OR($B$45="",$B$18=""),0,IF($E$45&gt;0,CHOOSE($D$45,$G$18,$L$18,$Q$18,$V$18)*$E$45/100,IFERROR((CHOOSE($D$45,$G$18,$L$18,$Q$18,$V$18)-CHOOSE($D$45,$G$18,$L$18,$Q$18,$V$18)*$G$45/100)/$H$45,0)))</f>
        <v/>
      </c>
      <c r="S140">
        <f>IF(OR($B$45="",$B$19=""),0,IF($E$45&gt;0,CHOOSE($D$45,$G$19,$L$19,$Q$19,$V$19)*$E$45/100,IFERROR((CHOOSE($D$45,$G$19,$L$19,$Q$19,$V$19)-CHOOSE($D$45,$G$19,$L$19,$Q$19,$V$19)*$G$45/100)/$H$45,0)))</f>
        <v/>
      </c>
      <c r="T140">
        <f>IF(OR($B$45="",$B$20=""),0,IF($E$45&gt;0,CHOOSE($D$45,$G$20,$L$20,$Q$20,$V$20)*$E$45/100,IFERROR((CHOOSE($D$45,$G$20,$L$20,$Q$20,$V$20)-CHOOSE($D$45,$G$20,$L$20,$Q$20,$V$20)*$G$45/100)/$H$45,0)))</f>
        <v/>
      </c>
      <c r="U140">
        <f>IF(OR($B$45="",$B$21=""),0,IF($E$45&gt;0,CHOOSE($D$45,$G$21,$L$21,$Q$21,$V$21)*$E$45/100,IFERROR((CHOOSE($D$45,$G$21,$L$21,$Q$21,$V$21)-CHOOSE($D$45,$G$21,$L$21,$Q$21,$V$21)*$G$45/100)/$H$45,0)))</f>
        <v/>
      </c>
      <c r="V140">
        <f>IF(OR($B$45="",$B$22=""),0,IF($E$45&gt;0,CHOOSE($D$45,$G$22,$L$22,$Q$22,$V$22)*$E$45/100,IFERROR((CHOOSE($D$45,$G$22,$L$22,$Q$22,$V$22)-CHOOSE($D$45,$G$22,$L$22,$Q$22,$V$22)*$G$45/100)/$H$45,0)))</f>
        <v/>
      </c>
    </row>
    <row r="141">
      <c r="A141" t="n">
        <v>8</v>
      </c>
      <c r="B141">
        <f>B46</f>
        <v/>
      </c>
      <c r="C141">
        <f>IF(OR($B$46="",$B$3=""),0,IF($E$46&gt;0,CHOOSE($D$46,$G$3,$L$3,$Q$3,$V$3)*$E$46/100,IFERROR((CHOOSE($D$46,$G$3,$L$3,$Q$3,$V$3)-CHOOSE($D$46,$G$3,$L$3,$Q$3,$V$3)*$G$46/100)/$H$46,0)))</f>
        <v/>
      </c>
      <c r="D141">
        <f>IF(OR($B$46="",$B$4=""),0,IF($E$46&gt;0,CHOOSE($D$46,$G$4,$L$4,$Q$4,$V$4)*$E$46/100,IFERROR((CHOOSE($D$46,$G$4,$L$4,$Q$4,$V$4)-CHOOSE($D$46,$G$4,$L$4,$Q$4,$V$4)*$G$46/100)/$H$46,0)))</f>
        <v/>
      </c>
      <c r="E141">
        <f>IF(OR($B$46="",$B$5=""),0,IF($E$46&gt;0,CHOOSE($D$46,$G$5,$L$5,$Q$5,$V$5)*$E$46/100,IFERROR((CHOOSE($D$46,$G$5,$L$5,$Q$5,$V$5)-CHOOSE($D$46,$G$5,$L$5,$Q$5,$V$5)*$G$46/100)/$H$46,0)))</f>
        <v/>
      </c>
      <c r="F141">
        <f>IF(OR($B$46="",$B$6=""),0,IF($E$46&gt;0,CHOOSE($D$46,$G$6,$L$6,$Q$6,$V$6)*$E$46/100,IFERROR((CHOOSE($D$46,$G$6,$L$6,$Q$6,$V$6)-CHOOSE($D$46,$G$6,$L$6,$Q$6,$V$6)*$G$46/100)/$H$46,0)))</f>
        <v/>
      </c>
      <c r="G141">
        <f>IF(OR($B$46="",$B$7=""),0,IF($E$46&gt;0,CHOOSE($D$46,$G$7,$L$7,$Q$7,$V$7)*$E$46/100,IFERROR((CHOOSE($D$46,$G$7,$L$7,$Q$7,$V$7)-CHOOSE($D$46,$G$7,$L$7,$Q$7,$V$7)*$G$46/100)/$H$46,0)))</f>
        <v/>
      </c>
      <c r="H141">
        <f>IF(OR($B$46="",$B$8=""),0,IF($E$46&gt;0,CHOOSE($D$46,$G$8,$L$8,$Q$8,$V$8)*$E$46/100,IFERROR((CHOOSE($D$46,$G$8,$L$8,$Q$8,$V$8)-CHOOSE($D$46,$G$8,$L$8,$Q$8,$V$8)*$G$46/100)/$H$46,0)))</f>
        <v/>
      </c>
      <c r="I141">
        <f>IF(OR($B$46="",$B$9=""),0,IF($E$46&gt;0,CHOOSE($D$46,$G$9,$L$9,$Q$9,$V$9)*$E$46/100,IFERROR((CHOOSE($D$46,$G$9,$L$9,$Q$9,$V$9)-CHOOSE($D$46,$G$9,$L$9,$Q$9,$V$9)*$G$46/100)/$H$46,0)))</f>
        <v/>
      </c>
      <c r="J141">
        <f>IF(OR($B$46="",$B$10=""),0,IF($E$46&gt;0,CHOOSE($D$46,$G$10,$L$10,$Q$10,$V$10)*$E$46/100,IFERROR((CHOOSE($D$46,$G$10,$L$10,$Q$10,$V$10)-CHOOSE($D$46,$G$10,$L$10,$Q$10,$V$10)*$G$46/100)/$H$46,0)))</f>
        <v/>
      </c>
      <c r="K141">
        <f>IF(OR($B$46="",$B$11=""),0,IF($E$46&gt;0,CHOOSE($D$46,$G$11,$L$11,$Q$11,$V$11)*$E$46/100,IFERROR((CHOOSE($D$46,$G$11,$L$11,$Q$11,$V$11)-CHOOSE($D$46,$G$11,$L$11,$Q$11,$V$11)*$G$46/100)/$H$46,0)))</f>
        <v/>
      </c>
      <c r="L141">
        <f>IF(OR($B$46="",$B$12=""),0,IF($E$46&gt;0,CHOOSE($D$46,$G$12,$L$12,$Q$12,$V$12)*$E$46/100,IFERROR((CHOOSE($D$46,$G$12,$L$12,$Q$12,$V$12)-CHOOSE($D$46,$G$12,$L$12,$Q$12,$V$12)*$G$46/100)/$H$46,0)))</f>
        <v/>
      </c>
      <c r="M141">
        <f>IF(OR($B$46="",$B$13=""),0,IF($E$46&gt;0,CHOOSE($D$46,$G$13,$L$13,$Q$13,$V$13)*$E$46/100,IFERROR((CHOOSE($D$46,$G$13,$L$13,$Q$13,$V$13)-CHOOSE($D$46,$G$13,$L$13,$Q$13,$V$13)*$G$46/100)/$H$46,0)))</f>
        <v/>
      </c>
      <c r="N141">
        <f>IF(OR($B$46="",$B$14=""),0,IF($E$46&gt;0,CHOOSE($D$46,$G$14,$L$14,$Q$14,$V$14)*$E$46/100,IFERROR((CHOOSE($D$46,$G$14,$L$14,$Q$14,$V$14)-CHOOSE($D$46,$G$14,$L$14,$Q$14,$V$14)*$G$46/100)/$H$46,0)))</f>
        <v/>
      </c>
      <c r="O141">
        <f>IF(OR($B$46="",$B$15=""),0,IF($E$46&gt;0,CHOOSE($D$46,$G$15,$L$15,$Q$15,$V$15)*$E$46/100,IFERROR((CHOOSE($D$46,$G$15,$L$15,$Q$15,$V$15)-CHOOSE($D$46,$G$15,$L$15,$Q$15,$V$15)*$G$46/100)/$H$46,0)))</f>
        <v/>
      </c>
      <c r="P141">
        <f>IF(OR($B$46="",$B$16=""),0,IF($E$46&gt;0,CHOOSE($D$46,$G$16,$L$16,$Q$16,$V$16)*$E$46/100,IFERROR((CHOOSE($D$46,$G$16,$L$16,$Q$16,$V$16)-CHOOSE($D$46,$G$16,$L$16,$Q$16,$V$16)*$G$46/100)/$H$46,0)))</f>
        <v/>
      </c>
      <c r="Q141">
        <f>IF(OR($B$46="",$B$17=""),0,IF($E$46&gt;0,CHOOSE($D$46,$G$17,$L$17,$Q$17,$V$17)*$E$46/100,IFERROR((CHOOSE($D$46,$G$17,$L$17,$Q$17,$V$17)-CHOOSE($D$46,$G$17,$L$17,$Q$17,$V$17)*$G$46/100)/$H$46,0)))</f>
        <v/>
      </c>
      <c r="R141">
        <f>IF(OR($B$46="",$B$18=""),0,IF($E$46&gt;0,CHOOSE($D$46,$G$18,$L$18,$Q$18,$V$18)*$E$46/100,IFERROR((CHOOSE($D$46,$G$18,$L$18,$Q$18,$V$18)-CHOOSE($D$46,$G$18,$L$18,$Q$18,$V$18)*$G$46/100)/$H$46,0)))</f>
        <v/>
      </c>
      <c r="S141">
        <f>IF(OR($B$46="",$B$19=""),0,IF($E$46&gt;0,CHOOSE($D$46,$G$19,$L$19,$Q$19,$V$19)*$E$46/100,IFERROR((CHOOSE($D$46,$G$19,$L$19,$Q$19,$V$19)-CHOOSE($D$46,$G$19,$L$19,$Q$19,$V$19)*$G$46/100)/$H$46,0)))</f>
        <v/>
      </c>
      <c r="T141">
        <f>IF(OR($B$46="",$B$20=""),0,IF($E$46&gt;0,CHOOSE($D$46,$G$20,$L$20,$Q$20,$V$20)*$E$46/100,IFERROR((CHOOSE($D$46,$G$20,$L$20,$Q$20,$V$20)-CHOOSE($D$46,$G$20,$L$20,$Q$20,$V$20)*$G$46/100)/$H$46,0)))</f>
        <v/>
      </c>
      <c r="U141">
        <f>IF(OR($B$46="",$B$21=""),0,IF($E$46&gt;0,CHOOSE($D$46,$G$21,$L$21,$Q$21,$V$21)*$E$46/100,IFERROR((CHOOSE($D$46,$G$21,$L$21,$Q$21,$V$21)-CHOOSE($D$46,$G$21,$L$21,$Q$21,$V$21)*$G$46/100)/$H$46,0)))</f>
        <v/>
      </c>
      <c r="V141">
        <f>IF(OR($B$46="",$B$22=""),0,IF($E$46&gt;0,CHOOSE($D$46,$G$22,$L$22,$Q$22,$V$22)*$E$46/100,IFERROR((CHOOSE($D$46,$G$22,$L$22,$Q$22,$V$22)-CHOOSE($D$46,$G$22,$L$22,$Q$22,$V$22)*$G$46/100)/$H$46,0)))</f>
        <v/>
      </c>
    </row>
    <row r="142">
      <c r="A142" t="n">
        <v>9</v>
      </c>
      <c r="B142">
        <f>B47</f>
        <v/>
      </c>
      <c r="C142">
        <f>IF(OR($B$47="",$B$3=""),0,IF($E$47&gt;0,CHOOSE($D$47,$G$3,$L$3,$Q$3,$V$3)*$E$47/100,IFERROR((CHOOSE($D$47,$G$3,$L$3,$Q$3,$V$3)-CHOOSE($D$47,$G$3,$L$3,$Q$3,$V$3)*$G$47/100)/$H$47,0)))</f>
        <v/>
      </c>
      <c r="D142">
        <f>IF(OR($B$47="",$B$4=""),0,IF($E$47&gt;0,CHOOSE($D$47,$G$4,$L$4,$Q$4,$V$4)*$E$47/100,IFERROR((CHOOSE($D$47,$G$4,$L$4,$Q$4,$V$4)-CHOOSE($D$47,$G$4,$L$4,$Q$4,$V$4)*$G$47/100)/$H$47,0)))</f>
        <v/>
      </c>
      <c r="E142">
        <f>IF(OR($B$47="",$B$5=""),0,IF($E$47&gt;0,CHOOSE($D$47,$G$5,$L$5,$Q$5,$V$5)*$E$47/100,IFERROR((CHOOSE($D$47,$G$5,$L$5,$Q$5,$V$5)-CHOOSE($D$47,$G$5,$L$5,$Q$5,$V$5)*$G$47/100)/$H$47,0)))</f>
        <v/>
      </c>
      <c r="F142">
        <f>IF(OR($B$47="",$B$6=""),0,IF($E$47&gt;0,CHOOSE($D$47,$G$6,$L$6,$Q$6,$V$6)*$E$47/100,IFERROR((CHOOSE($D$47,$G$6,$L$6,$Q$6,$V$6)-CHOOSE($D$47,$G$6,$L$6,$Q$6,$V$6)*$G$47/100)/$H$47,0)))</f>
        <v/>
      </c>
      <c r="G142">
        <f>IF(OR($B$47="",$B$7=""),0,IF($E$47&gt;0,CHOOSE($D$47,$G$7,$L$7,$Q$7,$V$7)*$E$47/100,IFERROR((CHOOSE($D$47,$G$7,$L$7,$Q$7,$V$7)-CHOOSE($D$47,$G$7,$L$7,$Q$7,$V$7)*$G$47/100)/$H$47,0)))</f>
        <v/>
      </c>
      <c r="H142">
        <f>IF(OR($B$47="",$B$8=""),0,IF($E$47&gt;0,CHOOSE($D$47,$G$8,$L$8,$Q$8,$V$8)*$E$47/100,IFERROR((CHOOSE($D$47,$G$8,$L$8,$Q$8,$V$8)-CHOOSE($D$47,$G$8,$L$8,$Q$8,$V$8)*$G$47/100)/$H$47,0)))</f>
        <v/>
      </c>
      <c r="I142">
        <f>IF(OR($B$47="",$B$9=""),0,IF($E$47&gt;0,CHOOSE($D$47,$G$9,$L$9,$Q$9,$V$9)*$E$47/100,IFERROR((CHOOSE($D$47,$G$9,$L$9,$Q$9,$V$9)-CHOOSE($D$47,$G$9,$L$9,$Q$9,$V$9)*$G$47/100)/$H$47,0)))</f>
        <v/>
      </c>
      <c r="J142">
        <f>IF(OR($B$47="",$B$10=""),0,IF($E$47&gt;0,CHOOSE($D$47,$G$10,$L$10,$Q$10,$V$10)*$E$47/100,IFERROR((CHOOSE($D$47,$G$10,$L$10,$Q$10,$V$10)-CHOOSE($D$47,$G$10,$L$10,$Q$10,$V$10)*$G$47/100)/$H$47,0)))</f>
        <v/>
      </c>
      <c r="K142">
        <f>IF(OR($B$47="",$B$11=""),0,IF($E$47&gt;0,CHOOSE($D$47,$G$11,$L$11,$Q$11,$V$11)*$E$47/100,IFERROR((CHOOSE($D$47,$G$11,$L$11,$Q$11,$V$11)-CHOOSE($D$47,$G$11,$L$11,$Q$11,$V$11)*$G$47/100)/$H$47,0)))</f>
        <v/>
      </c>
      <c r="L142">
        <f>IF(OR($B$47="",$B$12=""),0,IF($E$47&gt;0,CHOOSE($D$47,$G$12,$L$12,$Q$12,$V$12)*$E$47/100,IFERROR((CHOOSE($D$47,$G$12,$L$12,$Q$12,$V$12)-CHOOSE($D$47,$G$12,$L$12,$Q$12,$V$12)*$G$47/100)/$H$47,0)))</f>
        <v/>
      </c>
      <c r="M142">
        <f>IF(OR($B$47="",$B$13=""),0,IF($E$47&gt;0,CHOOSE($D$47,$G$13,$L$13,$Q$13,$V$13)*$E$47/100,IFERROR((CHOOSE($D$47,$G$13,$L$13,$Q$13,$V$13)-CHOOSE($D$47,$G$13,$L$13,$Q$13,$V$13)*$G$47/100)/$H$47,0)))</f>
        <v/>
      </c>
      <c r="N142">
        <f>IF(OR($B$47="",$B$14=""),0,IF($E$47&gt;0,CHOOSE($D$47,$G$14,$L$14,$Q$14,$V$14)*$E$47/100,IFERROR((CHOOSE($D$47,$G$14,$L$14,$Q$14,$V$14)-CHOOSE($D$47,$G$14,$L$14,$Q$14,$V$14)*$G$47/100)/$H$47,0)))</f>
        <v/>
      </c>
      <c r="O142">
        <f>IF(OR($B$47="",$B$15=""),0,IF($E$47&gt;0,CHOOSE($D$47,$G$15,$L$15,$Q$15,$V$15)*$E$47/100,IFERROR((CHOOSE($D$47,$G$15,$L$15,$Q$15,$V$15)-CHOOSE($D$47,$G$15,$L$15,$Q$15,$V$15)*$G$47/100)/$H$47,0)))</f>
        <v/>
      </c>
      <c r="P142">
        <f>IF(OR($B$47="",$B$16=""),0,IF($E$47&gt;0,CHOOSE($D$47,$G$16,$L$16,$Q$16,$V$16)*$E$47/100,IFERROR((CHOOSE($D$47,$G$16,$L$16,$Q$16,$V$16)-CHOOSE($D$47,$G$16,$L$16,$Q$16,$V$16)*$G$47/100)/$H$47,0)))</f>
        <v/>
      </c>
      <c r="Q142">
        <f>IF(OR($B$47="",$B$17=""),0,IF($E$47&gt;0,CHOOSE($D$47,$G$17,$L$17,$Q$17,$V$17)*$E$47/100,IFERROR((CHOOSE($D$47,$G$17,$L$17,$Q$17,$V$17)-CHOOSE($D$47,$G$17,$L$17,$Q$17,$V$17)*$G$47/100)/$H$47,0)))</f>
        <v/>
      </c>
      <c r="R142">
        <f>IF(OR($B$47="",$B$18=""),0,IF($E$47&gt;0,CHOOSE($D$47,$G$18,$L$18,$Q$18,$V$18)*$E$47/100,IFERROR((CHOOSE($D$47,$G$18,$L$18,$Q$18,$V$18)-CHOOSE($D$47,$G$18,$L$18,$Q$18,$V$18)*$G$47/100)/$H$47,0)))</f>
        <v/>
      </c>
      <c r="S142">
        <f>IF(OR($B$47="",$B$19=""),0,IF($E$47&gt;0,CHOOSE($D$47,$G$19,$L$19,$Q$19,$V$19)*$E$47/100,IFERROR((CHOOSE($D$47,$G$19,$L$19,$Q$19,$V$19)-CHOOSE($D$47,$G$19,$L$19,$Q$19,$V$19)*$G$47/100)/$H$47,0)))</f>
        <v/>
      </c>
      <c r="T142">
        <f>IF(OR($B$47="",$B$20=""),0,IF($E$47&gt;0,CHOOSE($D$47,$G$20,$L$20,$Q$20,$V$20)*$E$47/100,IFERROR((CHOOSE($D$47,$G$20,$L$20,$Q$20,$V$20)-CHOOSE($D$47,$G$20,$L$20,$Q$20,$V$20)*$G$47/100)/$H$47,0)))</f>
        <v/>
      </c>
      <c r="U142">
        <f>IF(OR($B$47="",$B$21=""),0,IF($E$47&gt;0,CHOOSE($D$47,$G$21,$L$21,$Q$21,$V$21)*$E$47/100,IFERROR((CHOOSE($D$47,$G$21,$L$21,$Q$21,$V$21)-CHOOSE($D$47,$G$21,$L$21,$Q$21,$V$21)*$G$47/100)/$H$47,0)))</f>
        <v/>
      </c>
      <c r="V142">
        <f>IF(OR($B$47="",$B$22=""),0,IF($E$47&gt;0,CHOOSE($D$47,$G$22,$L$22,$Q$22,$V$22)*$E$47/100,IFERROR((CHOOSE($D$47,$G$22,$L$22,$Q$22,$V$22)-CHOOSE($D$47,$G$22,$L$22,$Q$22,$V$22)*$G$47/100)/$H$47,0)))</f>
        <v/>
      </c>
    </row>
    <row r="143">
      <c r="A143" t="n">
        <v>10</v>
      </c>
      <c r="B143">
        <f>B48</f>
        <v/>
      </c>
      <c r="C143">
        <f>IF(OR($B$48="",$B$3=""),0,IF($E$48&gt;0,CHOOSE($D$48,$G$3,$L$3,$Q$3,$V$3)*$E$48/100,IFERROR((CHOOSE($D$48,$G$3,$L$3,$Q$3,$V$3)-CHOOSE($D$48,$G$3,$L$3,$Q$3,$V$3)*$G$48/100)/$H$48,0)))</f>
        <v/>
      </c>
      <c r="D143">
        <f>IF(OR($B$48="",$B$4=""),0,IF($E$48&gt;0,CHOOSE($D$48,$G$4,$L$4,$Q$4,$V$4)*$E$48/100,IFERROR((CHOOSE($D$48,$G$4,$L$4,$Q$4,$V$4)-CHOOSE($D$48,$G$4,$L$4,$Q$4,$V$4)*$G$48/100)/$H$48,0)))</f>
        <v/>
      </c>
      <c r="E143">
        <f>IF(OR($B$48="",$B$5=""),0,IF($E$48&gt;0,CHOOSE($D$48,$G$5,$L$5,$Q$5,$V$5)*$E$48/100,IFERROR((CHOOSE($D$48,$G$5,$L$5,$Q$5,$V$5)-CHOOSE($D$48,$G$5,$L$5,$Q$5,$V$5)*$G$48/100)/$H$48,0)))</f>
        <v/>
      </c>
      <c r="F143">
        <f>IF(OR($B$48="",$B$6=""),0,IF($E$48&gt;0,CHOOSE($D$48,$G$6,$L$6,$Q$6,$V$6)*$E$48/100,IFERROR((CHOOSE($D$48,$G$6,$L$6,$Q$6,$V$6)-CHOOSE($D$48,$G$6,$L$6,$Q$6,$V$6)*$G$48/100)/$H$48,0)))</f>
        <v/>
      </c>
      <c r="G143">
        <f>IF(OR($B$48="",$B$7=""),0,IF($E$48&gt;0,CHOOSE($D$48,$G$7,$L$7,$Q$7,$V$7)*$E$48/100,IFERROR((CHOOSE($D$48,$G$7,$L$7,$Q$7,$V$7)-CHOOSE($D$48,$G$7,$L$7,$Q$7,$V$7)*$G$48/100)/$H$48,0)))</f>
        <v/>
      </c>
      <c r="H143">
        <f>IF(OR($B$48="",$B$8=""),0,IF($E$48&gt;0,CHOOSE($D$48,$G$8,$L$8,$Q$8,$V$8)*$E$48/100,IFERROR((CHOOSE($D$48,$G$8,$L$8,$Q$8,$V$8)-CHOOSE($D$48,$G$8,$L$8,$Q$8,$V$8)*$G$48/100)/$H$48,0)))</f>
        <v/>
      </c>
      <c r="I143">
        <f>IF(OR($B$48="",$B$9=""),0,IF($E$48&gt;0,CHOOSE($D$48,$G$9,$L$9,$Q$9,$V$9)*$E$48/100,IFERROR((CHOOSE($D$48,$G$9,$L$9,$Q$9,$V$9)-CHOOSE($D$48,$G$9,$L$9,$Q$9,$V$9)*$G$48/100)/$H$48,0)))</f>
        <v/>
      </c>
      <c r="J143">
        <f>IF(OR($B$48="",$B$10=""),0,IF($E$48&gt;0,CHOOSE($D$48,$G$10,$L$10,$Q$10,$V$10)*$E$48/100,IFERROR((CHOOSE($D$48,$G$10,$L$10,$Q$10,$V$10)-CHOOSE($D$48,$G$10,$L$10,$Q$10,$V$10)*$G$48/100)/$H$48,0)))</f>
        <v/>
      </c>
      <c r="K143">
        <f>IF(OR($B$48="",$B$11=""),0,IF($E$48&gt;0,CHOOSE($D$48,$G$11,$L$11,$Q$11,$V$11)*$E$48/100,IFERROR((CHOOSE($D$48,$G$11,$L$11,$Q$11,$V$11)-CHOOSE($D$48,$G$11,$L$11,$Q$11,$V$11)*$G$48/100)/$H$48,0)))</f>
        <v/>
      </c>
      <c r="L143">
        <f>IF(OR($B$48="",$B$12=""),0,IF($E$48&gt;0,CHOOSE($D$48,$G$12,$L$12,$Q$12,$V$12)*$E$48/100,IFERROR((CHOOSE($D$48,$G$12,$L$12,$Q$12,$V$12)-CHOOSE($D$48,$G$12,$L$12,$Q$12,$V$12)*$G$48/100)/$H$48,0)))</f>
        <v/>
      </c>
      <c r="M143">
        <f>IF(OR($B$48="",$B$13=""),0,IF($E$48&gt;0,CHOOSE($D$48,$G$13,$L$13,$Q$13,$V$13)*$E$48/100,IFERROR((CHOOSE($D$48,$G$13,$L$13,$Q$13,$V$13)-CHOOSE($D$48,$G$13,$L$13,$Q$13,$V$13)*$G$48/100)/$H$48,0)))</f>
        <v/>
      </c>
      <c r="N143">
        <f>IF(OR($B$48="",$B$14=""),0,IF($E$48&gt;0,CHOOSE($D$48,$G$14,$L$14,$Q$14,$V$14)*$E$48/100,IFERROR((CHOOSE($D$48,$G$14,$L$14,$Q$14,$V$14)-CHOOSE($D$48,$G$14,$L$14,$Q$14,$V$14)*$G$48/100)/$H$48,0)))</f>
        <v/>
      </c>
      <c r="O143">
        <f>IF(OR($B$48="",$B$15=""),0,IF($E$48&gt;0,CHOOSE($D$48,$G$15,$L$15,$Q$15,$V$15)*$E$48/100,IFERROR((CHOOSE($D$48,$G$15,$L$15,$Q$15,$V$15)-CHOOSE($D$48,$G$15,$L$15,$Q$15,$V$15)*$G$48/100)/$H$48,0)))</f>
        <v/>
      </c>
      <c r="P143">
        <f>IF(OR($B$48="",$B$16=""),0,IF($E$48&gt;0,CHOOSE($D$48,$G$16,$L$16,$Q$16,$V$16)*$E$48/100,IFERROR((CHOOSE($D$48,$G$16,$L$16,$Q$16,$V$16)-CHOOSE($D$48,$G$16,$L$16,$Q$16,$V$16)*$G$48/100)/$H$48,0)))</f>
        <v/>
      </c>
      <c r="Q143">
        <f>IF(OR($B$48="",$B$17=""),0,IF($E$48&gt;0,CHOOSE($D$48,$G$17,$L$17,$Q$17,$V$17)*$E$48/100,IFERROR((CHOOSE($D$48,$G$17,$L$17,$Q$17,$V$17)-CHOOSE($D$48,$G$17,$L$17,$Q$17,$V$17)*$G$48/100)/$H$48,0)))</f>
        <v/>
      </c>
      <c r="R143">
        <f>IF(OR($B$48="",$B$18=""),0,IF($E$48&gt;0,CHOOSE($D$48,$G$18,$L$18,$Q$18,$V$18)*$E$48/100,IFERROR((CHOOSE($D$48,$G$18,$L$18,$Q$18,$V$18)-CHOOSE($D$48,$G$18,$L$18,$Q$18,$V$18)*$G$48/100)/$H$48,0)))</f>
        <v/>
      </c>
      <c r="S143">
        <f>IF(OR($B$48="",$B$19=""),0,IF($E$48&gt;0,CHOOSE($D$48,$G$19,$L$19,$Q$19,$V$19)*$E$48/100,IFERROR((CHOOSE($D$48,$G$19,$L$19,$Q$19,$V$19)-CHOOSE($D$48,$G$19,$L$19,$Q$19,$V$19)*$G$48/100)/$H$48,0)))</f>
        <v/>
      </c>
      <c r="T143">
        <f>IF(OR($B$48="",$B$20=""),0,IF($E$48&gt;0,CHOOSE($D$48,$G$20,$L$20,$Q$20,$V$20)*$E$48/100,IFERROR((CHOOSE($D$48,$G$20,$L$20,$Q$20,$V$20)-CHOOSE($D$48,$G$20,$L$20,$Q$20,$V$20)*$G$48/100)/$H$48,0)))</f>
        <v/>
      </c>
      <c r="U143">
        <f>IF(OR($B$48="",$B$21=""),0,IF($E$48&gt;0,CHOOSE($D$48,$G$21,$L$21,$Q$21,$V$21)*$E$48/100,IFERROR((CHOOSE($D$48,$G$21,$L$21,$Q$21,$V$21)-CHOOSE($D$48,$G$21,$L$21,$Q$21,$V$21)*$G$48/100)/$H$48,0)))</f>
        <v/>
      </c>
      <c r="V143">
        <f>IF(OR($B$48="",$B$22=""),0,IF($E$48&gt;0,CHOOSE($D$48,$G$22,$L$22,$Q$22,$V$22)*$E$48/100,IFERROR((CHOOSE($D$48,$G$22,$L$22,$Q$22,$V$22)-CHOOSE($D$48,$G$22,$L$22,$Q$22,$V$22)*$G$48/100)/$H$48,0)))</f>
        <v/>
      </c>
    </row>
    <row r="144">
      <c r="A144" t="n">
        <v>11</v>
      </c>
      <c r="B144">
        <f>B49</f>
        <v/>
      </c>
      <c r="C144">
        <f>IF(OR($B$49="",$B$3=""),0,IF($E$49&gt;0,CHOOSE($D$49,$G$3,$L$3,$Q$3,$V$3)*$E$49/100,IFERROR((CHOOSE($D$49,$G$3,$L$3,$Q$3,$V$3)-CHOOSE($D$49,$G$3,$L$3,$Q$3,$V$3)*$G$49/100)/$H$49,0)))</f>
        <v/>
      </c>
      <c r="D144">
        <f>IF(OR($B$49="",$B$4=""),0,IF($E$49&gt;0,CHOOSE($D$49,$G$4,$L$4,$Q$4,$V$4)*$E$49/100,IFERROR((CHOOSE($D$49,$G$4,$L$4,$Q$4,$V$4)-CHOOSE($D$49,$G$4,$L$4,$Q$4,$V$4)*$G$49/100)/$H$49,0)))</f>
        <v/>
      </c>
      <c r="E144">
        <f>IF(OR($B$49="",$B$5=""),0,IF($E$49&gt;0,CHOOSE($D$49,$G$5,$L$5,$Q$5,$V$5)*$E$49/100,IFERROR((CHOOSE($D$49,$G$5,$L$5,$Q$5,$V$5)-CHOOSE($D$49,$G$5,$L$5,$Q$5,$V$5)*$G$49/100)/$H$49,0)))</f>
        <v/>
      </c>
      <c r="F144">
        <f>IF(OR($B$49="",$B$6=""),0,IF($E$49&gt;0,CHOOSE($D$49,$G$6,$L$6,$Q$6,$V$6)*$E$49/100,IFERROR((CHOOSE($D$49,$G$6,$L$6,$Q$6,$V$6)-CHOOSE($D$49,$G$6,$L$6,$Q$6,$V$6)*$G$49/100)/$H$49,0)))</f>
        <v/>
      </c>
      <c r="G144">
        <f>IF(OR($B$49="",$B$7=""),0,IF($E$49&gt;0,CHOOSE($D$49,$G$7,$L$7,$Q$7,$V$7)*$E$49/100,IFERROR((CHOOSE($D$49,$G$7,$L$7,$Q$7,$V$7)-CHOOSE($D$49,$G$7,$L$7,$Q$7,$V$7)*$G$49/100)/$H$49,0)))</f>
        <v/>
      </c>
      <c r="H144">
        <f>IF(OR($B$49="",$B$8=""),0,IF($E$49&gt;0,CHOOSE($D$49,$G$8,$L$8,$Q$8,$V$8)*$E$49/100,IFERROR((CHOOSE($D$49,$G$8,$L$8,$Q$8,$V$8)-CHOOSE($D$49,$G$8,$L$8,$Q$8,$V$8)*$G$49/100)/$H$49,0)))</f>
        <v/>
      </c>
      <c r="I144">
        <f>IF(OR($B$49="",$B$9=""),0,IF($E$49&gt;0,CHOOSE($D$49,$G$9,$L$9,$Q$9,$V$9)*$E$49/100,IFERROR((CHOOSE($D$49,$G$9,$L$9,$Q$9,$V$9)-CHOOSE($D$49,$G$9,$L$9,$Q$9,$V$9)*$G$49/100)/$H$49,0)))</f>
        <v/>
      </c>
      <c r="J144">
        <f>IF(OR($B$49="",$B$10=""),0,IF($E$49&gt;0,CHOOSE($D$49,$G$10,$L$10,$Q$10,$V$10)*$E$49/100,IFERROR((CHOOSE($D$49,$G$10,$L$10,$Q$10,$V$10)-CHOOSE($D$49,$G$10,$L$10,$Q$10,$V$10)*$G$49/100)/$H$49,0)))</f>
        <v/>
      </c>
      <c r="K144">
        <f>IF(OR($B$49="",$B$11=""),0,IF($E$49&gt;0,CHOOSE($D$49,$G$11,$L$11,$Q$11,$V$11)*$E$49/100,IFERROR((CHOOSE($D$49,$G$11,$L$11,$Q$11,$V$11)-CHOOSE($D$49,$G$11,$L$11,$Q$11,$V$11)*$G$49/100)/$H$49,0)))</f>
        <v/>
      </c>
      <c r="L144">
        <f>IF(OR($B$49="",$B$12=""),0,IF($E$49&gt;0,CHOOSE($D$49,$G$12,$L$12,$Q$12,$V$12)*$E$49/100,IFERROR((CHOOSE($D$49,$G$12,$L$12,$Q$12,$V$12)-CHOOSE($D$49,$G$12,$L$12,$Q$12,$V$12)*$G$49/100)/$H$49,0)))</f>
        <v/>
      </c>
      <c r="M144">
        <f>IF(OR($B$49="",$B$13=""),0,IF($E$49&gt;0,CHOOSE($D$49,$G$13,$L$13,$Q$13,$V$13)*$E$49/100,IFERROR((CHOOSE($D$49,$G$13,$L$13,$Q$13,$V$13)-CHOOSE($D$49,$G$13,$L$13,$Q$13,$V$13)*$G$49/100)/$H$49,0)))</f>
        <v/>
      </c>
      <c r="N144">
        <f>IF(OR($B$49="",$B$14=""),0,IF($E$49&gt;0,CHOOSE($D$49,$G$14,$L$14,$Q$14,$V$14)*$E$49/100,IFERROR((CHOOSE($D$49,$G$14,$L$14,$Q$14,$V$14)-CHOOSE($D$49,$G$14,$L$14,$Q$14,$V$14)*$G$49/100)/$H$49,0)))</f>
        <v/>
      </c>
      <c r="O144">
        <f>IF(OR($B$49="",$B$15=""),0,IF($E$49&gt;0,CHOOSE($D$49,$G$15,$L$15,$Q$15,$V$15)*$E$49/100,IFERROR((CHOOSE($D$49,$G$15,$L$15,$Q$15,$V$15)-CHOOSE($D$49,$G$15,$L$15,$Q$15,$V$15)*$G$49/100)/$H$49,0)))</f>
        <v/>
      </c>
      <c r="P144">
        <f>IF(OR($B$49="",$B$16=""),0,IF($E$49&gt;0,CHOOSE($D$49,$G$16,$L$16,$Q$16,$V$16)*$E$49/100,IFERROR((CHOOSE($D$49,$G$16,$L$16,$Q$16,$V$16)-CHOOSE($D$49,$G$16,$L$16,$Q$16,$V$16)*$G$49/100)/$H$49,0)))</f>
        <v/>
      </c>
      <c r="Q144">
        <f>IF(OR($B$49="",$B$17=""),0,IF($E$49&gt;0,CHOOSE($D$49,$G$17,$L$17,$Q$17,$V$17)*$E$49/100,IFERROR((CHOOSE($D$49,$G$17,$L$17,$Q$17,$V$17)-CHOOSE($D$49,$G$17,$L$17,$Q$17,$V$17)*$G$49/100)/$H$49,0)))</f>
        <v/>
      </c>
      <c r="R144">
        <f>IF(OR($B$49="",$B$18=""),0,IF($E$49&gt;0,CHOOSE($D$49,$G$18,$L$18,$Q$18,$V$18)*$E$49/100,IFERROR((CHOOSE($D$49,$G$18,$L$18,$Q$18,$V$18)-CHOOSE($D$49,$G$18,$L$18,$Q$18,$V$18)*$G$49/100)/$H$49,0)))</f>
        <v/>
      </c>
      <c r="S144">
        <f>IF(OR($B$49="",$B$19=""),0,IF($E$49&gt;0,CHOOSE($D$49,$G$19,$L$19,$Q$19,$V$19)*$E$49/100,IFERROR((CHOOSE($D$49,$G$19,$L$19,$Q$19,$V$19)-CHOOSE($D$49,$G$19,$L$19,$Q$19,$V$19)*$G$49/100)/$H$49,0)))</f>
        <v/>
      </c>
      <c r="T144">
        <f>IF(OR($B$49="",$B$20=""),0,IF($E$49&gt;0,CHOOSE($D$49,$G$20,$L$20,$Q$20,$V$20)*$E$49/100,IFERROR((CHOOSE($D$49,$G$20,$L$20,$Q$20,$V$20)-CHOOSE($D$49,$G$20,$L$20,$Q$20,$V$20)*$G$49/100)/$H$49,0)))</f>
        <v/>
      </c>
      <c r="U144">
        <f>IF(OR($B$49="",$B$21=""),0,IF($E$49&gt;0,CHOOSE($D$49,$G$21,$L$21,$Q$21,$V$21)*$E$49/100,IFERROR((CHOOSE($D$49,$G$21,$L$21,$Q$21,$V$21)-CHOOSE($D$49,$G$21,$L$21,$Q$21,$V$21)*$G$49/100)/$H$49,0)))</f>
        <v/>
      </c>
      <c r="V144">
        <f>IF(OR($B$49="",$B$22=""),0,IF($E$49&gt;0,CHOOSE($D$49,$G$22,$L$22,$Q$22,$V$22)*$E$49/100,IFERROR((CHOOSE($D$49,$G$22,$L$22,$Q$22,$V$22)-CHOOSE($D$49,$G$22,$L$22,$Q$22,$V$22)*$G$49/100)/$H$49,0)))</f>
        <v/>
      </c>
    </row>
    <row r="145">
      <c r="A145" t="n">
        <v>12</v>
      </c>
      <c r="B145">
        <f>B50</f>
        <v/>
      </c>
      <c r="C145">
        <f>IF(OR($B$50="",$B$3=""),0,IF($E$50&gt;0,CHOOSE($D$50,$G$3,$L$3,$Q$3,$V$3)*$E$50/100,IFERROR((CHOOSE($D$50,$G$3,$L$3,$Q$3,$V$3)-CHOOSE($D$50,$G$3,$L$3,$Q$3,$V$3)*$G$50/100)/$H$50,0)))</f>
        <v/>
      </c>
      <c r="D145">
        <f>IF(OR($B$50="",$B$4=""),0,IF($E$50&gt;0,CHOOSE($D$50,$G$4,$L$4,$Q$4,$V$4)*$E$50/100,IFERROR((CHOOSE($D$50,$G$4,$L$4,$Q$4,$V$4)-CHOOSE($D$50,$G$4,$L$4,$Q$4,$V$4)*$G$50/100)/$H$50,0)))</f>
        <v/>
      </c>
      <c r="E145">
        <f>IF(OR($B$50="",$B$5=""),0,IF($E$50&gt;0,CHOOSE($D$50,$G$5,$L$5,$Q$5,$V$5)*$E$50/100,IFERROR((CHOOSE($D$50,$G$5,$L$5,$Q$5,$V$5)-CHOOSE($D$50,$G$5,$L$5,$Q$5,$V$5)*$G$50/100)/$H$50,0)))</f>
        <v/>
      </c>
      <c r="F145">
        <f>IF(OR($B$50="",$B$6=""),0,IF($E$50&gt;0,CHOOSE($D$50,$G$6,$L$6,$Q$6,$V$6)*$E$50/100,IFERROR((CHOOSE($D$50,$G$6,$L$6,$Q$6,$V$6)-CHOOSE($D$50,$G$6,$L$6,$Q$6,$V$6)*$G$50/100)/$H$50,0)))</f>
        <v/>
      </c>
      <c r="G145">
        <f>IF(OR($B$50="",$B$7=""),0,IF($E$50&gt;0,CHOOSE($D$50,$G$7,$L$7,$Q$7,$V$7)*$E$50/100,IFERROR((CHOOSE($D$50,$G$7,$L$7,$Q$7,$V$7)-CHOOSE($D$50,$G$7,$L$7,$Q$7,$V$7)*$G$50/100)/$H$50,0)))</f>
        <v/>
      </c>
      <c r="H145">
        <f>IF(OR($B$50="",$B$8=""),0,IF($E$50&gt;0,CHOOSE($D$50,$G$8,$L$8,$Q$8,$V$8)*$E$50/100,IFERROR((CHOOSE($D$50,$G$8,$L$8,$Q$8,$V$8)-CHOOSE($D$50,$G$8,$L$8,$Q$8,$V$8)*$G$50/100)/$H$50,0)))</f>
        <v/>
      </c>
      <c r="I145">
        <f>IF(OR($B$50="",$B$9=""),0,IF($E$50&gt;0,CHOOSE($D$50,$G$9,$L$9,$Q$9,$V$9)*$E$50/100,IFERROR((CHOOSE($D$50,$G$9,$L$9,$Q$9,$V$9)-CHOOSE($D$50,$G$9,$L$9,$Q$9,$V$9)*$G$50/100)/$H$50,0)))</f>
        <v/>
      </c>
      <c r="J145">
        <f>IF(OR($B$50="",$B$10=""),0,IF($E$50&gt;0,CHOOSE($D$50,$G$10,$L$10,$Q$10,$V$10)*$E$50/100,IFERROR((CHOOSE($D$50,$G$10,$L$10,$Q$10,$V$10)-CHOOSE($D$50,$G$10,$L$10,$Q$10,$V$10)*$G$50/100)/$H$50,0)))</f>
        <v/>
      </c>
      <c r="K145">
        <f>IF(OR($B$50="",$B$11=""),0,IF($E$50&gt;0,CHOOSE($D$50,$G$11,$L$11,$Q$11,$V$11)*$E$50/100,IFERROR((CHOOSE($D$50,$G$11,$L$11,$Q$11,$V$11)-CHOOSE($D$50,$G$11,$L$11,$Q$11,$V$11)*$G$50/100)/$H$50,0)))</f>
        <v/>
      </c>
      <c r="L145">
        <f>IF(OR($B$50="",$B$12=""),0,IF($E$50&gt;0,CHOOSE($D$50,$G$12,$L$12,$Q$12,$V$12)*$E$50/100,IFERROR((CHOOSE($D$50,$G$12,$L$12,$Q$12,$V$12)-CHOOSE($D$50,$G$12,$L$12,$Q$12,$V$12)*$G$50/100)/$H$50,0)))</f>
        <v/>
      </c>
      <c r="M145">
        <f>IF(OR($B$50="",$B$13=""),0,IF($E$50&gt;0,CHOOSE($D$50,$G$13,$L$13,$Q$13,$V$13)*$E$50/100,IFERROR((CHOOSE($D$50,$G$13,$L$13,$Q$13,$V$13)-CHOOSE($D$50,$G$13,$L$13,$Q$13,$V$13)*$G$50/100)/$H$50,0)))</f>
        <v/>
      </c>
      <c r="N145">
        <f>IF(OR($B$50="",$B$14=""),0,IF($E$50&gt;0,CHOOSE($D$50,$G$14,$L$14,$Q$14,$V$14)*$E$50/100,IFERROR((CHOOSE($D$50,$G$14,$L$14,$Q$14,$V$14)-CHOOSE($D$50,$G$14,$L$14,$Q$14,$V$14)*$G$50/100)/$H$50,0)))</f>
        <v/>
      </c>
      <c r="O145">
        <f>IF(OR($B$50="",$B$15=""),0,IF($E$50&gt;0,CHOOSE($D$50,$G$15,$L$15,$Q$15,$V$15)*$E$50/100,IFERROR((CHOOSE($D$50,$G$15,$L$15,$Q$15,$V$15)-CHOOSE($D$50,$G$15,$L$15,$Q$15,$V$15)*$G$50/100)/$H$50,0)))</f>
        <v/>
      </c>
      <c r="P145">
        <f>IF(OR($B$50="",$B$16=""),0,IF($E$50&gt;0,CHOOSE($D$50,$G$16,$L$16,$Q$16,$V$16)*$E$50/100,IFERROR((CHOOSE($D$50,$G$16,$L$16,$Q$16,$V$16)-CHOOSE($D$50,$G$16,$L$16,$Q$16,$V$16)*$G$50/100)/$H$50,0)))</f>
        <v/>
      </c>
      <c r="Q145">
        <f>IF(OR($B$50="",$B$17=""),0,IF($E$50&gt;0,CHOOSE($D$50,$G$17,$L$17,$Q$17,$V$17)*$E$50/100,IFERROR((CHOOSE($D$50,$G$17,$L$17,$Q$17,$V$17)-CHOOSE($D$50,$G$17,$L$17,$Q$17,$V$17)*$G$50/100)/$H$50,0)))</f>
        <v/>
      </c>
      <c r="R145">
        <f>IF(OR($B$50="",$B$18=""),0,IF($E$50&gt;0,CHOOSE($D$50,$G$18,$L$18,$Q$18,$V$18)*$E$50/100,IFERROR((CHOOSE($D$50,$G$18,$L$18,$Q$18,$V$18)-CHOOSE($D$50,$G$18,$L$18,$Q$18,$V$18)*$G$50/100)/$H$50,0)))</f>
        <v/>
      </c>
      <c r="S145">
        <f>IF(OR($B$50="",$B$19=""),0,IF($E$50&gt;0,CHOOSE($D$50,$G$19,$L$19,$Q$19,$V$19)*$E$50/100,IFERROR((CHOOSE($D$50,$G$19,$L$19,$Q$19,$V$19)-CHOOSE($D$50,$G$19,$L$19,$Q$19,$V$19)*$G$50/100)/$H$50,0)))</f>
        <v/>
      </c>
      <c r="T145">
        <f>IF(OR($B$50="",$B$20=""),0,IF($E$50&gt;0,CHOOSE($D$50,$G$20,$L$20,$Q$20,$V$20)*$E$50/100,IFERROR((CHOOSE($D$50,$G$20,$L$20,$Q$20,$V$20)-CHOOSE($D$50,$G$20,$L$20,$Q$20,$V$20)*$G$50/100)/$H$50,0)))</f>
        <v/>
      </c>
      <c r="U145">
        <f>IF(OR($B$50="",$B$21=""),0,IF($E$50&gt;0,CHOOSE($D$50,$G$21,$L$21,$Q$21,$V$21)*$E$50/100,IFERROR((CHOOSE($D$50,$G$21,$L$21,$Q$21,$V$21)-CHOOSE($D$50,$G$21,$L$21,$Q$21,$V$21)*$G$50/100)/$H$50,0)))</f>
        <v/>
      </c>
      <c r="V145">
        <f>IF(OR($B$50="",$B$22=""),0,IF($E$50&gt;0,CHOOSE($D$50,$G$22,$L$22,$Q$22,$V$22)*$E$50/100,IFERROR((CHOOSE($D$50,$G$22,$L$22,$Q$22,$V$22)-CHOOSE($D$50,$G$22,$L$22,$Q$22,$V$22)*$G$50/100)/$H$50,0)))</f>
        <v/>
      </c>
    </row>
    <row r="146">
      <c r="A146" t="n">
        <v>13</v>
      </c>
      <c r="B146">
        <f>B51</f>
        <v/>
      </c>
      <c r="C146">
        <f>IF(OR($B$51="",$B$3=""),0,IF($E$51&gt;0,CHOOSE($D$51,$G$3,$L$3,$Q$3,$V$3)*$E$51/100,IFERROR((CHOOSE($D$51,$G$3,$L$3,$Q$3,$V$3)-CHOOSE($D$51,$G$3,$L$3,$Q$3,$V$3)*$G$51/100)/$H$51,0)))</f>
        <v/>
      </c>
      <c r="D146">
        <f>IF(OR($B$51="",$B$4=""),0,IF($E$51&gt;0,CHOOSE($D$51,$G$4,$L$4,$Q$4,$V$4)*$E$51/100,IFERROR((CHOOSE($D$51,$G$4,$L$4,$Q$4,$V$4)-CHOOSE($D$51,$G$4,$L$4,$Q$4,$V$4)*$G$51/100)/$H$51,0)))</f>
        <v/>
      </c>
      <c r="E146">
        <f>IF(OR($B$51="",$B$5=""),0,IF($E$51&gt;0,CHOOSE($D$51,$G$5,$L$5,$Q$5,$V$5)*$E$51/100,IFERROR((CHOOSE($D$51,$G$5,$L$5,$Q$5,$V$5)-CHOOSE($D$51,$G$5,$L$5,$Q$5,$V$5)*$G$51/100)/$H$51,0)))</f>
        <v/>
      </c>
      <c r="F146">
        <f>IF(OR($B$51="",$B$6=""),0,IF($E$51&gt;0,CHOOSE($D$51,$G$6,$L$6,$Q$6,$V$6)*$E$51/100,IFERROR((CHOOSE($D$51,$G$6,$L$6,$Q$6,$V$6)-CHOOSE($D$51,$G$6,$L$6,$Q$6,$V$6)*$G$51/100)/$H$51,0)))</f>
        <v/>
      </c>
      <c r="G146">
        <f>IF(OR($B$51="",$B$7=""),0,IF($E$51&gt;0,CHOOSE($D$51,$G$7,$L$7,$Q$7,$V$7)*$E$51/100,IFERROR((CHOOSE($D$51,$G$7,$L$7,$Q$7,$V$7)-CHOOSE($D$51,$G$7,$L$7,$Q$7,$V$7)*$G$51/100)/$H$51,0)))</f>
        <v/>
      </c>
      <c r="H146">
        <f>IF(OR($B$51="",$B$8=""),0,IF($E$51&gt;0,CHOOSE($D$51,$G$8,$L$8,$Q$8,$V$8)*$E$51/100,IFERROR((CHOOSE($D$51,$G$8,$L$8,$Q$8,$V$8)-CHOOSE($D$51,$G$8,$L$8,$Q$8,$V$8)*$G$51/100)/$H$51,0)))</f>
        <v/>
      </c>
      <c r="I146">
        <f>IF(OR($B$51="",$B$9=""),0,IF($E$51&gt;0,CHOOSE($D$51,$G$9,$L$9,$Q$9,$V$9)*$E$51/100,IFERROR((CHOOSE($D$51,$G$9,$L$9,$Q$9,$V$9)-CHOOSE($D$51,$G$9,$L$9,$Q$9,$V$9)*$G$51/100)/$H$51,0)))</f>
        <v/>
      </c>
      <c r="J146">
        <f>IF(OR($B$51="",$B$10=""),0,IF($E$51&gt;0,CHOOSE($D$51,$G$10,$L$10,$Q$10,$V$10)*$E$51/100,IFERROR((CHOOSE($D$51,$G$10,$L$10,$Q$10,$V$10)-CHOOSE($D$51,$G$10,$L$10,$Q$10,$V$10)*$G$51/100)/$H$51,0)))</f>
        <v/>
      </c>
      <c r="K146">
        <f>IF(OR($B$51="",$B$11=""),0,IF($E$51&gt;0,CHOOSE($D$51,$G$11,$L$11,$Q$11,$V$11)*$E$51/100,IFERROR((CHOOSE($D$51,$G$11,$L$11,$Q$11,$V$11)-CHOOSE($D$51,$G$11,$L$11,$Q$11,$V$11)*$G$51/100)/$H$51,0)))</f>
        <v/>
      </c>
      <c r="L146">
        <f>IF(OR($B$51="",$B$12=""),0,IF($E$51&gt;0,CHOOSE($D$51,$G$12,$L$12,$Q$12,$V$12)*$E$51/100,IFERROR((CHOOSE($D$51,$G$12,$L$12,$Q$12,$V$12)-CHOOSE($D$51,$G$12,$L$12,$Q$12,$V$12)*$G$51/100)/$H$51,0)))</f>
        <v/>
      </c>
      <c r="M146">
        <f>IF(OR($B$51="",$B$13=""),0,IF($E$51&gt;0,CHOOSE($D$51,$G$13,$L$13,$Q$13,$V$13)*$E$51/100,IFERROR((CHOOSE($D$51,$G$13,$L$13,$Q$13,$V$13)-CHOOSE($D$51,$G$13,$L$13,$Q$13,$V$13)*$G$51/100)/$H$51,0)))</f>
        <v/>
      </c>
      <c r="N146">
        <f>IF(OR($B$51="",$B$14=""),0,IF($E$51&gt;0,CHOOSE($D$51,$G$14,$L$14,$Q$14,$V$14)*$E$51/100,IFERROR((CHOOSE($D$51,$G$14,$L$14,$Q$14,$V$14)-CHOOSE($D$51,$G$14,$L$14,$Q$14,$V$14)*$G$51/100)/$H$51,0)))</f>
        <v/>
      </c>
      <c r="O146">
        <f>IF(OR($B$51="",$B$15=""),0,IF($E$51&gt;0,CHOOSE($D$51,$G$15,$L$15,$Q$15,$V$15)*$E$51/100,IFERROR((CHOOSE($D$51,$G$15,$L$15,$Q$15,$V$15)-CHOOSE($D$51,$G$15,$L$15,$Q$15,$V$15)*$G$51/100)/$H$51,0)))</f>
        <v/>
      </c>
      <c r="P146">
        <f>IF(OR($B$51="",$B$16=""),0,IF($E$51&gt;0,CHOOSE($D$51,$G$16,$L$16,$Q$16,$V$16)*$E$51/100,IFERROR((CHOOSE($D$51,$G$16,$L$16,$Q$16,$V$16)-CHOOSE($D$51,$G$16,$L$16,$Q$16,$V$16)*$G$51/100)/$H$51,0)))</f>
        <v/>
      </c>
      <c r="Q146">
        <f>IF(OR($B$51="",$B$17=""),0,IF($E$51&gt;0,CHOOSE($D$51,$G$17,$L$17,$Q$17,$V$17)*$E$51/100,IFERROR((CHOOSE($D$51,$G$17,$L$17,$Q$17,$V$17)-CHOOSE($D$51,$G$17,$L$17,$Q$17,$V$17)*$G$51/100)/$H$51,0)))</f>
        <v/>
      </c>
      <c r="R146">
        <f>IF(OR($B$51="",$B$18=""),0,IF($E$51&gt;0,CHOOSE($D$51,$G$18,$L$18,$Q$18,$V$18)*$E$51/100,IFERROR((CHOOSE($D$51,$G$18,$L$18,$Q$18,$V$18)-CHOOSE($D$51,$G$18,$L$18,$Q$18,$V$18)*$G$51/100)/$H$51,0)))</f>
        <v/>
      </c>
      <c r="S146">
        <f>IF(OR($B$51="",$B$19=""),0,IF($E$51&gt;0,CHOOSE($D$51,$G$19,$L$19,$Q$19,$V$19)*$E$51/100,IFERROR((CHOOSE($D$51,$G$19,$L$19,$Q$19,$V$19)-CHOOSE($D$51,$G$19,$L$19,$Q$19,$V$19)*$G$51/100)/$H$51,0)))</f>
        <v/>
      </c>
      <c r="T146">
        <f>IF(OR($B$51="",$B$20=""),0,IF($E$51&gt;0,CHOOSE($D$51,$G$20,$L$20,$Q$20,$V$20)*$E$51/100,IFERROR((CHOOSE($D$51,$G$20,$L$20,$Q$20,$V$20)-CHOOSE($D$51,$G$20,$L$20,$Q$20,$V$20)*$G$51/100)/$H$51,0)))</f>
        <v/>
      </c>
      <c r="U146">
        <f>IF(OR($B$51="",$B$21=""),0,IF($E$51&gt;0,CHOOSE($D$51,$G$21,$L$21,$Q$21,$V$21)*$E$51/100,IFERROR((CHOOSE($D$51,$G$21,$L$21,$Q$21,$V$21)-CHOOSE($D$51,$G$21,$L$21,$Q$21,$V$21)*$G$51/100)/$H$51,0)))</f>
        <v/>
      </c>
      <c r="V146">
        <f>IF(OR($B$51="",$B$22=""),0,IF($E$51&gt;0,CHOOSE($D$51,$G$22,$L$22,$Q$22,$V$22)*$E$51/100,IFERROR((CHOOSE($D$51,$G$22,$L$22,$Q$22,$V$22)-CHOOSE($D$51,$G$22,$L$22,$Q$22,$V$22)*$G$51/100)/$H$51,0)))</f>
        <v/>
      </c>
    </row>
    <row r="147">
      <c r="A147" t="n">
        <v>14</v>
      </c>
      <c r="B147">
        <f>B52</f>
        <v/>
      </c>
      <c r="C147">
        <f>IF(OR($B$52="",$B$3=""),0,IF($E$52&gt;0,CHOOSE($D$52,$G$3,$L$3,$Q$3,$V$3)*$E$52/100,IFERROR((CHOOSE($D$52,$G$3,$L$3,$Q$3,$V$3)-CHOOSE($D$52,$G$3,$L$3,$Q$3,$V$3)*$G$52/100)/$H$52,0)))</f>
        <v/>
      </c>
      <c r="D147">
        <f>IF(OR($B$52="",$B$4=""),0,IF($E$52&gt;0,CHOOSE($D$52,$G$4,$L$4,$Q$4,$V$4)*$E$52/100,IFERROR((CHOOSE($D$52,$G$4,$L$4,$Q$4,$V$4)-CHOOSE($D$52,$G$4,$L$4,$Q$4,$V$4)*$G$52/100)/$H$52,0)))</f>
        <v/>
      </c>
      <c r="E147">
        <f>IF(OR($B$52="",$B$5=""),0,IF($E$52&gt;0,CHOOSE($D$52,$G$5,$L$5,$Q$5,$V$5)*$E$52/100,IFERROR((CHOOSE($D$52,$G$5,$L$5,$Q$5,$V$5)-CHOOSE($D$52,$G$5,$L$5,$Q$5,$V$5)*$G$52/100)/$H$52,0)))</f>
        <v/>
      </c>
      <c r="F147">
        <f>IF(OR($B$52="",$B$6=""),0,IF($E$52&gt;0,CHOOSE($D$52,$G$6,$L$6,$Q$6,$V$6)*$E$52/100,IFERROR((CHOOSE($D$52,$G$6,$L$6,$Q$6,$V$6)-CHOOSE($D$52,$G$6,$L$6,$Q$6,$V$6)*$G$52/100)/$H$52,0)))</f>
        <v/>
      </c>
      <c r="G147">
        <f>IF(OR($B$52="",$B$7=""),0,IF($E$52&gt;0,CHOOSE($D$52,$G$7,$L$7,$Q$7,$V$7)*$E$52/100,IFERROR((CHOOSE($D$52,$G$7,$L$7,$Q$7,$V$7)-CHOOSE($D$52,$G$7,$L$7,$Q$7,$V$7)*$G$52/100)/$H$52,0)))</f>
        <v/>
      </c>
      <c r="H147">
        <f>IF(OR($B$52="",$B$8=""),0,IF($E$52&gt;0,CHOOSE($D$52,$G$8,$L$8,$Q$8,$V$8)*$E$52/100,IFERROR((CHOOSE($D$52,$G$8,$L$8,$Q$8,$V$8)-CHOOSE($D$52,$G$8,$L$8,$Q$8,$V$8)*$G$52/100)/$H$52,0)))</f>
        <v/>
      </c>
      <c r="I147">
        <f>IF(OR($B$52="",$B$9=""),0,IF($E$52&gt;0,CHOOSE($D$52,$G$9,$L$9,$Q$9,$V$9)*$E$52/100,IFERROR((CHOOSE($D$52,$G$9,$L$9,$Q$9,$V$9)-CHOOSE($D$52,$G$9,$L$9,$Q$9,$V$9)*$G$52/100)/$H$52,0)))</f>
        <v/>
      </c>
      <c r="J147">
        <f>IF(OR($B$52="",$B$10=""),0,IF($E$52&gt;0,CHOOSE($D$52,$G$10,$L$10,$Q$10,$V$10)*$E$52/100,IFERROR((CHOOSE($D$52,$G$10,$L$10,$Q$10,$V$10)-CHOOSE($D$52,$G$10,$L$10,$Q$10,$V$10)*$G$52/100)/$H$52,0)))</f>
        <v/>
      </c>
      <c r="K147">
        <f>IF(OR($B$52="",$B$11=""),0,IF($E$52&gt;0,CHOOSE($D$52,$G$11,$L$11,$Q$11,$V$11)*$E$52/100,IFERROR((CHOOSE($D$52,$G$11,$L$11,$Q$11,$V$11)-CHOOSE($D$52,$G$11,$L$11,$Q$11,$V$11)*$G$52/100)/$H$52,0)))</f>
        <v/>
      </c>
      <c r="L147">
        <f>IF(OR($B$52="",$B$12=""),0,IF($E$52&gt;0,CHOOSE($D$52,$G$12,$L$12,$Q$12,$V$12)*$E$52/100,IFERROR((CHOOSE($D$52,$G$12,$L$12,$Q$12,$V$12)-CHOOSE($D$52,$G$12,$L$12,$Q$12,$V$12)*$G$52/100)/$H$52,0)))</f>
        <v/>
      </c>
      <c r="M147">
        <f>IF(OR($B$52="",$B$13=""),0,IF($E$52&gt;0,CHOOSE($D$52,$G$13,$L$13,$Q$13,$V$13)*$E$52/100,IFERROR((CHOOSE($D$52,$G$13,$L$13,$Q$13,$V$13)-CHOOSE($D$52,$G$13,$L$13,$Q$13,$V$13)*$G$52/100)/$H$52,0)))</f>
        <v/>
      </c>
      <c r="N147">
        <f>IF(OR($B$52="",$B$14=""),0,IF($E$52&gt;0,CHOOSE($D$52,$G$14,$L$14,$Q$14,$V$14)*$E$52/100,IFERROR((CHOOSE($D$52,$G$14,$L$14,$Q$14,$V$14)-CHOOSE($D$52,$G$14,$L$14,$Q$14,$V$14)*$G$52/100)/$H$52,0)))</f>
        <v/>
      </c>
      <c r="O147">
        <f>IF(OR($B$52="",$B$15=""),0,IF($E$52&gt;0,CHOOSE($D$52,$G$15,$L$15,$Q$15,$V$15)*$E$52/100,IFERROR((CHOOSE($D$52,$G$15,$L$15,$Q$15,$V$15)-CHOOSE($D$52,$G$15,$L$15,$Q$15,$V$15)*$G$52/100)/$H$52,0)))</f>
        <v/>
      </c>
      <c r="P147">
        <f>IF(OR($B$52="",$B$16=""),0,IF($E$52&gt;0,CHOOSE($D$52,$G$16,$L$16,$Q$16,$V$16)*$E$52/100,IFERROR((CHOOSE($D$52,$G$16,$L$16,$Q$16,$V$16)-CHOOSE($D$52,$G$16,$L$16,$Q$16,$V$16)*$G$52/100)/$H$52,0)))</f>
        <v/>
      </c>
      <c r="Q147">
        <f>IF(OR($B$52="",$B$17=""),0,IF($E$52&gt;0,CHOOSE($D$52,$G$17,$L$17,$Q$17,$V$17)*$E$52/100,IFERROR((CHOOSE($D$52,$G$17,$L$17,$Q$17,$V$17)-CHOOSE($D$52,$G$17,$L$17,$Q$17,$V$17)*$G$52/100)/$H$52,0)))</f>
        <v/>
      </c>
      <c r="R147">
        <f>IF(OR($B$52="",$B$18=""),0,IF($E$52&gt;0,CHOOSE($D$52,$G$18,$L$18,$Q$18,$V$18)*$E$52/100,IFERROR((CHOOSE($D$52,$G$18,$L$18,$Q$18,$V$18)-CHOOSE($D$52,$G$18,$L$18,$Q$18,$V$18)*$G$52/100)/$H$52,0)))</f>
        <v/>
      </c>
      <c r="S147">
        <f>IF(OR($B$52="",$B$19=""),0,IF($E$52&gt;0,CHOOSE($D$52,$G$19,$L$19,$Q$19,$V$19)*$E$52/100,IFERROR((CHOOSE($D$52,$G$19,$L$19,$Q$19,$V$19)-CHOOSE($D$52,$G$19,$L$19,$Q$19,$V$19)*$G$52/100)/$H$52,0)))</f>
        <v/>
      </c>
      <c r="T147">
        <f>IF(OR($B$52="",$B$20=""),0,IF($E$52&gt;0,CHOOSE($D$52,$G$20,$L$20,$Q$20,$V$20)*$E$52/100,IFERROR((CHOOSE($D$52,$G$20,$L$20,$Q$20,$V$20)-CHOOSE($D$52,$G$20,$L$20,$Q$20,$V$20)*$G$52/100)/$H$52,0)))</f>
        <v/>
      </c>
      <c r="U147">
        <f>IF(OR($B$52="",$B$21=""),0,IF($E$52&gt;0,CHOOSE($D$52,$G$21,$L$21,$Q$21,$V$21)*$E$52/100,IFERROR((CHOOSE($D$52,$G$21,$L$21,$Q$21,$V$21)-CHOOSE($D$52,$G$21,$L$21,$Q$21,$V$21)*$G$52/100)/$H$52,0)))</f>
        <v/>
      </c>
      <c r="V147">
        <f>IF(OR($B$52="",$B$22=""),0,IF($E$52&gt;0,CHOOSE($D$52,$G$22,$L$22,$Q$22,$V$22)*$E$52/100,IFERROR((CHOOSE($D$52,$G$22,$L$22,$Q$22,$V$22)-CHOOSE($D$52,$G$22,$L$22,$Q$22,$V$22)*$G$52/100)/$H$52,0)))</f>
        <v/>
      </c>
    </row>
    <row r="148">
      <c r="A148" t="n">
        <v>15</v>
      </c>
      <c r="B148">
        <f>B53</f>
        <v/>
      </c>
      <c r="C148">
        <f>IF(OR($B$53="",$B$3=""),0,IF($E$53&gt;0,CHOOSE($D$53,$G$3,$L$3,$Q$3,$V$3)*$E$53/100,IFERROR((CHOOSE($D$53,$G$3,$L$3,$Q$3,$V$3)-CHOOSE($D$53,$G$3,$L$3,$Q$3,$V$3)*$G$53/100)/$H$53,0)))</f>
        <v/>
      </c>
      <c r="D148">
        <f>IF(OR($B$53="",$B$4=""),0,IF($E$53&gt;0,CHOOSE($D$53,$G$4,$L$4,$Q$4,$V$4)*$E$53/100,IFERROR((CHOOSE($D$53,$G$4,$L$4,$Q$4,$V$4)-CHOOSE($D$53,$G$4,$L$4,$Q$4,$V$4)*$G$53/100)/$H$53,0)))</f>
        <v/>
      </c>
      <c r="E148">
        <f>IF(OR($B$53="",$B$5=""),0,IF($E$53&gt;0,CHOOSE($D$53,$G$5,$L$5,$Q$5,$V$5)*$E$53/100,IFERROR((CHOOSE($D$53,$G$5,$L$5,$Q$5,$V$5)-CHOOSE($D$53,$G$5,$L$5,$Q$5,$V$5)*$G$53/100)/$H$53,0)))</f>
        <v/>
      </c>
      <c r="F148">
        <f>IF(OR($B$53="",$B$6=""),0,IF($E$53&gt;0,CHOOSE($D$53,$G$6,$L$6,$Q$6,$V$6)*$E$53/100,IFERROR((CHOOSE($D$53,$G$6,$L$6,$Q$6,$V$6)-CHOOSE($D$53,$G$6,$L$6,$Q$6,$V$6)*$G$53/100)/$H$53,0)))</f>
        <v/>
      </c>
      <c r="G148">
        <f>IF(OR($B$53="",$B$7=""),0,IF($E$53&gt;0,CHOOSE($D$53,$G$7,$L$7,$Q$7,$V$7)*$E$53/100,IFERROR((CHOOSE($D$53,$G$7,$L$7,$Q$7,$V$7)-CHOOSE($D$53,$G$7,$L$7,$Q$7,$V$7)*$G$53/100)/$H$53,0)))</f>
        <v/>
      </c>
      <c r="H148">
        <f>IF(OR($B$53="",$B$8=""),0,IF($E$53&gt;0,CHOOSE($D$53,$G$8,$L$8,$Q$8,$V$8)*$E$53/100,IFERROR((CHOOSE($D$53,$G$8,$L$8,$Q$8,$V$8)-CHOOSE($D$53,$G$8,$L$8,$Q$8,$V$8)*$G$53/100)/$H$53,0)))</f>
        <v/>
      </c>
      <c r="I148">
        <f>IF(OR($B$53="",$B$9=""),0,IF($E$53&gt;0,CHOOSE($D$53,$G$9,$L$9,$Q$9,$V$9)*$E$53/100,IFERROR((CHOOSE($D$53,$G$9,$L$9,$Q$9,$V$9)-CHOOSE($D$53,$G$9,$L$9,$Q$9,$V$9)*$G$53/100)/$H$53,0)))</f>
        <v/>
      </c>
      <c r="J148">
        <f>IF(OR($B$53="",$B$10=""),0,IF($E$53&gt;0,CHOOSE($D$53,$G$10,$L$10,$Q$10,$V$10)*$E$53/100,IFERROR((CHOOSE($D$53,$G$10,$L$10,$Q$10,$V$10)-CHOOSE($D$53,$G$10,$L$10,$Q$10,$V$10)*$G$53/100)/$H$53,0)))</f>
        <v/>
      </c>
      <c r="K148">
        <f>IF(OR($B$53="",$B$11=""),0,IF($E$53&gt;0,CHOOSE($D$53,$G$11,$L$11,$Q$11,$V$11)*$E$53/100,IFERROR((CHOOSE($D$53,$G$11,$L$11,$Q$11,$V$11)-CHOOSE($D$53,$G$11,$L$11,$Q$11,$V$11)*$G$53/100)/$H$53,0)))</f>
        <v/>
      </c>
      <c r="L148">
        <f>IF(OR($B$53="",$B$12=""),0,IF($E$53&gt;0,CHOOSE($D$53,$G$12,$L$12,$Q$12,$V$12)*$E$53/100,IFERROR((CHOOSE($D$53,$G$12,$L$12,$Q$12,$V$12)-CHOOSE($D$53,$G$12,$L$12,$Q$12,$V$12)*$G$53/100)/$H$53,0)))</f>
        <v/>
      </c>
      <c r="M148">
        <f>IF(OR($B$53="",$B$13=""),0,IF($E$53&gt;0,CHOOSE($D$53,$G$13,$L$13,$Q$13,$V$13)*$E$53/100,IFERROR((CHOOSE($D$53,$G$13,$L$13,$Q$13,$V$13)-CHOOSE($D$53,$G$13,$L$13,$Q$13,$V$13)*$G$53/100)/$H$53,0)))</f>
        <v/>
      </c>
      <c r="N148">
        <f>IF(OR($B$53="",$B$14=""),0,IF($E$53&gt;0,CHOOSE($D$53,$G$14,$L$14,$Q$14,$V$14)*$E$53/100,IFERROR((CHOOSE($D$53,$G$14,$L$14,$Q$14,$V$14)-CHOOSE($D$53,$G$14,$L$14,$Q$14,$V$14)*$G$53/100)/$H$53,0)))</f>
        <v/>
      </c>
      <c r="O148">
        <f>IF(OR($B$53="",$B$15=""),0,IF($E$53&gt;0,CHOOSE($D$53,$G$15,$L$15,$Q$15,$V$15)*$E$53/100,IFERROR((CHOOSE($D$53,$G$15,$L$15,$Q$15,$V$15)-CHOOSE($D$53,$G$15,$L$15,$Q$15,$V$15)*$G$53/100)/$H$53,0)))</f>
        <v/>
      </c>
      <c r="P148">
        <f>IF(OR($B$53="",$B$16=""),0,IF($E$53&gt;0,CHOOSE($D$53,$G$16,$L$16,$Q$16,$V$16)*$E$53/100,IFERROR((CHOOSE($D$53,$G$16,$L$16,$Q$16,$V$16)-CHOOSE($D$53,$G$16,$L$16,$Q$16,$V$16)*$G$53/100)/$H$53,0)))</f>
        <v/>
      </c>
      <c r="Q148">
        <f>IF(OR($B$53="",$B$17=""),0,IF($E$53&gt;0,CHOOSE($D$53,$G$17,$L$17,$Q$17,$V$17)*$E$53/100,IFERROR((CHOOSE($D$53,$G$17,$L$17,$Q$17,$V$17)-CHOOSE($D$53,$G$17,$L$17,$Q$17,$V$17)*$G$53/100)/$H$53,0)))</f>
        <v/>
      </c>
      <c r="R148">
        <f>IF(OR($B$53="",$B$18=""),0,IF($E$53&gt;0,CHOOSE($D$53,$G$18,$L$18,$Q$18,$V$18)*$E$53/100,IFERROR((CHOOSE($D$53,$G$18,$L$18,$Q$18,$V$18)-CHOOSE($D$53,$G$18,$L$18,$Q$18,$V$18)*$G$53/100)/$H$53,0)))</f>
        <v/>
      </c>
      <c r="S148">
        <f>IF(OR($B$53="",$B$19=""),0,IF($E$53&gt;0,CHOOSE($D$53,$G$19,$L$19,$Q$19,$V$19)*$E$53/100,IFERROR((CHOOSE($D$53,$G$19,$L$19,$Q$19,$V$19)-CHOOSE($D$53,$G$19,$L$19,$Q$19,$V$19)*$G$53/100)/$H$53,0)))</f>
        <v/>
      </c>
      <c r="T148">
        <f>IF(OR($B$53="",$B$20=""),0,IF($E$53&gt;0,CHOOSE($D$53,$G$20,$L$20,$Q$20,$V$20)*$E$53/100,IFERROR((CHOOSE($D$53,$G$20,$L$20,$Q$20,$V$20)-CHOOSE($D$53,$G$20,$L$20,$Q$20,$V$20)*$G$53/100)/$H$53,0)))</f>
        <v/>
      </c>
      <c r="U148">
        <f>IF(OR($B$53="",$B$21=""),0,IF($E$53&gt;0,CHOOSE($D$53,$G$21,$L$21,$Q$21,$V$21)*$E$53/100,IFERROR((CHOOSE($D$53,$G$21,$L$21,$Q$21,$V$21)-CHOOSE($D$53,$G$21,$L$21,$Q$21,$V$21)*$G$53/100)/$H$53,0)))</f>
        <v/>
      </c>
      <c r="V148">
        <f>IF(OR($B$53="",$B$22=""),0,IF($E$53&gt;0,CHOOSE($D$53,$G$22,$L$22,$Q$22,$V$22)*$E$53/100,IFERROR((CHOOSE($D$53,$G$22,$L$22,$Q$22,$V$22)-CHOOSE($D$53,$G$22,$L$22,$Q$22,$V$22)*$G$53/100)/$H$53,0)))</f>
        <v/>
      </c>
    </row>
    <row r="149">
      <c r="A149" t="n">
        <v>16</v>
      </c>
      <c r="B149">
        <f>B54</f>
        <v/>
      </c>
      <c r="C149">
        <f>IF(OR($B$54="",$B$3=""),0,IF($E$54&gt;0,CHOOSE($D$54,$G$3,$L$3,$Q$3,$V$3)*$E$54/100,IFERROR((CHOOSE($D$54,$G$3,$L$3,$Q$3,$V$3)-CHOOSE($D$54,$G$3,$L$3,$Q$3,$V$3)*$G$54/100)/$H$54,0)))</f>
        <v/>
      </c>
      <c r="D149">
        <f>IF(OR($B$54="",$B$4=""),0,IF($E$54&gt;0,CHOOSE($D$54,$G$4,$L$4,$Q$4,$V$4)*$E$54/100,IFERROR((CHOOSE($D$54,$G$4,$L$4,$Q$4,$V$4)-CHOOSE($D$54,$G$4,$L$4,$Q$4,$V$4)*$G$54/100)/$H$54,0)))</f>
        <v/>
      </c>
      <c r="E149">
        <f>IF(OR($B$54="",$B$5=""),0,IF($E$54&gt;0,CHOOSE($D$54,$G$5,$L$5,$Q$5,$V$5)*$E$54/100,IFERROR((CHOOSE($D$54,$G$5,$L$5,$Q$5,$V$5)-CHOOSE($D$54,$G$5,$L$5,$Q$5,$V$5)*$G$54/100)/$H$54,0)))</f>
        <v/>
      </c>
      <c r="F149">
        <f>IF(OR($B$54="",$B$6=""),0,IF($E$54&gt;0,CHOOSE($D$54,$G$6,$L$6,$Q$6,$V$6)*$E$54/100,IFERROR((CHOOSE($D$54,$G$6,$L$6,$Q$6,$V$6)-CHOOSE($D$54,$G$6,$L$6,$Q$6,$V$6)*$G$54/100)/$H$54,0)))</f>
        <v/>
      </c>
      <c r="G149">
        <f>IF(OR($B$54="",$B$7=""),0,IF($E$54&gt;0,CHOOSE($D$54,$G$7,$L$7,$Q$7,$V$7)*$E$54/100,IFERROR((CHOOSE($D$54,$G$7,$L$7,$Q$7,$V$7)-CHOOSE($D$54,$G$7,$L$7,$Q$7,$V$7)*$G$54/100)/$H$54,0)))</f>
        <v/>
      </c>
      <c r="H149">
        <f>IF(OR($B$54="",$B$8=""),0,IF($E$54&gt;0,CHOOSE($D$54,$G$8,$L$8,$Q$8,$V$8)*$E$54/100,IFERROR((CHOOSE($D$54,$G$8,$L$8,$Q$8,$V$8)-CHOOSE($D$54,$G$8,$L$8,$Q$8,$V$8)*$G$54/100)/$H$54,0)))</f>
        <v/>
      </c>
      <c r="I149">
        <f>IF(OR($B$54="",$B$9=""),0,IF($E$54&gt;0,CHOOSE($D$54,$G$9,$L$9,$Q$9,$V$9)*$E$54/100,IFERROR((CHOOSE($D$54,$G$9,$L$9,$Q$9,$V$9)-CHOOSE($D$54,$G$9,$L$9,$Q$9,$V$9)*$G$54/100)/$H$54,0)))</f>
        <v/>
      </c>
      <c r="J149">
        <f>IF(OR($B$54="",$B$10=""),0,IF($E$54&gt;0,CHOOSE($D$54,$G$10,$L$10,$Q$10,$V$10)*$E$54/100,IFERROR((CHOOSE($D$54,$G$10,$L$10,$Q$10,$V$10)-CHOOSE($D$54,$G$10,$L$10,$Q$10,$V$10)*$G$54/100)/$H$54,0)))</f>
        <v/>
      </c>
      <c r="K149">
        <f>IF(OR($B$54="",$B$11=""),0,IF($E$54&gt;0,CHOOSE($D$54,$G$11,$L$11,$Q$11,$V$11)*$E$54/100,IFERROR((CHOOSE($D$54,$G$11,$L$11,$Q$11,$V$11)-CHOOSE($D$54,$G$11,$L$11,$Q$11,$V$11)*$G$54/100)/$H$54,0)))</f>
        <v/>
      </c>
      <c r="L149">
        <f>IF(OR($B$54="",$B$12=""),0,IF($E$54&gt;0,CHOOSE($D$54,$G$12,$L$12,$Q$12,$V$12)*$E$54/100,IFERROR((CHOOSE($D$54,$G$12,$L$12,$Q$12,$V$12)-CHOOSE($D$54,$G$12,$L$12,$Q$12,$V$12)*$G$54/100)/$H$54,0)))</f>
        <v/>
      </c>
      <c r="M149">
        <f>IF(OR($B$54="",$B$13=""),0,IF($E$54&gt;0,CHOOSE($D$54,$G$13,$L$13,$Q$13,$V$13)*$E$54/100,IFERROR((CHOOSE($D$54,$G$13,$L$13,$Q$13,$V$13)-CHOOSE($D$54,$G$13,$L$13,$Q$13,$V$13)*$G$54/100)/$H$54,0)))</f>
        <v/>
      </c>
      <c r="N149">
        <f>IF(OR($B$54="",$B$14=""),0,IF($E$54&gt;0,CHOOSE($D$54,$G$14,$L$14,$Q$14,$V$14)*$E$54/100,IFERROR((CHOOSE($D$54,$G$14,$L$14,$Q$14,$V$14)-CHOOSE($D$54,$G$14,$L$14,$Q$14,$V$14)*$G$54/100)/$H$54,0)))</f>
        <v/>
      </c>
      <c r="O149">
        <f>IF(OR($B$54="",$B$15=""),0,IF($E$54&gt;0,CHOOSE($D$54,$G$15,$L$15,$Q$15,$V$15)*$E$54/100,IFERROR((CHOOSE($D$54,$G$15,$L$15,$Q$15,$V$15)-CHOOSE($D$54,$G$15,$L$15,$Q$15,$V$15)*$G$54/100)/$H$54,0)))</f>
        <v/>
      </c>
      <c r="P149">
        <f>IF(OR($B$54="",$B$16=""),0,IF($E$54&gt;0,CHOOSE($D$54,$G$16,$L$16,$Q$16,$V$16)*$E$54/100,IFERROR((CHOOSE($D$54,$G$16,$L$16,$Q$16,$V$16)-CHOOSE($D$54,$G$16,$L$16,$Q$16,$V$16)*$G$54/100)/$H$54,0)))</f>
        <v/>
      </c>
      <c r="Q149">
        <f>IF(OR($B$54="",$B$17=""),0,IF($E$54&gt;0,CHOOSE($D$54,$G$17,$L$17,$Q$17,$V$17)*$E$54/100,IFERROR((CHOOSE($D$54,$G$17,$L$17,$Q$17,$V$17)-CHOOSE($D$54,$G$17,$L$17,$Q$17,$V$17)*$G$54/100)/$H$54,0)))</f>
        <v/>
      </c>
      <c r="R149">
        <f>IF(OR($B$54="",$B$18=""),0,IF($E$54&gt;0,CHOOSE($D$54,$G$18,$L$18,$Q$18,$V$18)*$E$54/100,IFERROR((CHOOSE($D$54,$G$18,$L$18,$Q$18,$V$18)-CHOOSE($D$54,$G$18,$L$18,$Q$18,$V$18)*$G$54/100)/$H$54,0)))</f>
        <v/>
      </c>
      <c r="S149">
        <f>IF(OR($B$54="",$B$19=""),0,IF($E$54&gt;0,CHOOSE($D$54,$G$19,$L$19,$Q$19,$V$19)*$E$54/100,IFERROR((CHOOSE($D$54,$G$19,$L$19,$Q$19,$V$19)-CHOOSE($D$54,$G$19,$L$19,$Q$19,$V$19)*$G$54/100)/$H$54,0)))</f>
        <v/>
      </c>
      <c r="T149">
        <f>IF(OR($B$54="",$B$20=""),0,IF($E$54&gt;0,CHOOSE($D$54,$G$20,$L$20,$Q$20,$V$20)*$E$54/100,IFERROR((CHOOSE($D$54,$G$20,$L$20,$Q$20,$V$20)-CHOOSE($D$54,$G$20,$L$20,$Q$20,$V$20)*$G$54/100)/$H$54,0)))</f>
        <v/>
      </c>
      <c r="U149">
        <f>IF(OR($B$54="",$B$21=""),0,IF($E$54&gt;0,CHOOSE($D$54,$G$21,$L$21,$Q$21,$V$21)*$E$54/100,IFERROR((CHOOSE($D$54,$G$21,$L$21,$Q$21,$V$21)-CHOOSE($D$54,$G$21,$L$21,$Q$21,$V$21)*$G$54/100)/$H$54,0)))</f>
        <v/>
      </c>
      <c r="V149">
        <f>IF(OR($B$54="",$B$22=""),0,IF($E$54&gt;0,CHOOSE($D$54,$G$22,$L$22,$Q$22,$V$22)*$E$54/100,IFERROR((CHOOSE($D$54,$G$22,$L$22,$Q$22,$V$22)-CHOOSE($D$54,$G$22,$L$22,$Q$22,$V$22)*$G$54/100)/$H$54,0)))</f>
        <v/>
      </c>
    </row>
    <row r="150">
      <c r="A150" t="n">
        <v>17</v>
      </c>
      <c r="B150">
        <f>B55</f>
        <v/>
      </c>
      <c r="C150">
        <f>IF(OR($B$55="",$B$3=""),0,IF($E$55&gt;0,CHOOSE($D$55,$G$3,$L$3,$Q$3,$V$3)*$E$55/100,IFERROR((CHOOSE($D$55,$G$3,$L$3,$Q$3,$V$3)-CHOOSE($D$55,$G$3,$L$3,$Q$3,$V$3)*$G$55/100)/$H$55,0)))</f>
        <v/>
      </c>
      <c r="D150">
        <f>IF(OR($B$55="",$B$4=""),0,IF($E$55&gt;0,CHOOSE($D$55,$G$4,$L$4,$Q$4,$V$4)*$E$55/100,IFERROR((CHOOSE($D$55,$G$4,$L$4,$Q$4,$V$4)-CHOOSE($D$55,$G$4,$L$4,$Q$4,$V$4)*$G$55/100)/$H$55,0)))</f>
        <v/>
      </c>
      <c r="E150">
        <f>IF(OR($B$55="",$B$5=""),0,IF($E$55&gt;0,CHOOSE($D$55,$G$5,$L$5,$Q$5,$V$5)*$E$55/100,IFERROR((CHOOSE($D$55,$G$5,$L$5,$Q$5,$V$5)-CHOOSE($D$55,$G$5,$L$5,$Q$5,$V$5)*$G$55/100)/$H$55,0)))</f>
        <v/>
      </c>
      <c r="F150">
        <f>IF(OR($B$55="",$B$6=""),0,IF($E$55&gt;0,CHOOSE($D$55,$G$6,$L$6,$Q$6,$V$6)*$E$55/100,IFERROR((CHOOSE($D$55,$G$6,$L$6,$Q$6,$V$6)-CHOOSE($D$55,$G$6,$L$6,$Q$6,$V$6)*$G$55/100)/$H$55,0)))</f>
        <v/>
      </c>
      <c r="G150">
        <f>IF(OR($B$55="",$B$7=""),0,IF($E$55&gt;0,CHOOSE($D$55,$G$7,$L$7,$Q$7,$V$7)*$E$55/100,IFERROR((CHOOSE($D$55,$G$7,$L$7,$Q$7,$V$7)-CHOOSE($D$55,$G$7,$L$7,$Q$7,$V$7)*$G$55/100)/$H$55,0)))</f>
        <v/>
      </c>
      <c r="H150">
        <f>IF(OR($B$55="",$B$8=""),0,IF($E$55&gt;0,CHOOSE($D$55,$G$8,$L$8,$Q$8,$V$8)*$E$55/100,IFERROR((CHOOSE($D$55,$G$8,$L$8,$Q$8,$V$8)-CHOOSE($D$55,$G$8,$L$8,$Q$8,$V$8)*$G$55/100)/$H$55,0)))</f>
        <v/>
      </c>
      <c r="I150">
        <f>IF(OR($B$55="",$B$9=""),0,IF($E$55&gt;0,CHOOSE($D$55,$G$9,$L$9,$Q$9,$V$9)*$E$55/100,IFERROR((CHOOSE($D$55,$G$9,$L$9,$Q$9,$V$9)-CHOOSE($D$55,$G$9,$L$9,$Q$9,$V$9)*$G$55/100)/$H$55,0)))</f>
        <v/>
      </c>
      <c r="J150">
        <f>IF(OR($B$55="",$B$10=""),0,IF($E$55&gt;0,CHOOSE($D$55,$G$10,$L$10,$Q$10,$V$10)*$E$55/100,IFERROR((CHOOSE($D$55,$G$10,$L$10,$Q$10,$V$10)-CHOOSE($D$55,$G$10,$L$10,$Q$10,$V$10)*$G$55/100)/$H$55,0)))</f>
        <v/>
      </c>
      <c r="K150">
        <f>IF(OR($B$55="",$B$11=""),0,IF($E$55&gt;0,CHOOSE($D$55,$G$11,$L$11,$Q$11,$V$11)*$E$55/100,IFERROR((CHOOSE($D$55,$G$11,$L$11,$Q$11,$V$11)-CHOOSE($D$55,$G$11,$L$11,$Q$11,$V$11)*$G$55/100)/$H$55,0)))</f>
        <v/>
      </c>
      <c r="L150">
        <f>IF(OR($B$55="",$B$12=""),0,IF($E$55&gt;0,CHOOSE($D$55,$G$12,$L$12,$Q$12,$V$12)*$E$55/100,IFERROR((CHOOSE($D$55,$G$12,$L$12,$Q$12,$V$12)-CHOOSE($D$55,$G$12,$L$12,$Q$12,$V$12)*$G$55/100)/$H$55,0)))</f>
        <v/>
      </c>
      <c r="M150">
        <f>IF(OR($B$55="",$B$13=""),0,IF($E$55&gt;0,CHOOSE($D$55,$G$13,$L$13,$Q$13,$V$13)*$E$55/100,IFERROR((CHOOSE($D$55,$G$13,$L$13,$Q$13,$V$13)-CHOOSE($D$55,$G$13,$L$13,$Q$13,$V$13)*$G$55/100)/$H$55,0)))</f>
        <v/>
      </c>
      <c r="N150">
        <f>IF(OR($B$55="",$B$14=""),0,IF($E$55&gt;0,CHOOSE($D$55,$G$14,$L$14,$Q$14,$V$14)*$E$55/100,IFERROR((CHOOSE($D$55,$G$14,$L$14,$Q$14,$V$14)-CHOOSE($D$55,$G$14,$L$14,$Q$14,$V$14)*$G$55/100)/$H$55,0)))</f>
        <v/>
      </c>
      <c r="O150">
        <f>IF(OR($B$55="",$B$15=""),0,IF($E$55&gt;0,CHOOSE($D$55,$G$15,$L$15,$Q$15,$V$15)*$E$55/100,IFERROR((CHOOSE($D$55,$G$15,$L$15,$Q$15,$V$15)-CHOOSE($D$55,$G$15,$L$15,$Q$15,$V$15)*$G$55/100)/$H$55,0)))</f>
        <v/>
      </c>
      <c r="P150">
        <f>IF(OR($B$55="",$B$16=""),0,IF($E$55&gt;0,CHOOSE($D$55,$G$16,$L$16,$Q$16,$V$16)*$E$55/100,IFERROR((CHOOSE($D$55,$G$16,$L$16,$Q$16,$V$16)-CHOOSE($D$55,$G$16,$L$16,$Q$16,$V$16)*$G$55/100)/$H$55,0)))</f>
        <v/>
      </c>
      <c r="Q150">
        <f>IF(OR($B$55="",$B$17=""),0,IF($E$55&gt;0,CHOOSE($D$55,$G$17,$L$17,$Q$17,$V$17)*$E$55/100,IFERROR((CHOOSE($D$55,$G$17,$L$17,$Q$17,$V$17)-CHOOSE($D$55,$G$17,$L$17,$Q$17,$V$17)*$G$55/100)/$H$55,0)))</f>
        <v/>
      </c>
      <c r="R150">
        <f>IF(OR($B$55="",$B$18=""),0,IF($E$55&gt;0,CHOOSE($D$55,$G$18,$L$18,$Q$18,$V$18)*$E$55/100,IFERROR((CHOOSE($D$55,$G$18,$L$18,$Q$18,$V$18)-CHOOSE($D$55,$G$18,$L$18,$Q$18,$V$18)*$G$55/100)/$H$55,0)))</f>
        <v/>
      </c>
      <c r="S150">
        <f>IF(OR($B$55="",$B$19=""),0,IF($E$55&gt;0,CHOOSE($D$55,$G$19,$L$19,$Q$19,$V$19)*$E$55/100,IFERROR((CHOOSE($D$55,$G$19,$L$19,$Q$19,$V$19)-CHOOSE($D$55,$G$19,$L$19,$Q$19,$V$19)*$G$55/100)/$H$55,0)))</f>
        <v/>
      </c>
      <c r="T150">
        <f>IF(OR($B$55="",$B$20=""),0,IF($E$55&gt;0,CHOOSE($D$55,$G$20,$L$20,$Q$20,$V$20)*$E$55/100,IFERROR((CHOOSE($D$55,$G$20,$L$20,$Q$20,$V$20)-CHOOSE($D$55,$G$20,$L$20,$Q$20,$V$20)*$G$55/100)/$H$55,0)))</f>
        <v/>
      </c>
      <c r="U150">
        <f>IF(OR($B$55="",$B$21=""),0,IF($E$55&gt;0,CHOOSE($D$55,$G$21,$L$21,$Q$21,$V$21)*$E$55/100,IFERROR((CHOOSE($D$55,$G$21,$L$21,$Q$21,$V$21)-CHOOSE($D$55,$G$21,$L$21,$Q$21,$V$21)*$G$55/100)/$H$55,0)))</f>
        <v/>
      </c>
      <c r="V150">
        <f>IF(OR($B$55="",$B$22=""),0,IF($E$55&gt;0,CHOOSE($D$55,$G$22,$L$22,$Q$22,$V$22)*$E$55/100,IFERROR((CHOOSE($D$55,$G$22,$L$22,$Q$22,$V$22)-CHOOSE($D$55,$G$22,$L$22,$Q$22,$V$22)*$G$55/100)/$H$55,0)))</f>
        <v/>
      </c>
    </row>
    <row r="151">
      <c r="A151" t="n">
        <v>18</v>
      </c>
      <c r="B151">
        <f>B56</f>
        <v/>
      </c>
      <c r="C151">
        <f>IF(OR($B$56="",$B$3=""),0,IF($E$56&gt;0,CHOOSE($D$56,$G$3,$L$3,$Q$3,$V$3)*$E$56/100,IFERROR((CHOOSE($D$56,$G$3,$L$3,$Q$3,$V$3)-CHOOSE($D$56,$G$3,$L$3,$Q$3,$V$3)*$G$56/100)/$H$56,0)))</f>
        <v/>
      </c>
      <c r="D151">
        <f>IF(OR($B$56="",$B$4=""),0,IF($E$56&gt;0,CHOOSE($D$56,$G$4,$L$4,$Q$4,$V$4)*$E$56/100,IFERROR((CHOOSE($D$56,$G$4,$L$4,$Q$4,$V$4)-CHOOSE($D$56,$G$4,$L$4,$Q$4,$V$4)*$G$56/100)/$H$56,0)))</f>
        <v/>
      </c>
      <c r="E151">
        <f>IF(OR($B$56="",$B$5=""),0,IF($E$56&gt;0,CHOOSE($D$56,$G$5,$L$5,$Q$5,$V$5)*$E$56/100,IFERROR((CHOOSE($D$56,$G$5,$L$5,$Q$5,$V$5)-CHOOSE($D$56,$G$5,$L$5,$Q$5,$V$5)*$G$56/100)/$H$56,0)))</f>
        <v/>
      </c>
      <c r="F151">
        <f>IF(OR($B$56="",$B$6=""),0,IF($E$56&gt;0,CHOOSE($D$56,$G$6,$L$6,$Q$6,$V$6)*$E$56/100,IFERROR((CHOOSE($D$56,$G$6,$L$6,$Q$6,$V$6)-CHOOSE($D$56,$G$6,$L$6,$Q$6,$V$6)*$G$56/100)/$H$56,0)))</f>
        <v/>
      </c>
      <c r="G151">
        <f>IF(OR($B$56="",$B$7=""),0,IF($E$56&gt;0,CHOOSE($D$56,$G$7,$L$7,$Q$7,$V$7)*$E$56/100,IFERROR((CHOOSE($D$56,$G$7,$L$7,$Q$7,$V$7)-CHOOSE($D$56,$G$7,$L$7,$Q$7,$V$7)*$G$56/100)/$H$56,0)))</f>
        <v/>
      </c>
      <c r="H151">
        <f>IF(OR($B$56="",$B$8=""),0,IF($E$56&gt;0,CHOOSE($D$56,$G$8,$L$8,$Q$8,$V$8)*$E$56/100,IFERROR((CHOOSE($D$56,$G$8,$L$8,$Q$8,$V$8)-CHOOSE($D$56,$G$8,$L$8,$Q$8,$V$8)*$G$56/100)/$H$56,0)))</f>
        <v/>
      </c>
      <c r="I151">
        <f>IF(OR($B$56="",$B$9=""),0,IF($E$56&gt;0,CHOOSE($D$56,$G$9,$L$9,$Q$9,$V$9)*$E$56/100,IFERROR((CHOOSE($D$56,$G$9,$L$9,$Q$9,$V$9)-CHOOSE($D$56,$G$9,$L$9,$Q$9,$V$9)*$G$56/100)/$H$56,0)))</f>
        <v/>
      </c>
      <c r="J151">
        <f>IF(OR($B$56="",$B$10=""),0,IF($E$56&gt;0,CHOOSE($D$56,$G$10,$L$10,$Q$10,$V$10)*$E$56/100,IFERROR((CHOOSE($D$56,$G$10,$L$10,$Q$10,$V$10)-CHOOSE($D$56,$G$10,$L$10,$Q$10,$V$10)*$G$56/100)/$H$56,0)))</f>
        <v/>
      </c>
      <c r="K151">
        <f>IF(OR($B$56="",$B$11=""),0,IF($E$56&gt;0,CHOOSE($D$56,$G$11,$L$11,$Q$11,$V$11)*$E$56/100,IFERROR((CHOOSE($D$56,$G$11,$L$11,$Q$11,$V$11)-CHOOSE($D$56,$G$11,$L$11,$Q$11,$V$11)*$G$56/100)/$H$56,0)))</f>
        <v/>
      </c>
      <c r="L151">
        <f>IF(OR($B$56="",$B$12=""),0,IF($E$56&gt;0,CHOOSE($D$56,$G$12,$L$12,$Q$12,$V$12)*$E$56/100,IFERROR((CHOOSE($D$56,$G$12,$L$12,$Q$12,$V$12)-CHOOSE($D$56,$G$12,$L$12,$Q$12,$V$12)*$G$56/100)/$H$56,0)))</f>
        <v/>
      </c>
      <c r="M151">
        <f>IF(OR($B$56="",$B$13=""),0,IF($E$56&gt;0,CHOOSE($D$56,$G$13,$L$13,$Q$13,$V$13)*$E$56/100,IFERROR((CHOOSE($D$56,$G$13,$L$13,$Q$13,$V$13)-CHOOSE($D$56,$G$13,$L$13,$Q$13,$V$13)*$G$56/100)/$H$56,0)))</f>
        <v/>
      </c>
      <c r="N151">
        <f>IF(OR($B$56="",$B$14=""),0,IF($E$56&gt;0,CHOOSE($D$56,$G$14,$L$14,$Q$14,$V$14)*$E$56/100,IFERROR((CHOOSE($D$56,$G$14,$L$14,$Q$14,$V$14)-CHOOSE($D$56,$G$14,$L$14,$Q$14,$V$14)*$G$56/100)/$H$56,0)))</f>
        <v/>
      </c>
      <c r="O151">
        <f>IF(OR($B$56="",$B$15=""),0,IF($E$56&gt;0,CHOOSE($D$56,$G$15,$L$15,$Q$15,$V$15)*$E$56/100,IFERROR((CHOOSE($D$56,$G$15,$L$15,$Q$15,$V$15)-CHOOSE($D$56,$G$15,$L$15,$Q$15,$V$15)*$G$56/100)/$H$56,0)))</f>
        <v/>
      </c>
      <c r="P151">
        <f>IF(OR($B$56="",$B$16=""),0,IF($E$56&gt;0,CHOOSE($D$56,$G$16,$L$16,$Q$16,$V$16)*$E$56/100,IFERROR((CHOOSE($D$56,$G$16,$L$16,$Q$16,$V$16)-CHOOSE($D$56,$G$16,$L$16,$Q$16,$V$16)*$G$56/100)/$H$56,0)))</f>
        <v/>
      </c>
      <c r="Q151">
        <f>IF(OR($B$56="",$B$17=""),0,IF($E$56&gt;0,CHOOSE($D$56,$G$17,$L$17,$Q$17,$V$17)*$E$56/100,IFERROR((CHOOSE($D$56,$G$17,$L$17,$Q$17,$V$17)-CHOOSE($D$56,$G$17,$L$17,$Q$17,$V$17)*$G$56/100)/$H$56,0)))</f>
        <v/>
      </c>
      <c r="R151">
        <f>IF(OR($B$56="",$B$18=""),0,IF($E$56&gt;0,CHOOSE($D$56,$G$18,$L$18,$Q$18,$V$18)*$E$56/100,IFERROR((CHOOSE($D$56,$G$18,$L$18,$Q$18,$V$18)-CHOOSE($D$56,$G$18,$L$18,$Q$18,$V$18)*$G$56/100)/$H$56,0)))</f>
        <v/>
      </c>
      <c r="S151">
        <f>IF(OR($B$56="",$B$19=""),0,IF($E$56&gt;0,CHOOSE($D$56,$G$19,$L$19,$Q$19,$V$19)*$E$56/100,IFERROR((CHOOSE($D$56,$G$19,$L$19,$Q$19,$V$19)-CHOOSE($D$56,$G$19,$L$19,$Q$19,$V$19)*$G$56/100)/$H$56,0)))</f>
        <v/>
      </c>
      <c r="T151">
        <f>IF(OR($B$56="",$B$20=""),0,IF($E$56&gt;0,CHOOSE($D$56,$G$20,$L$20,$Q$20,$V$20)*$E$56/100,IFERROR((CHOOSE($D$56,$G$20,$L$20,$Q$20,$V$20)-CHOOSE($D$56,$G$20,$L$20,$Q$20,$V$20)*$G$56/100)/$H$56,0)))</f>
        <v/>
      </c>
      <c r="U151">
        <f>IF(OR($B$56="",$B$21=""),0,IF($E$56&gt;0,CHOOSE($D$56,$G$21,$L$21,$Q$21,$V$21)*$E$56/100,IFERROR((CHOOSE($D$56,$G$21,$L$21,$Q$21,$V$21)-CHOOSE($D$56,$G$21,$L$21,$Q$21,$V$21)*$G$56/100)/$H$56,0)))</f>
        <v/>
      </c>
      <c r="V151">
        <f>IF(OR($B$56="",$B$22=""),0,IF($E$56&gt;0,CHOOSE($D$56,$G$22,$L$22,$Q$22,$V$22)*$E$56/100,IFERROR((CHOOSE($D$56,$G$22,$L$22,$Q$22,$V$22)-CHOOSE($D$56,$G$22,$L$22,$Q$22,$V$22)*$G$56/100)/$H$56,0)))</f>
        <v/>
      </c>
    </row>
    <row r="152">
      <c r="A152" t="n">
        <v>19</v>
      </c>
      <c r="B152">
        <f>B57</f>
        <v/>
      </c>
      <c r="C152">
        <f>IF(OR($B$57="",$B$3=""),0,IF($E$57&gt;0,CHOOSE($D$57,$G$3,$L$3,$Q$3,$V$3)*$E$57/100,IFERROR((CHOOSE($D$57,$G$3,$L$3,$Q$3,$V$3)-CHOOSE($D$57,$G$3,$L$3,$Q$3,$V$3)*$G$57/100)/$H$57,0)))</f>
        <v/>
      </c>
      <c r="D152">
        <f>IF(OR($B$57="",$B$4=""),0,IF($E$57&gt;0,CHOOSE($D$57,$G$4,$L$4,$Q$4,$V$4)*$E$57/100,IFERROR((CHOOSE($D$57,$G$4,$L$4,$Q$4,$V$4)-CHOOSE($D$57,$G$4,$L$4,$Q$4,$V$4)*$G$57/100)/$H$57,0)))</f>
        <v/>
      </c>
      <c r="E152">
        <f>IF(OR($B$57="",$B$5=""),0,IF($E$57&gt;0,CHOOSE($D$57,$G$5,$L$5,$Q$5,$V$5)*$E$57/100,IFERROR((CHOOSE($D$57,$G$5,$L$5,$Q$5,$V$5)-CHOOSE($D$57,$G$5,$L$5,$Q$5,$V$5)*$G$57/100)/$H$57,0)))</f>
        <v/>
      </c>
      <c r="F152">
        <f>IF(OR($B$57="",$B$6=""),0,IF($E$57&gt;0,CHOOSE($D$57,$G$6,$L$6,$Q$6,$V$6)*$E$57/100,IFERROR((CHOOSE($D$57,$G$6,$L$6,$Q$6,$V$6)-CHOOSE($D$57,$G$6,$L$6,$Q$6,$V$6)*$G$57/100)/$H$57,0)))</f>
        <v/>
      </c>
      <c r="G152">
        <f>IF(OR($B$57="",$B$7=""),0,IF($E$57&gt;0,CHOOSE($D$57,$G$7,$L$7,$Q$7,$V$7)*$E$57/100,IFERROR((CHOOSE($D$57,$G$7,$L$7,$Q$7,$V$7)-CHOOSE($D$57,$G$7,$L$7,$Q$7,$V$7)*$G$57/100)/$H$57,0)))</f>
        <v/>
      </c>
      <c r="H152">
        <f>IF(OR($B$57="",$B$8=""),0,IF($E$57&gt;0,CHOOSE($D$57,$G$8,$L$8,$Q$8,$V$8)*$E$57/100,IFERROR((CHOOSE($D$57,$G$8,$L$8,$Q$8,$V$8)-CHOOSE($D$57,$G$8,$L$8,$Q$8,$V$8)*$G$57/100)/$H$57,0)))</f>
        <v/>
      </c>
      <c r="I152">
        <f>IF(OR($B$57="",$B$9=""),0,IF($E$57&gt;0,CHOOSE($D$57,$G$9,$L$9,$Q$9,$V$9)*$E$57/100,IFERROR((CHOOSE($D$57,$G$9,$L$9,$Q$9,$V$9)-CHOOSE($D$57,$G$9,$L$9,$Q$9,$V$9)*$G$57/100)/$H$57,0)))</f>
        <v/>
      </c>
      <c r="J152">
        <f>IF(OR($B$57="",$B$10=""),0,IF($E$57&gt;0,CHOOSE($D$57,$G$10,$L$10,$Q$10,$V$10)*$E$57/100,IFERROR((CHOOSE($D$57,$G$10,$L$10,$Q$10,$V$10)-CHOOSE($D$57,$G$10,$L$10,$Q$10,$V$10)*$G$57/100)/$H$57,0)))</f>
        <v/>
      </c>
      <c r="K152">
        <f>IF(OR($B$57="",$B$11=""),0,IF($E$57&gt;0,CHOOSE($D$57,$G$11,$L$11,$Q$11,$V$11)*$E$57/100,IFERROR((CHOOSE($D$57,$G$11,$L$11,$Q$11,$V$11)-CHOOSE($D$57,$G$11,$L$11,$Q$11,$V$11)*$G$57/100)/$H$57,0)))</f>
        <v/>
      </c>
      <c r="L152">
        <f>IF(OR($B$57="",$B$12=""),0,IF($E$57&gt;0,CHOOSE($D$57,$G$12,$L$12,$Q$12,$V$12)*$E$57/100,IFERROR((CHOOSE($D$57,$G$12,$L$12,$Q$12,$V$12)-CHOOSE($D$57,$G$12,$L$12,$Q$12,$V$12)*$G$57/100)/$H$57,0)))</f>
        <v/>
      </c>
      <c r="M152">
        <f>IF(OR($B$57="",$B$13=""),0,IF($E$57&gt;0,CHOOSE($D$57,$G$13,$L$13,$Q$13,$V$13)*$E$57/100,IFERROR((CHOOSE($D$57,$G$13,$L$13,$Q$13,$V$13)-CHOOSE($D$57,$G$13,$L$13,$Q$13,$V$13)*$G$57/100)/$H$57,0)))</f>
        <v/>
      </c>
      <c r="N152">
        <f>IF(OR($B$57="",$B$14=""),0,IF($E$57&gt;0,CHOOSE($D$57,$G$14,$L$14,$Q$14,$V$14)*$E$57/100,IFERROR((CHOOSE($D$57,$G$14,$L$14,$Q$14,$V$14)-CHOOSE($D$57,$G$14,$L$14,$Q$14,$V$14)*$G$57/100)/$H$57,0)))</f>
        <v/>
      </c>
      <c r="O152">
        <f>IF(OR($B$57="",$B$15=""),0,IF($E$57&gt;0,CHOOSE($D$57,$G$15,$L$15,$Q$15,$V$15)*$E$57/100,IFERROR((CHOOSE($D$57,$G$15,$L$15,$Q$15,$V$15)-CHOOSE($D$57,$G$15,$L$15,$Q$15,$V$15)*$G$57/100)/$H$57,0)))</f>
        <v/>
      </c>
      <c r="P152">
        <f>IF(OR($B$57="",$B$16=""),0,IF($E$57&gt;0,CHOOSE($D$57,$G$16,$L$16,$Q$16,$V$16)*$E$57/100,IFERROR((CHOOSE($D$57,$G$16,$L$16,$Q$16,$V$16)-CHOOSE($D$57,$G$16,$L$16,$Q$16,$V$16)*$G$57/100)/$H$57,0)))</f>
        <v/>
      </c>
      <c r="Q152">
        <f>IF(OR($B$57="",$B$17=""),0,IF($E$57&gt;0,CHOOSE($D$57,$G$17,$L$17,$Q$17,$V$17)*$E$57/100,IFERROR((CHOOSE($D$57,$G$17,$L$17,$Q$17,$V$17)-CHOOSE($D$57,$G$17,$L$17,$Q$17,$V$17)*$G$57/100)/$H$57,0)))</f>
        <v/>
      </c>
      <c r="R152">
        <f>IF(OR($B$57="",$B$18=""),0,IF($E$57&gt;0,CHOOSE($D$57,$G$18,$L$18,$Q$18,$V$18)*$E$57/100,IFERROR((CHOOSE($D$57,$G$18,$L$18,$Q$18,$V$18)-CHOOSE($D$57,$G$18,$L$18,$Q$18,$V$18)*$G$57/100)/$H$57,0)))</f>
        <v/>
      </c>
      <c r="S152">
        <f>IF(OR($B$57="",$B$19=""),0,IF($E$57&gt;0,CHOOSE($D$57,$G$19,$L$19,$Q$19,$V$19)*$E$57/100,IFERROR((CHOOSE($D$57,$G$19,$L$19,$Q$19,$V$19)-CHOOSE($D$57,$G$19,$L$19,$Q$19,$V$19)*$G$57/100)/$H$57,0)))</f>
        <v/>
      </c>
      <c r="T152">
        <f>IF(OR($B$57="",$B$20=""),0,IF($E$57&gt;0,CHOOSE($D$57,$G$20,$L$20,$Q$20,$V$20)*$E$57/100,IFERROR((CHOOSE($D$57,$G$20,$L$20,$Q$20,$V$20)-CHOOSE($D$57,$G$20,$L$20,$Q$20,$V$20)*$G$57/100)/$H$57,0)))</f>
        <v/>
      </c>
      <c r="U152">
        <f>IF(OR($B$57="",$B$21=""),0,IF($E$57&gt;0,CHOOSE($D$57,$G$21,$L$21,$Q$21,$V$21)*$E$57/100,IFERROR((CHOOSE($D$57,$G$21,$L$21,$Q$21,$V$21)-CHOOSE($D$57,$G$21,$L$21,$Q$21,$V$21)*$G$57/100)/$H$57,0)))</f>
        <v/>
      </c>
      <c r="V152">
        <f>IF(OR($B$57="",$B$22=""),0,IF($E$57&gt;0,CHOOSE($D$57,$G$22,$L$22,$Q$22,$V$22)*$E$57/100,IFERROR((CHOOSE($D$57,$G$22,$L$22,$Q$22,$V$22)-CHOOSE($D$57,$G$22,$L$22,$Q$22,$V$22)*$G$57/100)/$H$57,0)))</f>
        <v/>
      </c>
    </row>
    <row r="153">
      <c r="A153" t="n">
        <v>20</v>
      </c>
      <c r="B153">
        <f>B58</f>
        <v/>
      </c>
      <c r="C153">
        <f>IF(OR($B$58="",$B$3=""),0,IF($E$58&gt;0,CHOOSE($D$58,$G$3,$L$3,$Q$3,$V$3)*$E$58/100,IFERROR((CHOOSE($D$58,$G$3,$L$3,$Q$3,$V$3)-CHOOSE($D$58,$G$3,$L$3,$Q$3,$V$3)*$G$58/100)/$H$58,0)))</f>
        <v/>
      </c>
      <c r="D153">
        <f>IF(OR($B$58="",$B$4=""),0,IF($E$58&gt;0,CHOOSE($D$58,$G$4,$L$4,$Q$4,$V$4)*$E$58/100,IFERROR((CHOOSE($D$58,$G$4,$L$4,$Q$4,$V$4)-CHOOSE($D$58,$G$4,$L$4,$Q$4,$V$4)*$G$58/100)/$H$58,0)))</f>
        <v/>
      </c>
      <c r="E153">
        <f>IF(OR($B$58="",$B$5=""),0,IF($E$58&gt;0,CHOOSE($D$58,$G$5,$L$5,$Q$5,$V$5)*$E$58/100,IFERROR((CHOOSE($D$58,$G$5,$L$5,$Q$5,$V$5)-CHOOSE($D$58,$G$5,$L$5,$Q$5,$V$5)*$G$58/100)/$H$58,0)))</f>
        <v/>
      </c>
      <c r="F153">
        <f>IF(OR($B$58="",$B$6=""),0,IF($E$58&gt;0,CHOOSE($D$58,$G$6,$L$6,$Q$6,$V$6)*$E$58/100,IFERROR((CHOOSE($D$58,$G$6,$L$6,$Q$6,$V$6)-CHOOSE($D$58,$G$6,$L$6,$Q$6,$V$6)*$G$58/100)/$H$58,0)))</f>
        <v/>
      </c>
      <c r="G153">
        <f>IF(OR($B$58="",$B$7=""),0,IF($E$58&gt;0,CHOOSE($D$58,$G$7,$L$7,$Q$7,$V$7)*$E$58/100,IFERROR((CHOOSE($D$58,$G$7,$L$7,$Q$7,$V$7)-CHOOSE($D$58,$G$7,$L$7,$Q$7,$V$7)*$G$58/100)/$H$58,0)))</f>
        <v/>
      </c>
      <c r="H153">
        <f>IF(OR($B$58="",$B$8=""),0,IF($E$58&gt;0,CHOOSE($D$58,$G$8,$L$8,$Q$8,$V$8)*$E$58/100,IFERROR((CHOOSE($D$58,$G$8,$L$8,$Q$8,$V$8)-CHOOSE($D$58,$G$8,$L$8,$Q$8,$V$8)*$G$58/100)/$H$58,0)))</f>
        <v/>
      </c>
      <c r="I153">
        <f>IF(OR($B$58="",$B$9=""),0,IF($E$58&gt;0,CHOOSE($D$58,$G$9,$L$9,$Q$9,$V$9)*$E$58/100,IFERROR((CHOOSE($D$58,$G$9,$L$9,$Q$9,$V$9)-CHOOSE($D$58,$G$9,$L$9,$Q$9,$V$9)*$G$58/100)/$H$58,0)))</f>
        <v/>
      </c>
      <c r="J153">
        <f>IF(OR($B$58="",$B$10=""),0,IF($E$58&gt;0,CHOOSE($D$58,$G$10,$L$10,$Q$10,$V$10)*$E$58/100,IFERROR((CHOOSE($D$58,$G$10,$L$10,$Q$10,$V$10)-CHOOSE($D$58,$G$10,$L$10,$Q$10,$V$10)*$G$58/100)/$H$58,0)))</f>
        <v/>
      </c>
      <c r="K153">
        <f>IF(OR($B$58="",$B$11=""),0,IF($E$58&gt;0,CHOOSE($D$58,$G$11,$L$11,$Q$11,$V$11)*$E$58/100,IFERROR((CHOOSE($D$58,$G$11,$L$11,$Q$11,$V$11)-CHOOSE($D$58,$G$11,$L$11,$Q$11,$V$11)*$G$58/100)/$H$58,0)))</f>
        <v/>
      </c>
      <c r="L153">
        <f>IF(OR($B$58="",$B$12=""),0,IF($E$58&gt;0,CHOOSE($D$58,$G$12,$L$12,$Q$12,$V$12)*$E$58/100,IFERROR((CHOOSE($D$58,$G$12,$L$12,$Q$12,$V$12)-CHOOSE($D$58,$G$12,$L$12,$Q$12,$V$12)*$G$58/100)/$H$58,0)))</f>
        <v/>
      </c>
      <c r="M153">
        <f>IF(OR($B$58="",$B$13=""),0,IF($E$58&gt;0,CHOOSE($D$58,$G$13,$L$13,$Q$13,$V$13)*$E$58/100,IFERROR((CHOOSE($D$58,$G$13,$L$13,$Q$13,$V$13)-CHOOSE($D$58,$G$13,$L$13,$Q$13,$V$13)*$G$58/100)/$H$58,0)))</f>
        <v/>
      </c>
      <c r="N153">
        <f>IF(OR($B$58="",$B$14=""),0,IF($E$58&gt;0,CHOOSE($D$58,$G$14,$L$14,$Q$14,$V$14)*$E$58/100,IFERROR((CHOOSE($D$58,$G$14,$L$14,$Q$14,$V$14)-CHOOSE($D$58,$G$14,$L$14,$Q$14,$V$14)*$G$58/100)/$H$58,0)))</f>
        <v/>
      </c>
      <c r="O153">
        <f>IF(OR($B$58="",$B$15=""),0,IF($E$58&gt;0,CHOOSE($D$58,$G$15,$L$15,$Q$15,$V$15)*$E$58/100,IFERROR((CHOOSE($D$58,$G$15,$L$15,$Q$15,$V$15)-CHOOSE($D$58,$G$15,$L$15,$Q$15,$V$15)*$G$58/100)/$H$58,0)))</f>
        <v/>
      </c>
      <c r="P153">
        <f>IF(OR($B$58="",$B$16=""),0,IF($E$58&gt;0,CHOOSE($D$58,$G$16,$L$16,$Q$16,$V$16)*$E$58/100,IFERROR((CHOOSE($D$58,$G$16,$L$16,$Q$16,$V$16)-CHOOSE($D$58,$G$16,$L$16,$Q$16,$V$16)*$G$58/100)/$H$58,0)))</f>
        <v/>
      </c>
      <c r="Q153">
        <f>IF(OR($B$58="",$B$17=""),0,IF($E$58&gt;0,CHOOSE($D$58,$G$17,$L$17,$Q$17,$V$17)*$E$58/100,IFERROR((CHOOSE($D$58,$G$17,$L$17,$Q$17,$V$17)-CHOOSE($D$58,$G$17,$L$17,$Q$17,$V$17)*$G$58/100)/$H$58,0)))</f>
        <v/>
      </c>
      <c r="R153">
        <f>IF(OR($B$58="",$B$18=""),0,IF($E$58&gt;0,CHOOSE($D$58,$G$18,$L$18,$Q$18,$V$18)*$E$58/100,IFERROR((CHOOSE($D$58,$G$18,$L$18,$Q$18,$V$18)-CHOOSE($D$58,$G$18,$L$18,$Q$18,$V$18)*$G$58/100)/$H$58,0)))</f>
        <v/>
      </c>
      <c r="S153">
        <f>IF(OR($B$58="",$B$19=""),0,IF($E$58&gt;0,CHOOSE($D$58,$G$19,$L$19,$Q$19,$V$19)*$E$58/100,IFERROR((CHOOSE($D$58,$G$19,$L$19,$Q$19,$V$19)-CHOOSE($D$58,$G$19,$L$19,$Q$19,$V$19)*$G$58/100)/$H$58,0)))</f>
        <v/>
      </c>
      <c r="T153">
        <f>IF(OR($B$58="",$B$20=""),0,IF($E$58&gt;0,CHOOSE($D$58,$G$20,$L$20,$Q$20,$V$20)*$E$58/100,IFERROR((CHOOSE($D$58,$G$20,$L$20,$Q$20,$V$20)-CHOOSE($D$58,$G$20,$L$20,$Q$20,$V$20)*$G$58/100)/$H$58,0)))</f>
        <v/>
      </c>
      <c r="U153">
        <f>IF(OR($B$58="",$B$21=""),0,IF($E$58&gt;0,CHOOSE($D$58,$G$21,$L$21,$Q$21,$V$21)*$E$58/100,IFERROR((CHOOSE($D$58,$G$21,$L$21,$Q$21,$V$21)-CHOOSE($D$58,$G$21,$L$21,$Q$21,$V$21)*$G$58/100)/$H$58,0)))</f>
        <v/>
      </c>
      <c r="V153">
        <f>IF(OR($B$58="",$B$22=""),0,IF($E$58&gt;0,CHOOSE($D$58,$G$22,$L$22,$Q$22,$V$22)*$E$58/100,IFERROR((CHOOSE($D$58,$G$22,$L$22,$Q$22,$V$22)-CHOOSE($D$58,$G$22,$L$22,$Q$22,$V$22)*$G$58/100)/$H$58,0)))</f>
        <v/>
      </c>
    </row>
    <row r="154">
      <c r="A154" t="n">
        <v>21</v>
      </c>
      <c r="B154">
        <f>B59</f>
        <v/>
      </c>
      <c r="C154">
        <f>IF(OR($B$59="",$B$3=""),0,IF($E$59&gt;0,CHOOSE($D$59,$G$3,$L$3,$Q$3,$V$3)*$E$59/100,IFERROR((CHOOSE($D$59,$G$3,$L$3,$Q$3,$V$3)-CHOOSE($D$59,$G$3,$L$3,$Q$3,$V$3)*$G$59/100)/$H$59,0)))</f>
        <v/>
      </c>
      <c r="D154">
        <f>IF(OR($B$59="",$B$4=""),0,IF($E$59&gt;0,CHOOSE($D$59,$G$4,$L$4,$Q$4,$V$4)*$E$59/100,IFERROR((CHOOSE($D$59,$G$4,$L$4,$Q$4,$V$4)-CHOOSE($D$59,$G$4,$L$4,$Q$4,$V$4)*$G$59/100)/$H$59,0)))</f>
        <v/>
      </c>
      <c r="E154">
        <f>IF(OR($B$59="",$B$5=""),0,IF($E$59&gt;0,CHOOSE($D$59,$G$5,$L$5,$Q$5,$V$5)*$E$59/100,IFERROR((CHOOSE($D$59,$G$5,$L$5,$Q$5,$V$5)-CHOOSE($D$59,$G$5,$L$5,$Q$5,$V$5)*$G$59/100)/$H$59,0)))</f>
        <v/>
      </c>
      <c r="F154">
        <f>IF(OR($B$59="",$B$6=""),0,IF($E$59&gt;0,CHOOSE($D$59,$G$6,$L$6,$Q$6,$V$6)*$E$59/100,IFERROR((CHOOSE($D$59,$G$6,$L$6,$Q$6,$V$6)-CHOOSE($D$59,$G$6,$L$6,$Q$6,$V$6)*$G$59/100)/$H$59,0)))</f>
        <v/>
      </c>
      <c r="G154">
        <f>IF(OR($B$59="",$B$7=""),0,IF($E$59&gt;0,CHOOSE($D$59,$G$7,$L$7,$Q$7,$V$7)*$E$59/100,IFERROR((CHOOSE($D$59,$G$7,$L$7,$Q$7,$V$7)-CHOOSE($D$59,$G$7,$L$7,$Q$7,$V$7)*$G$59/100)/$H$59,0)))</f>
        <v/>
      </c>
      <c r="H154">
        <f>IF(OR($B$59="",$B$8=""),0,IF($E$59&gt;0,CHOOSE($D$59,$G$8,$L$8,$Q$8,$V$8)*$E$59/100,IFERROR((CHOOSE($D$59,$G$8,$L$8,$Q$8,$V$8)-CHOOSE($D$59,$G$8,$L$8,$Q$8,$V$8)*$G$59/100)/$H$59,0)))</f>
        <v/>
      </c>
      <c r="I154">
        <f>IF(OR($B$59="",$B$9=""),0,IF($E$59&gt;0,CHOOSE($D$59,$G$9,$L$9,$Q$9,$V$9)*$E$59/100,IFERROR((CHOOSE($D$59,$G$9,$L$9,$Q$9,$V$9)-CHOOSE($D$59,$G$9,$L$9,$Q$9,$V$9)*$G$59/100)/$H$59,0)))</f>
        <v/>
      </c>
      <c r="J154">
        <f>IF(OR($B$59="",$B$10=""),0,IF($E$59&gt;0,CHOOSE($D$59,$G$10,$L$10,$Q$10,$V$10)*$E$59/100,IFERROR((CHOOSE($D$59,$G$10,$L$10,$Q$10,$V$10)-CHOOSE($D$59,$G$10,$L$10,$Q$10,$V$10)*$G$59/100)/$H$59,0)))</f>
        <v/>
      </c>
      <c r="K154">
        <f>IF(OR($B$59="",$B$11=""),0,IF($E$59&gt;0,CHOOSE($D$59,$G$11,$L$11,$Q$11,$V$11)*$E$59/100,IFERROR((CHOOSE($D$59,$G$11,$L$11,$Q$11,$V$11)-CHOOSE($D$59,$G$11,$L$11,$Q$11,$V$11)*$G$59/100)/$H$59,0)))</f>
        <v/>
      </c>
      <c r="L154">
        <f>IF(OR($B$59="",$B$12=""),0,IF($E$59&gt;0,CHOOSE($D$59,$G$12,$L$12,$Q$12,$V$12)*$E$59/100,IFERROR((CHOOSE($D$59,$G$12,$L$12,$Q$12,$V$12)-CHOOSE($D$59,$G$12,$L$12,$Q$12,$V$12)*$G$59/100)/$H$59,0)))</f>
        <v/>
      </c>
      <c r="M154">
        <f>IF(OR($B$59="",$B$13=""),0,IF($E$59&gt;0,CHOOSE($D$59,$G$13,$L$13,$Q$13,$V$13)*$E$59/100,IFERROR((CHOOSE($D$59,$G$13,$L$13,$Q$13,$V$13)-CHOOSE($D$59,$G$13,$L$13,$Q$13,$V$13)*$G$59/100)/$H$59,0)))</f>
        <v/>
      </c>
      <c r="N154">
        <f>IF(OR($B$59="",$B$14=""),0,IF($E$59&gt;0,CHOOSE($D$59,$G$14,$L$14,$Q$14,$V$14)*$E$59/100,IFERROR((CHOOSE($D$59,$G$14,$L$14,$Q$14,$V$14)-CHOOSE($D$59,$G$14,$L$14,$Q$14,$V$14)*$G$59/100)/$H$59,0)))</f>
        <v/>
      </c>
      <c r="O154">
        <f>IF(OR($B$59="",$B$15=""),0,IF($E$59&gt;0,CHOOSE($D$59,$G$15,$L$15,$Q$15,$V$15)*$E$59/100,IFERROR((CHOOSE($D$59,$G$15,$L$15,$Q$15,$V$15)-CHOOSE($D$59,$G$15,$L$15,$Q$15,$V$15)*$G$59/100)/$H$59,0)))</f>
        <v/>
      </c>
      <c r="P154">
        <f>IF(OR($B$59="",$B$16=""),0,IF($E$59&gt;0,CHOOSE($D$59,$G$16,$L$16,$Q$16,$V$16)*$E$59/100,IFERROR((CHOOSE($D$59,$G$16,$L$16,$Q$16,$V$16)-CHOOSE($D$59,$G$16,$L$16,$Q$16,$V$16)*$G$59/100)/$H$59,0)))</f>
        <v/>
      </c>
      <c r="Q154">
        <f>IF(OR($B$59="",$B$17=""),0,IF($E$59&gt;0,CHOOSE($D$59,$G$17,$L$17,$Q$17,$V$17)*$E$59/100,IFERROR((CHOOSE($D$59,$G$17,$L$17,$Q$17,$V$17)-CHOOSE($D$59,$G$17,$L$17,$Q$17,$V$17)*$G$59/100)/$H$59,0)))</f>
        <v/>
      </c>
      <c r="R154">
        <f>IF(OR($B$59="",$B$18=""),0,IF($E$59&gt;0,CHOOSE($D$59,$G$18,$L$18,$Q$18,$V$18)*$E$59/100,IFERROR((CHOOSE($D$59,$G$18,$L$18,$Q$18,$V$18)-CHOOSE($D$59,$G$18,$L$18,$Q$18,$V$18)*$G$59/100)/$H$59,0)))</f>
        <v/>
      </c>
      <c r="S154">
        <f>IF(OR($B$59="",$B$19=""),0,IF($E$59&gt;0,CHOOSE($D$59,$G$19,$L$19,$Q$19,$V$19)*$E$59/100,IFERROR((CHOOSE($D$59,$G$19,$L$19,$Q$19,$V$19)-CHOOSE($D$59,$G$19,$L$19,$Q$19,$V$19)*$G$59/100)/$H$59,0)))</f>
        <v/>
      </c>
      <c r="T154">
        <f>IF(OR($B$59="",$B$20=""),0,IF($E$59&gt;0,CHOOSE($D$59,$G$20,$L$20,$Q$20,$V$20)*$E$59/100,IFERROR((CHOOSE($D$59,$G$20,$L$20,$Q$20,$V$20)-CHOOSE($D$59,$G$20,$L$20,$Q$20,$V$20)*$G$59/100)/$H$59,0)))</f>
        <v/>
      </c>
      <c r="U154">
        <f>IF(OR($B$59="",$B$21=""),0,IF($E$59&gt;0,CHOOSE($D$59,$G$21,$L$21,$Q$21,$V$21)*$E$59/100,IFERROR((CHOOSE($D$59,$G$21,$L$21,$Q$21,$V$21)-CHOOSE($D$59,$G$21,$L$21,$Q$21,$V$21)*$G$59/100)/$H$59,0)))</f>
        <v/>
      </c>
      <c r="V154">
        <f>IF(OR($B$59="",$B$22=""),0,IF($E$59&gt;0,CHOOSE($D$59,$G$22,$L$22,$Q$22,$V$22)*$E$59/100,IFERROR((CHOOSE($D$59,$G$22,$L$22,$Q$22,$V$22)-CHOOSE($D$59,$G$22,$L$22,$Q$22,$V$22)*$G$59/100)/$H$59,0)))</f>
        <v/>
      </c>
    </row>
    <row r="155">
      <c r="A155" t="n">
        <v>22</v>
      </c>
      <c r="B155">
        <f>B60</f>
        <v/>
      </c>
      <c r="C155">
        <f>IF(OR($B$60="",$B$3=""),0,IF($E$60&gt;0,CHOOSE($D$60,$G$3,$L$3,$Q$3,$V$3)*$E$60/100,IFERROR((CHOOSE($D$60,$G$3,$L$3,$Q$3,$V$3)-CHOOSE($D$60,$G$3,$L$3,$Q$3,$V$3)*$G$60/100)/$H$60,0)))</f>
        <v/>
      </c>
      <c r="D155">
        <f>IF(OR($B$60="",$B$4=""),0,IF($E$60&gt;0,CHOOSE($D$60,$G$4,$L$4,$Q$4,$V$4)*$E$60/100,IFERROR((CHOOSE($D$60,$G$4,$L$4,$Q$4,$V$4)-CHOOSE($D$60,$G$4,$L$4,$Q$4,$V$4)*$G$60/100)/$H$60,0)))</f>
        <v/>
      </c>
      <c r="E155">
        <f>IF(OR($B$60="",$B$5=""),0,IF($E$60&gt;0,CHOOSE($D$60,$G$5,$L$5,$Q$5,$V$5)*$E$60/100,IFERROR((CHOOSE($D$60,$G$5,$L$5,$Q$5,$V$5)-CHOOSE($D$60,$G$5,$L$5,$Q$5,$V$5)*$G$60/100)/$H$60,0)))</f>
        <v/>
      </c>
      <c r="F155">
        <f>IF(OR($B$60="",$B$6=""),0,IF($E$60&gt;0,CHOOSE($D$60,$G$6,$L$6,$Q$6,$V$6)*$E$60/100,IFERROR((CHOOSE($D$60,$G$6,$L$6,$Q$6,$V$6)-CHOOSE($D$60,$G$6,$L$6,$Q$6,$V$6)*$G$60/100)/$H$60,0)))</f>
        <v/>
      </c>
      <c r="G155">
        <f>IF(OR($B$60="",$B$7=""),0,IF($E$60&gt;0,CHOOSE($D$60,$G$7,$L$7,$Q$7,$V$7)*$E$60/100,IFERROR((CHOOSE($D$60,$G$7,$L$7,$Q$7,$V$7)-CHOOSE($D$60,$G$7,$L$7,$Q$7,$V$7)*$G$60/100)/$H$60,0)))</f>
        <v/>
      </c>
      <c r="H155">
        <f>IF(OR($B$60="",$B$8=""),0,IF($E$60&gt;0,CHOOSE($D$60,$G$8,$L$8,$Q$8,$V$8)*$E$60/100,IFERROR((CHOOSE($D$60,$G$8,$L$8,$Q$8,$V$8)-CHOOSE($D$60,$G$8,$L$8,$Q$8,$V$8)*$G$60/100)/$H$60,0)))</f>
        <v/>
      </c>
      <c r="I155">
        <f>IF(OR($B$60="",$B$9=""),0,IF($E$60&gt;0,CHOOSE($D$60,$G$9,$L$9,$Q$9,$V$9)*$E$60/100,IFERROR((CHOOSE($D$60,$G$9,$L$9,$Q$9,$V$9)-CHOOSE($D$60,$G$9,$L$9,$Q$9,$V$9)*$G$60/100)/$H$60,0)))</f>
        <v/>
      </c>
      <c r="J155">
        <f>IF(OR($B$60="",$B$10=""),0,IF($E$60&gt;0,CHOOSE($D$60,$G$10,$L$10,$Q$10,$V$10)*$E$60/100,IFERROR((CHOOSE($D$60,$G$10,$L$10,$Q$10,$V$10)-CHOOSE($D$60,$G$10,$L$10,$Q$10,$V$10)*$G$60/100)/$H$60,0)))</f>
        <v/>
      </c>
      <c r="K155">
        <f>IF(OR($B$60="",$B$11=""),0,IF($E$60&gt;0,CHOOSE($D$60,$G$11,$L$11,$Q$11,$V$11)*$E$60/100,IFERROR((CHOOSE($D$60,$G$11,$L$11,$Q$11,$V$11)-CHOOSE($D$60,$G$11,$L$11,$Q$11,$V$11)*$G$60/100)/$H$60,0)))</f>
        <v/>
      </c>
      <c r="L155">
        <f>IF(OR($B$60="",$B$12=""),0,IF($E$60&gt;0,CHOOSE($D$60,$G$12,$L$12,$Q$12,$V$12)*$E$60/100,IFERROR((CHOOSE($D$60,$G$12,$L$12,$Q$12,$V$12)-CHOOSE($D$60,$G$12,$L$12,$Q$12,$V$12)*$G$60/100)/$H$60,0)))</f>
        <v/>
      </c>
      <c r="M155">
        <f>IF(OR($B$60="",$B$13=""),0,IF($E$60&gt;0,CHOOSE($D$60,$G$13,$L$13,$Q$13,$V$13)*$E$60/100,IFERROR((CHOOSE($D$60,$G$13,$L$13,$Q$13,$V$13)-CHOOSE($D$60,$G$13,$L$13,$Q$13,$V$13)*$G$60/100)/$H$60,0)))</f>
        <v/>
      </c>
      <c r="N155">
        <f>IF(OR($B$60="",$B$14=""),0,IF($E$60&gt;0,CHOOSE($D$60,$G$14,$L$14,$Q$14,$V$14)*$E$60/100,IFERROR((CHOOSE($D$60,$G$14,$L$14,$Q$14,$V$14)-CHOOSE($D$60,$G$14,$L$14,$Q$14,$V$14)*$G$60/100)/$H$60,0)))</f>
        <v/>
      </c>
      <c r="O155">
        <f>IF(OR($B$60="",$B$15=""),0,IF($E$60&gt;0,CHOOSE($D$60,$G$15,$L$15,$Q$15,$V$15)*$E$60/100,IFERROR((CHOOSE($D$60,$G$15,$L$15,$Q$15,$V$15)-CHOOSE($D$60,$G$15,$L$15,$Q$15,$V$15)*$G$60/100)/$H$60,0)))</f>
        <v/>
      </c>
      <c r="P155">
        <f>IF(OR($B$60="",$B$16=""),0,IF($E$60&gt;0,CHOOSE($D$60,$G$16,$L$16,$Q$16,$V$16)*$E$60/100,IFERROR((CHOOSE($D$60,$G$16,$L$16,$Q$16,$V$16)-CHOOSE($D$60,$G$16,$L$16,$Q$16,$V$16)*$G$60/100)/$H$60,0)))</f>
        <v/>
      </c>
      <c r="Q155">
        <f>IF(OR($B$60="",$B$17=""),0,IF($E$60&gt;0,CHOOSE($D$60,$G$17,$L$17,$Q$17,$V$17)*$E$60/100,IFERROR((CHOOSE($D$60,$G$17,$L$17,$Q$17,$V$17)-CHOOSE($D$60,$G$17,$L$17,$Q$17,$V$17)*$G$60/100)/$H$60,0)))</f>
        <v/>
      </c>
      <c r="R155">
        <f>IF(OR($B$60="",$B$18=""),0,IF($E$60&gt;0,CHOOSE($D$60,$G$18,$L$18,$Q$18,$V$18)*$E$60/100,IFERROR((CHOOSE($D$60,$G$18,$L$18,$Q$18,$V$18)-CHOOSE($D$60,$G$18,$L$18,$Q$18,$V$18)*$G$60/100)/$H$60,0)))</f>
        <v/>
      </c>
      <c r="S155">
        <f>IF(OR($B$60="",$B$19=""),0,IF($E$60&gt;0,CHOOSE($D$60,$G$19,$L$19,$Q$19,$V$19)*$E$60/100,IFERROR((CHOOSE($D$60,$G$19,$L$19,$Q$19,$V$19)-CHOOSE($D$60,$G$19,$L$19,$Q$19,$V$19)*$G$60/100)/$H$60,0)))</f>
        <v/>
      </c>
      <c r="T155">
        <f>IF(OR($B$60="",$B$20=""),0,IF($E$60&gt;0,CHOOSE($D$60,$G$20,$L$20,$Q$20,$V$20)*$E$60/100,IFERROR((CHOOSE($D$60,$G$20,$L$20,$Q$20,$V$20)-CHOOSE($D$60,$G$20,$L$20,$Q$20,$V$20)*$G$60/100)/$H$60,0)))</f>
        <v/>
      </c>
      <c r="U155">
        <f>IF(OR($B$60="",$B$21=""),0,IF($E$60&gt;0,CHOOSE($D$60,$G$21,$L$21,$Q$21,$V$21)*$E$60/100,IFERROR((CHOOSE($D$60,$G$21,$L$21,$Q$21,$V$21)-CHOOSE($D$60,$G$21,$L$21,$Q$21,$V$21)*$G$60/100)/$H$60,0)))</f>
        <v/>
      </c>
      <c r="V155">
        <f>IF(OR($B$60="",$B$22=""),0,IF($E$60&gt;0,CHOOSE($D$60,$G$22,$L$22,$Q$22,$V$22)*$E$60/100,IFERROR((CHOOSE($D$60,$G$22,$L$22,$Q$22,$V$22)-CHOOSE($D$60,$G$22,$L$22,$Q$22,$V$22)*$G$60/100)/$H$60,0)))</f>
        <v/>
      </c>
    </row>
    <row r="156">
      <c r="A156" t="n">
        <v>23</v>
      </c>
      <c r="B156">
        <f>B61</f>
        <v/>
      </c>
      <c r="C156">
        <f>IF(OR($B$61="",$B$3=""),0,IF($E$61&gt;0,CHOOSE($D$61,$G$3,$L$3,$Q$3,$V$3)*$E$61/100,IFERROR((CHOOSE($D$61,$G$3,$L$3,$Q$3,$V$3)-CHOOSE($D$61,$G$3,$L$3,$Q$3,$V$3)*$G$61/100)/$H$61,0)))</f>
        <v/>
      </c>
      <c r="D156">
        <f>IF(OR($B$61="",$B$4=""),0,IF($E$61&gt;0,CHOOSE($D$61,$G$4,$L$4,$Q$4,$V$4)*$E$61/100,IFERROR((CHOOSE($D$61,$G$4,$L$4,$Q$4,$V$4)-CHOOSE($D$61,$G$4,$L$4,$Q$4,$V$4)*$G$61/100)/$H$61,0)))</f>
        <v/>
      </c>
      <c r="E156">
        <f>IF(OR($B$61="",$B$5=""),0,IF($E$61&gt;0,CHOOSE($D$61,$G$5,$L$5,$Q$5,$V$5)*$E$61/100,IFERROR((CHOOSE($D$61,$G$5,$L$5,$Q$5,$V$5)-CHOOSE($D$61,$G$5,$L$5,$Q$5,$V$5)*$G$61/100)/$H$61,0)))</f>
        <v/>
      </c>
      <c r="F156">
        <f>IF(OR($B$61="",$B$6=""),0,IF($E$61&gt;0,CHOOSE($D$61,$G$6,$L$6,$Q$6,$V$6)*$E$61/100,IFERROR((CHOOSE($D$61,$G$6,$L$6,$Q$6,$V$6)-CHOOSE($D$61,$G$6,$L$6,$Q$6,$V$6)*$G$61/100)/$H$61,0)))</f>
        <v/>
      </c>
      <c r="G156">
        <f>IF(OR($B$61="",$B$7=""),0,IF($E$61&gt;0,CHOOSE($D$61,$G$7,$L$7,$Q$7,$V$7)*$E$61/100,IFERROR((CHOOSE($D$61,$G$7,$L$7,$Q$7,$V$7)-CHOOSE($D$61,$G$7,$L$7,$Q$7,$V$7)*$G$61/100)/$H$61,0)))</f>
        <v/>
      </c>
      <c r="H156">
        <f>IF(OR($B$61="",$B$8=""),0,IF($E$61&gt;0,CHOOSE($D$61,$G$8,$L$8,$Q$8,$V$8)*$E$61/100,IFERROR((CHOOSE($D$61,$G$8,$L$8,$Q$8,$V$8)-CHOOSE($D$61,$G$8,$L$8,$Q$8,$V$8)*$G$61/100)/$H$61,0)))</f>
        <v/>
      </c>
      <c r="I156">
        <f>IF(OR($B$61="",$B$9=""),0,IF($E$61&gt;0,CHOOSE($D$61,$G$9,$L$9,$Q$9,$V$9)*$E$61/100,IFERROR((CHOOSE($D$61,$G$9,$L$9,$Q$9,$V$9)-CHOOSE($D$61,$G$9,$L$9,$Q$9,$V$9)*$G$61/100)/$H$61,0)))</f>
        <v/>
      </c>
      <c r="J156">
        <f>IF(OR($B$61="",$B$10=""),0,IF($E$61&gt;0,CHOOSE($D$61,$G$10,$L$10,$Q$10,$V$10)*$E$61/100,IFERROR((CHOOSE($D$61,$G$10,$L$10,$Q$10,$V$10)-CHOOSE($D$61,$G$10,$L$10,$Q$10,$V$10)*$G$61/100)/$H$61,0)))</f>
        <v/>
      </c>
      <c r="K156">
        <f>IF(OR($B$61="",$B$11=""),0,IF($E$61&gt;0,CHOOSE($D$61,$G$11,$L$11,$Q$11,$V$11)*$E$61/100,IFERROR((CHOOSE($D$61,$G$11,$L$11,$Q$11,$V$11)-CHOOSE($D$61,$G$11,$L$11,$Q$11,$V$11)*$G$61/100)/$H$61,0)))</f>
        <v/>
      </c>
      <c r="L156">
        <f>IF(OR($B$61="",$B$12=""),0,IF($E$61&gt;0,CHOOSE($D$61,$G$12,$L$12,$Q$12,$V$12)*$E$61/100,IFERROR((CHOOSE($D$61,$G$12,$L$12,$Q$12,$V$12)-CHOOSE($D$61,$G$12,$L$12,$Q$12,$V$12)*$G$61/100)/$H$61,0)))</f>
        <v/>
      </c>
      <c r="M156">
        <f>IF(OR($B$61="",$B$13=""),0,IF($E$61&gt;0,CHOOSE($D$61,$G$13,$L$13,$Q$13,$V$13)*$E$61/100,IFERROR((CHOOSE($D$61,$G$13,$L$13,$Q$13,$V$13)-CHOOSE($D$61,$G$13,$L$13,$Q$13,$V$13)*$G$61/100)/$H$61,0)))</f>
        <v/>
      </c>
      <c r="N156">
        <f>IF(OR($B$61="",$B$14=""),0,IF($E$61&gt;0,CHOOSE($D$61,$G$14,$L$14,$Q$14,$V$14)*$E$61/100,IFERROR((CHOOSE($D$61,$G$14,$L$14,$Q$14,$V$14)-CHOOSE($D$61,$G$14,$L$14,$Q$14,$V$14)*$G$61/100)/$H$61,0)))</f>
        <v/>
      </c>
      <c r="O156">
        <f>IF(OR($B$61="",$B$15=""),0,IF($E$61&gt;0,CHOOSE($D$61,$G$15,$L$15,$Q$15,$V$15)*$E$61/100,IFERROR((CHOOSE($D$61,$G$15,$L$15,$Q$15,$V$15)-CHOOSE($D$61,$G$15,$L$15,$Q$15,$V$15)*$G$61/100)/$H$61,0)))</f>
        <v/>
      </c>
      <c r="P156">
        <f>IF(OR($B$61="",$B$16=""),0,IF($E$61&gt;0,CHOOSE($D$61,$G$16,$L$16,$Q$16,$V$16)*$E$61/100,IFERROR((CHOOSE($D$61,$G$16,$L$16,$Q$16,$V$16)-CHOOSE($D$61,$G$16,$L$16,$Q$16,$V$16)*$G$61/100)/$H$61,0)))</f>
        <v/>
      </c>
      <c r="Q156">
        <f>IF(OR($B$61="",$B$17=""),0,IF($E$61&gt;0,CHOOSE($D$61,$G$17,$L$17,$Q$17,$V$17)*$E$61/100,IFERROR((CHOOSE($D$61,$G$17,$L$17,$Q$17,$V$17)-CHOOSE($D$61,$G$17,$L$17,$Q$17,$V$17)*$G$61/100)/$H$61,0)))</f>
        <v/>
      </c>
      <c r="R156">
        <f>IF(OR($B$61="",$B$18=""),0,IF($E$61&gt;0,CHOOSE($D$61,$G$18,$L$18,$Q$18,$V$18)*$E$61/100,IFERROR((CHOOSE($D$61,$G$18,$L$18,$Q$18,$V$18)-CHOOSE($D$61,$G$18,$L$18,$Q$18,$V$18)*$G$61/100)/$H$61,0)))</f>
        <v/>
      </c>
      <c r="S156">
        <f>IF(OR($B$61="",$B$19=""),0,IF($E$61&gt;0,CHOOSE($D$61,$G$19,$L$19,$Q$19,$V$19)*$E$61/100,IFERROR((CHOOSE($D$61,$G$19,$L$19,$Q$19,$V$19)-CHOOSE($D$61,$G$19,$L$19,$Q$19,$V$19)*$G$61/100)/$H$61,0)))</f>
        <v/>
      </c>
      <c r="T156">
        <f>IF(OR($B$61="",$B$20=""),0,IF($E$61&gt;0,CHOOSE($D$61,$G$20,$L$20,$Q$20,$V$20)*$E$61/100,IFERROR((CHOOSE($D$61,$G$20,$L$20,$Q$20,$V$20)-CHOOSE($D$61,$G$20,$L$20,$Q$20,$V$20)*$G$61/100)/$H$61,0)))</f>
        <v/>
      </c>
      <c r="U156">
        <f>IF(OR($B$61="",$B$21=""),0,IF($E$61&gt;0,CHOOSE($D$61,$G$21,$L$21,$Q$21,$V$21)*$E$61/100,IFERROR((CHOOSE($D$61,$G$21,$L$21,$Q$21,$V$21)-CHOOSE($D$61,$G$21,$L$21,$Q$21,$V$21)*$G$61/100)/$H$61,0)))</f>
        <v/>
      </c>
      <c r="V156">
        <f>IF(OR($B$61="",$B$22=""),0,IF($E$61&gt;0,CHOOSE($D$61,$G$22,$L$22,$Q$22,$V$22)*$E$61/100,IFERROR((CHOOSE($D$61,$G$22,$L$22,$Q$22,$V$22)-CHOOSE($D$61,$G$22,$L$22,$Q$22,$V$22)*$G$61/100)/$H$61,0)))</f>
        <v/>
      </c>
    </row>
    <row r="157">
      <c r="A157" t="n">
        <v>24</v>
      </c>
      <c r="B157">
        <f>B62</f>
        <v/>
      </c>
      <c r="C157">
        <f>IF(OR($B$62="",$B$3=""),0,IF($E$62&gt;0,CHOOSE($D$62,$G$3,$L$3,$Q$3,$V$3)*$E$62/100,IFERROR((CHOOSE($D$62,$G$3,$L$3,$Q$3,$V$3)-CHOOSE($D$62,$G$3,$L$3,$Q$3,$V$3)*$G$62/100)/$H$62,0)))</f>
        <v/>
      </c>
      <c r="D157">
        <f>IF(OR($B$62="",$B$4=""),0,IF($E$62&gt;0,CHOOSE($D$62,$G$4,$L$4,$Q$4,$V$4)*$E$62/100,IFERROR((CHOOSE($D$62,$G$4,$L$4,$Q$4,$V$4)-CHOOSE($D$62,$G$4,$L$4,$Q$4,$V$4)*$G$62/100)/$H$62,0)))</f>
        <v/>
      </c>
      <c r="E157">
        <f>IF(OR($B$62="",$B$5=""),0,IF($E$62&gt;0,CHOOSE($D$62,$G$5,$L$5,$Q$5,$V$5)*$E$62/100,IFERROR((CHOOSE($D$62,$G$5,$L$5,$Q$5,$V$5)-CHOOSE($D$62,$G$5,$L$5,$Q$5,$V$5)*$G$62/100)/$H$62,0)))</f>
        <v/>
      </c>
      <c r="F157">
        <f>IF(OR($B$62="",$B$6=""),0,IF($E$62&gt;0,CHOOSE($D$62,$G$6,$L$6,$Q$6,$V$6)*$E$62/100,IFERROR((CHOOSE($D$62,$G$6,$L$6,$Q$6,$V$6)-CHOOSE($D$62,$G$6,$L$6,$Q$6,$V$6)*$G$62/100)/$H$62,0)))</f>
        <v/>
      </c>
      <c r="G157">
        <f>IF(OR($B$62="",$B$7=""),0,IF($E$62&gt;0,CHOOSE($D$62,$G$7,$L$7,$Q$7,$V$7)*$E$62/100,IFERROR((CHOOSE($D$62,$G$7,$L$7,$Q$7,$V$7)-CHOOSE($D$62,$G$7,$L$7,$Q$7,$V$7)*$G$62/100)/$H$62,0)))</f>
        <v/>
      </c>
      <c r="H157">
        <f>IF(OR($B$62="",$B$8=""),0,IF($E$62&gt;0,CHOOSE($D$62,$G$8,$L$8,$Q$8,$V$8)*$E$62/100,IFERROR((CHOOSE($D$62,$G$8,$L$8,$Q$8,$V$8)-CHOOSE($D$62,$G$8,$L$8,$Q$8,$V$8)*$G$62/100)/$H$62,0)))</f>
        <v/>
      </c>
      <c r="I157">
        <f>IF(OR($B$62="",$B$9=""),0,IF($E$62&gt;0,CHOOSE($D$62,$G$9,$L$9,$Q$9,$V$9)*$E$62/100,IFERROR((CHOOSE($D$62,$G$9,$L$9,$Q$9,$V$9)-CHOOSE($D$62,$G$9,$L$9,$Q$9,$V$9)*$G$62/100)/$H$62,0)))</f>
        <v/>
      </c>
      <c r="J157">
        <f>IF(OR($B$62="",$B$10=""),0,IF($E$62&gt;0,CHOOSE($D$62,$G$10,$L$10,$Q$10,$V$10)*$E$62/100,IFERROR((CHOOSE($D$62,$G$10,$L$10,$Q$10,$V$10)-CHOOSE($D$62,$G$10,$L$10,$Q$10,$V$10)*$G$62/100)/$H$62,0)))</f>
        <v/>
      </c>
      <c r="K157">
        <f>IF(OR($B$62="",$B$11=""),0,IF($E$62&gt;0,CHOOSE($D$62,$G$11,$L$11,$Q$11,$V$11)*$E$62/100,IFERROR((CHOOSE($D$62,$G$11,$L$11,$Q$11,$V$11)-CHOOSE($D$62,$G$11,$L$11,$Q$11,$V$11)*$G$62/100)/$H$62,0)))</f>
        <v/>
      </c>
      <c r="L157">
        <f>IF(OR($B$62="",$B$12=""),0,IF($E$62&gt;0,CHOOSE($D$62,$G$12,$L$12,$Q$12,$V$12)*$E$62/100,IFERROR((CHOOSE($D$62,$G$12,$L$12,$Q$12,$V$12)-CHOOSE($D$62,$G$12,$L$12,$Q$12,$V$12)*$G$62/100)/$H$62,0)))</f>
        <v/>
      </c>
      <c r="M157">
        <f>IF(OR($B$62="",$B$13=""),0,IF($E$62&gt;0,CHOOSE($D$62,$G$13,$L$13,$Q$13,$V$13)*$E$62/100,IFERROR((CHOOSE($D$62,$G$13,$L$13,$Q$13,$V$13)-CHOOSE($D$62,$G$13,$L$13,$Q$13,$V$13)*$G$62/100)/$H$62,0)))</f>
        <v/>
      </c>
      <c r="N157">
        <f>IF(OR($B$62="",$B$14=""),0,IF($E$62&gt;0,CHOOSE($D$62,$G$14,$L$14,$Q$14,$V$14)*$E$62/100,IFERROR((CHOOSE($D$62,$G$14,$L$14,$Q$14,$V$14)-CHOOSE($D$62,$G$14,$L$14,$Q$14,$V$14)*$G$62/100)/$H$62,0)))</f>
        <v/>
      </c>
      <c r="O157">
        <f>IF(OR($B$62="",$B$15=""),0,IF($E$62&gt;0,CHOOSE($D$62,$G$15,$L$15,$Q$15,$V$15)*$E$62/100,IFERROR((CHOOSE($D$62,$G$15,$L$15,$Q$15,$V$15)-CHOOSE($D$62,$G$15,$L$15,$Q$15,$V$15)*$G$62/100)/$H$62,0)))</f>
        <v/>
      </c>
      <c r="P157">
        <f>IF(OR($B$62="",$B$16=""),0,IF($E$62&gt;0,CHOOSE($D$62,$G$16,$L$16,$Q$16,$V$16)*$E$62/100,IFERROR((CHOOSE($D$62,$G$16,$L$16,$Q$16,$V$16)-CHOOSE($D$62,$G$16,$L$16,$Q$16,$V$16)*$G$62/100)/$H$62,0)))</f>
        <v/>
      </c>
      <c r="Q157">
        <f>IF(OR($B$62="",$B$17=""),0,IF($E$62&gt;0,CHOOSE($D$62,$G$17,$L$17,$Q$17,$V$17)*$E$62/100,IFERROR((CHOOSE($D$62,$G$17,$L$17,$Q$17,$V$17)-CHOOSE($D$62,$G$17,$L$17,$Q$17,$V$17)*$G$62/100)/$H$62,0)))</f>
        <v/>
      </c>
      <c r="R157">
        <f>IF(OR($B$62="",$B$18=""),0,IF($E$62&gt;0,CHOOSE($D$62,$G$18,$L$18,$Q$18,$V$18)*$E$62/100,IFERROR((CHOOSE($D$62,$G$18,$L$18,$Q$18,$V$18)-CHOOSE($D$62,$G$18,$L$18,$Q$18,$V$18)*$G$62/100)/$H$62,0)))</f>
        <v/>
      </c>
      <c r="S157">
        <f>IF(OR($B$62="",$B$19=""),0,IF($E$62&gt;0,CHOOSE($D$62,$G$19,$L$19,$Q$19,$V$19)*$E$62/100,IFERROR((CHOOSE($D$62,$G$19,$L$19,$Q$19,$V$19)-CHOOSE($D$62,$G$19,$L$19,$Q$19,$V$19)*$G$62/100)/$H$62,0)))</f>
        <v/>
      </c>
      <c r="T157">
        <f>IF(OR($B$62="",$B$20=""),0,IF($E$62&gt;0,CHOOSE($D$62,$G$20,$L$20,$Q$20,$V$20)*$E$62/100,IFERROR((CHOOSE($D$62,$G$20,$L$20,$Q$20,$V$20)-CHOOSE($D$62,$G$20,$L$20,$Q$20,$V$20)*$G$62/100)/$H$62,0)))</f>
        <v/>
      </c>
      <c r="U157">
        <f>IF(OR($B$62="",$B$21=""),0,IF($E$62&gt;0,CHOOSE($D$62,$G$21,$L$21,$Q$21,$V$21)*$E$62/100,IFERROR((CHOOSE($D$62,$G$21,$L$21,$Q$21,$V$21)-CHOOSE($D$62,$G$21,$L$21,$Q$21,$V$21)*$G$62/100)/$H$62,0)))</f>
        <v/>
      </c>
      <c r="V157">
        <f>IF(OR($B$62="",$B$22=""),0,IF($E$62&gt;0,CHOOSE($D$62,$G$22,$L$22,$Q$22,$V$22)*$E$62/100,IFERROR((CHOOSE($D$62,$G$22,$L$22,$Q$22,$V$22)-CHOOSE($D$62,$G$22,$L$22,$Q$22,$V$22)*$G$62/100)/$H$62,0)))</f>
        <v/>
      </c>
    </row>
    <row r="158">
      <c r="A158" t="n">
        <v>25</v>
      </c>
      <c r="B158">
        <f>B63</f>
        <v/>
      </c>
      <c r="C158">
        <f>IF(OR($B$63="",$B$3=""),0,IF($E$63&gt;0,CHOOSE($D$63,$G$3,$L$3,$Q$3,$V$3)*$E$63/100,IFERROR((CHOOSE($D$63,$G$3,$L$3,$Q$3,$V$3)-CHOOSE($D$63,$G$3,$L$3,$Q$3,$V$3)*$G$63/100)/$H$63,0)))</f>
        <v/>
      </c>
      <c r="D158">
        <f>IF(OR($B$63="",$B$4=""),0,IF($E$63&gt;0,CHOOSE($D$63,$G$4,$L$4,$Q$4,$V$4)*$E$63/100,IFERROR((CHOOSE($D$63,$G$4,$L$4,$Q$4,$V$4)-CHOOSE($D$63,$G$4,$L$4,$Q$4,$V$4)*$G$63/100)/$H$63,0)))</f>
        <v/>
      </c>
      <c r="E158">
        <f>IF(OR($B$63="",$B$5=""),0,IF($E$63&gt;0,CHOOSE($D$63,$G$5,$L$5,$Q$5,$V$5)*$E$63/100,IFERROR((CHOOSE($D$63,$G$5,$L$5,$Q$5,$V$5)-CHOOSE($D$63,$G$5,$L$5,$Q$5,$V$5)*$G$63/100)/$H$63,0)))</f>
        <v/>
      </c>
      <c r="F158">
        <f>IF(OR($B$63="",$B$6=""),0,IF($E$63&gt;0,CHOOSE($D$63,$G$6,$L$6,$Q$6,$V$6)*$E$63/100,IFERROR((CHOOSE($D$63,$G$6,$L$6,$Q$6,$V$6)-CHOOSE($D$63,$G$6,$L$6,$Q$6,$V$6)*$G$63/100)/$H$63,0)))</f>
        <v/>
      </c>
      <c r="G158">
        <f>IF(OR($B$63="",$B$7=""),0,IF($E$63&gt;0,CHOOSE($D$63,$G$7,$L$7,$Q$7,$V$7)*$E$63/100,IFERROR((CHOOSE($D$63,$G$7,$L$7,$Q$7,$V$7)-CHOOSE($D$63,$G$7,$L$7,$Q$7,$V$7)*$G$63/100)/$H$63,0)))</f>
        <v/>
      </c>
      <c r="H158">
        <f>IF(OR($B$63="",$B$8=""),0,IF($E$63&gt;0,CHOOSE($D$63,$G$8,$L$8,$Q$8,$V$8)*$E$63/100,IFERROR((CHOOSE($D$63,$G$8,$L$8,$Q$8,$V$8)-CHOOSE($D$63,$G$8,$L$8,$Q$8,$V$8)*$G$63/100)/$H$63,0)))</f>
        <v/>
      </c>
      <c r="I158">
        <f>IF(OR($B$63="",$B$9=""),0,IF($E$63&gt;0,CHOOSE($D$63,$G$9,$L$9,$Q$9,$V$9)*$E$63/100,IFERROR((CHOOSE($D$63,$G$9,$L$9,$Q$9,$V$9)-CHOOSE($D$63,$G$9,$L$9,$Q$9,$V$9)*$G$63/100)/$H$63,0)))</f>
        <v/>
      </c>
      <c r="J158">
        <f>IF(OR($B$63="",$B$10=""),0,IF($E$63&gt;0,CHOOSE($D$63,$G$10,$L$10,$Q$10,$V$10)*$E$63/100,IFERROR((CHOOSE($D$63,$G$10,$L$10,$Q$10,$V$10)-CHOOSE($D$63,$G$10,$L$10,$Q$10,$V$10)*$G$63/100)/$H$63,0)))</f>
        <v/>
      </c>
      <c r="K158">
        <f>IF(OR($B$63="",$B$11=""),0,IF($E$63&gt;0,CHOOSE($D$63,$G$11,$L$11,$Q$11,$V$11)*$E$63/100,IFERROR((CHOOSE($D$63,$G$11,$L$11,$Q$11,$V$11)-CHOOSE($D$63,$G$11,$L$11,$Q$11,$V$11)*$G$63/100)/$H$63,0)))</f>
        <v/>
      </c>
      <c r="L158">
        <f>IF(OR($B$63="",$B$12=""),0,IF($E$63&gt;0,CHOOSE($D$63,$G$12,$L$12,$Q$12,$V$12)*$E$63/100,IFERROR((CHOOSE($D$63,$G$12,$L$12,$Q$12,$V$12)-CHOOSE($D$63,$G$12,$L$12,$Q$12,$V$12)*$G$63/100)/$H$63,0)))</f>
        <v/>
      </c>
      <c r="M158">
        <f>IF(OR($B$63="",$B$13=""),0,IF($E$63&gt;0,CHOOSE($D$63,$G$13,$L$13,$Q$13,$V$13)*$E$63/100,IFERROR((CHOOSE($D$63,$G$13,$L$13,$Q$13,$V$13)-CHOOSE($D$63,$G$13,$L$13,$Q$13,$V$13)*$G$63/100)/$H$63,0)))</f>
        <v/>
      </c>
      <c r="N158">
        <f>IF(OR($B$63="",$B$14=""),0,IF($E$63&gt;0,CHOOSE($D$63,$G$14,$L$14,$Q$14,$V$14)*$E$63/100,IFERROR((CHOOSE($D$63,$G$14,$L$14,$Q$14,$V$14)-CHOOSE($D$63,$G$14,$L$14,$Q$14,$V$14)*$G$63/100)/$H$63,0)))</f>
        <v/>
      </c>
      <c r="O158">
        <f>IF(OR($B$63="",$B$15=""),0,IF($E$63&gt;0,CHOOSE($D$63,$G$15,$L$15,$Q$15,$V$15)*$E$63/100,IFERROR((CHOOSE($D$63,$G$15,$L$15,$Q$15,$V$15)-CHOOSE($D$63,$G$15,$L$15,$Q$15,$V$15)*$G$63/100)/$H$63,0)))</f>
        <v/>
      </c>
      <c r="P158">
        <f>IF(OR($B$63="",$B$16=""),0,IF($E$63&gt;0,CHOOSE($D$63,$G$16,$L$16,$Q$16,$V$16)*$E$63/100,IFERROR((CHOOSE($D$63,$G$16,$L$16,$Q$16,$V$16)-CHOOSE($D$63,$G$16,$L$16,$Q$16,$V$16)*$G$63/100)/$H$63,0)))</f>
        <v/>
      </c>
      <c r="Q158">
        <f>IF(OR($B$63="",$B$17=""),0,IF($E$63&gt;0,CHOOSE($D$63,$G$17,$L$17,$Q$17,$V$17)*$E$63/100,IFERROR((CHOOSE($D$63,$G$17,$L$17,$Q$17,$V$17)-CHOOSE($D$63,$G$17,$L$17,$Q$17,$V$17)*$G$63/100)/$H$63,0)))</f>
        <v/>
      </c>
      <c r="R158">
        <f>IF(OR($B$63="",$B$18=""),0,IF($E$63&gt;0,CHOOSE($D$63,$G$18,$L$18,$Q$18,$V$18)*$E$63/100,IFERROR((CHOOSE($D$63,$G$18,$L$18,$Q$18,$V$18)-CHOOSE($D$63,$G$18,$L$18,$Q$18,$V$18)*$G$63/100)/$H$63,0)))</f>
        <v/>
      </c>
      <c r="S158">
        <f>IF(OR($B$63="",$B$19=""),0,IF($E$63&gt;0,CHOOSE($D$63,$G$19,$L$19,$Q$19,$V$19)*$E$63/100,IFERROR((CHOOSE($D$63,$G$19,$L$19,$Q$19,$V$19)-CHOOSE($D$63,$G$19,$L$19,$Q$19,$V$19)*$G$63/100)/$H$63,0)))</f>
        <v/>
      </c>
      <c r="T158">
        <f>IF(OR($B$63="",$B$20=""),0,IF($E$63&gt;0,CHOOSE($D$63,$G$20,$L$20,$Q$20,$V$20)*$E$63/100,IFERROR((CHOOSE($D$63,$G$20,$L$20,$Q$20,$V$20)-CHOOSE($D$63,$G$20,$L$20,$Q$20,$V$20)*$G$63/100)/$H$63,0)))</f>
        <v/>
      </c>
      <c r="U158">
        <f>IF(OR($B$63="",$B$21=""),0,IF($E$63&gt;0,CHOOSE($D$63,$G$21,$L$21,$Q$21,$V$21)*$E$63/100,IFERROR((CHOOSE($D$63,$G$21,$L$21,$Q$21,$V$21)-CHOOSE($D$63,$G$21,$L$21,$Q$21,$V$21)*$G$63/100)/$H$63,0)))</f>
        <v/>
      </c>
      <c r="V158">
        <f>IF(OR($B$63="",$B$22=""),0,IF($E$63&gt;0,CHOOSE($D$63,$G$22,$L$22,$Q$22,$V$22)*$E$63/100,IFERROR((CHOOSE($D$63,$G$22,$L$22,$Q$22,$V$22)-CHOOSE($D$63,$G$22,$L$22,$Q$22,$V$22)*$G$63/100)/$H$63,0)))</f>
        <v/>
      </c>
    </row>
    <row r="159">
      <c r="A159" t="n">
        <v>26</v>
      </c>
      <c r="B159">
        <f>B64</f>
        <v/>
      </c>
      <c r="C159">
        <f>IF(OR($B$64="",$B$3=""),0,IF($E$64&gt;0,CHOOSE($D$64,$G$3,$L$3,$Q$3,$V$3)*$E$64/100,IFERROR((CHOOSE($D$64,$G$3,$L$3,$Q$3,$V$3)-CHOOSE($D$64,$G$3,$L$3,$Q$3,$V$3)*$G$64/100)/$H$64,0)))</f>
        <v/>
      </c>
      <c r="D159">
        <f>IF(OR($B$64="",$B$4=""),0,IF($E$64&gt;0,CHOOSE($D$64,$G$4,$L$4,$Q$4,$V$4)*$E$64/100,IFERROR((CHOOSE($D$64,$G$4,$L$4,$Q$4,$V$4)-CHOOSE($D$64,$G$4,$L$4,$Q$4,$V$4)*$G$64/100)/$H$64,0)))</f>
        <v/>
      </c>
      <c r="E159">
        <f>IF(OR($B$64="",$B$5=""),0,IF($E$64&gt;0,CHOOSE($D$64,$G$5,$L$5,$Q$5,$V$5)*$E$64/100,IFERROR((CHOOSE($D$64,$G$5,$L$5,$Q$5,$V$5)-CHOOSE($D$64,$G$5,$L$5,$Q$5,$V$5)*$G$64/100)/$H$64,0)))</f>
        <v/>
      </c>
      <c r="F159">
        <f>IF(OR($B$64="",$B$6=""),0,IF($E$64&gt;0,CHOOSE($D$64,$G$6,$L$6,$Q$6,$V$6)*$E$64/100,IFERROR((CHOOSE($D$64,$G$6,$L$6,$Q$6,$V$6)-CHOOSE($D$64,$G$6,$L$6,$Q$6,$V$6)*$G$64/100)/$H$64,0)))</f>
        <v/>
      </c>
      <c r="G159">
        <f>IF(OR($B$64="",$B$7=""),0,IF($E$64&gt;0,CHOOSE($D$64,$G$7,$L$7,$Q$7,$V$7)*$E$64/100,IFERROR((CHOOSE($D$64,$G$7,$L$7,$Q$7,$V$7)-CHOOSE($D$64,$G$7,$L$7,$Q$7,$V$7)*$G$64/100)/$H$64,0)))</f>
        <v/>
      </c>
      <c r="H159">
        <f>IF(OR($B$64="",$B$8=""),0,IF($E$64&gt;0,CHOOSE($D$64,$G$8,$L$8,$Q$8,$V$8)*$E$64/100,IFERROR((CHOOSE($D$64,$G$8,$L$8,$Q$8,$V$8)-CHOOSE($D$64,$G$8,$L$8,$Q$8,$V$8)*$G$64/100)/$H$64,0)))</f>
        <v/>
      </c>
      <c r="I159">
        <f>IF(OR($B$64="",$B$9=""),0,IF($E$64&gt;0,CHOOSE($D$64,$G$9,$L$9,$Q$9,$V$9)*$E$64/100,IFERROR((CHOOSE($D$64,$G$9,$L$9,$Q$9,$V$9)-CHOOSE($D$64,$G$9,$L$9,$Q$9,$V$9)*$G$64/100)/$H$64,0)))</f>
        <v/>
      </c>
      <c r="J159">
        <f>IF(OR($B$64="",$B$10=""),0,IF($E$64&gt;0,CHOOSE($D$64,$G$10,$L$10,$Q$10,$V$10)*$E$64/100,IFERROR((CHOOSE($D$64,$G$10,$L$10,$Q$10,$V$10)-CHOOSE($D$64,$G$10,$L$10,$Q$10,$V$10)*$G$64/100)/$H$64,0)))</f>
        <v/>
      </c>
      <c r="K159">
        <f>IF(OR($B$64="",$B$11=""),0,IF($E$64&gt;0,CHOOSE($D$64,$G$11,$L$11,$Q$11,$V$11)*$E$64/100,IFERROR((CHOOSE($D$64,$G$11,$L$11,$Q$11,$V$11)-CHOOSE($D$64,$G$11,$L$11,$Q$11,$V$11)*$G$64/100)/$H$64,0)))</f>
        <v/>
      </c>
      <c r="L159">
        <f>IF(OR($B$64="",$B$12=""),0,IF($E$64&gt;0,CHOOSE($D$64,$G$12,$L$12,$Q$12,$V$12)*$E$64/100,IFERROR((CHOOSE($D$64,$G$12,$L$12,$Q$12,$V$12)-CHOOSE($D$64,$G$12,$L$12,$Q$12,$V$12)*$G$64/100)/$H$64,0)))</f>
        <v/>
      </c>
      <c r="M159">
        <f>IF(OR($B$64="",$B$13=""),0,IF($E$64&gt;0,CHOOSE($D$64,$G$13,$L$13,$Q$13,$V$13)*$E$64/100,IFERROR((CHOOSE($D$64,$G$13,$L$13,$Q$13,$V$13)-CHOOSE($D$64,$G$13,$L$13,$Q$13,$V$13)*$G$64/100)/$H$64,0)))</f>
        <v/>
      </c>
      <c r="N159">
        <f>IF(OR($B$64="",$B$14=""),0,IF($E$64&gt;0,CHOOSE($D$64,$G$14,$L$14,$Q$14,$V$14)*$E$64/100,IFERROR((CHOOSE($D$64,$G$14,$L$14,$Q$14,$V$14)-CHOOSE($D$64,$G$14,$L$14,$Q$14,$V$14)*$G$64/100)/$H$64,0)))</f>
        <v/>
      </c>
      <c r="O159">
        <f>IF(OR($B$64="",$B$15=""),0,IF($E$64&gt;0,CHOOSE($D$64,$G$15,$L$15,$Q$15,$V$15)*$E$64/100,IFERROR((CHOOSE($D$64,$G$15,$L$15,$Q$15,$V$15)-CHOOSE($D$64,$G$15,$L$15,$Q$15,$V$15)*$G$64/100)/$H$64,0)))</f>
        <v/>
      </c>
      <c r="P159">
        <f>IF(OR($B$64="",$B$16=""),0,IF($E$64&gt;0,CHOOSE($D$64,$G$16,$L$16,$Q$16,$V$16)*$E$64/100,IFERROR((CHOOSE($D$64,$G$16,$L$16,$Q$16,$V$16)-CHOOSE($D$64,$G$16,$L$16,$Q$16,$V$16)*$G$64/100)/$H$64,0)))</f>
        <v/>
      </c>
      <c r="Q159">
        <f>IF(OR($B$64="",$B$17=""),0,IF($E$64&gt;0,CHOOSE($D$64,$G$17,$L$17,$Q$17,$V$17)*$E$64/100,IFERROR((CHOOSE($D$64,$G$17,$L$17,$Q$17,$V$17)-CHOOSE($D$64,$G$17,$L$17,$Q$17,$V$17)*$G$64/100)/$H$64,0)))</f>
        <v/>
      </c>
      <c r="R159">
        <f>IF(OR($B$64="",$B$18=""),0,IF($E$64&gt;0,CHOOSE($D$64,$G$18,$L$18,$Q$18,$V$18)*$E$64/100,IFERROR((CHOOSE($D$64,$G$18,$L$18,$Q$18,$V$18)-CHOOSE($D$64,$G$18,$L$18,$Q$18,$V$18)*$G$64/100)/$H$64,0)))</f>
        <v/>
      </c>
      <c r="S159">
        <f>IF(OR($B$64="",$B$19=""),0,IF($E$64&gt;0,CHOOSE($D$64,$G$19,$L$19,$Q$19,$V$19)*$E$64/100,IFERROR((CHOOSE($D$64,$G$19,$L$19,$Q$19,$V$19)-CHOOSE($D$64,$G$19,$L$19,$Q$19,$V$19)*$G$64/100)/$H$64,0)))</f>
        <v/>
      </c>
      <c r="T159">
        <f>IF(OR($B$64="",$B$20=""),0,IF($E$64&gt;0,CHOOSE($D$64,$G$20,$L$20,$Q$20,$V$20)*$E$64/100,IFERROR((CHOOSE($D$64,$G$20,$L$20,$Q$20,$V$20)-CHOOSE($D$64,$G$20,$L$20,$Q$20,$V$20)*$G$64/100)/$H$64,0)))</f>
        <v/>
      </c>
      <c r="U159">
        <f>IF(OR($B$64="",$B$21=""),0,IF($E$64&gt;0,CHOOSE($D$64,$G$21,$L$21,$Q$21,$V$21)*$E$64/100,IFERROR((CHOOSE($D$64,$G$21,$L$21,$Q$21,$V$21)-CHOOSE($D$64,$G$21,$L$21,$Q$21,$V$21)*$G$64/100)/$H$64,0)))</f>
        <v/>
      </c>
      <c r="V159">
        <f>IF(OR($B$64="",$B$22=""),0,IF($E$64&gt;0,CHOOSE($D$64,$G$22,$L$22,$Q$22,$V$22)*$E$64/100,IFERROR((CHOOSE($D$64,$G$22,$L$22,$Q$22,$V$22)-CHOOSE($D$64,$G$22,$L$22,$Q$22,$V$22)*$G$64/100)/$H$64,0)))</f>
        <v/>
      </c>
    </row>
    <row r="160">
      <c r="A160" t="n">
        <v>27</v>
      </c>
      <c r="B160">
        <f>B65</f>
        <v/>
      </c>
      <c r="C160">
        <f>IF(OR($B$65="",$B$3=""),0,IF($E$65&gt;0,CHOOSE($D$65,$G$3,$L$3,$Q$3,$V$3)*$E$65/100,IFERROR((CHOOSE($D$65,$G$3,$L$3,$Q$3,$V$3)-CHOOSE($D$65,$G$3,$L$3,$Q$3,$V$3)*$G$65/100)/$H$65,0)))</f>
        <v/>
      </c>
      <c r="D160">
        <f>IF(OR($B$65="",$B$4=""),0,IF($E$65&gt;0,CHOOSE($D$65,$G$4,$L$4,$Q$4,$V$4)*$E$65/100,IFERROR((CHOOSE($D$65,$G$4,$L$4,$Q$4,$V$4)-CHOOSE($D$65,$G$4,$L$4,$Q$4,$V$4)*$G$65/100)/$H$65,0)))</f>
        <v/>
      </c>
      <c r="E160">
        <f>IF(OR($B$65="",$B$5=""),0,IF($E$65&gt;0,CHOOSE($D$65,$G$5,$L$5,$Q$5,$V$5)*$E$65/100,IFERROR((CHOOSE($D$65,$G$5,$L$5,$Q$5,$V$5)-CHOOSE($D$65,$G$5,$L$5,$Q$5,$V$5)*$G$65/100)/$H$65,0)))</f>
        <v/>
      </c>
      <c r="F160">
        <f>IF(OR($B$65="",$B$6=""),0,IF($E$65&gt;0,CHOOSE($D$65,$G$6,$L$6,$Q$6,$V$6)*$E$65/100,IFERROR((CHOOSE($D$65,$G$6,$L$6,$Q$6,$V$6)-CHOOSE($D$65,$G$6,$L$6,$Q$6,$V$6)*$G$65/100)/$H$65,0)))</f>
        <v/>
      </c>
      <c r="G160">
        <f>IF(OR($B$65="",$B$7=""),0,IF($E$65&gt;0,CHOOSE($D$65,$G$7,$L$7,$Q$7,$V$7)*$E$65/100,IFERROR((CHOOSE($D$65,$G$7,$L$7,$Q$7,$V$7)-CHOOSE($D$65,$G$7,$L$7,$Q$7,$V$7)*$G$65/100)/$H$65,0)))</f>
        <v/>
      </c>
      <c r="H160">
        <f>IF(OR($B$65="",$B$8=""),0,IF($E$65&gt;0,CHOOSE($D$65,$G$8,$L$8,$Q$8,$V$8)*$E$65/100,IFERROR((CHOOSE($D$65,$G$8,$L$8,$Q$8,$V$8)-CHOOSE($D$65,$G$8,$L$8,$Q$8,$V$8)*$G$65/100)/$H$65,0)))</f>
        <v/>
      </c>
      <c r="I160">
        <f>IF(OR($B$65="",$B$9=""),0,IF($E$65&gt;0,CHOOSE($D$65,$G$9,$L$9,$Q$9,$V$9)*$E$65/100,IFERROR((CHOOSE($D$65,$G$9,$L$9,$Q$9,$V$9)-CHOOSE($D$65,$G$9,$L$9,$Q$9,$V$9)*$G$65/100)/$H$65,0)))</f>
        <v/>
      </c>
      <c r="J160">
        <f>IF(OR($B$65="",$B$10=""),0,IF($E$65&gt;0,CHOOSE($D$65,$G$10,$L$10,$Q$10,$V$10)*$E$65/100,IFERROR((CHOOSE($D$65,$G$10,$L$10,$Q$10,$V$10)-CHOOSE($D$65,$G$10,$L$10,$Q$10,$V$10)*$G$65/100)/$H$65,0)))</f>
        <v/>
      </c>
      <c r="K160">
        <f>IF(OR($B$65="",$B$11=""),0,IF($E$65&gt;0,CHOOSE($D$65,$G$11,$L$11,$Q$11,$V$11)*$E$65/100,IFERROR((CHOOSE($D$65,$G$11,$L$11,$Q$11,$V$11)-CHOOSE($D$65,$G$11,$L$11,$Q$11,$V$11)*$G$65/100)/$H$65,0)))</f>
        <v/>
      </c>
      <c r="L160">
        <f>IF(OR($B$65="",$B$12=""),0,IF($E$65&gt;0,CHOOSE($D$65,$G$12,$L$12,$Q$12,$V$12)*$E$65/100,IFERROR((CHOOSE($D$65,$G$12,$L$12,$Q$12,$V$12)-CHOOSE($D$65,$G$12,$L$12,$Q$12,$V$12)*$G$65/100)/$H$65,0)))</f>
        <v/>
      </c>
      <c r="M160">
        <f>IF(OR($B$65="",$B$13=""),0,IF($E$65&gt;0,CHOOSE($D$65,$G$13,$L$13,$Q$13,$V$13)*$E$65/100,IFERROR((CHOOSE($D$65,$G$13,$L$13,$Q$13,$V$13)-CHOOSE($D$65,$G$13,$L$13,$Q$13,$V$13)*$G$65/100)/$H$65,0)))</f>
        <v/>
      </c>
      <c r="N160">
        <f>IF(OR($B$65="",$B$14=""),0,IF($E$65&gt;0,CHOOSE($D$65,$G$14,$L$14,$Q$14,$V$14)*$E$65/100,IFERROR((CHOOSE($D$65,$G$14,$L$14,$Q$14,$V$14)-CHOOSE($D$65,$G$14,$L$14,$Q$14,$V$14)*$G$65/100)/$H$65,0)))</f>
        <v/>
      </c>
      <c r="O160">
        <f>IF(OR($B$65="",$B$15=""),0,IF($E$65&gt;0,CHOOSE($D$65,$G$15,$L$15,$Q$15,$V$15)*$E$65/100,IFERROR((CHOOSE($D$65,$G$15,$L$15,$Q$15,$V$15)-CHOOSE($D$65,$G$15,$L$15,$Q$15,$V$15)*$G$65/100)/$H$65,0)))</f>
        <v/>
      </c>
      <c r="P160">
        <f>IF(OR($B$65="",$B$16=""),0,IF($E$65&gt;0,CHOOSE($D$65,$G$16,$L$16,$Q$16,$V$16)*$E$65/100,IFERROR((CHOOSE($D$65,$G$16,$L$16,$Q$16,$V$16)-CHOOSE($D$65,$G$16,$L$16,$Q$16,$V$16)*$G$65/100)/$H$65,0)))</f>
        <v/>
      </c>
      <c r="Q160">
        <f>IF(OR($B$65="",$B$17=""),0,IF($E$65&gt;0,CHOOSE($D$65,$G$17,$L$17,$Q$17,$V$17)*$E$65/100,IFERROR((CHOOSE($D$65,$G$17,$L$17,$Q$17,$V$17)-CHOOSE($D$65,$G$17,$L$17,$Q$17,$V$17)*$G$65/100)/$H$65,0)))</f>
        <v/>
      </c>
      <c r="R160">
        <f>IF(OR($B$65="",$B$18=""),0,IF($E$65&gt;0,CHOOSE($D$65,$G$18,$L$18,$Q$18,$V$18)*$E$65/100,IFERROR((CHOOSE($D$65,$G$18,$L$18,$Q$18,$V$18)-CHOOSE($D$65,$G$18,$L$18,$Q$18,$V$18)*$G$65/100)/$H$65,0)))</f>
        <v/>
      </c>
      <c r="S160">
        <f>IF(OR($B$65="",$B$19=""),0,IF($E$65&gt;0,CHOOSE($D$65,$G$19,$L$19,$Q$19,$V$19)*$E$65/100,IFERROR((CHOOSE($D$65,$G$19,$L$19,$Q$19,$V$19)-CHOOSE($D$65,$G$19,$L$19,$Q$19,$V$19)*$G$65/100)/$H$65,0)))</f>
        <v/>
      </c>
      <c r="T160">
        <f>IF(OR($B$65="",$B$20=""),0,IF($E$65&gt;0,CHOOSE($D$65,$G$20,$L$20,$Q$20,$V$20)*$E$65/100,IFERROR((CHOOSE($D$65,$G$20,$L$20,$Q$20,$V$20)-CHOOSE($D$65,$G$20,$L$20,$Q$20,$V$20)*$G$65/100)/$H$65,0)))</f>
        <v/>
      </c>
      <c r="U160">
        <f>IF(OR($B$65="",$B$21=""),0,IF($E$65&gt;0,CHOOSE($D$65,$G$21,$L$21,$Q$21,$V$21)*$E$65/100,IFERROR((CHOOSE($D$65,$G$21,$L$21,$Q$21,$V$21)-CHOOSE($D$65,$G$21,$L$21,$Q$21,$V$21)*$G$65/100)/$H$65,0)))</f>
        <v/>
      </c>
      <c r="V160">
        <f>IF(OR($B$65="",$B$22=""),0,IF($E$65&gt;0,CHOOSE($D$65,$G$22,$L$22,$Q$22,$V$22)*$E$65/100,IFERROR((CHOOSE($D$65,$G$22,$L$22,$Q$22,$V$22)-CHOOSE($D$65,$G$22,$L$22,$Q$22,$V$22)*$G$65/100)/$H$65,0)))</f>
        <v/>
      </c>
    </row>
    <row r="161">
      <c r="A161" t="n">
        <v>28</v>
      </c>
      <c r="B161">
        <f>B66</f>
        <v/>
      </c>
      <c r="C161">
        <f>IF(OR($B$66="",$B$3=""),0,IF($E$66&gt;0,CHOOSE($D$66,$G$3,$L$3,$Q$3,$V$3)*$E$66/100,IFERROR((CHOOSE($D$66,$G$3,$L$3,$Q$3,$V$3)-CHOOSE($D$66,$G$3,$L$3,$Q$3,$V$3)*$G$66/100)/$H$66,0)))</f>
        <v/>
      </c>
      <c r="D161">
        <f>IF(OR($B$66="",$B$4=""),0,IF($E$66&gt;0,CHOOSE($D$66,$G$4,$L$4,$Q$4,$V$4)*$E$66/100,IFERROR((CHOOSE($D$66,$G$4,$L$4,$Q$4,$V$4)-CHOOSE($D$66,$G$4,$L$4,$Q$4,$V$4)*$G$66/100)/$H$66,0)))</f>
        <v/>
      </c>
      <c r="E161">
        <f>IF(OR($B$66="",$B$5=""),0,IF($E$66&gt;0,CHOOSE($D$66,$G$5,$L$5,$Q$5,$V$5)*$E$66/100,IFERROR((CHOOSE($D$66,$G$5,$L$5,$Q$5,$V$5)-CHOOSE($D$66,$G$5,$L$5,$Q$5,$V$5)*$G$66/100)/$H$66,0)))</f>
        <v/>
      </c>
      <c r="F161">
        <f>IF(OR($B$66="",$B$6=""),0,IF($E$66&gt;0,CHOOSE($D$66,$G$6,$L$6,$Q$6,$V$6)*$E$66/100,IFERROR((CHOOSE($D$66,$G$6,$L$6,$Q$6,$V$6)-CHOOSE($D$66,$G$6,$L$6,$Q$6,$V$6)*$G$66/100)/$H$66,0)))</f>
        <v/>
      </c>
      <c r="G161">
        <f>IF(OR($B$66="",$B$7=""),0,IF($E$66&gt;0,CHOOSE($D$66,$G$7,$L$7,$Q$7,$V$7)*$E$66/100,IFERROR((CHOOSE($D$66,$G$7,$L$7,$Q$7,$V$7)-CHOOSE($D$66,$G$7,$L$7,$Q$7,$V$7)*$G$66/100)/$H$66,0)))</f>
        <v/>
      </c>
      <c r="H161">
        <f>IF(OR($B$66="",$B$8=""),0,IF($E$66&gt;0,CHOOSE($D$66,$G$8,$L$8,$Q$8,$V$8)*$E$66/100,IFERROR((CHOOSE($D$66,$G$8,$L$8,$Q$8,$V$8)-CHOOSE($D$66,$G$8,$L$8,$Q$8,$V$8)*$G$66/100)/$H$66,0)))</f>
        <v/>
      </c>
      <c r="I161">
        <f>IF(OR($B$66="",$B$9=""),0,IF($E$66&gt;0,CHOOSE($D$66,$G$9,$L$9,$Q$9,$V$9)*$E$66/100,IFERROR((CHOOSE($D$66,$G$9,$L$9,$Q$9,$V$9)-CHOOSE($D$66,$G$9,$L$9,$Q$9,$V$9)*$G$66/100)/$H$66,0)))</f>
        <v/>
      </c>
      <c r="J161">
        <f>IF(OR($B$66="",$B$10=""),0,IF($E$66&gt;0,CHOOSE($D$66,$G$10,$L$10,$Q$10,$V$10)*$E$66/100,IFERROR((CHOOSE($D$66,$G$10,$L$10,$Q$10,$V$10)-CHOOSE($D$66,$G$10,$L$10,$Q$10,$V$10)*$G$66/100)/$H$66,0)))</f>
        <v/>
      </c>
      <c r="K161">
        <f>IF(OR($B$66="",$B$11=""),0,IF($E$66&gt;0,CHOOSE($D$66,$G$11,$L$11,$Q$11,$V$11)*$E$66/100,IFERROR((CHOOSE($D$66,$G$11,$L$11,$Q$11,$V$11)-CHOOSE($D$66,$G$11,$L$11,$Q$11,$V$11)*$G$66/100)/$H$66,0)))</f>
        <v/>
      </c>
      <c r="L161">
        <f>IF(OR($B$66="",$B$12=""),0,IF($E$66&gt;0,CHOOSE($D$66,$G$12,$L$12,$Q$12,$V$12)*$E$66/100,IFERROR((CHOOSE($D$66,$G$12,$L$12,$Q$12,$V$12)-CHOOSE($D$66,$G$12,$L$12,$Q$12,$V$12)*$G$66/100)/$H$66,0)))</f>
        <v/>
      </c>
      <c r="M161">
        <f>IF(OR($B$66="",$B$13=""),0,IF($E$66&gt;0,CHOOSE($D$66,$G$13,$L$13,$Q$13,$V$13)*$E$66/100,IFERROR((CHOOSE($D$66,$G$13,$L$13,$Q$13,$V$13)-CHOOSE($D$66,$G$13,$L$13,$Q$13,$V$13)*$G$66/100)/$H$66,0)))</f>
        <v/>
      </c>
      <c r="N161">
        <f>IF(OR($B$66="",$B$14=""),0,IF($E$66&gt;0,CHOOSE($D$66,$G$14,$L$14,$Q$14,$V$14)*$E$66/100,IFERROR((CHOOSE($D$66,$G$14,$L$14,$Q$14,$V$14)-CHOOSE($D$66,$G$14,$L$14,$Q$14,$V$14)*$G$66/100)/$H$66,0)))</f>
        <v/>
      </c>
      <c r="O161">
        <f>IF(OR($B$66="",$B$15=""),0,IF($E$66&gt;0,CHOOSE($D$66,$G$15,$L$15,$Q$15,$V$15)*$E$66/100,IFERROR((CHOOSE($D$66,$G$15,$L$15,$Q$15,$V$15)-CHOOSE($D$66,$G$15,$L$15,$Q$15,$V$15)*$G$66/100)/$H$66,0)))</f>
        <v/>
      </c>
      <c r="P161">
        <f>IF(OR($B$66="",$B$16=""),0,IF($E$66&gt;0,CHOOSE($D$66,$G$16,$L$16,$Q$16,$V$16)*$E$66/100,IFERROR((CHOOSE($D$66,$G$16,$L$16,$Q$16,$V$16)-CHOOSE($D$66,$G$16,$L$16,$Q$16,$V$16)*$G$66/100)/$H$66,0)))</f>
        <v/>
      </c>
      <c r="Q161">
        <f>IF(OR($B$66="",$B$17=""),0,IF($E$66&gt;0,CHOOSE($D$66,$G$17,$L$17,$Q$17,$V$17)*$E$66/100,IFERROR((CHOOSE($D$66,$G$17,$L$17,$Q$17,$V$17)-CHOOSE($D$66,$G$17,$L$17,$Q$17,$V$17)*$G$66/100)/$H$66,0)))</f>
        <v/>
      </c>
      <c r="R161">
        <f>IF(OR($B$66="",$B$18=""),0,IF($E$66&gt;0,CHOOSE($D$66,$G$18,$L$18,$Q$18,$V$18)*$E$66/100,IFERROR((CHOOSE($D$66,$G$18,$L$18,$Q$18,$V$18)-CHOOSE($D$66,$G$18,$L$18,$Q$18,$V$18)*$G$66/100)/$H$66,0)))</f>
        <v/>
      </c>
      <c r="S161">
        <f>IF(OR($B$66="",$B$19=""),0,IF($E$66&gt;0,CHOOSE($D$66,$G$19,$L$19,$Q$19,$V$19)*$E$66/100,IFERROR((CHOOSE($D$66,$G$19,$L$19,$Q$19,$V$19)-CHOOSE($D$66,$G$19,$L$19,$Q$19,$V$19)*$G$66/100)/$H$66,0)))</f>
        <v/>
      </c>
      <c r="T161">
        <f>IF(OR($B$66="",$B$20=""),0,IF($E$66&gt;0,CHOOSE($D$66,$G$20,$L$20,$Q$20,$V$20)*$E$66/100,IFERROR((CHOOSE($D$66,$G$20,$L$20,$Q$20,$V$20)-CHOOSE($D$66,$G$20,$L$20,$Q$20,$V$20)*$G$66/100)/$H$66,0)))</f>
        <v/>
      </c>
      <c r="U161">
        <f>IF(OR($B$66="",$B$21=""),0,IF($E$66&gt;0,CHOOSE($D$66,$G$21,$L$21,$Q$21,$V$21)*$E$66/100,IFERROR((CHOOSE($D$66,$G$21,$L$21,$Q$21,$V$21)-CHOOSE($D$66,$G$21,$L$21,$Q$21,$V$21)*$G$66/100)/$H$66,0)))</f>
        <v/>
      </c>
      <c r="V161">
        <f>IF(OR($B$66="",$B$22=""),0,IF($E$66&gt;0,CHOOSE($D$66,$G$22,$L$22,$Q$22,$V$22)*$E$66/100,IFERROR((CHOOSE($D$66,$G$22,$L$22,$Q$22,$V$22)-CHOOSE($D$66,$G$22,$L$22,$Q$22,$V$22)*$G$66/100)/$H$66,0)))</f>
        <v/>
      </c>
    </row>
    <row r="162">
      <c r="A162" t="n">
        <v>29</v>
      </c>
      <c r="B162">
        <f>B67</f>
        <v/>
      </c>
      <c r="C162">
        <f>IF(OR($B$67="",$B$3=""),0,IF($E$67&gt;0,CHOOSE($D$67,$G$3,$L$3,$Q$3,$V$3)*$E$67/100,IFERROR((CHOOSE($D$67,$G$3,$L$3,$Q$3,$V$3)-CHOOSE($D$67,$G$3,$L$3,$Q$3,$V$3)*$G$67/100)/$H$67,0)))</f>
        <v/>
      </c>
      <c r="D162">
        <f>IF(OR($B$67="",$B$4=""),0,IF($E$67&gt;0,CHOOSE($D$67,$G$4,$L$4,$Q$4,$V$4)*$E$67/100,IFERROR((CHOOSE($D$67,$G$4,$L$4,$Q$4,$V$4)-CHOOSE($D$67,$G$4,$L$4,$Q$4,$V$4)*$G$67/100)/$H$67,0)))</f>
        <v/>
      </c>
      <c r="E162">
        <f>IF(OR($B$67="",$B$5=""),0,IF($E$67&gt;0,CHOOSE($D$67,$G$5,$L$5,$Q$5,$V$5)*$E$67/100,IFERROR((CHOOSE($D$67,$G$5,$L$5,$Q$5,$V$5)-CHOOSE($D$67,$G$5,$L$5,$Q$5,$V$5)*$G$67/100)/$H$67,0)))</f>
        <v/>
      </c>
      <c r="F162">
        <f>IF(OR($B$67="",$B$6=""),0,IF($E$67&gt;0,CHOOSE($D$67,$G$6,$L$6,$Q$6,$V$6)*$E$67/100,IFERROR((CHOOSE($D$67,$G$6,$L$6,$Q$6,$V$6)-CHOOSE($D$67,$G$6,$L$6,$Q$6,$V$6)*$G$67/100)/$H$67,0)))</f>
        <v/>
      </c>
      <c r="G162">
        <f>IF(OR($B$67="",$B$7=""),0,IF($E$67&gt;0,CHOOSE($D$67,$G$7,$L$7,$Q$7,$V$7)*$E$67/100,IFERROR((CHOOSE($D$67,$G$7,$L$7,$Q$7,$V$7)-CHOOSE($D$67,$G$7,$L$7,$Q$7,$V$7)*$G$67/100)/$H$67,0)))</f>
        <v/>
      </c>
      <c r="H162">
        <f>IF(OR($B$67="",$B$8=""),0,IF($E$67&gt;0,CHOOSE($D$67,$G$8,$L$8,$Q$8,$V$8)*$E$67/100,IFERROR((CHOOSE($D$67,$G$8,$L$8,$Q$8,$V$8)-CHOOSE($D$67,$G$8,$L$8,$Q$8,$V$8)*$G$67/100)/$H$67,0)))</f>
        <v/>
      </c>
      <c r="I162">
        <f>IF(OR($B$67="",$B$9=""),0,IF($E$67&gt;0,CHOOSE($D$67,$G$9,$L$9,$Q$9,$V$9)*$E$67/100,IFERROR((CHOOSE($D$67,$G$9,$L$9,$Q$9,$V$9)-CHOOSE($D$67,$G$9,$L$9,$Q$9,$V$9)*$G$67/100)/$H$67,0)))</f>
        <v/>
      </c>
      <c r="J162">
        <f>IF(OR($B$67="",$B$10=""),0,IF($E$67&gt;0,CHOOSE($D$67,$G$10,$L$10,$Q$10,$V$10)*$E$67/100,IFERROR((CHOOSE($D$67,$G$10,$L$10,$Q$10,$V$10)-CHOOSE($D$67,$G$10,$L$10,$Q$10,$V$10)*$G$67/100)/$H$67,0)))</f>
        <v/>
      </c>
      <c r="K162">
        <f>IF(OR($B$67="",$B$11=""),0,IF($E$67&gt;0,CHOOSE($D$67,$G$11,$L$11,$Q$11,$V$11)*$E$67/100,IFERROR((CHOOSE($D$67,$G$11,$L$11,$Q$11,$V$11)-CHOOSE($D$67,$G$11,$L$11,$Q$11,$V$11)*$G$67/100)/$H$67,0)))</f>
        <v/>
      </c>
      <c r="L162">
        <f>IF(OR($B$67="",$B$12=""),0,IF($E$67&gt;0,CHOOSE($D$67,$G$12,$L$12,$Q$12,$V$12)*$E$67/100,IFERROR((CHOOSE($D$67,$G$12,$L$12,$Q$12,$V$12)-CHOOSE($D$67,$G$12,$L$12,$Q$12,$V$12)*$G$67/100)/$H$67,0)))</f>
        <v/>
      </c>
      <c r="M162">
        <f>IF(OR($B$67="",$B$13=""),0,IF($E$67&gt;0,CHOOSE($D$67,$G$13,$L$13,$Q$13,$V$13)*$E$67/100,IFERROR((CHOOSE($D$67,$G$13,$L$13,$Q$13,$V$13)-CHOOSE($D$67,$G$13,$L$13,$Q$13,$V$13)*$G$67/100)/$H$67,0)))</f>
        <v/>
      </c>
      <c r="N162">
        <f>IF(OR($B$67="",$B$14=""),0,IF($E$67&gt;0,CHOOSE($D$67,$G$14,$L$14,$Q$14,$V$14)*$E$67/100,IFERROR((CHOOSE($D$67,$G$14,$L$14,$Q$14,$V$14)-CHOOSE($D$67,$G$14,$L$14,$Q$14,$V$14)*$G$67/100)/$H$67,0)))</f>
        <v/>
      </c>
      <c r="O162">
        <f>IF(OR($B$67="",$B$15=""),0,IF($E$67&gt;0,CHOOSE($D$67,$G$15,$L$15,$Q$15,$V$15)*$E$67/100,IFERROR((CHOOSE($D$67,$G$15,$L$15,$Q$15,$V$15)-CHOOSE($D$67,$G$15,$L$15,$Q$15,$V$15)*$G$67/100)/$H$67,0)))</f>
        <v/>
      </c>
      <c r="P162">
        <f>IF(OR($B$67="",$B$16=""),0,IF($E$67&gt;0,CHOOSE($D$67,$G$16,$L$16,$Q$16,$V$16)*$E$67/100,IFERROR((CHOOSE($D$67,$G$16,$L$16,$Q$16,$V$16)-CHOOSE($D$67,$G$16,$L$16,$Q$16,$V$16)*$G$67/100)/$H$67,0)))</f>
        <v/>
      </c>
      <c r="Q162">
        <f>IF(OR($B$67="",$B$17=""),0,IF($E$67&gt;0,CHOOSE($D$67,$G$17,$L$17,$Q$17,$V$17)*$E$67/100,IFERROR((CHOOSE($D$67,$G$17,$L$17,$Q$17,$V$17)-CHOOSE($D$67,$G$17,$L$17,$Q$17,$V$17)*$G$67/100)/$H$67,0)))</f>
        <v/>
      </c>
      <c r="R162">
        <f>IF(OR($B$67="",$B$18=""),0,IF($E$67&gt;0,CHOOSE($D$67,$G$18,$L$18,$Q$18,$V$18)*$E$67/100,IFERROR((CHOOSE($D$67,$G$18,$L$18,$Q$18,$V$18)-CHOOSE($D$67,$G$18,$L$18,$Q$18,$V$18)*$G$67/100)/$H$67,0)))</f>
        <v/>
      </c>
      <c r="S162">
        <f>IF(OR($B$67="",$B$19=""),0,IF($E$67&gt;0,CHOOSE($D$67,$G$19,$L$19,$Q$19,$V$19)*$E$67/100,IFERROR((CHOOSE($D$67,$G$19,$L$19,$Q$19,$V$19)-CHOOSE($D$67,$G$19,$L$19,$Q$19,$V$19)*$G$67/100)/$H$67,0)))</f>
        <v/>
      </c>
      <c r="T162">
        <f>IF(OR($B$67="",$B$20=""),0,IF($E$67&gt;0,CHOOSE($D$67,$G$20,$L$20,$Q$20,$V$20)*$E$67/100,IFERROR((CHOOSE($D$67,$G$20,$L$20,$Q$20,$V$20)-CHOOSE($D$67,$G$20,$L$20,$Q$20,$V$20)*$G$67/100)/$H$67,0)))</f>
        <v/>
      </c>
      <c r="U162">
        <f>IF(OR($B$67="",$B$21=""),0,IF($E$67&gt;0,CHOOSE($D$67,$G$21,$L$21,$Q$21,$V$21)*$E$67/100,IFERROR((CHOOSE($D$67,$G$21,$L$21,$Q$21,$V$21)-CHOOSE($D$67,$G$21,$L$21,$Q$21,$V$21)*$G$67/100)/$H$67,0)))</f>
        <v/>
      </c>
      <c r="V162">
        <f>IF(OR($B$67="",$B$22=""),0,IF($E$67&gt;0,CHOOSE($D$67,$G$22,$L$22,$Q$22,$V$22)*$E$67/100,IFERROR((CHOOSE($D$67,$G$22,$L$22,$Q$22,$V$22)-CHOOSE($D$67,$G$22,$L$22,$Q$22,$V$22)*$G$67/100)/$H$67,0)))</f>
        <v/>
      </c>
    </row>
    <row r="163">
      <c r="A163" t="n">
        <v>30</v>
      </c>
      <c r="B163">
        <f>B68</f>
        <v/>
      </c>
      <c r="C163">
        <f>IF(OR($B$68="",$B$3=""),0,IF($E$68&gt;0,CHOOSE($D$68,$G$3,$L$3,$Q$3,$V$3)*$E$68/100,IFERROR((CHOOSE($D$68,$G$3,$L$3,$Q$3,$V$3)-CHOOSE($D$68,$G$3,$L$3,$Q$3,$V$3)*$G$68/100)/$H$68,0)))</f>
        <v/>
      </c>
      <c r="D163">
        <f>IF(OR($B$68="",$B$4=""),0,IF($E$68&gt;0,CHOOSE($D$68,$G$4,$L$4,$Q$4,$V$4)*$E$68/100,IFERROR((CHOOSE($D$68,$G$4,$L$4,$Q$4,$V$4)-CHOOSE($D$68,$G$4,$L$4,$Q$4,$V$4)*$G$68/100)/$H$68,0)))</f>
        <v/>
      </c>
      <c r="E163">
        <f>IF(OR($B$68="",$B$5=""),0,IF($E$68&gt;0,CHOOSE($D$68,$G$5,$L$5,$Q$5,$V$5)*$E$68/100,IFERROR((CHOOSE($D$68,$G$5,$L$5,$Q$5,$V$5)-CHOOSE($D$68,$G$5,$L$5,$Q$5,$V$5)*$G$68/100)/$H$68,0)))</f>
        <v/>
      </c>
      <c r="F163">
        <f>IF(OR($B$68="",$B$6=""),0,IF($E$68&gt;0,CHOOSE($D$68,$G$6,$L$6,$Q$6,$V$6)*$E$68/100,IFERROR((CHOOSE($D$68,$G$6,$L$6,$Q$6,$V$6)-CHOOSE($D$68,$G$6,$L$6,$Q$6,$V$6)*$G$68/100)/$H$68,0)))</f>
        <v/>
      </c>
      <c r="G163">
        <f>IF(OR($B$68="",$B$7=""),0,IF($E$68&gt;0,CHOOSE($D$68,$G$7,$L$7,$Q$7,$V$7)*$E$68/100,IFERROR((CHOOSE($D$68,$G$7,$L$7,$Q$7,$V$7)-CHOOSE($D$68,$G$7,$L$7,$Q$7,$V$7)*$G$68/100)/$H$68,0)))</f>
        <v/>
      </c>
      <c r="H163">
        <f>IF(OR($B$68="",$B$8=""),0,IF($E$68&gt;0,CHOOSE($D$68,$G$8,$L$8,$Q$8,$V$8)*$E$68/100,IFERROR((CHOOSE($D$68,$G$8,$L$8,$Q$8,$V$8)-CHOOSE($D$68,$G$8,$L$8,$Q$8,$V$8)*$G$68/100)/$H$68,0)))</f>
        <v/>
      </c>
      <c r="I163">
        <f>IF(OR($B$68="",$B$9=""),0,IF($E$68&gt;0,CHOOSE($D$68,$G$9,$L$9,$Q$9,$V$9)*$E$68/100,IFERROR((CHOOSE($D$68,$G$9,$L$9,$Q$9,$V$9)-CHOOSE($D$68,$G$9,$L$9,$Q$9,$V$9)*$G$68/100)/$H$68,0)))</f>
        <v/>
      </c>
      <c r="J163">
        <f>IF(OR($B$68="",$B$10=""),0,IF($E$68&gt;0,CHOOSE($D$68,$G$10,$L$10,$Q$10,$V$10)*$E$68/100,IFERROR((CHOOSE($D$68,$G$10,$L$10,$Q$10,$V$10)-CHOOSE($D$68,$G$10,$L$10,$Q$10,$V$10)*$G$68/100)/$H$68,0)))</f>
        <v/>
      </c>
      <c r="K163">
        <f>IF(OR($B$68="",$B$11=""),0,IF($E$68&gt;0,CHOOSE($D$68,$G$11,$L$11,$Q$11,$V$11)*$E$68/100,IFERROR((CHOOSE($D$68,$G$11,$L$11,$Q$11,$V$11)-CHOOSE($D$68,$G$11,$L$11,$Q$11,$V$11)*$G$68/100)/$H$68,0)))</f>
        <v/>
      </c>
      <c r="L163">
        <f>IF(OR($B$68="",$B$12=""),0,IF($E$68&gt;0,CHOOSE($D$68,$G$12,$L$12,$Q$12,$V$12)*$E$68/100,IFERROR((CHOOSE($D$68,$G$12,$L$12,$Q$12,$V$12)-CHOOSE($D$68,$G$12,$L$12,$Q$12,$V$12)*$G$68/100)/$H$68,0)))</f>
        <v/>
      </c>
      <c r="M163">
        <f>IF(OR($B$68="",$B$13=""),0,IF($E$68&gt;0,CHOOSE($D$68,$G$13,$L$13,$Q$13,$V$13)*$E$68/100,IFERROR((CHOOSE($D$68,$G$13,$L$13,$Q$13,$V$13)-CHOOSE($D$68,$G$13,$L$13,$Q$13,$V$13)*$G$68/100)/$H$68,0)))</f>
        <v/>
      </c>
      <c r="N163">
        <f>IF(OR($B$68="",$B$14=""),0,IF($E$68&gt;0,CHOOSE($D$68,$G$14,$L$14,$Q$14,$V$14)*$E$68/100,IFERROR((CHOOSE($D$68,$G$14,$L$14,$Q$14,$V$14)-CHOOSE($D$68,$G$14,$L$14,$Q$14,$V$14)*$G$68/100)/$H$68,0)))</f>
        <v/>
      </c>
      <c r="O163">
        <f>IF(OR($B$68="",$B$15=""),0,IF($E$68&gt;0,CHOOSE($D$68,$G$15,$L$15,$Q$15,$V$15)*$E$68/100,IFERROR((CHOOSE($D$68,$G$15,$L$15,$Q$15,$V$15)-CHOOSE($D$68,$G$15,$L$15,$Q$15,$V$15)*$G$68/100)/$H$68,0)))</f>
        <v/>
      </c>
      <c r="P163">
        <f>IF(OR($B$68="",$B$16=""),0,IF($E$68&gt;0,CHOOSE($D$68,$G$16,$L$16,$Q$16,$V$16)*$E$68/100,IFERROR((CHOOSE($D$68,$G$16,$L$16,$Q$16,$V$16)-CHOOSE($D$68,$G$16,$L$16,$Q$16,$V$16)*$G$68/100)/$H$68,0)))</f>
        <v/>
      </c>
      <c r="Q163">
        <f>IF(OR($B$68="",$B$17=""),0,IF($E$68&gt;0,CHOOSE($D$68,$G$17,$L$17,$Q$17,$V$17)*$E$68/100,IFERROR((CHOOSE($D$68,$G$17,$L$17,$Q$17,$V$17)-CHOOSE($D$68,$G$17,$L$17,$Q$17,$V$17)*$G$68/100)/$H$68,0)))</f>
        <v/>
      </c>
      <c r="R163">
        <f>IF(OR($B$68="",$B$18=""),0,IF($E$68&gt;0,CHOOSE($D$68,$G$18,$L$18,$Q$18,$V$18)*$E$68/100,IFERROR((CHOOSE($D$68,$G$18,$L$18,$Q$18,$V$18)-CHOOSE($D$68,$G$18,$L$18,$Q$18,$V$18)*$G$68/100)/$H$68,0)))</f>
        <v/>
      </c>
      <c r="S163">
        <f>IF(OR($B$68="",$B$19=""),0,IF($E$68&gt;0,CHOOSE($D$68,$G$19,$L$19,$Q$19,$V$19)*$E$68/100,IFERROR((CHOOSE($D$68,$G$19,$L$19,$Q$19,$V$19)-CHOOSE($D$68,$G$19,$L$19,$Q$19,$V$19)*$G$68/100)/$H$68,0)))</f>
        <v/>
      </c>
      <c r="T163">
        <f>IF(OR($B$68="",$B$20=""),0,IF($E$68&gt;0,CHOOSE($D$68,$G$20,$L$20,$Q$20,$V$20)*$E$68/100,IFERROR((CHOOSE($D$68,$G$20,$L$20,$Q$20,$V$20)-CHOOSE($D$68,$G$20,$L$20,$Q$20,$V$20)*$G$68/100)/$H$68,0)))</f>
        <v/>
      </c>
      <c r="U163">
        <f>IF(OR($B$68="",$B$21=""),0,IF($E$68&gt;0,CHOOSE($D$68,$G$21,$L$21,$Q$21,$V$21)*$E$68/100,IFERROR((CHOOSE($D$68,$G$21,$L$21,$Q$21,$V$21)-CHOOSE($D$68,$G$21,$L$21,$Q$21,$V$21)*$G$68/100)/$H$68,0)))</f>
        <v/>
      </c>
      <c r="V163">
        <f>IF(OR($B$68="",$B$22=""),0,IF($E$68&gt;0,CHOOSE($D$68,$G$22,$L$22,$Q$22,$V$22)*$E$68/100,IFERROR((CHOOSE($D$68,$G$22,$L$22,$Q$22,$V$22)-CHOOSE($D$68,$G$22,$L$22,$Q$22,$V$22)*$G$68/100)/$H$68,0)))</f>
        <v/>
      </c>
    </row>
    <row r="164">
      <c r="A164" t="n">
        <v>31</v>
      </c>
      <c r="B164">
        <f>B69</f>
        <v/>
      </c>
      <c r="C164">
        <f>IF(OR($B$69="",$B$3=""),0,IF($E$69&gt;0,CHOOSE($D$69,$G$3,$L$3,$Q$3,$V$3)*$E$69/100,IFERROR((CHOOSE($D$69,$G$3,$L$3,$Q$3,$V$3)-CHOOSE($D$69,$G$3,$L$3,$Q$3,$V$3)*$G$69/100)/$H$69,0)))</f>
        <v/>
      </c>
      <c r="D164">
        <f>IF(OR($B$69="",$B$4=""),0,IF($E$69&gt;0,CHOOSE($D$69,$G$4,$L$4,$Q$4,$V$4)*$E$69/100,IFERROR((CHOOSE($D$69,$G$4,$L$4,$Q$4,$V$4)-CHOOSE($D$69,$G$4,$L$4,$Q$4,$V$4)*$G$69/100)/$H$69,0)))</f>
        <v/>
      </c>
      <c r="E164">
        <f>IF(OR($B$69="",$B$5=""),0,IF($E$69&gt;0,CHOOSE($D$69,$G$5,$L$5,$Q$5,$V$5)*$E$69/100,IFERROR((CHOOSE($D$69,$G$5,$L$5,$Q$5,$V$5)-CHOOSE($D$69,$G$5,$L$5,$Q$5,$V$5)*$G$69/100)/$H$69,0)))</f>
        <v/>
      </c>
      <c r="F164">
        <f>IF(OR($B$69="",$B$6=""),0,IF($E$69&gt;0,CHOOSE($D$69,$G$6,$L$6,$Q$6,$V$6)*$E$69/100,IFERROR((CHOOSE($D$69,$G$6,$L$6,$Q$6,$V$6)-CHOOSE($D$69,$G$6,$L$6,$Q$6,$V$6)*$G$69/100)/$H$69,0)))</f>
        <v/>
      </c>
      <c r="G164">
        <f>IF(OR($B$69="",$B$7=""),0,IF($E$69&gt;0,CHOOSE($D$69,$G$7,$L$7,$Q$7,$V$7)*$E$69/100,IFERROR((CHOOSE($D$69,$G$7,$L$7,$Q$7,$V$7)-CHOOSE($D$69,$G$7,$L$7,$Q$7,$V$7)*$G$69/100)/$H$69,0)))</f>
        <v/>
      </c>
      <c r="H164">
        <f>IF(OR($B$69="",$B$8=""),0,IF($E$69&gt;0,CHOOSE($D$69,$G$8,$L$8,$Q$8,$V$8)*$E$69/100,IFERROR((CHOOSE($D$69,$G$8,$L$8,$Q$8,$V$8)-CHOOSE($D$69,$G$8,$L$8,$Q$8,$V$8)*$G$69/100)/$H$69,0)))</f>
        <v/>
      </c>
      <c r="I164">
        <f>IF(OR($B$69="",$B$9=""),0,IF($E$69&gt;0,CHOOSE($D$69,$G$9,$L$9,$Q$9,$V$9)*$E$69/100,IFERROR((CHOOSE($D$69,$G$9,$L$9,$Q$9,$V$9)-CHOOSE($D$69,$G$9,$L$9,$Q$9,$V$9)*$G$69/100)/$H$69,0)))</f>
        <v/>
      </c>
      <c r="J164">
        <f>IF(OR($B$69="",$B$10=""),0,IF($E$69&gt;0,CHOOSE($D$69,$G$10,$L$10,$Q$10,$V$10)*$E$69/100,IFERROR((CHOOSE($D$69,$G$10,$L$10,$Q$10,$V$10)-CHOOSE($D$69,$G$10,$L$10,$Q$10,$V$10)*$G$69/100)/$H$69,0)))</f>
        <v/>
      </c>
      <c r="K164">
        <f>IF(OR($B$69="",$B$11=""),0,IF($E$69&gt;0,CHOOSE($D$69,$G$11,$L$11,$Q$11,$V$11)*$E$69/100,IFERROR((CHOOSE($D$69,$G$11,$L$11,$Q$11,$V$11)-CHOOSE($D$69,$G$11,$L$11,$Q$11,$V$11)*$G$69/100)/$H$69,0)))</f>
        <v/>
      </c>
      <c r="L164">
        <f>IF(OR($B$69="",$B$12=""),0,IF($E$69&gt;0,CHOOSE($D$69,$G$12,$L$12,$Q$12,$V$12)*$E$69/100,IFERROR((CHOOSE($D$69,$G$12,$L$12,$Q$12,$V$12)-CHOOSE($D$69,$G$12,$L$12,$Q$12,$V$12)*$G$69/100)/$H$69,0)))</f>
        <v/>
      </c>
      <c r="M164">
        <f>IF(OR($B$69="",$B$13=""),0,IF($E$69&gt;0,CHOOSE($D$69,$G$13,$L$13,$Q$13,$V$13)*$E$69/100,IFERROR((CHOOSE($D$69,$G$13,$L$13,$Q$13,$V$13)-CHOOSE($D$69,$G$13,$L$13,$Q$13,$V$13)*$G$69/100)/$H$69,0)))</f>
        <v/>
      </c>
      <c r="N164">
        <f>IF(OR($B$69="",$B$14=""),0,IF($E$69&gt;0,CHOOSE($D$69,$G$14,$L$14,$Q$14,$V$14)*$E$69/100,IFERROR((CHOOSE($D$69,$G$14,$L$14,$Q$14,$V$14)-CHOOSE($D$69,$G$14,$L$14,$Q$14,$V$14)*$G$69/100)/$H$69,0)))</f>
        <v/>
      </c>
      <c r="O164">
        <f>IF(OR($B$69="",$B$15=""),0,IF($E$69&gt;0,CHOOSE($D$69,$G$15,$L$15,$Q$15,$V$15)*$E$69/100,IFERROR((CHOOSE($D$69,$G$15,$L$15,$Q$15,$V$15)-CHOOSE($D$69,$G$15,$L$15,$Q$15,$V$15)*$G$69/100)/$H$69,0)))</f>
        <v/>
      </c>
      <c r="P164">
        <f>IF(OR($B$69="",$B$16=""),0,IF($E$69&gt;0,CHOOSE($D$69,$G$16,$L$16,$Q$16,$V$16)*$E$69/100,IFERROR((CHOOSE($D$69,$G$16,$L$16,$Q$16,$V$16)-CHOOSE($D$69,$G$16,$L$16,$Q$16,$V$16)*$G$69/100)/$H$69,0)))</f>
        <v/>
      </c>
      <c r="Q164">
        <f>IF(OR($B$69="",$B$17=""),0,IF($E$69&gt;0,CHOOSE($D$69,$G$17,$L$17,$Q$17,$V$17)*$E$69/100,IFERROR((CHOOSE($D$69,$G$17,$L$17,$Q$17,$V$17)-CHOOSE($D$69,$G$17,$L$17,$Q$17,$V$17)*$G$69/100)/$H$69,0)))</f>
        <v/>
      </c>
      <c r="R164">
        <f>IF(OR($B$69="",$B$18=""),0,IF($E$69&gt;0,CHOOSE($D$69,$G$18,$L$18,$Q$18,$V$18)*$E$69/100,IFERROR((CHOOSE($D$69,$G$18,$L$18,$Q$18,$V$18)-CHOOSE($D$69,$G$18,$L$18,$Q$18,$V$18)*$G$69/100)/$H$69,0)))</f>
        <v/>
      </c>
      <c r="S164">
        <f>IF(OR($B$69="",$B$19=""),0,IF($E$69&gt;0,CHOOSE($D$69,$G$19,$L$19,$Q$19,$V$19)*$E$69/100,IFERROR((CHOOSE($D$69,$G$19,$L$19,$Q$19,$V$19)-CHOOSE($D$69,$G$19,$L$19,$Q$19,$V$19)*$G$69/100)/$H$69,0)))</f>
        <v/>
      </c>
      <c r="T164">
        <f>IF(OR($B$69="",$B$20=""),0,IF($E$69&gt;0,CHOOSE($D$69,$G$20,$L$20,$Q$20,$V$20)*$E$69/100,IFERROR((CHOOSE($D$69,$G$20,$L$20,$Q$20,$V$20)-CHOOSE($D$69,$G$20,$L$20,$Q$20,$V$20)*$G$69/100)/$H$69,0)))</f>
        <v/>
      </c>
      <c r="U164">
        <f>IF(OR($B$69="",$B$21=""),0,IF($E$69&gt;0,CHOOSE($D$69,$G$21,$L$21,$Q$21,$V$21)*$E$69/100,IFERROR((CHOOSE($D$69,$G$21,$L$21,$Q$21,$V$21)-CHOOSE($D$69,$G$21,$L$21,$Q$21,$V$21)*$G$69/100)/$H$69,0)))</f>
        <v/>
      </c>
      <c r="V164">
        <f>IF(OR($B$69="",$B$22=""),0,IF($E$69&gt;0,CHOOSE($D$69,$G$22,$L$22,$Q$22,$V$22)*$E$69/100,IFERROR((CHOOSE($D$69,$G$22,$L$22,$Q$22,$V$22)-CHOOSE($D$69,$G$22,$L$22,$Q$22,$V$22)*$G$69/100)/$H$69,0)))</f>
        <v/>
      </c>
    </row>
    <row r="165">
      <c r="A165" t="n">
        <v>32</v>
      </c>
      <c r="B165">
        <f>B70</f>
        <v/>
      </c>
      <c r="C165">
        <f>IF(OR($B$70="",$B$3=""),0,IF($E$70&gt;0,CHOOSE($D$70,$G$3,$L$3,$Q$3,$V$3)*$E$70/100,IFERROR((CHOOSE($D$70,$G$3,$L$3,$Q$3,$V$3)-CHOOSE($D$70,$G$3,$L$3,$Q$3,$V$3)*$G$70/100)/$H$70,0)))</f>
        <v/>
      </c>
      <c r="D165">
        <f>IF(OR($B$70="",$B$4=""),0,IF($E$70&gt;0,CHOOSE($D$70,$G$4,$L$4,$Q$4,$V$4)*$E$70/100,IFERROR((CHOOSE($D$70,$G$4,$L$4,$Q$4,$V$4)-CHOOSE($D$70,$G$4,$L$4,$Q$4,$V$4)*$G$70/100)/$H$70,0)))</f>
        <v/>
      </c>
      <c r="E165">
        <f>IF(OR($B$70="",$B$5=""),0,IF($E$70&gt;0,CHOOSE($D$70,$G$5,$L$5,$Q$5,$V$5)*$E$70/100,IFERROR((CHOOSE($D$70,$G$5,$L$5,$Q$5,$V$5)-CHOOSE($D$70,$G$5,$L$5,$Q$5,$V$5)*$G$70/100)/$H$70,0)))</f>
        <v/>
      </c>
      <c r="F165">
        <f>IF(OR($B$70="",$B$6=""),0,IF($E$70&gt;0,CHOOSE($D$70,$G$6,$L$6,$Q$6,$V$6)*$E$70/100,IFERROR((CHOOSE($D$70,$G$6,$L$6,$Q$6,$V$6)-CHOOSE($D$70,$G$6,$L$6,$Q$6,$V$6)*$G$70/100)/$H$70,0)))</f>
        <v/>
      </c>
      <c r="G165">
        <f>IF(OR($B$70="",$B$7=""),0,IF($E$70&gt;0,CHOOSE($D$70,$G$7,$L$7,$Q$7,$V$7)*$E$70/100,IFERROR((CHOOSE($D$70,$G$7,$L$7,$Q$7,$V$7)-CHOOSE($D$70,$G$7,$L$7,$Q$7,$V$7)*$G$70/100)/$H$70,0)))</f>
        <v/>
      </c>
      <c r="H165">
        <f>IF(OR($B$70="",$B$8=""),0,IF($E$70&gt;0,CHOOSE($D$70,$G$8,$L$8,$Q$8,$V$8)*$E$70/100,IFERROR((CHOOSE($D$70,$G$8,$L$8,$Q$8,$V$8)-CHOOSE($D$70,$G$8,$L$8,$Q$8,$V$8)*$G$70/100)/$H$70,0)))</f>
        <v/>
      </c>
      <c r="I165">
        <f>IF(OR($B$70="",$B$9=""),0,IF($E$70&gt;0,CHOOSE($D$70,$G$9,$L$9,$Q$9,$V$9)*$E$70/100,IFERROR((CHOOSE($D$70,$G$9,$L$9,$Q$9,$V$9)-CHOOSE($D$70,$G$9,$L$9,$Q$9,$V$9)*$G$70/100)/$H$70,0)))</f>
        <v/>
      </c>
      <c r="J165">
        <f>IF(OR($B$70="",$B$10=""),0,IF($E$70&gt;0,CHOOSE($D$70,$G$10,$L$10,$Q$10,$V$10)*$E$70/100,IFERROR((CHOOSE($D$70,$G$10,$L$10,$Q$10,$V$10)-CHOOSE($D$70,$G$10,$L$10,$Q$10,$V$10)*$G$70/100)/$H$70,0)))</f>
        <v/>
      </c>
      <c r="K165">
        <f>IF(OR($B$70="",$B$11=""),0,IF($E$70&gt;0,CHOOSE($D$70,$G$11,$L$11,$Q$11,$V$11)*$E$70/100,IFERROR((CHOOSE($D$70,$G$11,$L$11,$Q$11,$V$11)-CHOOSE($D$70,$G$11,$L$11,$Q$11,$V$11)*$G$70/100)/$H$70,0)))</f>
        <v/>
      </c>
      <c r="L165">
        <f>IF(OR($B$70="",$B$12=""),0,IF($E$70&gt;0,CHOOSE($D$70,$G$12,$L$12,$Q$12,$V$12)*$E$70/100,IFERROR((CHOOSE($D$70,$G$12,$L$12,$Q$12,$V$12)-CHOOSE($D$70,$G$12,$L$12,$Q$12,$V$12)*$G$70/100)/$H$70,0)))</f>
        <v/>
      </c>
      <c r="M165">
        <f>IF(OR($B$70="",$B$13=""),0,IF($E$70&gt;0,CHOOSE($D$70,$G$13,$L$13,$Q$13,$V$13)*$E$70/100,IFERROR((CHOOSE($D$70,$G$13,$L$13,$Q$13,$V$13)-CHOOSE($D$70,$G$13,$L$13,$Q$13,$V$13)*$G$70/100)/$H$70,0)))</f>
        <v/>
      </c>
      <c r="N165">
        <f>IF(OR($B$70="",$B$14=""),0,IF($E$70&gt;0,CHOOSE($D$70,$G$14,$L$14,$Q$14,$V$14)*$E$70/100,IFERROR((CHOOSE($D$70,$G$14,$L$14,$Q$14,$V$14)-CHOOSE($D$70,$G$14,$L$14,$Q$14,$V$14)*$G$70/100)/$H$70,0)))</f>
        <v/>
      </c>
      <c r="O165">
        <f>IF(OR($B$70="",$B$15=""),0,IF($E$70&gt;0,CHOOSE($D$70,$G$15,$L$15,$Q$15,$V$15)*$E$70/100,IFERROR((CHOOSE($D$70,$G$15,$L$15,$Q$15,$V$15)-CHOOSE($D$70,$G$15,$L$15,$Q$15,$V$15)*$G$70/100)/$H$70,0)))</f>
        <v/>
      </c>
      <c r="P165">
        <f>IF(OR($B$70="",$B$16=""),0,IF($E$70&gt;0,CHOOSE($D$70,$G$16,$L$16,$Q$16,$V$16)*$E$70/100,IFERROR((CHOOSE($D$70,$G$16,$L$16,$Q$16,$V$16)-CHOOSE($D$70,$G$16,$L$16,$Q$16,$V$16)*$G$70/100)/$H$70,0)))</f>
        <v/>
      </c>
      <c r="Q165">
        <f>IF(OR($B$70="",$B$17=""),0,IF($E$70&gt;0,CHOOSE($D$70,$G$17,$L$17,$Q$17,$V$17)*$E$70/100,IFERROR((CHOOSE($D$70,$G$17,$L$17,$Q$17,$V$17)-CHOOSE($D$70,$G$17,$L$17,$Q$17,$V$17)*$G$70/100)/$H$70,0)))</f>
        <v/>
      </c>
      <c r="R165">
        <f>IF(OR($B$70="",$B$18=""),0,IF($E$70&gt;0,CHOOSE($D$70,$G$18,$L$18,$Q$18,$V$18)*$E$70/100,IFERROR((CHOOSE($D$70,$G$18,$L$18,$Q$18,$V$18)-CHOOSE($D$70,$G$18,$L$18,$Q$18,$V$18)*$G$70/100)/$H$70,0)))</f>
        <v/>
      </c>
      <c r="S165">
        <f>IF(OR($B$70="",$B$19=""),0,IF($E$70&gt;0,CHOOSE($D$70,$G$19,$L$19,$Q$19,$V$19)*$E$70/100,IFERROR((CHOOSE($D$70,$G$19,$L$19,$Q$19,$V$19)-CHOOSE($D$70,$G$19,$L$19,$Q$19,$V$19)*$G$70/100)/$H$70,0)))</f>
        <v/>
      </c>
      <c r="T165">
        <f>IF(OR($B$70="",$B$20=""),0,IF($E$70&gt;0,CHOOSE($D$70,$G$20,$L$20,$Q$20,$V$20)*$E$70/100,IFERROR((CHOOSE($D$70,$G$20,$L$20,$Q$20,$V$20)-CHOOSE($D$70,$G$20,$L$20,$Q$20,$V$20)*$G$70/100)/$H$70,0)))</f>
        <v/>
      </c>
      <c r="U165">
        <f>IF(OR($B$70="",$B$21=""),0,IF($E$70&gt;0,CHOOSE($D$70,$G$21,$L$21,$Q$21,$V$21)*$E$70/100,IFERROR((CHOOSE($D$70,$G$21,$L$21,$Q$21,$V$21)-CHOOSE($D$70,$G$21,$L$21,$Q$21,$V$21)*$G$70/100)/$H$70,0)))</f>
        <v/>
      </c>
      <c r="V165">
        <f>IF(OR($B$70="",$B$22=""),0,IF($E$70&gt;0,CHOOSE($D$70,$G$22,$L$22,$Q$22,$V$22)*$E$70/100,IFERROR((CHOOSE($D$70,$G$22,$L$22,$Q$22,$V$22)-CHOOSE($D$70,$G$22,$L$22,$Q$22,$V$22)*$G$70/100)/$H$70,0)))</f>
        <v/>
      </c>
    </row>
    <row r="166">
      <c r="A166" t="n">
        <v>33</v>
      </c>
      <c r="B166">
        <f>B71</f>
        <v/>
      </c>
      <c r="C166">
        <f>IF(OR($B$71="",$B$3=""),0,IF($E$71&gt;0,CHOOSE($D$71,$G$3,$L$3,$Q$3,$V$3)*$E$71/100,IFERROR((CHOOSE($D$71,$G$3,$L$3,$Q$3,$V$3)-CHOOSE($D$71,$G$3,$L$3,$Q$3,$V$3)*$G$71/100)/$H$71,0)))</f>
        <v/>
      </c>
      <c r="D166">
        <f>IF(OR($B$71="",$B$4=""),0,IF($E$71&gt;0,CHOOSE($D$71,$G$4,$L$4,$Q$4,$V$4)*$E$71/100,IFERROR((CHOOSE($D$71,$G$4,$L$4,$Q$4,$V$4)-CHOOSE($D$71,$G$4,$L$4,$Q$4,$V$4)*$G$71/100)/$H$71,0)))</f>
        <v/>
      </c>
      <c r="E166">
        <f>IF(OR($B$71="",$B$5=""),0,IF($E$71&gt;0,CHOOSE($D$71,$G$5,$L$5,$Q$5,$V$5)*$E$71/100,IFERROR((CHOOSE($D$71,$G$5,$L$5,$Q$5,$V$5)-CHOOSE($D$71,$G$5,$L$5,$Q$5,$V$5)*$G$71/100)/$H$71,0)))</f>
        <v/>
      </c>
      <c r="F166">
        <f>IF(OR($B$71="",$B$6=""),0,IF($E$71&gt;0,CHOOSE($D$71,$G$6,$L$6,$Q$6,$V$6)*$E$71/100,IFERROR((CHOOSE($D$71,$G$6,$L$6,$Q$6,$V$6)-CHOOSE($D$71,$G$6,$L$6,$Q$6,$V$6)*$G$71/100)/$H$71,0)))</f>
        <v/>
      </c>
      <c r="G166">
        <f>IF(OR($B$71="",$B$7=""),0,IF($E$71&gt;0,CHOOSE($D$71,$G$7,$L$7,$Q$7,$V$7)*$E$71/100,IFERROR((CHOOSE($D$71,$G$7,$L$7,$Q$7,$V$7)-CHOOSE($D$71,$G$7,$L$7,$Q$7,$V$7)*$G$71/100)/$H$71,0)))</f>
        <v/>
      </c>
      <c r="H166">
        <f>IF(OR($B$71="",$B$8=""),0,IF($E$71&gt;0,CHOOSE($D$71,$G$8,$L$8,$Q$8,$V$8)*$E$71/100,IFERROR((CHOOSE($D$71,$G$8,$L$8,$Q$8,$V$8)-CHOOSE($D$71,$G$8,$L$8,$Q$8,$V$8)*$G$71/100)/$H$71,0)))</f>
        <v/>
      </c>
      <c r="I166">
        <f>IF(OR($B$71="",$B$9=""),0,IF($E$71&gt;0,CHOOSE($D$71,$G$9,$L$9,$Q$9,$V$9)*$E$71/100,IFERROR((CHOOSE($D$71,$G$9,$L$9,$Q$9,$V$9)-CHOOSE($D$71,$G$9,$L$9,$Q$9,$V$9)*$G$71/100)/$H$71,0)))</f>
        <v/>
      </c>
      <c r="J166">
        <f>IF(OR($B$71="",$B$10=""),0,IF($E$71&gt;0,CHOOSE($D$71,$G$10,$L$10,$Q$10,$V$10)*$E$71/100,IFERROR((CHOOSE($D$71,$G$10,$L$10,$Q$10,$V$10)-CHOOSE($D$71,$G$10,$L$10,$Q$10,$V$10)*$G$71/100)/$H$71,0)))</f>
        <v/>
      </c>
      <c r="K166">
        <f>IF(OR($B$71="",$B$11=""),0,IF($E$71&gt;0,CHOOSE($D$71,$G$11,$L$11,$Q$11,$V$11)*$E$71/100,IFERROR((CHOOSE($D$71,$G$11,$L$11,$Q$11,$V$11)-CHOOSE($D$71,$G$11,$L$11,$Q$11,$V$11)*$G$71/100)/$H$71,0)))</f>
        <v/>
      </c>
      <c r="L166">
        <f>IF(OR($B$71="",$B$12=""),0,IF($E$71&gt;0,CHOOSE($D$71,$G$12,$L$12,$Q$12,$V$12)*$E$71/100,IFERROR((CHOOSE($D$71,$G$12,$L$12,$Q$12,$V$12)-CHOOSE($D$71,$G$12,$L$12,$Q$12,$V$12)*$G$71/100)/$H$71,0)))</f>
        <v/>
      </c>
      <c r="M166">
        <f>IF(OR($B$71="",$B$13=""),0,IF($E$71&gt;0,CHOOSE($D$71,$G$13,$L$13,$Q$13,$V$13)*$E$71/100,IFERROR((CHOOSE($D$71,$G$13,$L$13,$Q$13,$V$13)-CHOOSE($D$71,$G$13,$L$13,$Q$13,$V$13)*$G$71/100)/$H$71,0)))</f>
        <v/>
      </c>
      <c r="N166">
        <f>IF(OR($B$71="",$B$14=""),0,IF($E$71&gt;0,CHOOSE($D$71,$G$14,$L$14,$Q$14,$V$14)*$E$71/100,IFERROR((CHOOSE($D$71,$G$14,$L$14,$Q$14,$V$14)-CHOOSE($D$71,$G$14,$L$14,$Q$14,$V$14)*$G$71/100)/$H$71,0)))</f>
        <v/>
      </c>
      <c r="O166">
        <f>IF(OR($B$71="",$B$15=""),0,IF($E$71&gt;0,CHOOSE($D$71,$G$15,$L$15,$Q$15,$V$15)*$E$71/100,IFERROR((CHOOSE($D$71,$G$15,$L$15,$Q$15,$V$15)-CHOOSE($D$71,$G$15,$L$15,$Q$15,$V$15)*$G$71/100)/$H$71,0)))</f>
        <v/>
      </c>
      <c r="P166">
        <f>IF(OR($B$71="",$B$16=""),0,IF($E$71&gt;0,CHOOSE($D$71,$G$16,$L$16,$Q$16,$V$16)*$E$71/100,IFERROR((CHOOSE($D$71,$G$16,$L$16,$Q$16,$V$16)-CHOOSE($D$71,$G$16,$L$16,$Q$16,$V$16)*$G$71/100)/$H$71,0)))</f>
        <v/>
      </c>
      <c r="Q166">
        <f>IF(OR($B$71="",$B$17=""),0,IF($E$71&gt;0,CHOOSE($D$71,$G$17,$L$17,$Q$17,$V$17)*$E$71/100,IFERROR((CHOOSE($D$71,$G$17,$L$17,$Q$17,$V$17)-CHOOSE($D$71,$G$17,$L$17,$Q$17,$V$17)*$G$71/100)/$H$71,0)))</f>
        <v/>
      </c>
      <c r="R166">
        <f>IF(OR($B$71="",$B$18=""),0,IF($E$71&gt;0,CHOOSE($D$71,$G$18,$L$18,$Q$18,$V$18)*$E$71/100,IFERROR((CHOOSE($D$71,$G$18,$L$18,$Q$18,$V$18)-CHOOSE($D$71,$G$18,$L$18,$Q$18,$V$18)*$G$71/100)/$H$71,0)))</f>
        <v/>
      </c>
      <c r="S166">
        <f>IF(OR($B$71="",$B$19=""),0,IF($E$71&gt;0,CHOOSE($D$71,$G$19,$L$19,$Q$19,$V$19)*$E$71/100,IFERROR((CHOOSE($D$71,$G$19,$L$19,$Q$19,$V$19)-CHOOSE($D$71,$G$19,$L$19,$Q$19,$V$19)*$G$71/100)/$H$71,0)))</f>
        <v/>
      </c>
      <c r="T166">
        <f>IF(OR($B$71="",$B$20=""),0,IF($E$71&gt;0,CHOOSE($D$71,$G$20,$L$20,$Q$20,$V$20)*$E$71/100,IFERROR((CHOOSE($D$71,$G$20,$L$20,$Q$20,$V$20)-CHOOSE($D$71,$G$20,$L$20,$Q$20,$V$20)*$G$71/100)/$H$71,0)))</f>
        <v/>
      </c>
      <c r="U166">
        <f>IF(OR($B$71="",$B$21=""),0,IF($E$71&gt;0,CHOOSE($D$71,$G$21,$L$21,$Q$21,$V$21)*$E$71/100,IFERROR((CHOOSE($D$71,$G$21,$L$21,$Q$21,$V$21)-CHOOSE($D$71,$G$21,$L$21,$Q$21,$V$21)*$G$71/100)/$H$71,0)))</f>
        <v/>
      </c>
      <c r="V166">
        <f>IF(OR($B$71="",$B$22=""),0,IF($E$71&gt;0,CHOOSE($D$71,$G$22,$L$22,$Q$22,$V$22)*$E$71/100,IFERROR((CHOOSE($D$71,$G$22,$L$22,$Q$22,$V$22)-CHOOSE($D$71,$G$22,$L$22,$Q$22,$V$22)*$G$71/100)/$H$71,0)))</f>
        <v/>
      </c>
    </row>
    <row r="167">
      <c r="A167" t="n">
        <v>34</v>
      </c>
      <c r="B167">
        <f>B72</f>
        <v/>
      </c>
      <c r="C167">
        <f>IF(OR($B$72="",$B$3=""),0,IF($E$72&gt;0,CHOOSE($D$72,$G$3,$L$3,$Q$3,$V$3)*$E$72/100,IFERROR((CHOOSE($D$72,$G$3,$L$3,$Q$3,$V$3)-CHOOSE($D$72,$G$3,$L$3,$Q$3,$V$3)*$G$72/100)/$H$72,0)))</f>
        <v/>
      </c>
      <c r="D167">
        <f>IF(OR($B$72="",$B$4=""),0,IF($E$72&gt;0,CHOOSE($D$72,$G$4,$L$4,$Q$4,$V$4)*$E$72/100,IFERROR((CHOOSE($D$72,$G$4,$L$4,$Q$4,$V$4)-CHOOSE($D$72,$G$4,$L$4,$Q$4,$V$4)*$G$72/100)/$H$72,0)))</f>
        <v/>
      </c>
      <c r="E167">
        <f>IF(OR($B$72="",$B$5=""),0,IF($E$72&gt;0,CHOOSE($D$72,$G$5,$L$5,$Q$5,$V$5)*$E$72/100,IFERROR((CHOOSE($D$72,$G$5,$L$5,$Q$5,$V$5)-CHOOSE($D$72,$G$5,$L$5,$Q$5,$V$5)*$G$72/100)/$H$72,0)))</f>
        <v/>
      </c>
      <c r="F167">
        <f>IF(OR($B$72="",$B$6=""),0,IF($E$72&gt;0,CHOOSE($D$72,$G$6,$L$6,$Q$6,$V$6)*$E$72/100,IFERROR((CHOOSE($D$72,$G$6,$L$6,$Q$6,$V$6)-CHOOSE($D$72,$G$6,$L$6,$Q$6,$V$6)*$G$72/100)/$H$72,0)))</f>
        <v/>
      </c>
      <c r="G167">
        <f>IF(OR($B$72="",$B$7=""),0,IF($E$72&gt;0,CHOOSE($D$72,$G$7,$L$7,$Q$7,$V$7)*$E$72/100,IFERROR((CHOOSE($D$72,$G$7,$L$7,$Q$7,$V$7)-CHOOSE($D$72,$G$7,$L$7,$Q$7,$V$7)*$G$72/100)/$H$72,0)))</f>
        <v/>
      </c>
      <c r="H167">
        <f>IF(OR($B$72="",$B$8=""),0,IF($E$72&gt;0,CHOOSE($D$72,$G$8,$L$8,$Q$8,$V$8)*$E$72/100,IFERROR((CHOOSE($D$72,$G$8,$L$8,$Q$8,$V$8)-CHOOSE($D$72,$G$8,$L$8,$Q$8,$V$8)*$G$72/100)/$H$72,0)))</f>
        <v/>
      </c>
      <c r="I167">
        <f>IF(OR($B$72="",$B$9=""),0,IF($E$72&gt;0,CHOOSE($D$72,$G$9,$L$9,$Q$9,$V$9)*$E$72/100,IFERROR((CHOOSE($D$72,$G$9,$L$9,$Q$9,$V$9)-CHOOSE($D$72,$G$9,$L$9,$Q$9,$V$9)*$G$72/100)/$H$72,0)))</f>
        <v/>
      </c>
      <c r="J167">
        <f>IF(OR($B$72="",$B$10=""),0,IF($E$72&gt;0,CHOOSE($D$72,$G$10,$L$10,$Q$10,$V$10)*$E$72/100,IFERROR((CHOOSE($D$72,$G$10,$L$10,$Q$10,$V$10)-CHOOSE($D$72,$G$10,$L$10,$Q$10,$V$10)*$G$72/100)/$H$72,0)))</f>
        <v/>
      </c>
      <c r="K167">
        <f>IF(OR($B$72="",$B$11=""),0,IF($E$72&gt;0,CHOOSE($D$72,$G$11,$L$11,$Q$11,$V$11)*$E$72/100,IFERROR((CHOOSE($D$72,$G$11,$L$11,$Q$11,$V$11)-CHOOSE($D$72,$G$11,$L$11,$Q$11,$V$11)*$G$72/100)/$H$72,0)))</f>
        <v/>
      </c>
      <c r="L167">
        <f>IF(OR($B$72="",$B$12=""),0,IF($E$72&gt;0,CHOOSE($D$72,$G$12,$L$12,$Q$12,$V$12)*$E$72/100,IFERROR((CHOOSE($D$72,$G$12,$L$12,$Q$12,$V$12)-CHOOSE($D$72,$G$12,$L$12,$Q$12,$V$12)*$G$72/100)/$H$72,0)))</f>
        <v/>
      </c>
      <c r="M167">
        <f>IF(OR($B$72="",$B$13=""),0,IF($E$72&gt;0,CHOOSE($D$72,$G$13,$L$13,$Q$13,$V$13)*$E$72/100,IFERROR((CHOOSE($D$72,$G$13,$L$13,$Q$13,$V$13)-CHOOSE($D$72,$G$13,$L$13,$Q$13,$V$13)*$G$72/100)/$H$72,0)))</f>
        <v/>
      </c>
      <c r="N167">
        <f>IF(OR($B$72="",$B$14=""),0,IF($E$72&gt;0,CHOOSE($D$72,$G$14,$L$14,$Q$14,$V$14)*$E$72/100,IFERROR((CHOOSE($D$72,$G$14,$L$14,$Q$14,$V$14)-CHOOSE($D$72,$G$14,$L$14,$Q$14,$V$14)*$G$72/100)/$H$72,0)))</f>
        <v/>
      </c>
      <c r="O167">
        <f>IF(OR($B$72="",$B$15=""),0,IF($E$72&gt;0,CHOOSE($D$72,$G$15,$L$15,$Q$15,$V$15)*$E$72/100,IFERROR((CHOOSE($D$72,$G$15,$L$15,$Q$15,$V$15)-CHOOSE($D$72,$G$15,$L$15,$Q$15,$V$15)*$G$72/100)/$H$72,0)))</f>
        <v/>
      </c>
      <c r="P167">
        <f>IF(OR($B$72="",$B$16=""),0,IF($E$72&gt;0,CHOOSE($D$72,$G$16,$L$16,$Q$16,$V$16)*$E$72/100,IFERROR((CHOOSE($D$72,$G$16,$L$16,$Q$16,$V$16)-CHOOSE($D$72,$G$16,$L$16,$Q$16,$V$16)*$G$72/100)/$H$72,0)))</f>
        <v/>
      </c>
      <c r="Q167">
        <f>IF(OR($B$72="",$B$17=""),0,IF($E$72&gt;0,CHOOSE($D$72,$G$17,$L$17,$Q$17,$V$17)*$E$72/100,IFERROR((CHOOSE($D$72,$G$17,$L$17,$Q$17,$V$17)-CHOOSE($D$72,$G$17,$L$17,$Q$17,$V$17)*$G$72/100)/$H$72,0)))</f>
        <v/>
      </c>
      <c r="R167">
        <f>IF(OR($B$72="",$B$18=""),0,IF($E$72&gt;0,CHOOSE($D$72,$G$18,$L$18,$Q$18,$V$18)*$E$72/100,IFERROR((CHOOSE($D$72,$G$18,$L$18,$Q$18,$V$18)-CHOOSE($D$72,$G$18,$L$18,$Q$18,$V$18)*$G$72/100)/$H$72,0)))</f>
        <v/>
      </c>
      <c r="S167">
        <f>IF(OR($B$72="",$B$19=""),0,IF($E$72&gt;0,CHOOSE($D$72,$G$19,$L$19,$Q$19,$V$19)*$E$72/100,IFERROR((CHOOSE($D$72,$G$19,$L$19,$Q$19,$V$19)-CHOOSE($D$72,$G$19,$L$19,$Q$19,$V$19)*$G$72/100)/$H$72,0)))</f>
        <v/>
      </c>
      <c r="T167">
        <f>IF(OR($B$72="",$B$20=""),0,IF($E$72&gt;0,CHOOSE($D$72,$G$20,$L$20,$Q$20,$V$20)*$E$72/100,IFERROR((CHOOSE($D$72,$G$20,$L$20,$Q$20,$V$20)-CHOOSE($D$72,$G$20,$L$20,$Q$20,$V$20)*$G$72/100)/$H$72,0)))</f>
        <v/>
      </c>
      <c r="U167">
        <f>IF(OR($B$72="",$B$21=""),0,IF($E$72&gt;0,CHOOSE($D$72,$G$21,$L$21,$Q$21,$V$21)*$E$72/100,IFERROR((CHOOSE($D$72,$G$21,$L$21,$Q$21,$V$21)-CHOOSE($D$72,$G$21,$L$21,$Q$21,$V$21)*$G$72/100)/$H$72,0)))</f>
        <v/>
      </c>
      <c r="V167">
        <f>IF(OR($B$72="",$B$22=""),0,IF($E$72&gt;0,CHOOSE($D$72,$G$22,$L$22,$Q$22,$V$22)*$E$72/100,IFERROR((CHOOSE($D$72,$G$22,$L$22,$Q$22,$V$22)-CHOOSE($D$72,$G$22,$L$22,$Q$22,$V$22)*$G$72/100)/$H$72,0)))</f>
        <v/>
      </c>
    </row>
    <row r="168">
      <c r="A168" t="n">
        <v>35</v>
      </c>
      <c r="B168">
        <f>B73</f>
        <v/>
      </c>
      <c r="C168">
        <f>IF(OR($B$73="",$B$3=""),0,IF($E$73&gt;0,CHOOSE($D$73,$G$3,$L$3,$Q$3,$V$3)*$E$73/100,IFERROR((CHOOSE($D$73,$G$3,$L$3,$Q$3,$V$3)-CHOOSE($D$73,$G$3,$L$3,$Q$3,$V$3)*$G$73/100)/$H$73,0)))</f>
        <v/>
      </c>
      <c r="D168">
        <f>IF(OR($B$73="",$B$4=""),0,IF($E$73&gt;0,CHOOSE($D$73,$G$4,$L$4,$Q$4,$V$4)*$E$73/100,IFERROR((CHOOSE($D$73,$G$4,$L$4,$Q$4,$V$4)-CHOOSE($D$73,$G$4,$L$4,$Q$4,$V$4)*$G$73/100)/$H$73,0)))</f>
        <v/>
      </c>
      <c r="E168">
        <f>IF(OR($B$73="",$B$5=""),0,IF($E$73&gt;0,CHOOSE($D$73,$G$5,$L$5,$Q$5,$V$5)*$E$73/100,IFERROR((CHOOSE($D$73,$G$5,$L$5,$Q$5,$V$5)-CHOOSE($D$73,$G$5,$L$5,$Q$5,$V$5)*$G$73/100)/$H$73,0)))</f>
        <v/>
      </c>
      <c r="F168">
        <f>IF(OR($B$73="",$B$6=""),0,IF($E$73&gt;0,CHOOSE($D$73,$G$6,$L$6,$Q$6,$V$6)*$E$73/100,IFERROR((CHOOSE($D$73,$G$6,$L$6,$Q$6,$V$6)-CHOOSE($D$73,$G$6,$L$6,$Q$6,$V$6)*$G$73/100)/$H$73,0)))</f>
        <v/>
      </c>
      <c r="G168">
        <f>IF(OR($B$73="",$B$7=""),0,IF($E$73&gt;0,CHOOSE($D$73,$G$7,$L$7,$Q$7,$V$7)*$E$73/100,IFERROR((CHOOSE($D$73,$G$7,$L$7,$Q$7,$V$7)-CHOOSE($D$73,$G$7,$L$7,$Q$7,$V$7)*$G$73/100)/$H$73,0)))</f>
        <v/>
      </c>
      <c r="H168">
        <f>IF(OR($B$73="",$B$8=""),0,IF($E$73&gt;0,CHOOSE($D$73,$G$8,$L$8,$Q$8,$V$8)*$E$73/100,IFERROR((CHOOSE($D$73,$G$8,$L$8,$Q$8,$V$8)-CHOOSE($D$73,$G$8,$L$8,$Q$8,$V$8)*$G$73/100)/$H$73,0)))</f>
        <v/>
      </c>
      <c r="I168">
        <f>IF(OR($B$73="",$B$9=""),0,IF($E$73&gt;0,CHOOSE($D$73,$G$9,$L$9,$Q$9,$V$9)*$E$73/100,IFERROR((CHOOSE($D$73,$G$9,$L$9,$Q$9,$V$9)-CHOOSE($D$73,$G$9,$L$9,$Q$9,$V$9)*$G$73/100)/$H$73,0)))</f>
        <v/>
      </c>
      <c r="J168">
        <f>IF(OR($B$73="",$B$10=""),0,IF($E$73&gt;0,CHOOSE($D$73,$G$10,$L$10,$Q$10,$V$10)*$E$73/100,IFERROR((CHOOSE($D$73,$G$10,$L$10,$Q$10,$V$10)-CHOOSE($D$73,$G$10,$L$10,$Q$10,$V$10)*$G$73/100)/$H$73,0)))</f>
        <v/>
      </c>
      <c r="K168">
        <f>IF(OR($B$73="",$B$11=""),0,IF($E$73&gt;0,CHOOSE($D$73,$G$11,$L$11,$Q$11,$V$11)*$E$73/100,IFERROR((CHOOSE($D$73,$G$11,$L$11,$Q$11,$V$11)-CHOOSE($D$73,$G$11,$L$11,$Q$11,$V$11)*$G$73/100)/$H$73,0)))</f>
        <v/>
      </c>
      <c r="L168">
        <f>IF(OR($B$73="",$B$12=""),0,IF($E$73&gt;0,CHOOSE($D$73,$G$12,$L$12,$Q$12,$V$12)*$E$73/100,IFERROR((CHOOSE($D$73,$G$12,$L$12,$Q$12,$V$12)-CHOOSE($D$73,$G$12,$L$12,$Q$12,$V$12)*$G$73/100)/$H$73,0)))</f>
        <v/>
      </c>
      <c r="M168">
        <f>IF(OR($B$73="",$B$13=""),0,IF($E$73&gt;0,CHOOSE($D$73,$G$13,$L$13,$Q$13,$V$13)*$E$73/100,IFERROR((CHOOSE($D$73,$G$13,$L$13,$Q$13,$V$13)-CHOOSE($D$73,$G$13,$L$13,$Q$13,$V$13)*$G$73/100)/$H$73,0)))</f>
        <v/>
      </c>
      <c r="N168">
        <f>IF(OR($B$73="",$B$14=""),0,IF($E$73&gt;0,CHOOSE($D$73,$G$14,$L$14,$Q$14,$V$14)*$E$73/100,IFERROR((CHOOSE($D$73,$G$14,$L$14,$Q$14,$V$14)-CHOOSE($D$73,$G$14,$L$14,$Q$14,$V$14)*$G$73/100)/$H$73,0)))</f>
        <v/>
      </c>
      <c r="O168">
        <f>IF(OR($B$73="",$B$15=""),0,IF($E$73&gt;0,CHOOSE($D$73,$G$15,$L$15,$Q$15,$V$15)*$E$73/100,IFERROR((CHOOSE($D$73,$G$15,$L$15,$Q$15,$V$15)-CHOOSE($D$73,$G$15,$L$15,$Q$15,$V$15)*$G$73/100)/$H$73,0)))</f>
        <v/>
      </c>
      <c r="P168">
        <f>IF(OR($B$73="",$B$16=""),0,IF($E$73&gt;0,CHOOSE($D$73,$G$16,$L$16,$Q$16,$V$16)*$E$73/100,IFERROR((CHOOSE($D$73,$G$16,$L$16,$Q$16,$V$16)-CHOOSE($D$73,$G$16,$L$16,$Q$16,$V$16)*$G$73/100)/$H$73,0)))</f>
        <v/>
      </c>
      <c r="Q168">
        <f>IF(OR($B$73="",$B$17=""),0,IF($E$73&gt;0,CHOOSE($D$73,$G$17,$L$17,$Q$17,$V$17)*$E$73/100,IFERROR((CHOOSE($D$73,$G$17,$L$17,$Q$17,$V$17)-CHOOSE($D$73,$G$17,$L$17,$Q$17,$V$17)*$G$73/100)/$H$73,0)))</f>
        <v/>
      </c>
      <c r="R168">
        <f>IF(OR($B$73="",$B$18=""),0,IF($E$73&gt;0,CHOOSE($D$73,$G$18,$L$18,$Q$18,$V$18)*$E$73/100,IFERROR((CHOOSE($D$73,$G$18,$L$18,$Q$18,$V$18)-CHOOSE($D$73,$G$18,$L$18,$Q$18,$V$18)*$G$73/100)/$H$73,0)))</f>
        <v/>
      </c>
      <c r="S168">
        <f>IF(OR($B$73="",$B$19=""),0,IF($E$73&gt;0,CHOOSE($D$73,$G$19,$L$19,$Q$19,$V$19)*$E$73/100,IFERROR((CHOOSE($D$73,$G$19,$L$19,$Q$19,$V$19)-CHOOSE($D$73,$G$19,$L$19,$Q$19,$V$19)*$G$73/100)/$H$73,0)))</f>
        <v/>
      </c>
      <c r="T168">
        <f>IF(OR($B$73="",$B$20=""),0,IF($E$73&gt;0,CHOOSE($D$73,$G$20,$L$20,$Q$20,$V$20)*$E$73/100,IFERROR((CHOOSE($D$73,$G$20,$L$20,$Q$20,$V$20)-CHOOSE($D$73,$G$20,$L$20,$Q$20,$V$20)*$G$73/100)/$H$73,0)))</f>
        <v/>
      </c>
      <c r="U168">
        <f>IF(OR($B$73="",$B$21=""),0,IF($E$73&gt;0,CHOOSE($D$73,$G$21,$L$21,$Q$21,$V$21)*$E$73/100,IFERROR((CHOOSE($D$73,$G$21,$L$21,$Q$21,$V$21)-CHOOSE($D$73,$G$21,$L$21,$Q$21,$V$21)*$G$73/100)/$H$73,0)))</f>
        <v/>
      </c>
      <c r="V168">
        <f>IF(OR($B$73="",$B$22=""),0,IF($E$73&gt;0,CHOOSE($D$73,$G$22,$L$22,$Q$22,$V$22)*$E$73/100,IFERROR((CHOOSE($D$73,$G$22,$L$22,$Q$22,$V$22)-CHOOSE($D$73,$G$22,$L$22,$Q$22,$V$22)*$G$73/100)/$H$73,0)))</f>
        <v/>
      </c>
    </row>
    <row r="169">
      <c r="A169" t="n">
        <v>36</v>
      </c>
      <c r="B169">
        <f>B74</f>
        <v/>
      </c>
      <c r="C169">
        <f>IF(OR($B$74="",$B$3=""),0,IF($E$74&gt;0,CHOOSE($D$74,$G$3,$L$3,$Q$3,$V$3)*$E$74/100,IFERROR((CHOOSE($D$74,$G$3,$L$3,$Q$3,$V$3)-CHOOSE($D$74,$G$3,$L$3,$Q$3,$V$3)*$G$74/100)/$H$74,0)))</f>
        <v/>
      </c>
      <c r="D169">
        <f>IF(OR($B$74="",$B$4=""),0,IF($E$74&gt;0,CHOOSE($D$74,$G$4,$L$4,$Q$4,$V$4)*$E$74/100,IFERROR((CHOOSE($D$74,$G$4,$L$4,$Q$4,$V$4)-CHOOSE($D$74,$G$4,$L$4,$Q$4,$V$4)*$G$74/100)/$H$74,0)))</f>
        <v/>
      </c>
      <c r="E169">
        <f>IF(OR($B$74="",$B$5=""),0,IF($E$74&gt;0,CHOOSE($D$74,$G$5,$L$5,$Q$5,$V$5)*$E$74/100,IFERROR((CHOOSE($D$74,$G$5,$L$5,$Q$5,$V$5)-CHOOSE($D$74,$G$5,$L$5,$Q$5,$V$5)*$G$74/100)/$H$74,0)))</f>
        <v/>
      </c>
      <c r="F169">
        <f>IF(OR($B$74="",$B$6=""),0,IF($E$74&gt;0,CHOOSE($D$74,$G$6,$L$6,$Q$6,$V$6)*$E$74/100,IFERROR((CHOOSE($D$74,$G$6,$L$6,$Q$6,$V$6)-CHOOSE($D$74,$G$6,$L$6,$Q$6,$V$6)*$G$74/100)/$H$74,0)))</f>
        <v/>
      </c>
      <c r="G169">
        <f>IF(OR($B$74="",$B$7=""),0,IF($E$74&gt;0,CHOOSE($D$74,$G$7,$L$7,$Q$7,$V$7)*$E$74/100,IFERROR((CHOOSE($D$74,$G$7,$L$7,$Q$7,$V$7)-CHOOSE($D$74,$G$7,$L$7,$Q$7,$V$7)*$G$74/100)/$H$74,0)))</f>
        <v/>
      </c>
      <c r="H169">
        <f>IF(OR($B$74="",$B$8=""),0,IF($E$74&gt;0,CHOOSE($D$74,$G$8,$L$8,$Q$8,$V$8)*$E$74/100,IFERROR((CHOOSE($D$74,$G$8,$L$8,$Q$8,$V$8)-CHOOSE($D$74,$G$8,$L$8,$Q$8,$V$8)*$G$74/100)/$H$74,0)))</f>
        <v/>
      </c>
      <c r="I169">
        <f>IF(OR($B$74="",$B$9=""),0,IF($E$74&gt;0,CHOOSE($D$74,$G$9,$L$9,$Q$9,$V$9)*$E$74/100,IFERROR((CHOOSE($D$74,$G$9,$L$9,$Q$9,$V$9)-CHOOSE($D$74,$G$9,$L$9,$Q$9,$V$9)*$G$74/100)/$H$74,0)))</f>
        <v/>
      </c>
      <c r="J169">
        <f>IF(OR($B$74="",$B$10=""),0,IF($E$74&gt;0,CHOOSE($D$74,$G$10,$L$10,$Q$10,$V$10)*$E$74/100,IFERROR((CHOOSE($D$74,$G$10,$L$10,$Q$10,$V$10)-CHOOSE($D$74,$G$10,$L$10,$Q$10,$V$10)*$G$74/100)/$H$74,0)))</f>
        <v/>
      </c>
      <c r="K169">
        <f>IF(OR($B$74="",$B$11=""),0,IF($E$74&gt;0,CHOOSE($D$74,$G$11,$L$11,$Q$11,$V$11)*$E$74/100,IFERROR((CHOOSE($D$74,$G$11,$L$11,$Q$11,$V$11)-CHOOSE($D$74,$G$11,$L$11,$Q$11,$V$11)*$G$74/100)/$H$74,0)))</f>
        <v/>
      </c>
      <c r="L169">
        <f>IF(OR($B$74="",$B$12=""),0,IF($E$74&gt;0,CHOOSE($D$74,$G$12,$L$12,$Q$12,$V$12)*$E$74/100,IFERROR((CHOOSE($D$74,$G$12,$L$12,$Q$12,$V$12)-CHOOSE($D$74,$G$12,$L$12,$Q$12,$V$12)*$G$74/100)/$H$74,0)))</f>
        <v/>
      </c>
      <c r="M169">
        <f>IF(OR($B$74="",$B$13=""),0,IF($E$74&gt;0,CHOOSE($D$74,$G$13,$L$13,$Q$13,$V$13)*$E$74/100,IFERROR((CHOOSE($D$74,$G$13,$L$13,$Q$13,$V$13)-CHOOSE($D$74,$G$13,$L$13,$Q$13,$V$13)*$G$74/100)/$H$74,0)))</f>
        <v/>
      </c>
      <c r="N169">
        <f>IF(OR($B$74="",$B$14=""),0,IF($E$74&gt;0,CHOOSE($D$74,$G$14,$L$14,$Q$14,$V$14)*$E$74/100,IFERROR((CHOOSE($D$74,$G$14,$L$14,$Q$14,$V$14)-CHOOSE($D$74,$G$14,$L$14,$Q$14,$V$14)*$G$74/100)/$H$74,0)))</f>
        <v/>
      </c>
      <c r="O169">
        <f>IF(OR($B$74="",$B$15=""),0,IF($E$74&gt;0,CHOOSE($D$74,$G$15,$L$15,$Q$15,$V$15)*$E$74/100,IFERROR((CHOOSE($D$74,$G$15,$L$15,$Q$15,$V$15)-CHOOSE($D$74,$G$15,$L$15,$Q$15,$V$15)*$G$74/100)/$H$74,0)))</f>
        <v/>
      </c>
      <c r="P169">
        <f>IF(OR($B$74="",$B$16=""),0,IF($E$74&gt;0,CHOOSE($D$74,$G$16,$L$16,$Q$16,$V$16)*$E$74/100,IFERROR((CHOOSE($D$74,$G$16,$L$16,$Q$16,$V$16)-CHOOSE($D$74,$G$16,$L$16,$Q$16,$V$16)*$G$74/100)/$H$74,0)))</f>
        <v/>
      </c>
      <c r="Q169">
        <f>IF(OR($B$74="",$B$17=""),0,IF($E$74&gt;0,CHOOSE($D$74,$G$17,$L$17,$Q$17,$V$17)*$E$74/100,IFERROR((CHOOSE($D$74,$G$17,$L$17,$Q$17,$V$17)-CHOOSE($D$74,$G$17,$L$17,$Q$17,$V$17)*$G$74/100)/$H$74,0)))</f>
        <v/>
      </c>
      <c r="R169">
        <f>IF(OR($B$74="",$B$18=""),0,IF($E$74&gt;0,CHOOSE($D$74,$G$18,$L$18,$Q$18,$V$18)*$E$74/100,IFERROR((CHOOSE($D$74,$G$18,$L$18,$Q$18,$V$18)-CHOOSE($D$74,$G$18,$L$18,$Q$18,$V$18)*$G$74/100)/$H$74,0)))</f>
        <v/>
      </c>
      <c r="S169">
        <f>IF(OR($B$74="",$B$19=""),0,IF($E$74&gt;0,CHOOSE($D$74,$G$19,$L$19,$Q$19,$V$19)*$E$74/100,IFERROR((CHOOSE($D$74,$G$19,$L$19,$Q$19,$V$19)-CHOOSE($D$74,$G$19,$L$19,$Q$19,$V$19)*$G$74/100)/$H$74,0)))</f>
        <v/>
      </c>
      <c r="T169">
        <f>IF(OR($B$74="",$B$20=""),0,IF($E$74&gt;0,CHOOSE($D$74,$G$20,$L$20,$Q$20,$V$20)*$E$74/100,IFERROR((CHOOSE($D$74,$G$20,$L$20,$Q$20,$V$20)-CHOOSE($D$74,$G$20,$L$20,$Q$20,$V$20)*$G$74/100)/$H$74,0)))</f>
        <v/>
      </c>
      <c r="U169">
        <f>IF(OR($B$74="",$B$21=""),0,IF($E$74&gt;0,CHOOSE($D$74,$G$21,$L$21,$Q$21,$V$21)*$E$74/100,IFERROR((CHOOSE($D$74,$G$21,$L$21,$Q$21,$V$21)-CHOOSE($D$74,$G$21,$L$21,$Q$21,$V$21)*$G$74/100)/$H$74,0)))</f>
        <v/>
      </c>
      <c r="V169">
        <f>IF(OR($B$74="",$B$22=""),0,IF($E$74&gt;0,CHOOSE($D$74,$G$22,$L$22,$Q$22,$V$22)*$E$74/100,IFERROR((CHOOSE($D$74,$G$22,$L$22,$Q$22,$V$22)-CHOOSE($D$74,$G$22,$L$22,$Q$22,$V$22)*$G$74/100)/$H$74,0)))</f>
        <v/>
      </c>
    </row>
    <row r="170">
      <c r="A170" t="n">
        <v>37</v>
      </c>
      <c r="B170">
        <f>B75</f>
        <v/>
      </c>
      <c r="C170">
        <f>IF(OR($B$75="",$B$3=""),0,IF($E$75&gt;0,CHOOSE($D$75,$G$3,$L$3,$Q$3,$V$3)*$E$75/100,IFERROR((CHOOSE($D$75,$G$3,$L$3,$Q$3,$V$3)-CHOOSE($D$75,$G$3,$L$3,$Q$3,$V$3)*$G$75/100)/$H$75,0)))</f>
        <v/>
      </c>
      <c r="D170">
        <f>IF(OR($B$75="",$B$4=""),0,IF($E$75&gt;0,CHOOSE($D$75,$G$4,$L$4,$Q$4,$V$4)*$E$75/100,IFERROR((CHOOSE($D$75,$G$4,$L$4,$Q$4,$V$4)-CHOOSE($D$75,$G$4,$L$4,$Q$4,$V$4)*$G$75/100)/$H$75,0)))</f>
        <v/>
      </c>
      <c r="E170">
        <f>IF(OR($B$75="",$B$5=""),0,IF($E$75&gt;0,CHOOSE($D$75,$G$5,$L$5,$Q$5,$V$5)*$E$75/100,IFERROR((CHOOSE($D$75,$G$5,$L$5,$Q$5,$V$5)-CHOOSE($D$75,$G$5,$L$5,$Q$5,$V$5)*$G$75/100)/$H$75,0)))</f>
        <v/>
      </c>
      <c r="F170">
        <f>IF(OR($B$75="",$B$6=""),0,IF($E$75&gt;0,CHOOSE($D$75,$G$6,$L$6,$Q$6,$V$6)*$E$75/100,IFERROR((CHOOSE($D$75,$G$6,$L$6,$Q$6,$V$6)-CHOOSE($D$75,$G$6,$L$6,$Q$6,$V$6)*$G$75/100)/$H$75,0)))</f>
        <v/>
      </c>
      <c r="G170">
        <f>IF(OR($B$75="",$B$7=""),0,IF($E$75&gt;0,CHOOSE($D$75,$G$7,$L$7,$Q$7,$V$7)*$E$75/100,IFERROR((CHOOSE($D$75,$G$7,$L$7,$Q$7,$V$7)-CHOOSE($D$75,$G$7,$L$7,$Q$7,$V$7)*$G$75/100)/$H$75,0)))</f>
        <v/>
      </c>
      <c r="H170">
        <f>IF(OR($B$75="",$B$8=""),0,IF($E$75&gt;0,CHOOSE($D$75,$G$8,$L$8,$Q$8,$V$8)*$E$75/100,IFERROR((CHOOSE($D$75,$G$8,$L$8,$Q$8,$V$8)-CHOOSE($D$75,$G$8,$L$8,$Q$8,$V$8)*$G$75/100)/$H$75,0)))</f>
        <v/>
      </c>
      <c r="I170">
        <f>IF(OR($B$75="",$B$9=""),0,IF($E$75&gt;0,CHOOSE($D$75,$G$9,$L$9,$Q$9,$V$9)*$E$75/100,IFERROR((CHOOSE($D$75,$G$9,$L$9,$Q$9,$V$9)-CHOOSE($D$75,$G$9,$L$9,$Q$9,$V$9)*$G$75/100)/$H$75,0)))</f>
        <v/>
      </c>
      <c r="J170">
        <f>IF(OR($B$75="",$B$10=""),0,IF($E$75&gt;0,CHOOSE($D$75,$G$10,$L$10,$Q$10,$V$10)*$E$75/100,IFERROR((CHOOSE($D$75,$G$10,$L$10,$Q$10,$V$10)-CHOOSE($D$75,$G$10,$L$10,$Q$10,$V$10)*$G$75/100)/$H$75,0)))</f>
        <v/>
      </c>
      <c r="K170">
        <f>IF(OR($B$75="",$B$11=""),0,IF($E$75&gt;0,CHOOSE($D$75,$G$11,$L$11,$Q$11,$V$11)*$E$75/100,IFERROR((CHOOSE($D$75,$G$11,$L$11,$Q$11,$V$11)-CHOOSE($D$75,$G$11,$L$11,$Q$11,$V$11)*$G$75/100)/$H$75,0)))</f>
        <v/>
      </c>
      <c r="L170">
        <f>IF(OR($B$75="",$B$12=""),0,IF($E$75&gt;0,CHOOSE($D$75,$G$12,$L$12,$Q$12,$V$12)*$E$75/100,IFERROR((CHOOSE($D$75,$G$12,$L$12,$Q$12,$V$12)-CHOOSE($D$75,$G$12,$L$12,$Q$12,$V$12)*$G$75/100)/$H$75,0)))</f>
        <v/>
      </c>
      <c r="M170">
        <f>IF(OR($B$75="",$B$13=""),0,IF($E$75&gt;0,CHOOSE($D$75,$G$13,$L$13,$Q$13,$V$13)*$E$75/100,IFERROR((CHOOSE($D$75,$G$13,$L$13,$Q$13,$V$13)-CHOOSE($D$75,$G$13,$L$13,$Q$13,$V$13)*$G$75/100)/$H$75,0)))</f>
        <v/>
      </c>
      <c r="N170">
        <f>IF(OR($B$75="",$B$14=""),0,IF($E$75&gt;0,CHOOSE($D$75,$G$14,$L$14,$Q$14,$V$14)*$E$75/100,IFERROR((CHOOSE($D$75,$G$14,$L$14,$Q$14,$V$14)-CHOOSE($D$75,$G$14,$L$14,$Q$14,$V$14)*$G$75/100)/$H$75,0)))</f>
        <v/>
      </c>
      <c r="O170">
        <f>IF(OR($B$75="",$B$15=""),0,IF($E$75&gt;0,CHOOSE($D$75,$G$15,$L$15,$Q$15,$V$15)*$E$75/100,IFERROR((CHOOSE($D$75,$G$15,$L$15,$Q$15,$V$15)-CHOOSE($D$75,$G$15,$L$15,$Q$15,$V$15)*$G$75/100)/$H$75,0)))</f>
        <v/>
      </c>
      <c r="P170">
        <f>IF(OR($B$75="",$B$16=""),0,IF($E$75&gt;0,CHOOSE($D$75,$G$16,$L$16,$Q$16,$V$16)*$E$75/100,IFERROR((CHOOSE($D$75,$G$16,$L$16,$Q$16,$V$16)-CHOOSE($D$75,$G$16,$L$16,$Q$16,$V$16)*$G$75/100)/$H$75,0)))</f>
        <v/>
      </c>
      <c r="Q170">
        <f>IF(OR($B$75="",$B$17=""),0,IF($E$75&gt;0,CHOOSE($D$75,$G$17,$L$17,$Q$17,$V$17)*$E$75/100,IFERROR((CHOOSE($D$75,$G$17,$L$17,$Q$17,$V$17)-CHOOSE($D$75,$G$17,$L$17,$Q$17,$V$17)*$G$75/100)/$H$75,0)))</f>
        <v/>
      </c>
      <c r="R170">
        <f>IF(OR($B$75="",$B$18=""),0,IF($E$75&gt;0,CHOOSE($D$75,$G$18,$L$18,$Q$18,$V$18)*$E$75/100,IFERROR((CHOOSE($D$75,$G$18,$L$18,$Q$18,$V$18)-CHOOSE($D$75,$G$18,$L$18,$Q$18,$V$18)*$G$75/100)/$H$75,0)))</f>
        <v/>
      </c>
      <c r="S170">
        <f>IF(OR($B$75="",$B$19=""),0,IF($E$75&gt;0,CHOOSE($D$75,$G$19,$L$19,$Q$19,$V$19)*$E$75/100,IFERROR((CHOOSE($D$75,$G$19,$L$19,$Q$19,$V$19)-CHOOSE($D$75,$G$19,$L$19,$Q$19,$V$19)*$G$75/100)/$H$75,0)))</f>
        <v/>
      </c>
      <c r="T170">
        <f>IF(OR($B$75="",$B$20=""),0,IF($E$75&gt;0,CHOOSE($D$75,$G$20,$L$20,$Q$20,$V$20)*$E$75/100,IFERROR((CHOOSE($D$75,$G$20,$L$20,$Q$20,$V$20)-CHOOSE($D$75,$G$20,$L$20,$Q$20,$V$20)*$G$75/100)/$H$75,0)))</f>
        <v/>
      </c>
      <c r="U170">
        <f>IF(OR($B$75="",$B$21=""),0,IF($E$75&gt;0,CHOOSE($D$75,$G$21,$L$21,$Q$21,$V$21)*$E$75/100,IFERROR((CHOOSE($D$75,$G$21,$L$21,$Q$21,$V$21)-CHOOSE($D$75,$G$21,$L$21,$Q$21,$V$21)*$G$75/100)/$H$75,0)))</f>
        <v/>
      </c>
      <c r="V170">
        <f>IF(OR($B$75="",$B$22=""),0,IF($E$75&gt;0,CHOOSE($D$75,$G$22,$L$22,$Q$22,$V$22)*$E$75/100,IFERROR((CHOOSE($D$75,$G$22,$L$22,$Q$22,$V$22)-CHOOSE($D$75,$G$22,$L$22,$Q$22,$V$22)*$G$75/100)/$H$75,0)))</f>
        <v/>
      </c>
    </row>
    <row r="171">
      <c r="A171" t="n">
        <v>38</v>
      </c>
      <c r="B171">
        <f>B76</f>
        <v/>
      </c>
      <c r="C171">
        <f>IF(OR($B$76="",$B$3=""),0,IF($E$76&gt;0,CHOOSE($D$76,$G$3,$L$3,$Q$3,$V$3)*$E$76/100,IFERROR((CHOOSE($D$76,$G$3,$L$3,$Q$3,$V$3)-CHOOSE($D$76,$G$3,$L$3,$Q$3,$V$3)*$G$76/100)/$H$76,0)))</f>
        <v/>
      </c>
      <c r="D171">
        <f>IF(OR($B$76="",$B$4=""),0,IF($E$76&gt;0,CHOOSE($D$76,$G$4,$L$4,$Q$4,$V$4)*$E$76/100,IFERROR((CHOOSE($D$76,$G$4,$L$4,$Q$4,$V$4)-CHOOSE($D$76,$G$4,$L$4,$Q$4,$V$4)*$G$76/100)/$H$76,0)))</f>
        <v/>
      </c>
      <c r="E171">
        <f>IF(OR($B$76="",$B$5=""),0,IF($E$76&gt;0,CHOOSE($D$76,$G$5,$L$5,$Q$5,$V$5)*$E$76/100,IFERROR((CHOOSE($D$76,$G$5,$L$5,$Q$5,$V$5)-CHOOSE($D$76,$G$5,$L$5,$Q$5,$V$5)*$G$76/100)/$H$76,0)))</f>
        <v/>
      </c>
      <c r="F171">
        <f>IF(OR($B$76="",$B$6=""),0,IF($E$76&gt;0,CHOOSE($D$76,$G$6,$L$6,$Q$6,$V$6)*$E$76/100,IFERROR((CHOOSE($D$76,$G$6,$L$6,$Q$6,$V$6)-CHOOSE($D$76,$G$6,$L$6,$Q$6,$V$6)*$G$76/100)/$H$76,0)))</f>
        <v/>
      </c>
      <c r="G171">
        <f>IF(OR($B$76="",$B$7=""),0,IF($E$76&gt;0,CHOOSE($D$76,$G$7,$L$7,$Q$7,$V$7)*$E$76/100,IFERROR((CHOOSE($D$76,$G$7,$L$7,$Q$7,$V$7)-CHOOSE($D$76,$G$7,$L$7,$Q$7,$V$7)*$G$76/100)/$H$76,0)))</f>
        <v/>
      </c>
      <c r="H171">
        <f>IF(OR($B$76="",$B$8=""),0,IF($E$76&gt;0,CHOOSE($D$76,$G$8,$L$8,$Q$8,$V$8)*$E$76/100,IFERROR((CHOOSE($D$76,$G$8,$L$8,$Q$8,$V$8)-CHOOSE($D$76,$G$8,$L$8,$Q$8,$V$8)*$G$76/100)/$H$76,0)))</f>
        <v/>
      </c>
      <c r="I171">
        <f>IF(OR($B$76="",$B$9=""),0,IF($E$76&gt;0,CHOOSE($D$76,$G$9,$L$9,$Q$9,$V$9)*$E$76/100,IFERROR((CHOOSE($D$76,$G$9,$L$9,$Q$9,$V$9)-CHOOSE($D$76,$G$9,$L$9,$Q$9,$V$9)*$G$76/100)/$H$76,0)))</f>
        <v/>
      </c>
      <c r="J171">
        <f>IF(OR($B$76="",$B$10=""),0,IF($E$76&gt;0,CHOOSE($D$76,$G$10,$L$10,$Q$10,$V$10)*$E$76/100,IFERROR((CHOOSE($D$76,$G$10,$L$10,$Q$10,$V$10)-CHOOSE($D$76,$G$10,$L$10,$Q$10,$V$10)*$G$76/100)/$H$76,0)))</f>
        <v/>
      </c>
      <c r="K171">
        <f>IF(OR($B$76="",$B$11=""),0,IF($E$76&gt;0,CHOOSE($D$76,$G$11,$L$11,$Q$11,$V$11)*$E$76/100,IFERROR((CHOOSE($D$76,$G$11,$L$11,$Q$11,$V$11)-CHOOSE($D$76,$G$11,$L$11,$Q$11,$V$11)*$G$76/100)/$H$76,0)))</f>
        <v/>
      </c>
      <c r="L171">
        <f>IF(OR($B$76="",$B$12=""),0,IF($E$76&gt;0,CHOOSE($D$76,$G$12,$L$12,$Q$12,$V$12)*$E$76/100,IFERROR((CHOOSE($D$76,$G$12,$L$12,$Q$12,$V$12)-CHOOSE($D$76,$G$12,$L$12,$Q$12,$V$12)*$G$76/100)/$H$76,0)))</f>
        <v/>
      </c>
      <c r="M171">
        <f>IF(OR($B$76="",$B$13=""),0,IF($E$76&gt;0,CHOOSE($D$76,$G$13,$L$13,$Q$13,$V$13)*$E$76/100,IFERROR((CHOOSE($D$76,$G$13,$L$13,$Q$13,$V$13)-CHOOSE($D$76,$G$13,$L$13,$Q$13,$V$13)*$G$76/100)/$H$76,0)))</f>
        <v/>
      </c>
      <c r="N171">
        <f>IF(OR($B$76="",$B$14=""),0,IF($E$76&gt;0,CHOOSE($D$76,$G$14,$L$14,$Q$14,$V$14)*$E$76/100,IFERROR((CHOOSE($D$76,$G$14,$L$14,$Q$14,$V$14)-CHOOSE($D$76,$G$14,$L$14,$Q$14,$V$14)*$G$76/100)/$H$76,0)))</f>
        <v/>
      </c>
      <c r="O171">
        <f>IF(OR($B$76="",$B$15=""),0,IF($E$76&gt;0,CHOOSE($D$76,$G$15,$L$15,$Q$15,$V$15)*$E$76/100,IFERROR((CHOOSE($D$76,$G$15,$L$15,$Q$15,$V$15)-CHOOSE($D$76,$G$15,$L$15,$Q$15,$V$15)*$G$76/100)/$H$76,0)))</f>
        <v/>
      </c>
      <c r="P171">
        <f>IF(OR($B$76="",$B$16=""),0,IF($E$76&gt;0,CHOOSE($D$76,$G$16,$L$16,$Q$16,$V$16)*$E$76/100,IFERROR((CHOOSE($D$76,$G$16,$L$16,$Q$16,$V$16)-CHOOSE($D$76,$G$16,$L$16,$Q$16,$V$16)*$G$76/100)/$H$76,0)))</f>
        <v/>
      </c>
      <c r="Q171">
        <f>IF(OR($B$76="",$B$17=""),0,IF($E$76&gt;0,CHOOSE($D$76,$G$17,$L$17,$Q$17,$V$17)*$E$76/100,IFERROR((CHOOSE($D$76,$G$17,$L$17,$Q$17,$V$17)-CHOOSE($D$76,$G$17,$L$17,$Q$17,$V$17)*$G$76/100)/$H$76,0)))</f>
        <v/>
      </c>
      <c r="R171">
        <f>IF(OR($B$76="",$B$18=""),0,IF($E$76&gt;0,CHOOSE($D$76,$G$18,$L$18,$Q$18,$V$18)*$E$76/100,IFERROR((CHOOSE($D$76,$G$18,$L$18,$Q$18,$V$18)-CHOOSE($D$76,$G$18,$L$18,$Q$18,$V$18)*$G$76/100)/$H$76,0)))</f>
        <v/>
      </c>
      <c r="S171">
        <f>IF(OR($B$76="",$B$19=""),0,IF($E$76&gt;0,CHOOSE($D$76,$G$19,$L$19,$Q$19,$V$19)*$E$76/100,IFERROR((CHOOSE($D$76,$G$19,$L$19,$Q$19,$V$19)-CHOOSE($D$76,$G$19,$L$19,$Q$19,$V$19)*$G$76/100)/$H$76,0)))</f>
        <v/>
      </c>
      <c r="T171">
        <f>IF(OR($B$76="",$B$20=""),0,IF($E$76&gt;0,CHOOSE($D$76,$G$20,$L$20,$Q$20,$V$20)*$E$76/100,IFERROR((CHOOSE($D$76,$G$20,$L$20,$Q$20,$V$20)-CHOOSE($D$76,$G$20,$L$20,$Q$20,$V$20)*$G$76/100)/$H$76,0)))</f>
        <v/>
      </c>
      <c r="U171">
        <f>IF(OR($B$76="",$B$21=""),0,IF($E$76&gt;0,CHOOSE($D$76,$G$21,$L$21,$Q$21,$V$21)*$E$76/100,IFERROR((CHOOSE($D$76,$G$21,$L$21,$Q$21,$V$21)-CHOOSE($D$76,$G$21,$L$21,$Q$21,$V$21)*$G$76/100)/$H$76,0)))</f>
        <v/>
      </c>
      <c r="V171">
        <f>IF(OR($B$76="",$B$22=""),0,IF($E$76&gt;0,CHOOSE($D$76,$G$22,$L$22,$Q$22,$V$22)*$E$76/100,IFERROR((CHOOSE($D$76,$G$22,$L$22,$Q$22,$V$22)-CHOOSE($D$76,$G$22,$L$22,$Q$22,$V$22)*$G$76/100)/$H$76,0)))</f>
        <v/>
      </c>
    </row>
    <row r="172">
      <c r="A172" t="n">
        <v>39</v>
      </c>
      <c r="B172">
        <f>B77</f>
        <v/>
      </c>
      <c r="C172">
        <f>IF(OR($B$77="",$B$3=""),0,IF($E$77&gt;0,CHOOSE($D$77,$G$3,$L$3,$Q$3,$V$3)*$E$77/100,IFERROR((CHOOSE($D$77,$G$3,$L$3,$Q$3,$V$3)-CHOOSE($D$77,$G$3,$L$3,$Q$3,$V$3)*$G$77/100)/$H$77,0)))</f>
        <v/>
      </c>
      <c r="D172">
        <f>IF(OR($B$77="",$B$4=""),0,IF($E$77&gt;0,CHOOSE($D$77,$G$4,$L$4,$Q$4,$V$4)*$E$77/100,IFERROR((CHOOSE($D$77,$G$4,$L$4,$Q$4,$V$4)-CHOOSE($D$77,$G$4,$L$4,$Q$4,$V$4)*$G$77/100)/$H$77,0)))</f>
        <v/>
      </c>
      <c r="E172">
        <f>IF(OR($B$77="",$B$5=""),0,IF($E$77&gt;0,CHOOSE($D$77,$G$5,$L$5,$Q$5,$V$5)*$E$77/100,IFERROR((CHOOSE($D$77,$G$5,$L$5,$Q$5,$V$5)-CHOOSE($D$77,$G$5,$L$5,$Q$5,$V$5)*$G$77/100)/$H$77,0)))</f>
        <v/>
      </c>
      <c r="F172">
        <f>IF(OR($B$77="",$B$6=""),0,IF($E$77&gt;0,CHOOSE($D$77,$G$6,$L$6,$Q$6,$V$6)*$E$77/100,IFERROR((CHOOSE($D$77,$G$6,$L$6,$Q$6,$V$6)-CHOOSE($D$77,$G$6,$L$6,$Q$6,$V$6)*$G$77/100)/$H$77,0)))</f>
        <v/>
      </c>
      <c r="G172">
        <f>IF(OR($B$77="",$B$7=""),0,IF($E$77&gt;0,CHOOSE($D$77,$G$7,$L$7,$Q$7,$V$7)*$E$77/100,IFERROR((CHOOSE($D$77,$G$7,$L$7,$Q$7,$V$7)-CHOOSE($D$77,$G$7,$L$7,$Q$7,$V$7)*$G$77/100)/$H$77,0)))</f>
        <v/>
      </c>
      <c r="H172">
        <f>IF(OR($B$77="",$B$8=""),0,IF($E$77&gt;0,CHOOSE($D$77,$G$8,$L$8,$Q$8,$V$8)*$E$77/100,IFERROR((CHOOSE($D$77,$G$8,$L$8,$Q$8,$V$8)-CHOOSE($D$77,$G$8,$L$8,$Q$8,$V$8)*$G$77/100)/$H$77,0)))</f>
        <v/>
      </c>
      <c r="I172">
        <f>IF(OR($B$77="",$B$9=""),0,IF($E$77&gt;0,CHOOSE($D$77,$G$9,$L$9,$Q$9,$V$9)*$E$77/100,IFERROR((CHOOSE($D$77,$G$9,$L$9,$Q$9,$V$9)-CHOOSE($D$77,$G$9,$L$9,$Q$9,$V$9)*$G$77/100)/$H$77,0)))</f>
        <v/>
      </c>
      <c r="J172">
        <f>IF(OR($B$77="",$B$10=""),0,IF($E$77&gt;0,CHOOSE($D$77,$G$10,$L$10,$Q$10,$V$10)*$E$77/100,IFERROR((CHOOSE($D$77,$G$10,$L$10,$Q$10,$V$10)-CHOOSE($D$77,$G$10,$L$10,$Q$10,$V$10)*$G$77/100)/$H$77,0)))</f>
        <v/>
      </c>
      <c r="K172">
        <f>IF(OR($B$77="",$B$11=""),0,IF($E$77&gt;0,CHOOSE($D$77,$G$11,$L$11,$Q$11,$V$11)*$E$77/100,IFERROR((CHOOSE($D$77,$G$11,$L$11,$Q$11,$V$11)-CHOOSE($D$77,$G$11,$L$11,$Q$11,$V$11)*$G$77/100)/$H$77,0)))</f>
        <v/>
      </c>
      <c r="L172">
        <f>IF(OR($B$77="",$B$12=""),0,IF($E$77&gt;0,CHOOSE($D$77,$G$12,$L$12,$Q$12,$V$12)*$E$77/100,IFERROR((CHOOSE($D$77,$G$12,$L$12,$Q$12,$V$12)-CHOOSE($D$77,$G$12,$L$12,$Q$12,$V$12)*$G$77/100)/$H$77,0)))</f>
        <v/>
      </c>
      <c r="M172">
        <f>IF(OR($B$77="",$B$13=""),0,IF($E$77&gt;0,CHOOSE($D$77,$G$13,$L$13,$Q$13,$V$13)*$E$77/100,IFERROR((CHOOSE($D$77,$G$13,$L$13,$Q$13,$V$13)-CHOOSE($D$77,$G$13,$L$13,$Q$13,$V$13)*$G$77/100)/$H$77,0)))</f>
        <v/>
      </c>
      <c r="N172">
        <f>IF(OR($B$77="",$B$14=""),0,IF($E$77&gt;0,CHOOSE($D$77,$G$14,$L$14,$Q$14,$V$14)*$E$77/100,IFERROR((CHOOSE($D$77,$G$14,$L$14,$Q$14,$V$14)-CHOOSE($D$77,$G$14,$L$14,$Q$14,$V$14)*$G$77/100)/$H$77,0)))</f>
        <v/>
      </c>
      <c r="O172">
        <f>IF(OR($B$77="",$B$15=""),0,IF($E$77&gt;0,CHOOSE($D$77,$G$15,$L$15,$Q$15,$V$15)*$E$77/100,IFERROR((CHOOSE($D$77,$G$15,$L$15,$Q$15,$V$15)-CHOOSE($D$77,$G$15,$L$15,$Q$15,$V$15)*$G$77/100)/$H$77,0)))</f>
        <v/>
      </c>
      <c r="P172">
        <f>IF(OR($B$77="",$B$16=""),0,IF($E$77&gt;0,CHOOSE($D$77,$G$16,$L$16,$Q$16,$V$16)*$E$77/100,IFERROR((CHOOSE($D$77,$G$16,$L$16,$Q$16,$V$16)-CHOOSE($D$77,$G$16,$L$16,$Q$16,$V$16)*$G$77/100)/$H$77,0)))</f>
        <v/>
      </c>
      <c r="Q172">
        <f>IF(OR($B$77="",$B$17=""),0,IF($E$77&gt;0,CHOOSE($D$77,$G$17,$L$17,$Q$17,$V$17)*$E$77/100,IFERROR((CHOOSE($D$77,$G$17,$L$17,$Q$17,$V$17)-CHOOSE($D$77,$G$17,$L$17,$Q$17,$V$17)*$G$77/100)/$H$77,0)))</f>
        <v/>
      </c>
      <c r="R172">
        <f>IF(OR($B$77="",$B$18=""),0,IF($E$77&gt;0,CHOOSE($D$77,$G$18,$L$18,$Q$18,$V$18)*$E$77/100,IFERROR((CHOOSE($D$77,$G$18,$L$18,$Q$18,$V$18)-CHOOSE($D$77,$G$18,$L$18,$Q$18,$V$18)*$G$77/100)/$H$77,0)))</f>
        <v/>
      </c>
      <c r="S172">
        <f>IF(OR($B$77="",$B$19=""),0,IF($E$77&gt;0,CHOOSE($D$77,$G$19,$L$19,$Q$19,$V$19)*$E$77/100,IFERROR((CHOOSE($D$77,$G$19,$L$19,$Q$19,$V$19)-CHOOSE($D$77,$G$19,$L$19,$Q$19,$V$19)*$G$77/100)/$H$77,0)))</f>
        <v/>
      </c>
      <c r="T172">
        <f>IF(OR($B$77="",$B$20=""),0,IF($E$77&gt;0,CHOOSE($D$77,$G$20,$L$20,$Q$20,$V$20)*$E$77/100,IFERROR((CHOOSE($D$77,$G$20,$L$20,$Q$20,$V$20)-CHOOSE($D$77,$G$20,$L$20,$Q$20,$V$20)*$G$77/100)/$H$77,0)))</f>
        <v/>
      </c>
      <c r="U172">
        <f>IF(OR($B$77="",$B$21=""),0,IF($E$77&gt;0,CHOOSE($D$77,$G$21,$L$21,$Q$21,$V$21)*$E$77/100,IFERROR((CHOOSE($D$77,$G$21,$L$21,$Q$21,$V$21)-CHOOSE($D$77,$G$21,$L$21,$Q$21,$V$21)*$G$77/100)/$H$77,0)))</f>
        <v/>
      </c>
      <c r="V172">
        <f>IF(OR($B$77="",$B$22=""),0,IF($E$77&gt;0,CHOOSE($D$77,$G$22,$L$22,$Q$22,$V$22)*$E$77/100,IFERROR((CHOOSE($D$77,$G$22,$L$22,$Q$22,$V$22)-CHOOSE($D$77,$G$22,$L$22,$Q$22,$V$22)*$G$77/100)/$H$77,0)))</f>
        <v/>
      </c>
    </row>
    <row r="173">
      <c r="A173" t="n">
        <v>40</v>
      </c>
      <c r="B173">
        <f>B78</f>
        <v/>
      </c>
      <c r="C173">
        <f>IF(OR($B$78="",$B$3=""),0,IF($E$78&gt;0,CHOOSE($D$78,$G$3,$L$3,$Q$3,$V$3)*$E$78/100,IFERROR((CHOOSE($D$78,$G$3,$L$3,$Q$3,$V$3)-CHOOSE($D$78,$G$3,$L$3,$Q$3,$V$3)*$G$78/100)/$H$78,0)))</f>
        <v/>
      </c>
      <c r="D173">
        <f>IF(OR($B$78="",$B$4=""),0,IF($E$78&gt;0,CHOOSE($D$78,$G$4,$L$4,$Q$4,$V$4)*$E$78/100,IFERROR((CHOOSE($D$78,$G$4,$L$4,$Q$4,$V$4)-CHOOSE($D$78,$G$4,$L$4,$Q$4,$V$4)*$G$78/100)/$H$78,0)))</f>
        <v/>
      </c>
      <c r="E173">
        <f>IF(OR($B$78="",$B$5=""),0,IF($E$78&gt;0,CHOOSE($D$78,$G$5,$L$5,$Q$5,$V$5)*$E$78/100,IFERROR((CHOOSE($D$78,$G$5,$L$5,$Q$5,$V$5)-CHOOSE($D$78,$G$5,$L$5,$Q$5,$V$5)*$G$78/100)/$H$78,0)))</f>
        <v/>
      </c>
      <c r="F173">
        <f>IF(OR($B$78="",$B$6=""),0,IF($E$78&gt;0,CHOOSE($D$78,$G$6,$L$6,$Q$6,$V$6)*$E$78/100,IFERROR((CHOOSE($D$78,$G$6,$L$6,$Q$6,$V$6)-CHOOSE($D$78,$G$6,$L$6,$Q$6,$V$6)*$G$78/100)/$H$78,0)))</f>
        <v/>
      </c>
      <c r="G173">
        <f>IF(OR($B$78="",$B$7=""),0,IF($E$78&gt;0,CHOOSE($D$78,$G$7,$L$7,$Q$7,$V$7)*$E$78/100,IFERROR((CHOOSE($D$78,$G$7,$L$7,$Q$7,$V$7)-CHOOSE($D$78,$G$7,$L$7,$Q$7,$V$7)*$G$78/100)/$H$78,0)))</f>
        <v/>
      </c>
      <c r="H173">
        <f>IF(OR($B$78="",$B$8=""),0,IF($E$78&gt;0,CHOOSE($D$78,$G$8,$L$8,$Q$8,$V$8)*$E$78/100,IFERROR((CHOOSE($D$78,$G$8,$L$8,$Q$8,$V$8)-CHOOSE($D$78,$G$8,$L$8,$Q$8,$V$8)*$G$78/100)/$H$78,0)))</f>
        <v/>
      </c>
      <c r="I173">
        <f>IF(OR($B$78="",$B$9=""),0,IF($E$78&gt;0,CHOOSE($D$78,$G$9,$L$9,$Q$9,$V$9)*$E$78/100,IFERROR((CHOOSE($D$78,$G$9,$L$9,$Q$9,$V$9)-CHOOSE($D$78,$G$9,$L$9,$Q$9,$V$9)*$G$78/100)/$H$78,0)))</f>
        <v/>
      </c>
      <c r="J173">
        <f>IF(OR($B$78="",$B$10=""),0,IF($E$78&gt;0,CHOOSE($D$78,$G$10,$L$10,$Q$10,$V$10)*$E$78/100,IFERROR((CHOOSE($D$78,$G$10,$L$10,$Q$10,$V$10)-CHOOSE($D$78,$G$10,$L$10,$Q$10,$V$10)*$G$78/100)/$H$78,0)))</f>
        <v/>
      </c>
      <c r="K173">
        <f>IF(OR($B$78="",$B$11=""),0,IF($E$78&gt;0,CHOOSE($D$78,$G$11,$L$11,$Q$11,$V$11)*$E$78/100,IFERROR((CHOOSE($D$78,$G$11,$L$11,$Q$11,$V$11)-CHOOSE($D$78,$G$11,$L$11,$Q$11,$V$11)*$G$78/100)/$H$78,0)))</f>
        <v/>
      </c>
      <c r="L173">
        <f>IF(OR($B$78="",$B$12=""),0,IF($E$78&gt;0,CHOOSE($D$78,$G$12,$L$12,$Q$12,$V$12)*$E$78/100,IFERROR((CHOOSE($D$78,$G$12,$L$12,$Q$12,$V$12)-CHOOSE($D$78,$G$12,$L$12,$Q$12,$V$12)*$G$78/100)/$H$78,0)))</f>
        <v/>
      </c>
      <c r="M173">
        <f>IF(OR($B$78="",$B$13=""),0,IF($E$78&gt;0,CHOOSE($D$78,$G$13,$L$13,$Q$13,$V$13)*$E$78/100,IFERROR((CHOOSE($D$78,$G$13,$L$13,$Q$13,$V$13)-CHOOSE($D$78,$G$13,$L$13,$Q$13,$V$13)*$G$78/100)/$H$78,0)))</f>
        <v/>
      </c>
      <c r="N173">
        <f>IF(OR($B$78="",$B$14=""),0,IF($E$78&gt;0,CHOOSE($D$78,$G$14,$L$14,$Q$14,$V$14)*$E$78/100,IFERROR((CHOOSE($D$78,$G$14,$L$14,$Q$14,$V$14)-CHOOSE($D$78,$G$14,$L$14,$Q$14,$V$14)*$G$78/100)/$H$78,0)))</f>
        <v/>
      </c>
      <c r="O173">
        <f>IF(OR($B$78="",$B$15=""),0,IF($E$78&gt;0,CHOOSE($D$78,$G$15,$L$15,$Q$15,$V$15)*$E$78/100,IFERROR((CHOOSE($D$78,$G$15,$L$15,$Q$15,$V$15)-CHOOSE($D$78,$G$15,$L$15,$Q$15,$V$15)*$G$78/100)/$H$78,0)))</f>
        <v/>
      </c>
      <c r="P173">
        <f>IF(OR($B$78="",$B$16=""),0,IF($E$78&gt;0,CHOOSE($D$78,$G$16,$L$16,$Q$16,$V$16)*$E$78/100,IFERROR((CHOOSE($D$78,$G$16,$L$16,$Q$16,$V$16)-CHOOSE($D$78,$G$16,$L$16,$Q$16,$V$16)*$G$78/100)/$H$78,0)))</f>
        <v/>
      </c>
      <c r="Q173">
        <f>IF(OR($B$78="",$B$17=""),0,IF($E$78&gt;0,CHOOSE($D$78,$G$17,$L$17,$Q$17,$V$17)*$E$78/100,IFERROR((CHOOSE($D$78,$G$17,$L$17,$Q$17,$V$17)-CHOOSE($D$78,$G$17,$L$17,$Q$17,$V$17)*$G$78/100)/$H$78,0)))</f>
        <v/>
      </c>
      <c r="R173">
        <f>IF(OR($B$78="",$B$18=""),0,IF($E$78&gt;0,CHOOSE($D$78,$G$18,$L$18,$Q$18,$V$18)*$E$78/100,IFERROR((CHOOSE($D$78,$G$18,$L$18,$Q$18,$V$18)-CHOOSE($D$78,$G$18,$L$18,$Q$18,$V$18)*$G$78/100)/$H$78,0)))</f>
        <v/>
      </c>
      <c r="S173">
        <f>IF(OR($B$78="",$B$19=""),0,IF($E$78&gt;0,CHOOSE($D$78,$G$19,$L$19,$Q$19,$V$19)*$E$78/100,IFERROR((CHOOSE($D$78,$G$19,$L$19,$Q$19,$V$19)-CHOOSE($D$78,$G$19,$L$19,$Q$19,$V$19)*$G$78/100)/$H$78,0)))</f>
        <v/>
      </c>
      <c r="T173">
        <f>IF(OR($B$78="",$B$20=""),0,IF($E$78&gt;0,CHOOSE($D$78,$G$20,$L$20,$Q$20,$V$20)*$E$78/100,IFERROR((CHOOSE($D$78,$G$20,$L$20,$Q$20,$V$20)-CHOOSE($D$78,$G$20,$L$20,$Q$20,$V$20)*$G$78/100)/$H$78,0)))</f>
        <v/>
      </c>
      <c r="U173">
        <f>IF(OR($B$78="",$B$21=""),0,IF($E$78&gt;0,CHOOSE($D$78,$G$21,$L$21,$Q$21,$V$21)*$E$78/100,IFERROR((CHOOSE($D$78,$G$21,$L$21,$Q$21,$V$21)-CHOOSE($D$78,$G$21,$L$21,$Q$21,$V$21)*$G$78/100)/$H$78,0)))</f>
        <v/>
      </c>
      <c r="V173">
        <f>IF(OR($B$78="",$B$22=""),0,IF($E$78&gt;0,CHOOSE($D$78,$G$22,$L$22,$Q$22,$V$22)*$E$78/100,IFERROR((CHOOSE($D$78,$G$22,$L$22,$Q$22,$V$22)-CHOOSE($D$78,$G$22,$L$22,$Q$22,$V$22)*$G$78/100)/$H$78,0)))</f>
        <v/>
      </c>
    </row>
    <row r="174">
      <c r="A174" t="n">
        <v>41</v>
      </c>
      <c r="B174">
        <f>B79</f>
        <v/>
      </c>
      <c r="C174">
        <f>IF(OR($B$79="",$B$3=""),0,IF($E$79&gt;0,CHOOSE($D$79,$G$3,$L$3,$Q$3,$V$3)*$E$79/100,IFERROR((CHOOSE($D$79,$G$3,$L$3,$Q$3,$V$3)-CHOOSE($D$79,$G$3,$L$3,$Q$3,$V$3)*$G$79/100)/$H$79,0)))</f>
        <v/>
      </c>
      <c r="D174">
        <f>IF(OR($B$79="",$B$4=""),0,IF($E$79&gt;0,CHOOSE($D$79,$G$4,$L$4,$Q$4,$V$4)*$E$79/100,IFERROR((CHOOSE($D$79,$G$4,$L$4,$Q$4,$V$4)-CHOOSE($D$79,$G$4,$L$4,$Q$4,$V$4)*$G$79/100)/$H$79,0)))</f>
        <v/>
      </c>
      <c r="E174">
        <f>IF(OR($B$79="",$B$5=""),0,IF($E$79&gt;0,CHOOSE($D$79,$G$5,$L$5,$Q$5,$V$5)*$E$79/100,IFERROR((CHOOSE($D$79,$G$5,$L$5,$Q$5,$V$5)-CHOOSE($D$79,$G$5,$L$5,$Q$5,$V$5)*$G$79/100)/$H$79,0)))</f>
        <v/>
      </c>
      <c r="F174">
        <f>IF(OR($B$79="",$B$6=""),0,IF($E$79&gt;0,CHOOSE($D$79,$G$6,$L$6,$Q$6,$V$6)*$E$79/100,IFERROR((CHOOSE($D$79,$G$6,$L$6,$Q$6,$V$6)-CHOOSE($D$79,$G$6,$L$6,$Q$6,$V$6)*$G$79/100)/$H$79,0)))</f>
        <v/>
      </c>
      <c r="G174">
        <f>IF(OR($B$79="",$B$7=""),0,IF($E$79&gt;0,CHOOSE($D$79,$G$7,$L$7,$Q$7,$V$7)*$E$79/100,IFERROR((CHOOSE($D$79,$G$7,$L$7,$Q$7,$V$7)-CHOOSE($D$79,$G$7,$L$7,$Q$7,$V$7)*$G$79/100)/$H$79,0)))</f>
        <v/>
      </c>
      <c r="H174">
        <f>IF(OR($B$79="",$B$8=""),0,IF($E$79&gt;0,CHOOSE($D$79,$G$8,$L$8,$Q$8,$V$8)*$E$79/100,IFERROR((CHOOSE($D$79,$G$8,$L$8,$Q$8,$V$8)-CHOOSE($D$79,$G$8,$L$8,$Q$8,$V$8)*$G$79/100)/$H$79,0)))</f>
        <v/>
      </c>
      <c r="I174">
        <f>IF(OR($B$79="",$B$9=""),0,IF($E$79&gt;0,CHOOSE($D$79,$G$9,$L$9,$Q$9,$V$9)*$E$79/100,IFERROR((CHOOSE($D$79,$G$9,$L$9,$Q$9,$V$9)-CHOOSE($D$79,$G$9,$L$9,$Q$9,$V$9)*$G$79/100)/$H$79,0)))</f>
        <v/>
      </c>
      <c r="J174">
        <f>IF(OR($B$79="",$B$10=""),0,IF($E$79&gt;0,CHOOSE($D$79,$G$10,$L$10,$Q$10,$V$10)*$E$79/100,IFERROR((CHOOSE($D$79,$G$10,$L$10,$Q$10,$V$10)-CHOOSE($D$79,$G$10,$L$10,$Q$10,$V$10)*$G$79/100)/$H$79,0)))</f>
        <v/>
      </c>
      <c r="K174">
        <f>IF(OR($B$79="",$B$11=""),0,IF($E$79&gt;0,CHOOSE($D$79,$G$11,$L$11,$Q$11,$V$11)*$E$79/100,IFERROR((CHOOSE($D$79,$G$11,$L$11,$Q$11,$V$11)-CHOOSE($D$79,$G$11,$L$11,$Q$11,$V$11)*$G$79/100)/$H$79,0)))</f>
        <v/>
      </c>
      <c r="L174">
        <f>IF(OR($B$79="",$B$12=""),0,IF($E$79&gt;0,CHOOSE($D$79,$G$12,$L$12,$Q$12,$V$12)*$E$79/100,IFERROR((CHOOSE($D$79,$G$12,$L$12,$Q$12,$V$12)-CHOOSE($D$79,$G$12,$L$12,$Q$12,$V$12)*$G$79/100)/$H$79,0)))</f>
        <v/>
      </c>
      <c r="M174">
        <f>IF(OR($B$79="",$B$13=""),0,IF($E$79&gt;0,CHOOSE($D$79,$G$13,$L$13,$Q$13,$V$13)*$E$79/100,IFERROR((CHOOSE($D$79,$G$13,$L$13,$Q$13,$V$13)-CHOOSE($D$79,$G$13,$L$13,$Q$13,$V$13)*$G$79/100)/$H$79,0)))</f>
        <v/>
      </c>
      <c r="N174">
        <f>IF(OR($B$79="",$B$14=""),0,IF($E$79&gt;0,CHOOSE($D$79,$G$14,$L$14,$Q$14,$V$14)*$E$79/100,IFERROR((CHOOSE($D$79,$G$14,$L$14,$Q$14,$V$14)-CHOOSE($D$79,$G$14,$L$14,$Q$14,$V$14)*$G$79/100)/$H$79,0)))</f>
        <v/>
      </c>
      <c r="O174">
        <f>IF(OR($B$79="",$B$15=""),0,IF($E$79&gt;0,CHOOSE($D$79,$G$15,$L$15,$Q$15,$V$15)*$E$79/100,IFERROR((CHOOSE($D$79,$G$15,$L$15,$Q$15,$V$15)-CHOOSE($D$79,$G$15,$L$15,$Q$15,$V$15)*$G$79/100)/$H$79,0)))</f>
        <v/>
      </c>
      <c r="P174">
        <f>IF(OR($B$79="",$B$16=""),0,IF($E$79&gt;0,CHOOSE($D$79,$G$16,$L$16,$Q$16,$V$16)*$E$79/100,IFERROR((CHOOSE($D$79,$G$16,$L$16,$Q$16,$V$16)-CHOOSE($D$79,$G$16,$L$16,$Q$16,$V$16)*$G$79/100)/$H$79,0)))</f>
        <v/>
      </c>
      <c r="Q174">
        <f>IF(OR($B$79="",$B$17=""),0,IF($E$79&gt;0,CHOOSE($D$79,$G$17,$L$17,$Q$17,$V$17)*$E$79/100,IFERROR((CHOOSE($D$79,$G$17,$L$17,$Q$17,$V$17)-CHOOSE($D$79,$G$17,$L$17,$Q$17,$V$17)*$G$79/100)/$H$79,0)))</f>
        <v/>
      </c>
      <c r="R174">
        <f>IF(OR($B$79="",$B$18=""),0,IF($E$79&gt;0,CHOOSE($D$79,$G$18,$L$18,$Q$18,$V$18)*$E$79/100,IFERROR((CHOOSE($D$79,$G$18,$L$18,$Q$18,$V$18)-CHOOSE($D$79,$G$18,$L$18,$Q$18,$V$18)*$G$79/100)/$H$79,0)))</f>
        <v/>
      </c>
      <c r="S174">
        <f>IF(OR($B$79="",$B$19=""),0,IF($E$79&gt;0,CHOOSE($D$79,$G$19,$L$19,$Q$19,$V$19)*$E$79/100,IFERROR((CHOOSE($D$79,$G$19,$L$19,$Q$19,$V$19)-CHOOSE($D$79,$G$19,$L$19,$Q$19,$V$19)*$G$79/100)/$H$79,0)))</f>
        <v/>
      </c>
      <c r="T174">
        <f>IF(OR($B$79="",$B$20=""),0,IF($E$79&gt;0,CHOOSE($D$79,$G$20,$L$20,$Q$20,$V$20)*$E$79/100,IFERROR((CHOOSE($D$79,$G$20,$L$20,$Q$20,$V$20)-CHOOSE($D$79,$G$20,$L$20,$Q$20,$V$20)*$G$79/100)/$H$79,0)))</f>
        <v/>
      </c>
      <c r="U174">
        <f>IF(OR($B$79="",$B$21=""),0,IF($E$79&gt;0,CHOOSE($D$79,$G$21,$L$21,$Q$21,$V$21)*$E$79/100,IFERROR((CHOOSE($D$79,$G$21,$L$21,$Q$21,$V$21)-CHOOSE($D$79,$G$21,$L$21,$Q$21,$V$21)*$G$79/100)/$H$79,0)))</f>
        <v/>
      </c>
      <c r="V174">
        <f>IF(OR($B$79="",$B$22=""),0,IF($E$79&gt;0,CHOOSE($D$79,$G$22,$L$22,$Q$22,$V$22)*$E$79/100,IFERROR((CHOOSE($D$79,$G$22,$L$22,$Q$22,$V$22)-CHOOSE($D$79,$G$22,$L$22,$Q$22,$V$22)*$G$79/100)/$H$79,0)))</f>
        <v/>
      </c>
    </row>
    <row r="175">
      <c r="A175" t="n">
        <v>42</v>
      </c>
      <c r="B175">
        <f>B80</f>
        <v/>
      </c>
      <c r="C175">
        <f>IF(OR($B$80="",$B$3=""),0,IF($E$80&gt;0,CHOOSE($D$80,$G$3,$L$3,$Q$3,$V$3)*$E$80/100,IFERROR((CHOOSE($D$80,$G$3,$L$3,$Q$3,$V$3)-CHOOSE($D$80,$G$3,$L$3,$Q$3,$V$3)*$G$80/100)/$H$80,0)))</f>
        <v/>
      </c>
      <c r="D175">
        <f>IF(OR($B$80="",$B$4=""),0,IF($E$80&gt;0,CHOOSE($D$80,$G$4,$L$4,$Q$4,$V$4)*$E$80/100,IFERROR((CHOOSE($D$80,$G$4,$L$4,$Q$4,$V$4)-CHOOSE($D$80,$G$4,$L$4,$Q$4,$V$4)*$G$80/100)/$H$80,0)))</f>
        <v/>
      </c>
      <c r="E175">
        <f>IF(OR($B$80="",$B$5=""),0,IF($E$80&gt;0,CHOOSE($D$80,$G$5,$L$5,$Q$5,$V$5)*$E$80/100,IFERROR((CHOOSE($D$80,$G$5,$L$5,$Q$5,$V$5)-CHOOSE($D$80,$G$5,$L$5,$Q$5,$V$5)*$G$80/100)/$H$80,0)))</f>
        <v/>
      </c>
      <c r="F175">
        <f>IF(OR($B$80="",$B$6=""),0,IF($E$80&gt;0,CHOOSE($D$80,$G$6,$L$6,$Q$6,$V$6)*$E$80/100,IFERROR((CHOOSE($D$80,$G$6,$L$6,$Q$6,$V$6)-CHOOSE($D$80,$G$6,$L$6,$Q$6,$V$6)*$G$80/100)/$H$80,0)))</f>
        <v/>
      </c>
      <c r="G175">
        <f>IF(OR($B$80="",$B$7=""),0,IF($E$80&gt;0,CHOOSE($D$80,$G$7,$L$7,$Q$7,$V$7)*$E$80/100,IFERROR((CHOOSE($D$80,$G$7,$L$7,$Q$7,$V$7)-CHOOSE($D$80,$G$7,$L$7,$Q$7,$V$7)*$G$80/100)/$H$80,0)))</f>
        <v/>
      </c>
      <c r="H175">
        <f>IF(OR($B$80="",$B$8=""),0,IF($E$80&gt;0,CHOOSE($D$80,$G$8,$L$8,$Q$8,$V$8)*$E$80/100,IFERROR((CHOOSE($D$80,$G$8,$L$8,$Q$8,$V$8)-CHOOSE($D$80,$G$8,$L$8,$Q$8,$V$8)*$G$80/100)/$H$80,0)))</f>
        <v/>
      </c>
      <c r="I175">
        <f>IF(OR($B$80="",$B$9=""),0,IF($E$80&gt;0,CHOOSE($D$80,$G$9,$L$9,$Q$9,$V$9)*$E$80/100,IFERROR((CHOOSE($D$80,$G$9,$L$9,$Q$9,$V$9)-CHOOSE($D$80,$G$9,$L$9,$Q$9,$V$9)*$G$80/100)/$H$80,0)))</f>
        <v/>
      </c>
      <c r="J175">
        <f>IF(OR($B$80="",$B$10=""),0,IF($E$80&gt;0,CHOOSE($D$80,$G$10,$L$10,$Q$10,$V$10)*$E$80/100,IFERROR((CHOOSE($D$80,$G$10,$L$10,$Q$10,$V$10)-CHOOSE($D$80,$G$10,$L$10,$Q$10,$V$10)*$G$80/100)/$H$80,0)))</f>
        <v/>
      </c>
      <c r="K175">
        <f>IF(OR($B$80="",$B$11=""),0,IF($E$80&gt;0,CHOOSE($D$80,$G$11,$L$11,$Q$11,$V$11)*$E$80/100,IFERROR((CHOOSE($D$80,$G$11,$L$11,$Q$11,$V$11)-CHOOSE($D$80,$G$11,$L$11,$Q$11,$V$11)*$G$80/100)/$H$80,0)))</f>
        <v/>
      </c>
      <c r="L175">
        <f>IF(OR($B$80="",$B$12=""),0,IF($E$80&gt;0,CHOOSE($D$80,$G$12,$L$12,$Q$12,$V$12)*$E$80/100,IFERROR((CHOOSE($D$80,$G$12,$L$12,$Q$12,$V$12)-CHOOSE($D$80,$G$12,$L$12,$Q$12,$V$12)*$G$80/100)/$H$80,0)))</f>
        <v/>
      </c>
      <c r="M175">
        <f>IF(OR($B$80="",$B$13=""),0,IF($E$80&gt;0,CHOOSE($D$80,$G$13,$L$13,$Q$13,$V$13)*$E$80/100,IFERROR((CHOOSE($D$80,$G$13,$L$13,$Q$13,$V$13)-CHOOSE($D$80,$G$13,$L$13,$Q$13,$V$13)*$G$80/100)/$H$80,0)))</f>
        <v/>
      </c>
      <c r="N175">
        <f>IF(OR($B$80="",$B$14=""),0,IF($E$80&gt;0,CHOOSE($D$80,$G$14,$L$14,$Q$14,$V$14)*$E$80/100,IFERROR((CHOOSE($D$80,$G$14,$L$14,$Q$14,$V$14)-CHOOSE($D$80,$G$14,$L$14,$Q$14,$V$14)*$G$80/100)/$H$80,0)))</f>
        <v/>
      </c>
      <c r="O175">
        <f>IF(OR($B$80="",$B$15=""),0,IF($E$80&gt;0,CHOOSE($D$80,$G$15,$L$15,$Q$15,$V$15)*$E$80/100,IFERROR((CHOOSE($D$80,$G$15,$L$15,$Q$15,$V$15)-CHOOSE($D$80,$G$15,$L$15,$Q$15,$V$15)*$G$80/100)/$H$80,0)))</f>
        <v/>
      </c>
      <c r="P175">
        <f>IF(OR($B$80="",$B$16=""),0,IF($E$80&gt;0,CHOOSE($D$80,$G$16,$L$16,$Q$16,$V$16)*$E$80/100,IFERROR((CHOOSE($D$80,$G$16,$L$16,$Q$16,$V$16)-CHOOSE($D$80,$G$16,$L$16,$Q$16,$V$16)*$G$80/100)/$H$80,0)))</f>
        <v/>
      </c>
      <c r="Q175">
        <f>IF(OR($B$80="",$B$17=""),0,IF($E$80&gt;0,CHOOSE($D$80,$G$17,$L$17,$Q$17,$V$17)*$E$80/100,IFERROR((CHOOSE($D$80,$G$17,$L$17,$Q$17,$V$17)-CHOOSE($D$80,$G$17,$L$17,$Q$17,$V$17)*$G$80/100)/$H$80,0)))</f>
        <v/>
      </c>
      <c r="R175">
        <f>IF(OR($B$80="",$B$18=""),0,IF($E$80&gt;0,CHOOSE($D$80,$G$18,$L$18,$Q$18,$V$18)*$E$80/100,IFERROR((CHOOSE($D$80,$G$18,$L$18,$Q$18,$V$18)-CHOOSE($D$80,$G$18,$L$18,$Q$18,$V$18)*$G$80/100)/$H$80,0)))</f>
        <v/>
      </c>
      <c r="S175">
        <f>IF(OR($B$80="",$B$19=""),0,IF($E$80&gt;0,CHOOSE($D$80,$G$19,$L$19,$Q$19,$V$19)*$E$80/100,IFERROR((CHOOSE($D$80,$G$19,$L$19,$Q$19,$V$19)-CHOOSE($D$80,$G$19,$L$19,$Q$19,$V$19)*$G$80/100)/$H$80,0)))</f>
        <v/>
      </c>
      <c r="T175">
        <f>IF(OR($B$80="",$B$20=""),0,IF($E$80&gt;0,CHOOSE($D$80,$G$20,$L$20,$Q$20,$V$20)*$E$80/100,IFERROR((CHOOSE($D$80,$G$20,$L$20,$Q$20,$V$20)-CHOOSE($D$80,$G$20,$L$20,$Q$20,$V$20)*$G$80/100)/$H$80,0)))</f>
        <v/>
      </c>
      <c r="U175">
        <f>IF(OR($B$80="",$B$21=""),0,IF($E$80&gt;0,CHOOSE($D$80,$G$21,$L$21,$Q$21,$V$21)*$E$80/100,IFERROR((CHOOSE($D$80,$G$21,$L$21,$Q$21,$V$21)-CHOOSE($D$80,$G$21,$L$21,$Q$21,$V$21)*$G$80/100)/$H$80,0)))</f>
        <v/>
      </c>
      <c r="V175">
        <f>IF(OR($B$80="",$B$22=""),0,IF($E$80&gt;0,CHOOSE($D$80,$G$22,$L$22,$Q$22,$V$22)*$E$80/100,IFERROR((CHOOSE($D$80,$G$22,$L$22,$Q$22,$V$22)-CHOOSE($D$80,$G$22,$L$22,$Q$22,$V$22)*$G$80/100)/$H$80,0)))</f>
        <v/>
      </c>
    </row>
    <row r="176">
      <c r="A176" t="n">
        <v>43</v>
      </c>
      <c r="B176">
        <f>B81</f>
        <v/>
      </c>
      <c r="C176">
        <f>IF(OR($B$81="",$B$3=""),0,IF($E$81&gt;0,CHOOSE($D$81,$G$3,$L$3,$Q$3,$V$3)*$E$81/100,IFERROR((CHOOSE($D$81,$G$3,$L$3,$Q$3,$V$3)-CHOOSE($D$81,$G$3,$L$3,$Q$3,$V$3)*$G$81/100)/$H$81,0)))</f>
        <v/>
      </c>
      <c r="D176">
        <f>IF(OR($B$81="",$B$4=""),0,IF($E$81&gt;0,CHOOSE($D$81,$G$4,$L$4,$Q$4,$V$4)*$E$81/100,IFERROR((CHOOSE($D$81,$G$4,$L$4,$Q$4,$V$4)-CHOOSE($D$81,$G$4,$L$4,$Q$4,$V$4)*$G$81/100)/$H$81,0)))</f>
        <v/>
      </c>
      <c r="E176">
        <f>IF(OR($B$81="",$B$5=""),0,IF($E$81&gt;0,CHOOSE($D$81,$G$5,$L$5,$Q$5,$V$5)*$E$81/100,IFERROR((CHOOSE($D$81,$G$5,$L$5,$Q$5,$V$5)-CHOOSE($D$81,$G$5,$L$5,$Q$5,$V$5)*$G$81/100)/$H$81,0)))</f>
        <v/>
      </c>
      <c r="F176">
        <f>IF(OR($B$81="",$B$6=""),0,IF($E$81&gt;0,CHOOSE($D$81,$G$6,$L$6,$Q$6,$V$6)*$E$81/100,IFERROR((CHOOSE($D$81,$G$6,$L$6,$Q$6,$V$6)-CHOOSE($D$81,$G$6,$L$6,$Q$6,$V$6)*$G$81/100)/$H$81,0)))</f>
        <v/>
      </c>
      <c r="G176">
        <f>IF(OR($B$81="",$B$7=""),0,IF($E$81&gt;0,CHOOSE($D$81,$G$7,$L$7,$Q$7,$V$7)*$E$81/100,IFERROR((CHOOSE($D$81,$G$7,$L$7,$Q$7,$V$7)-CHOOSE($D$81,$G$7,$L$7,$Q$7,$V$7)*$G$81/100)/$H$81,0)))</f>
        <v/>
      </c>
      <c r="H176">
        <f>IF(OR($B$81="",$B$8=""),0,IF($E$81&gt;0,CHOOSE($D$81,$G$8,$L$8,$Q$8,$V$8)*$E$81/100,IFERROR((CHOOSE($D$81,$G$8,$L$8,$Q$8,$V$8)-CHOOSE($D$81,$G$8,$L$8,$Q$8,$V$8)*$G$81/100)/$H$81,0)))</f>
        <v/>
      </c>
      <c r="I176">
        <f>IF(OR($B$81="",$B$9=""),0,IF($E$81&gt;0,CHOOSE($D$81,$G$9,$L$9,$Q$9,$V$9)*$E$81/100,IFERROR((CHOOSE($D$81,$G$9,$L$9,$Q$9,$V$9)-CHOOSE($D$81,$G$9,$L$9,$Q$9,$V$9)*$G$81/100)/$H$81,0)))</f>
        <v/>
      </c>
      <c r="J176">
        <f>IF(OR($B$81="",$B$10=""),0,IF($E$81&gt;0,CHOOSE($D$81,$G$10,$L$10,$Q$10,$V$10)*$E$81/100,IFERROR((CHOOSE($D$81,$G$10,$L$10,$Q$10,$V$10)-CHOOSE($D$81,$G$10,$L$10,$Q$10,$V$10)*$G$81/100)/$H$81,0)))</f>
        <v/>
      </c>
      <c r="K176">
        <f>IF(OR($B$81="",$B$11=""),0,IF($E$81&gt;0,CHOOSE($D$81,$G$11,$L$11,$Q$11,$V$11)*$E$81/100,IFERROR((CHOOSE($D$81,$G$11,$L$11,$Q$11,$V$11)-CHOOSE($D$81,$G$11,$L$11,$Q$11,$V$11)*$G$81/100)/$H$81,0)))</f>
        <v/>
      </c>
      <c r="L176">
        <f>IF(OR($B$81="",$B$12=""),0,IF($E$81&gt;0,CHOOSE($D$81,$G$12,$L$12,$Q$12,$V$12)*$E$81/100,IFERROR((CHOOSE($D$81,$G$12,$L$12,$Q$12,$V$12)-CHOOSE($D$81,$G$12,$L$12,$Q$12,$V$12)*$G$81/100)/$H$81,0)))</f>
        <v/>
      </c>
      <c r="M176">
        <f>IF(OR($B$81="",$B$13=""),0,IF($E$81&gt;0,CHOOSE($D$81,$G$13,$L$13,$Q$13,$V$13)*$E$81/100,IFERROR((CHOOSE($D$81,$G$13,$L$13,$Q$13,$V$13)-CHOOSE($D$81,$G$13,$L$13,$Q$13,$V$13)*$G$81/100)/$H$81,0)))</f>
        <v/>
      </c>
      <c r="N176">
        <f>IF(OR($B$81="",$B$14=""),0,IF($E$81&gt;0,CHOOSE($D$81,$G$14,$L$14,$Q$14,$V$14)*$E$81/100,IFERROR((CHOOSE($D$81,$G$14,$L$14,$Q$14,$V$14)-CHOOSE($D$81,$G$14,$L$14,$Q$14,$V$14)*$G$81/100)/$H$81,0)))</f>
        <v/>
      </c>
      <c r="O176">
        <f>IF(OR($B$81="",$B$15=""),0,IF($E$81&gt;0,CHOOSE($D$81,$G$15,$L$15,$Q$15,$V$15)*$E$81/100,IFERROR((CHOOSE($D$81,$G$15,$L$15,$Q$15,$V$15)-CHOOSE($D$81,$G$15,$L$15,$Q$15,$V$15)*$G$81/100)/$H$81,0)))</f>
        <v/>
      </c>
      <c r="P176">
        <f>IF(OR($B$81="",$B$16=""),0,IF($E$81&gt;0,CHOOSE($D$81,$G$16,$L$16,$Q$16,$V$16)*$E$81/100,IFERROR((CHOOSE($D$81,$G$16,$L$16,$Q$16,$V$16)-CHOOSE($D$81,$G$16,$L$16,$Q$16,$V$16)*$G$81/100)/$H$81,0)))</f>
        <v/>
      </c>
      <c r="Q176">
        <f>IF(OR($B$81="",$B$17=""),0,IF($E$81&gt;0,CHOOSE($D$81,$G$17,$L$17,$Q$17,$V$17)*$E$81/100,IFERROR((CHOOSE($D$81,$G$17,$L$17,$Q$17,$V$17)-CHOOSE($D$81,$G$17,$L$17,$Q$17,$V$17)*$G$81/100)/$H$81,0)))</f>
        <v/>
      </c>
      <c r="R176">
        <f>IF(OR($B$81="",$B$18=""),0,IF($E$81&gt;0,CHOOSE($D$81,$G$18,$L$18,$Q$18,$V$18)*$E$81/100,IFERROR((CHOOSE($D$81,$G$18,$L$18,$Q$18,$V$18)-CHOOSE($D$81,$G$18,$L$18,$Q$18,$V$18)*$G$81/100)/$H$81,0)))</f>
        <v/>
      </c>
      <c r="S176">
        <f>IF(OR($B$81="",$B$19=""),0,IF($E$81&gt;0,CHOOSE($D$81,$G$19,$L$19,$Q$19,$V$19)*$E$81/100,IFERROR((CHOOSE($D$81,$G$19,$L$19,$Q$19,$V$19)-CHOOSE($D$81,$G$19,$L$19,$Q$19,$V$19)*$G$81/100)/$H$81,0)))</f>
        <v/>
      </c>
      <c r="T176">
        <f>IF(OR($B$81="",$B$20=""),0,IF($E$81&gt;0,CHOOSE($D$81,$G$20,$L$20,$Q$20,$V$20)*$E$81/100,IFERROR((CHOOSE($D$81,$G$20,$L$20,$Q$20,$V$20)-CHOOSE($D$81,$G$20,$L$20,$Q$20,$V$20)*$G$81/100)/$H$81,0)))</f>
        <v/>
      </c>
      <c r="U176">
        <f>IF(OR($B$81="",$B$21=""),0,IF($E$81&gt;0,CHOOSE($D$81,$G$21,$L$21,$Q$21,$V$21)*$E$81/100,IFERROR((CHOOSE($D$81,$G$21,$L$21,$Q$21,$V$21)-CHOOSE($D$81,$G$21,$L$21,$Q$21,$V$21)*$G$81/100)/$H$81,0)))</f>
        <v/>
      </c>
      <c r="V176">
        <f>IF(OR($B$81="",$B$22=""),0,IF($E$81&gt;0,CHOOSE($D$81,$G$22,$L$22,$Q$22,$V$22)*$E$81/100,IFERROR((CHOOSE($D$81,$G$22,$L$22,$Q$22,$V$22)-CHOOSE($D$81,$G$22,$L$22,$Q$22,$V$22)*$G$81/100)/$H$81,0)))</f>
        <v/>
      </c>
    </row>
    <row r="177">
      <c r="A177" t="n">
        <v>44</v>
      </c>
      <c r="B177">
        <f>B82</f>
        <v/>
      </c>
      <c r="C177">
        <f>IF(OR($B$82="",$B$3=""),0,IF($E$82&gt;0,CHOOSE($D$82,$G$3,$L$3,$Q$3,$V$3)*$E$82/100,IFERROR((CHOOSE($D$82,$G$3,$L$3,$Q$3,$V$3)-CHOOSE($D$82,$G$3,$L$3,$Q$3,$V$3)*$G$82/100)/$H$82,0)))</f>
        <v/>
      </c>
      <c r="D177">
        <f>IF(OR($B$82="",$B$4=""),0,IF($E$82&gt;0,CHOOSE($D$82,$G$4,$L$4,$Q$4,$V$4)*$E$82/100,IFERROR((CHOOSE($D$82,$G$4,$L$4,$Q$4,$V$4)-CHOOSE($D$82,$G$4,$L$4,$Q$4,$V$4)*$G$82/100)/$H$82,0)))</f>
        <v/>
      </c>
      <c r="E177">
        <f>IF(OR($B$82="",$B$5=""),0,IF($E$82&gt;0,CHOOSE($D$82,$G$5,$L$5,$Q$5,$V$5)*$E$82/100,IFERROR((CHOOSE($D$82,$G$5,$L$5,$Q$5,$V$5)-CHOOSE($D$82,$G$5,$L$5,$Q$5,$V$5)*$G$82/100)/$H$82,0)))</f>
        <v/>
      </c>
      <c r="F177">
        <f>IF(OR($B$82="",$B$6=""),0,IF($E$82&gt;0,CHOOSE($D$82,$G$6,$L$6,$Q$6,$V$6)*$E$82/100,IFERROR((CHOOSE($D$82,$G$6,$L$6,$Q$6,$V$6)-CHOOSE($D$82,$G$6,$L$6,$Q$6,$V$6)*$G$82/100)/$H$82,0)))</f>
        <v/>
      </c>
      <c r="G177">
        <f>IF(OR($B$82="",$B$7=""),0,IF($E$82&gt;0,CHOOSE($D$82,$G$7,$L$7,$Q$7,$V$7)*$E$82/100,IFERROR((CHOOSE($D$82,$G$7,$L$7,$Q$7,$V$7)-CHOOSE($D$82,$G$7,$L$7,$Q$7,$V$7)*$G$82/100)/$H$82,0)))</f>
        <v/>
      </c>
      <c r="H177">
        <f>IF(OR($B$82="",$B$8=""),0,IF($E$82&gt;0,CHOOSE($D$82,$G$8,$L$8,$Q$8,$V$8)*$E$82/100,IFERROR((CHOOSE($D$82,$G$8,$L$8,$Q$8,$V$8)-CHOOSE($D$82,$G$8,$L$8,$Q$8,$V$8)*$G$82/100)/$H$82,0)))</f>
        <v/>
      </c>
      <c r="I177">
        <f>IF(OR($B$82="",$B$9=""),0,IF($E$82&gt;0,CHOOSE($D$82,$G$9,$L$9,$Q$9,$V$9)*$E$82/100,IFERROR((CHOOSE($D$82,$G$9,$L$9,$Q$9,$V$9)-CHOOSE($D$82,$G$9,$L$9,$Q$9,$V$9)*$G$82/100)/$H$82,0)))</f>
        <v/>
      </c>
      <c r="J177">
        <f>IF(OR($B$82="",$B$10=""),0,IF($E$82&gt;0,CHOOSE($D$82,$G$10,$L$10,$Q$10,$V$10)*$E$82/100,IFERROR((CHOOSE($D$82,$G$10,$L$10,$Q$10,$V$10)-CHOOSE($D$82,$G$10,$L$10,$Q$10,$V$10)*$G$82/100)/$H$82,0)))</f>
        <v/>
      </c>
      <c r="K177">
        <f>IF(OR($B$82="",$B$11=""),0,IF($E$82&gt;0,CHOOSE($D$82,$G$11,$L$11,$Q$11,$V$11)*$E$82/100,IFERROR((CHOOSE($D$82,$G$11,$L$11,$Q$11,$V$11)-CHOOSE($D$82,$G$11,$L$11,$Q$11,$V$11)*$G$82/100)/$H$82,0)))</f>
        <v/>
      </c>
      <c r="L177">
        <f>IF(OR($B$82="",$B$12=""),0,IF($E$82&gt;0,CHOOSE($D$82,$G$12,$L$12,$Q$12,$V$12)*$E$82/100,IFERROR((CHOOSE($D$82,$G$12,$L$12,$Q$12,$V$12)-CHOOSE($D$82,$G$12,$L$12,$Q$12,$V$12)*$G$82/100)/$H$82,0)))</f>
        <v/>
      </c>
      <c r="M177">
        <f>IF(OR($B$82="",$B$13=""),0,IF($E$82&gt;0,CHOOSE($D$82,$G$13,$L$13,$Q$13,$V$13)*$E$82/100,IFERROR((CHOOSE($D$82,$G$13,$L$13,$Q$13,$V$13)-CHOOSE($D$82,$G$13,$L$13,$Q$13,$V$13)*$G$82/100)/$H$82,0)))</f>
        <v/>
      </c>
      <c r="N177">
        <f>IF(OR($B$82="",$B$14=""),0,IF($E$82&gt;0,CHOOSE($D$82,$G$14,$L$14,$Q$14,$V$14)*$E$82/100,IFERROR((CHOOSE($D$82,$G$14,$L$14,$Q$14,$V$14)-CHOOSE($D$82,$G$14,$L$14,$Q$14,$V$14)*$G$82/100)/$H$82,0)))</f>
        <v/>
      </c>
      <c r="O177">
        <f>IF(OR($B$82="",$B$15=""),0,IF($E$82&gt;0,CHOOSE($D$82,$G$15,$L$15,$Q$15,$V$15)*$E$82/100,IFERROR((CHOOSE($D$82,$G$15,$L$15,$Q$15,$V$15)-CHOOSE($D$82,$G$15,$L$15,$Q$15,$V$15)*$G$82/100)/$H$82,0)))</f>
        <v/>
      </c>
      <c r="P177">
        <f>IF(OR($B$82="",$B$16=""),0,IF($E$82&gt;0,CHOOSE($D$82,$G$16,$L$16,$Q$16,$V$16)*$E$82/100,IFERROR((CHOOSE($D$82,$G$16,$L$16,$Q$16,$V$16)-CHOOSE($D$82,$G$16,$L$16,$Q$16,$V$16)*$G$82/100)/$H$82,0)))</f>
        <v/>
      </c>
      <c r="Q177">
        <f>IF(OR($B$82="",$B$17=""),0,IF($E$82&gt;0,CHOOSE($D$82,$G$17,$L$17,$Q$17,$V$17)*$E$82/100,IFERROR((CHOOSE($D$82,$G$17,$L$17,$Q$17,$V$17)-CHOOSE($D$82,$G$17,$L$17,$Q$17,$V$17)*$G$82/100)/$H$82,0)))</f>
        <v/>
      </c>
      <c r="R177">
        <f>IF(OR($B$82="",$B$18=""),0,IF($E$82&gt;0,CHOOSE($D$82,$G$18,$L$18,$Q$18,$V$18)*$E$82/100,IFERROR((CHOOSE($D$82,$G$18,$L$18,$Q$18,$V$18)-CHOOSE($D$82,$G$18,$L$18,$Q$18,$V$18)*$G$82/100)/$H$82,0)))</f>
        <v/>
      </c>
      <c r="S177">
        <f>IF(OR($B$82="",$B$19=""),0,IF($E$82&gt;0,CHOOSE($D$82,$G$19,$L$19,$Q$19,$V$19)*$E$82/100,IFERROR((CHOOSE($D$82,$G$19,$L$19,$Q$19,$V$19)-CHOOSE($D$82,$G$19,$L$19,$Q$19,$V$19)*$G$82/100)/$H$82,0)))</f>
        <v/>
      </c>
      <c r="T177">
        <f>IF(OR($B$82="",$B$20=""),0,IF($E$82&gt;0,CHOOSE($D$82,$G$20,$L$20,$Q$20,$V$20)*$E$82/100,IFERROR((CHOOSE($D$82,$G$20,$L$20,$Q$20,$V$20)-CHOOSE($D$82,$G$20,$L$20,$Q$20,$V$20)*$G$82/100)/$H$82,0)))</f>
        <v/>
      </c>
      <c r="U177">
        <f>IF(OR($B$82="",$B$21=""),0,IF($E$82&gt;0,CHOOSE($D$82,$G$21,$L$21,$Q$21,$V$21)*$E$82/100,IFERROR((CHOOSE($D$82,$G$21,$L$21,$Q$21,$V$21)-CHOOSE($D$82,$G$21,$L$21,$Q$21,$V$21)*$G$82/100)/$H$82,0)))</f>
        <v/>
      </c>
      <c r="V177">
        <f>IF(OR($B$82="",$B$22=""),0,IF($E$82&gt;0,CHOOSE($D$82,$G$22,$L$22,$Q$22,$V$22)*$E$82/100,IFERROR((CHOOSE($D$82,$G$22,$L$22,$Q$22,$V$22)-CHOOSE($D$82,$G$22,$L$22,$Q$22,$V$22)*$G$82/100)/$H$82,0)))</f>
        <v/>
      </c>
    </row>
    <row r="178">
      <c r="A178" t="n">
        <v>45</v>
      </c>
      <c r="B178">
        <f>B83</f>
        <v/>
      </c>
      <c r="C178">
        <f>IF(OR($B$83="",$B$3=""),0,IF($E$83&gt;0,CHOOSE($D$83,$G$3,$L$3,$Q$3,$V$3)*$E$83/100,IFERROR((CHOOSE($D$83,$G$3,$L$3,$Q$3,$V$3)-CHOOSE($D$83,$G$3,$L$3,$Q$3,$V$3)*$G$83/100)/$H$83,0)))</f>
        <v/>
      </c>
      <c r="D178">
        <f>IF(OR($B$83="",$B$4=""),0,IF($E$83&gt;0,CHOOSE($D$83,$G$4,$L$4,$Q$4,$V$4)*$E$83/100,IFERROR((CHOOSE($D$83,$G$4,$L$4,$Q$4,$V$4)-CHOOSE($D$83,$G$4,$L$4,$Q$4,$V$4)*$G$83/100)/$H$83,0)))</f>
        <v/>
      </c>
      <c r="E178">
        <f>IF(OR($B$83="",$B$5=""),0,IF($E$83&gt;0,CHOOSE($D$83,$G$5,$L$5,$Q$5,$V$5)*$E$83/100,IFERROR((CHOOSE($D$83,$G$5,$L$5,$Q$5,$V$5)-CHOOSE($D$83,$G$5,$L$5,$Q$5,$V$5)*$G$83/100)/$H$83,0)))</f>
        <v/>
      </c>
      <c r="F178">
        <f>IF(OR($B$83="",$B$6=""),0,IF($E$83&gt;0,CHOOSE($D$83,$G$6,$L$6,$Q$6,$V$6)*$E$83/100,IFERROR((CHOOSE($D$83,$G$6,$L$6,$Q$6,$V$6)-CHOOSE($D$83,$G$6,$L$6,$Q$6,$V$6)*$G$83/100)/$H$83,0)))</f>
        <v/>
      </c>
      <c r="G178">
        <f>IF(OR($B$83="",$B$7=""),0,IF($E$83&gt;0,CHOOSE($D$83,$G$7,$L$7,$Q$7,$V$7)*$E$83/100,IFERROR((CHOOSE($D$83,$G$7,$L$7,$Q$7,$V$7)-CHOOSE($D$83,$G$7,$L$7,$Q$7,$V$7)*$G$83/100)/$H$83,0)))</f>
        <v/>
      </c>
      <c r="H178">
        <f>IF(OR($B$83="",$B$8=""),0,IF($E$83&gt;0,CHOOSE($D$83,$G$8,$L$8,$Q$8,$V$8)*$E$83/100,IFERROR((CHOOSE($D$83,$G$8,$L$8,$Q$8,$V$8)-CHOOSE($D$83,$G$8,$L$8,$Q$8,$V$8)*$G$83/100)/$H$83,0)))</f>
        <v/>
      </c>
      <c r="I178">
        <f>IF(OR($B$83="",$B$9=""),0,IF($E$83&gt;0,CHOOSE($D$83,$G$9,$L$9,$Q$9,$V$9)*$E$83/100,IFERROR((CHOOSE($D$83,$G$9,$L$9,$Q$9,$V$9)-CHOOSE($D$83,$G$9,$L$9,$Q$9,$V$9)*$G$83/100)/$H$83,0)))</f>
        <v/>
      </c>
      <c r="J178">
        <f>IF(OR($B$83="",$B$10=""),0,IF($E$83&gt;0,CHOOSE($D$83,$G$10,$L$10,$Q$10,$V$10)*$E$83/100,IFERROR((CHOOSE($D$83,$G$10,$L$10,$Q$10,$V$10)-CHOOSE($D$83,$G$10,$L$10,$Q$10,$V$10)*$G$83/100)/$H$83,0)))</f>
        <v/>
      </c>
      <c r="K178">
        <f>IF(OR($B$83="",$B$11=""),0,IF($E$83&gt;0,CHOOSE($D$83,$G$11,$L$11,$Q$11,$V$11)*$E$83/100,IFERROR((CHOOSE($D$83,$G$11,$L$11,$Q$11,$V$11)-CHOOSE($D$83,$G$11,$L$11,$Q$11,$V$11)*$G$83/100)/$H$83,0)))</f>
        <v/>
      </c>
      <c r="L178">
        <f>IF(OR($B$83="",$B$12=""),0,IF($E$83&gt;0,CHOOSE($D$83,$G$12,$L$12,$Q$12,$V$12)*$E$83/100,IFERROR((CHOOSE($D$83,$G$12,$L$12,$Q$12,$V$12)-CHOOSE($D$83,$G$12,$L$12,$Q$12,$V$12)*$G$83/100)/$H$83,0)))</f>
        <v/>
      </c>
      <c r="M178">
        <f>IF(OR($B$83="",$B$13=""),0,IF($E$83&gt;0,CHOOSE($D$83,$G$13,$L$13,$Q$13,$V$13)*$E$83/100,IFERROR((CHOOSE($D$83,$G$13,$L$13,$Q$13,$V$13)-CHOOSE($D$83,$G$13,$L$13,$Q$13,$V$13)*$G$83/100)/$H$83,0)))</f>
        <v/>
      </c>
      <c r="N178">
        <f>IF(OR($B$83="",$B$14=""),0,IF($E$83&gt;0,CHOOSE($D$83,$G$14,$L$14,$Q$14,$V$14)*$E$83/100,IFERROR((CHOOSE($D$83,$G$14,$L$14,$Q$14,$V$14)-CHOOSE($D$83,$G$14,$L$14,$Q$14,$V$14)*$G$83/100)/$H$83,0)))</f>
        <v/>
      </c>
      <c r="O178">
        <f>IF(OR($B$83="",$B$15=""),0,IF($E$83&gt;0,CHOOSE($D$83,$G$15,$L$15,$Q$15,$V$15)*$E$83/100,IFERROR((CHOOSE($D$83,$G$15,$L$15,$Q$15,$V$15)-CHOOSE($D$83,$G$15,$L$15,$Q$15,$V$15)*$G$83/100)/$H$83,0)))</f>
        <v/>
      </c>
      <c r="P178">
        <f>IF(OR($B$83="",$B$16=""),0,IF($E$83&gt;0,CHOOSE($D$83,$G$16,$L$16,$Q$16,$V$16)*$E$83/100,IFERROR((CHOOSE($D$83,$G$16,$L$16,$Q$16,$V$16)-CHOOSE($D$83,$G$16,$L$16,$Q$16,$V$16)*$G$83/100)/$H$83,0)))</f>
        <v/>
      </c>
      <c r="Q178">
        <f>IF(OR($B$83="",$B$17=""),0,IF($E$83&gt;0,CHOOSE($D$83,$G$17,$L$17,$Q$17,$V$17)*$E$83/100,IFERROR((CHOOSE($D$83,$G$17,$L$17,$Q$17,$V$17)-CHOOSE($D$83,$G$17,$L$17,$Q$17,$V$17)*$G$83/100)/$H$83,0)))</f>
        <v/>
      </c>
      <c r="R178">
        <f>IF(OR($B$83="",$B$18=""),0,IF($E$83&gt;0,CHOOSE($D$83,$G$18,$L$18,$Q$18,$V$18)*$E$83/100,IFERROR((CHOOSE($D$83,$G$18,$L$18,$Q$18,$V$18)-CHOOSE($D$83,$G$18,$L$18,$Q$18,$V$18)*$G$83/100)/$H$83,0)))</f>
        <v/>
      </c>
      <c r="S178">
        <f>IF(OR($B$83="",$B$19=""),0,IF($E$83&gt;0,CHOOSE($D$83,$G$19,$L$19,$Q$19,$V$19)*$E$83/100,IFERROR((CHOOSE($D$83,$G$19,$L$19,$Q$19,$V$19)-CHOOSE($D$83,$G$19,$L$19,$Q$19,$V$19)*$G$83/100)/$H$83,0)))</f>
        <v/>
      </c>
      <c r="T178">
        <f>IF(OR($B$83="",$B$20=""),0,IF($E$83&gt;0,CHOOSE($D$83,$G$20,$L$20,$Q$20,$V$20)*$E$83/100,IFERROR((CHOOSE($D$83,$G$20,$L$20,$Q$20,$V$20)-CHOOSE($D$83,$G$20,$L$20,$Q$20,$V$20)*$G$83/100)/$H$83,0)))</f>
        <v/>
      </c>
      <c r="U178">
        <f>IF(OR($B$83="",$B$21=""),0,IF($E$83&gt;0,CHOOSE($D$83,$G$21,$L$21,$Q$21,$V$21)*$E$83/100,IFERROR((CHOOSE($D$83,$G$21,$L$21,$Q$21,$V$21)-CHOOSE($D$83,$G$21,$L$21,$Q$21,$V$21)*$G$83/100)/$H$83,0)))</f>
        <v/>
      </c>
      <c r="V178">
        <f>IF(OR($B$83="",$B$22=""),0,IF($E$83&gt;0,CHOOSE($D$83,$G$22,$L$22,$Q$22,$V$22)*$E$83/100,IFERROR((CHOOSE($D$83,$G$22,$L$22,$Q$22,$V$22)-CHOOSE($D$83,$G$22,$L$22,$Q$22,$V$22)*$G$83/100)/$H$83,0)))</f>
        <v/>
      </c>
    </row>
    <row r="181">
      <c r="A181" s="58" t="inlineStr">
        <is>
          <t>Dự kiến NV × nhóm</t>
        </is>
      </c>
      <c r="C181">
        <f>B3</f>
        <v/>
      </c>
      <c r="D181">
        <f>B4</f>
        <v/>
      </c>
      <c r="E181">
        <f>B5</f>
        <v/>
      </c>
      <c r="F181">
        <f>B6</f>
        <v/>
      </c>
      <c r="G181">
        <f>B7</f>
        <v/>
      </c>
      <c r="H181">
        <f>B8</f>
        <v/>
      </c>
      <c r="I181">
        <f>B9</f>
        <v/>
      </c>
      <c r="J181">
        <f>B10</f>
        <v/>
      </c>
      <c r="K181">
        <f>B11</f>
        <v/>
      </c>
      <c r="L181">
        <f>B12</f>
        <v/>
      </c>
      <c r="M181">
        <f>B13</f>
        <v/>
      </c>
      <c r="N181">
        <f>B14</f>
        <v/>
      </c>
      <c r="O181">
        <f>B15</f>
        <v/>
      </c>
      <c r="P181">
        <f>B16</f>
        <v/>
      </c>
      <c r="Q181">
        <f>B17</f>
        <v/>
      </c>
      <c r="R181">
        <f>B18</f>
        <v/>
      </c>
      <c r="S181">
        <f>B19</f>
        <v/>
      </c>
      <c r="T181">
        <f>B20</f>
        <v/>
      </c>
      <c r="U181">
        <f>B21</f>
        <v/>
      </c>
      <c r="V181">
        <f>B22</f>
        <v/>
      </c>
    </row>
    <row r="182">
      <c r="A182" t="n">
        <v>1</v>
      </c>
      <c r="B182">
        <f>B39</f>
        <v/>
      </c>
      <c r="C182">
        <f>IF($B$3="",0,IF(C134&gt;0,C86/NgayQua*SoNgay/C134,IF(C86&gt;0,1,0)))</f>
        <v/>
      </c>
      <c r="D182">
        <f>IF($B$4="",0,IF(D134&gt;0,D86/NgayQua*SoNgay/D134,IF(D86&gt;0,1,0)))</f>
        <v/>
      </c>
      <c r="E182">
        <f>IF($B$5="",0,IF(E134&gt;0,E86/NgayQua*SoNgay/E134,IF(E86&gt;0,1,0)))</f>
        <v/>
      </c>
      <c r="F182">
        <f>IF($B$6="",0,IF(F134&gt;0,F86/NgayQua*SoNgay/F134,IF(F86&gt;0,1,0)))</f>
        <v/>
      </c>
      <c r="G182">
        <f>IF($B$7="",0,IF(G134&gt;0,G86/NgayQua*SoNgay/G134,IF(G86&gt;0,1,0)))</f>
        <v/>
      </c>
      <c r="H182">
        <f>IF($B$8="",0,IF(H134&gt;0,H86/NgayQua*SoNgay/H134,IF(H86&gt;0,1,0)))</f>
        <v/>
      </c>
      <c r="I182">
        <f>IF($B$9="",0,IF(I134&gt;0,I86/NgayQua*SoNgay/I134,IF(I86&gt;0,1,0)))</f>
        <v/>
      </c>
      <c r="J182">
        <f>IF($B$10="",0,IF(J134&gt;0,J86/NgayQua*SoNgay/J134,IF(J86&gt;0,1,0)))</f>
        <v/>
      </c>
      <c r="K182">
        <f>IF($B$11="",0,IF(K134&gt;0,K86/NgayQua*SoNgay/K134,IF(K86&gt;0,1,0)))</f>
        <v/>
      </c>
      <c r="L182">
        <f>IF($B$12="",0,IF(L134&gt;0,L86/NgayQua*SoNgay/L134,IF(L86&gt;0,1,0)))</f>
        <v/>
      </c>
      <c r="M182">
        <f>IF($B$13="",0,IF(M134&gt;0,M86/NgayQua*SoNgay/M134,IF(M86&gt;0,1,0)))</f>
        <v/>
      </c>
      <c r="N182">
        <f>IF($B$14="",0,IF(N134&gt;0,N86/NgayQua*SoNgay/N134,IF(N86&gt;0,1,0)))</f>
        <v/>
      </c>
      <c r="O182">
        <f>IF($B$15="",0,IF(O134&gt;0,O86/NgayQua*SoNgay/O134,IF(O86&gt;0,1,0)))</f>
        <v/>
      </c>
      <c r="P182">
        <f>IF($B$16="",0,IF(P134&gt;0,P86/NgayQua*SoNgay/P134,IF(P86&gt;0,1,0)))</f>
        <v/>
      </c>
      <c r="Q182">
        <f>IF($B$17="",0,IF(Q134&gt;0,Q86/NgayQua*SoNgay/Q134,IF(Q86&gt;0,1,0)))</f>
        <v/>
      </c>
      <c r="R182">
        <f>IF($B$18="",0,IF(R134&gt;0,R86/NgayQua*SoNgay/R134,IF(R86&gt;0,1,0)))</f>
        <v/>
      </c>
      <c r="S182">
        <f>IF($B$19="",0,IF(S134&gt;0,S86/NgayQua*SoNgay/S134,IF(S86&gt;0,1,0)))</f>
        <v/>
      </c>
      <c r="T182">
        <f>IF($B$20="",0,IF(T134&gt;0,T86/NgayQua*SoNgay/T134,IF(T86&gt;0,1,0)))</f>
        <v/>
      </c>
      <c r="U182">
        <f>IF($B$21="",0,IF(U134&gt;0,U86/NgayQua*SoNgay/U134,IF(U86&gt;0,1,0)))</f>
        <v/>
      </c>
      <c r="V182">
        <f>IF($B$22="",0,IF(V134&gt;0,V86/NgayQua*SoNgay/V134,IF(V86&gt;0,1,0)))</f>
        <v/>
      </c>
    </row>
    <row r="183">
      <c r="A183" t="n">
        <v>2</v>
      </c>
      <c r="B183">
        <f>B40</f>
        <v/>
      </c>
      <c r="C183">
        <f>IF($B$3="",0,IF(C135&gt;0,C87/NgayQua*SoNgay/C135,IF(C87&gt;0,1,0)))</f>
        <v/>
      </c>
      <c r="D183">
        <f>IF($B$4="",0,IF(D135&gt;0,D87/NgayQua*SoNgay/D135,IF(D87&gt;0,1,0)))</f>
        <v/>
      </c>
      <c r="E183">
        <f>IF($B$5="",0,IF(E135&gt;0,E87/NgayQua*SoNgay/E135,IF(E87&gt;0,1,0)))</f>
        <v/>
      </c>
      <c r="F183">
        <f>IF($B$6="",0,IF(F135&gt;0,F87/NgayQua*SoNgay/F135,IF(F87&gt;0,1,0)))</f>
        <v/>
      </c>
      <c r="G183">
        <f>IF($B$7="",0,IF(G135&gt;0,G87/NgayQua*SoNgay/G135,IF(G87&gt;0,1,0)))</f>
        <v/>
      </c>
      <c r="H183">
        <f>IF($B$8="",0,IF(H135&gt;0,H87/NgayQua*SoNgay/H135,IF(H87&gt;0,1,0)))</f>
        <v/>
      </c>
      <c r="I183">
        <f>IF($B$9="",0,IF(I135&gt;0,I87/NgayQua*SoNgay/I135,IF(I87&gt;0,1,0)))</f>
        <v/>
      </c>
      <c r="J183">
        <f>IF($B$10="",0,IF(J135&gt;0,J87/NgayQua*SoNgay/J135,IF(J87&gt;0,1,0)))</f>
        <v/>
      </c>
      <c r="K183">
        <f>IF($B$11="",0,IF(K135&gt;0,K87/NgayQua*SoNgay/K135,IF(K87&gt;0,1,0)))</f>
        <v/>
      </c>
      <c r="L183">
        <f>IF($B$12="",0,IF(L135&gt;0,L87/NgayQua*SoNgay/L135,IF(L87&gt;0,1,0)))</f>
        <v/>
      </c>
      <c r="M183">
        <f>IF($B$13="",0,IF(M135&gt;0,M87/NgayQua*SoNgay/M135,IF(M87&gt;0,1,0)))</f>
        <v/>
      </c>
      <c r="N183">
        <f>IF($B$14="",0,IF(N135&gt;0,N87/NgayQua*SoNgay/N135,IF(N87&gt;0,1,0)))</f>
        <v/>
      </c>
      <c r="O183">
        <f>IF($B$15="",0,IF(O135&gt;0,O87/NgayQua*SoNgay/O135,IF(O87&gt;0,1,0)))</f>
        <v/>
      </c>
      <c r="P183">
        <f>IF($B$16="",0,IF(P135&gt;0,P87/NgayQua*SoNgay/P135,IF(P87&gt;0,1,0)))</f>
        <v/>
      </c>
      <c r="Q183">
        <f>IF($B$17="",0,IF(Q135&gt;0,Q87/NgayQua*SoNgay/Q135,IF(Q87&gt;0,1,0)))</f>
        <v/>
      </c>
      <c r="R183">
        <f>IF($B$18="",0,IF(R135&gt;0,R87/NgayQua*SoNgay/R135,IF(R87&gt;0,1,0)))</f>
        <v/>
      </c>
      <c r="S183">
        <f>IF($B$19="",0,IF(S135&gt;0,S87/NgayQua*SoNgay/S135,IF(S87&gt;0,1,0)))</f>
        <v/>
      </c>
      <c r="T183">
        <f>IF($B$20="",0,IF(T135&gt;0,T87/NgayQua*SoNgay/T135,IF(T87&gt;0,1,0)))</f>
        <v/>
      </c>
      <c r="U183">
        <f>IF($B$21="",0,IF(U135&gt;0,U87/NgayQua*SoNgay/U135,IF(U87&gt;0,1,0)))</f>
        <v/>
      </c>
      <c r="V183">
        <f>IF($B$22="",0,IF(V135&gt;0,V87/NgayQua*SoNgay/V135,IF(V87&gt;0,1,0)))</f>
        <v/>
      </c>
    </row>
    <row r="184">
      <c r="A184" t="n">
        <v>3</v>
      </c>
      <c r="B184">
        <f>B41</f>
        <v/>
      </c>
      <c r="C184">
        <f>IF($B$3="",0,IF(C136&gt;0,C88/NgayQua*SoNgay/C136,IF(C88&gt;0,1,0)))</f>
        <v/>
      </c>
      <c r="D184">
        <f>IF($B$4="",0,IF(D136&gt;0,D88/NgayQua*SoNgay/D136,IF(D88&gt;0,1,0)))</f>
        <v/>
      </c>
      <c r="E184">
        <f>IF($B$5="",0,IF(E136&gt;0,E88/NgayQua*SoNgay/E136,IF(E88&gt;0,1,0)))</f>
        <v/>
      </c>
      <c r="F184">
        <f>IF($B$6="",0,IF(F136&gt;0,F88/NgayQua*SoNgay/F136,IF(F88&gt;0,1,0)))</f>
        <v/>
      </c>
      <c r="G184">
        <f>IF($B$7="",0,IF(G136&gt;0,G88/NgayQua*SoNgay/G136,IF(G88&gt;0,1,0)))</f>
        <v/>
      </c>
      <c r="H184">
        <f>IF($B$8="",0,IF(H136&gt;0,H88/NgayQua*SoNgay/H136,IF(H88&gt;0,1,0)))</f>
        <v/>
      </c>
      <c r="I184">
        <f>IF($B$9="",0,IF(I136&gt;0,I88/NgayQua*SoNgay/I136,IF(I88&gt;0,1,0)))</f>
        <v/>
      </c>
      <c r="J184">
        <f>IF($B$10="",0,IF(J136&gt;0,J88/NgayQua*SoNgay/J136,IF(J88&gt;0,1,0)))</f>
        <v/>
      </c>
      <c r="K184">
        <f>IF($B$11="",0,IF(K136&gt;0,K88/NgayQua*SoNgay/K136,IF(K88&gt;0,1,0)))</f>
        <v/>
      </c>
      <c r="L184">
        <f>IF($B$12="",0,IF(L136&gt;0,L88/NgayQua*SoNgay/L136,IF(L88&gt;0,1,0)))</f>
        <v/>
      </c>
      <c r="M184">
        <f>IF($B$13="",0,IF(M136&gt;0,M88/NgayQua*SoNgay/M136,IF(M88&gt;0,1,0)))</f>
        <v/>
      </c>
      <c r="N184">
        <f>IF($B$14="",0,IF(N136&gt;0,N88/NgayQua*SoNgay/N136,IF(N88&gt;0,1,0)))</f>
        <v/>
      </c>
      <c r="O184">
        <f>IF($B$15="",0,IF(O136&gt;0,O88/NgayQua*SoNgay/O136,IF(O88&gt;0,1,0)))</f>
        <v/>
      </c>
      <c r="P184">
        <f>IF($B$16="",0,IF(P136&gt;0,P88/NgayQua*SoNgay/P136,IF(P88&gt;0,1,0)))</f>
        <v/>
      </c>
      <c r="Q184">
        <f>IF($B$17="",0,IF(Q136&gt;0,Q88/NgayQua*SoNgay/Q136,IF(Q88&gt;0,1,0)))</f>
        <v/>
      </c>
      <c r="R184">
        <f>IF($B$18="",0,IF(R136&gt;0,R88/NgayQua*SoNgay/R136,IF(R88&gt;0,1,0)))</f>
        <v/>
      </c>
      <c r="S184">
        <f>IF($B$19="",0,IF(S136&gt;0,S88/NgayQua*SoNgay/S136,IF(S88&gt;0,1,0)))</f>
        <v/>
      </c>
      <c r="T184">
        <f>IF($B$20="",0,IF(T136&gt;0,T88/NgayQua*SoNgay/T136,IF(T88&gt;0,1,0)))</f>
        <v/>
      </c>
      <c r="U184">
        <f>IF($B$21="",0,IF(U136&gt;0,U88/NgayQua*SoNgay/U136,IF(U88&gt;0,1,0)))</f>
        <v/>
      </c>
      <c r="V184">
        <f>IF($B$22="",0,IF(V136&gt;0,V88/NgayQua*SoNgay/V136,IF(V88&gt;0,1,0)))</f>
        <v/>
      </c>
    </row>
    <row r="185">
      <c r="A185" t="n">
        <v>4</v>
      </c>
      <c r="B185">
        <f>B42</f>
        <v/>
      </c>
      <c r="C185">
        <f>IF($B$3="",0,IF(C137&gt;0,C89/NgayQua*SoNgay/C137,IF(C89&gt;0,1,0)))</f>
        <v/>
      </c>
      <c r="D185">
        <f>IF($B$4="",0,IF(D137&gt;0,D89/NgayQua*SoNgay/D137,IF(D89&gt;0,1,0)))</f>
        <v/>
      </c>
      <c r="E185">
        <f>IF($B$5="",0,IF(E137&gt;0,E89/NgayQua*SoNgay/E137,IF(E89&gt;0,1,0)))</f>
        <v/>
      </c>
      <c r="F185">
        <f>IF($B$6="",0,IF(F137&gt;0,F89/NgayQua*SoNgay/F137,IF(F89&gt;0,1,0)))</f>
        <v/>
      </c>
      <c r="G185">
        <f>IF($B$7="",0,IF(G137&gt;0,G89/NgayQua*SoNgay/G137,IF(G89&gt;0,1,0)))</f>
        <v/>
      </c>
      <c r="H185">
        <f>IF($B$8="",0,IF(H137&gt;0,H89/NgayQua*SoNgay/H137,IF(H89&gt;0,1,0)))</f>
        <v/>
      </c>
      <c r="I185">
        <f>IF($B$9="",0,IF(I137&gt;0,I89/NgayQua*SoNgay/I137,IF(I89&gt;0,1,0)))</f>
        <v/>
      </c>
      <c r="J185">
        <f>IF($B$10="",0,IF(J137&gt;0,J89/NgayQua*SoNgay/J137,IF(J89&gt;0,1,0)))</f>
        <v/>
      </c>
      <c r="K185">
        <f>IF($B$11="",0,IF(K137&gt;0,K89/NgayQua*SoNgay/K137,IF(K89&gt;0,1,0)))</f>
        <v/>
      </c>
      <c r="L185">
        <f>IF($B$12="",0,IF(L137&gt;0,L89/NgayQua*SoNgay/L137,IF(L89&gt;0,1,0)))</f>
        <v/>
      </c>
      <c r="M185">
        <f>IF($B$13="",0,IF(M137&gt;0,M89/NgayQua*SoNgay/M137,IF(M89&gt;0,1,0)))</f>
        <v/>
      </c>
      <c r="N185">
        <f>IF($B$14="",0,IF(N137&gt;0,N89/NgayQua*SoNgay/N137,IF(N89&gt;0,1,0)))</f>
        <v/>
      </c>
      <c r="O185">
        <f>IF($B$15="",0,IF(O137&gt;0,O89/NgayQua*SoNgay/O137,IF(O89&gt;0,1,0)))</f>
        <v/>
      </c>
      <c r="P185">
        <f>IF($B$16="",0,IF(P137&gt;0,P89/NgayQua*SoNgay/P137,IF(P89&gt;0,1,0)))</f>
        <v/>
      </c>
      <c r="Q185">
        <f>IF($B$17="",0,IF(Q137&gt;0,Q89/NgayQua*SoNgay/Q137,IF(Q89&gt;0,1,0)))</f>
        <v/>
      </c>
      <c r="R185">
        <f>IF($B$18="",0,IF(R137&gt;0,R89/NgayQua*SoNgay/R137,IF(R89&gt;0,1,0)))</f>
        <v/>
      </c>
      <c r="S185">
        <f>IF($B$19="",0,IF(S137&gt;0,S89/NgayQua*SoNgay/S137,IF(S89&gt;0,1,0)))</f>
        <v/>
      </c>
      <c r="T185">
        <f>IF($B$20="",0,IF(T137&gt;0,T89/NgayQua*SoNgay/T137,IF(T89&gt;0,1,0)))</f>
        <v/>
      </c>
      <c r="U185">
        <f>IF($B$21="",0,IF(U137&gt;0,U89/NgayQua*SoNgay/U137,IF(U89&gt;0,1,0)))</f>
        <v/>
      </c>
      <c r="V185">
        <f>IF($B$22="",0,IF(V137&gt;0,V89/NgayQua*SoNgay/V137,IF(V89&gt;0,1,0)))</f>
        <v/>
      </c>
    </row>
    <row r="186">
      <c r="A186" t="n">
        <v>5</v>
      </c>
      <c r="B186">
        <f>B43</f>
        <v/>
      </c>
      <c r="C186">
        <f>IF($B$3="",0,IF(C138&gt;0,C90/NgayQua*SoNgay/C138,IF(C90&gt;0,1,0)))</f>
        <v/>
      </c>
      <c r="D186">
        <f>IF($B$4="",0,IF(D138&gt;0,D90/NgayQua*SoNgay/D138,IF(D90&gt;0,1,0)))</f>
        <v/>
      </c>
      <c r="E186">
        <f>IF($B$5="",0,IF(E138&gt;0,E90/NgayQua*SoNgay/E138,IF(E90&gt;0,1,0)))</f>
        <v/>
      </c>
      <c r="F186">
        <f>IF($B$6="",0,IF(F138&gt;0,F90/NgayQua*SoNgay/F138,IF(F90&gt;0,1,0)))</f>
        <v/>
      </c>
      <c r="G186">
        <f>IF($B$7="",0,IF(G138&gt;0,G90/NgayQua*SoNgay/G138,IF(G90&gt;0,1,0)))</f>
        <v/>
      </c>
      <c r="H186">
        <f>IF($B$8="",0,IF(H138&gt;0,H90/NgayQua*SoNgay/H138,IF(H90&gt;0,1,0)))</f>
        <v/>
      </c>
      <c r="I186">
        <f>IF($B$9="",0,IF(I138&gt;0,I90/NgayQua*SoNgay/I138,IF(I90&gt;0,1,0)))</f>
        <v/>
      </c>
      <c r="J186">
        <f>IF($B$10="",0,IF(J138&gt;0,J90/NgayQua*SoNgay/J138,IF(J90&gt;0,1,0)))</f>
        <v/>
      </c>
      <c r="K186">
        <f>IF($B$11="",0,IF(K138&gt;0,K90/NgayQua*SoNgay/K138,IF(K90&gt;0,1,0)))</f>
        <v/>
      </c>
      <c r="L186">
        <f>IF($B$12="",0,IF(L138&gt;0,L90/NgayQua*SoNgay/L138,IF(L90&gt;0,1,0)))</f>
        <v/>
      </c>
      <c r="M186">
        <f>IF($B$13="",0,IF(M138&gt;0,M90/NgayQua*SoNgay/M138,IF(M90&gt;0,1,0)))</f>
        <v/>
      </c>
      <c r="N186">
        <f>IF($B$14="",0,IF(N138&gt;0,N90/NgayQua*SoNgay/N138,IF(N90&gt;0,1,0)))</f>
        <v/>
      </c>
      <c r="O186">
        <f>IF($B$15="",0,IF(O138&gt;0,O90/NgayQua*SoNgay/O138,IF(O90&gt;0,1,0)))</f>
        <v/>
      </c>
      <c r="P186">
        <f>IF($B$16="",0,IF(P138&gt;0,P90/NgayQua*SoNgay/P138,IF(P90&gt;0,1,0)))</f>
        <v/>
      </c>
      <c r="Q186">
        <f>IF($B$17="",0,IF(Q138&gt;0,Q90/NgayQua*SoNgay/Q138,IF(Q90&gt;0,1,0)))</f>
        <v/>
      </c>
      <c r="R186">
        <f>IF($B$18="",0,IF(R138&gt;0,R90/NgayQua*SoNgay/R138,IF(R90&gt;0,1,0)))</f>
        <v/>
      </c>
      <c r="S186">
        <f>IF($B$19="",0,IF(S138&gt;0,S90/NgayQua*SoNgay/S138,IF(S90&gt;0,1,0)))</f>
        <v/>
      </c>
      <c r="T186">
        <f>IF($B$20="",0,IF(T138&gt;0,T90/NgayQua*SoNgay/T138,IF(T90&gt;0,1,0)))</f>
        <v/>
      </c>
      <c r="U186">
        <f>IF($B$21="",0,IF(U138&gt;0,U90/NgayQua*SoNgay/U138,IF(U90&gt;0,1,0)))</f>
        <v/>
      </c>
      <c r="V186">
        <f>IF($B$22="",0,IF(V138&gt;0,V90/NgayQua*SoNgay/V138,IF(V90&gt;0,1,0)))</f>
        <v/>
      </c>
    </row>
    <row r="187">
      <c r="A187" t="n">
        <v>6</v>
      </c>
      <c r="B187">
        <f>B44</f>
        <v/>
      </c>
      <c r="C187">
        <f>IF($B$3="",0,IF(C139&gt;0,C91/NgayQua*SoNgay/C139,IF(C91&gt;0,1,0)))</f>
        <v/>
      </c>
      <c r="D187">
        <f>IF($B$4="",0,IF(D139&gt;0,D91/NgayQua*SoNgay/D139,IF(D91&gt;0,1,0)))</f>
        <v/>
      </c>
      <c r="E187">
        <f>IF($B$5="",0,IF(E139&gt;0,E91/NgayQua*SoNgay/E139,IF(E91&gt;0,1,0)))</f>
        <v/>
      </c>
      <c r="F187">
        <f>IF($B$6="",0,IF(F139&gt;0,F91/NgayQua*SoNgay/F139,IF(F91&gt;0,1,0)))</f>
        <v/>
      </c>
      <c r="G187">
        <f>IF($B$7="",0,IF(G139&gt;0,G91/NgayQua*SoNgay/G139,IF(G91&gt;0,1,0)))</f>
        <v/>
      </c>
      <c r="H187">
        <f>IF($B$8="",0,IF(H139&gt;0,H91/NgayQua*SoNgay/H139,IF(H91&gt;0,1,0)))</f>
        <v/>
      </c>
      <c r="I187">
        <f>IF($B$9="",0,IF(I139&gt;0,I91/NgayQua*SoNgay/I139,IF(I91&gt;0,1,0)))</f>
        <v/>
      </c>
      <c r="J187">
        <f>IF($B$10="",0,IF(J139&gt;0,J91/NgayQua*SoNgay/J139,IF(J91&gt;0,1,0)))</f>
        <v/>
      </c>
      <c r="K187">
        <f>IF($B$11="",0,IF(K139&gt;0,K91/NgayQua*SoNgay/K139,IF(K91&gt;0,1,0)))</f>
        <v/>
      </c>
      <c r="L187">
        <f>IF($B$12="",0,IF(L139&gt;0,L91/NgayQua*SoNgay/L139,IF(L91&gt;0,1,0)))</f>
        <v/>
      </c>
      <c r="M187">
        <f>IF($B$13="",0,IF(M139&gt;0,M91/NgayQua*SoNgay/M139,IF(M91&gt;0,1,0)))</f>
        <v/>
      </c>
      <c r="N187">
        <f>IF($B$14="",0,IF(N139&gt;0,N91/NgayQua*SoNgay/N139,IF(N91&gt;0,1,0)))</f>
        <v/>
      </c>
      <c r="O187">
        <f>IF($B$15="",0,IF(O139&gt;0,O91/NgayQua*SoNgay/O139,IF(O91&gt;0,1,0)))</f>
        <v/>
      </c>
      <c r="P187">
        <f>IF($B$16="",0,IF(P139&gt;0,P91/NgayQua*SoNgay/P139,IF(P91&gt;0,1,0)))</f>
        <v/>
      </c>
      <c r="Q187">
        <f>IF($B$17="",0,IF(Q139&gt;0,Q91/NgayQua*SoNgay/Q139,IF(Q91&gt;0,1,0)))</f>
        <v/>
      </c>
      <c r="R187">
        <f>IF($B$18="",0,IF(R139&gt;0,R91/NgayQua*SoNgay/R139,IF(R91&gt;0,1,0)))</f>
        <v/>
      </c>
      <c r="S187">
        <f>IF($B$19="",0,IF(S139&gt;0,S91/NgayQua*SoNgay/S139,IF(S91&gt;0,1,0)))</f>
        <v/>
      </c>
      <c r="T187">
        <f>IF($B$20="",0,IF(T139&gt;0,T91/NgayQua*SoNgay/T139,IF(T91&gt;0,1,0)))</f>
        <v/>
      </c>
      <c r="U187">
        <f>IF($B$21="",0,IF(U139&gt;0,U91/NgayQua*SoNgay/U139,IF(U91&gt;0,1,0)))</f>
        <v/>
      </c>
      <c r="V187">
        <f>IF($B$22="",0,IF(V139&gt;0,V91/NgayQua*SoNgay/V139,IF(V91&gt;0,1,0)))</f>
        <v/>
      </c>
    </row>
    <row r="188">
      <c r="A188" t="n">
        <v>7</v>
      </c>
      <c r="B188">
        <f>B45</f>
        <v/>
      </c>
      <c r="C188">
        <f>IF($B$3="",0,IF(C140&gt;0,C92/NgayQua*SoNgay/C140,IF(C92&gt;0,1,0)))</f>
        <v/>
      </c>
      <c r="D188">
        <f>IF($B$4="",0,IF(D140&gt;0,D92/NgayQua*SoNgay/D140,IF(D92&gt;0,1,0)))</f>
        <v/>
      </c>
      <c r="E188">
        <f>IF($B$5="",0,IF(E140&gt;0,E92/NgayQua*SoNgay/E140,IF(E92&gt;0,1,0)))</f>
        <v/>
      </c>
      <c r="F188">
        <f>IF($B$6="",0,IF(F140&gt;0,F92/NgayQua*SoNgay/F140,IF(F92&gt;0,1,0)))</f>
        <v/>
      </c>
      <c r="G188">
        <f>IF($B$7="",0,IF(G140&gt;0,G92/NgayQua*SoNgay/G140,IF(G92&gt;0,1,0)))</f>
        <v/>
      </c>
      <c r="H188">
        <f>IF($B$8="",0,IF(H140&gt;0,H92/NgayQua*SoNgay/H140,IF(H92&gt;0,1,0)))</f>
        <v/>
      </c>
      <c r="I188">
        <f>IF($B$9="",0,IF(I140&gt;0,I92/NgayQua*SoNgay/I140,IF(I92&gt;0,1,0)))</f>
        <v/>
      </c>
      <c r="J188">
        <f>IF($B$10="",0,IF(J140&gt;0,J92/NgayQua*SoNgay/J140,IF(J92&gt;0,1,0)))</f>
        <v/>
      </c>
      <c r="K188">
        <f>IF($B$11="",0,IF(K140&gt;0,K92/NgayQua*SoNgay/K140,IF(K92&gt;0,1,0)))</f>
        <v/>
      </c>
      <c r="L188">
        <f>IF($B$12="",0,IF(L140&gt;0,L92/NgayQua*SoNgay/L140,IF(L92&gt;0,1,0)))</f>
        <v/>
      </c>
      <c r="M188">
        <f>IF($B$13="",0,IF(M140&gt;0,M92/NgayQua*SoNgay/M140,IF(M92&gt;0,1,0)))</f>
        <v/>
      </c>
      <c r="N188">
        <f>IF($B$14="",0,IF(N140&gt;0,N92/NgayQua*SoNgay/N140,IF(N92&gt;0,1,0)))</f>
        <v/>
      </c>
      <c r="O188">
        <f>IF($B$15="",0,IF(O140&gt;0,O92/NgayQua*SoNgay/O140,IF(O92&gt;0,1,0)))</f>
        <v/>
      </c>
      <c r="P188">
        <f>IF($B$16="",0,IF(P140&gt;0,P92/NgayQua*SoNgay/P140,IF(P92&gt;0,1,0)))</f>
        <v/>
      </c>
      <c r="Q188">
        <f>IF($B$17="",0,IF(Q140&gt;0,Q92/NgayQua*SoNgay/Q140,IF(Q92&gt;0,1,0)))</f>
        <v/>
      </c>
      <c r="R188">
        <f>IF($B$18="",0,IF(R140&gt;0,R92/NgayQua*SoNgay/R140,IF(R92&gt;0,1,0)))</f>
        <v/>
      </c>
      <c r="S188">
        <f>IF($B$19="",0,IF(S140&gt;0,S92/NgayQua*SoNgay/S140,IF(S92&gt;0,1,0)))</f>
        <v/>
      </c>
      <c r="T188">
        <f>IF($B$20="",0,IF(T140&gt;0,T92/NgayQua*SoNgay/T140,IF(T92&gt;0,1,0)))</f>
        <v/>
      </c>
      <c r="U188">
        <f>IF($B$21="",0,IF(U140&gt;0,U92/NgayQua*SoNgay/U140,IF(U92&gt;0,1,0)))</f>
        <v/>
      </c>
      <c r="V188">
        <f>IF($B$22="",0,IF(V140&gt;0,V92/NgayQua*SoNgay/V140,IF(V92&gt;0,1,0)))</f>
        <v/>
      </c>
    </row>
    <row r="189">
      <c r="A189" t="n">
        <v>8</v>
      </c>
      <c r="B189">
        <f>B46</f>
        <v/>
      </c>
      <c r="C189">
        <f>IF($B$3="",0,IF(C141&gt;0,C93/NgayQua*SoNgay/C141,IF(C93&gt;0,1,0)))</f>
        <v/>
      </c>
      <c r="D189">
        <f>IF($B$4="",0,IF(D141&gt;0,D93/NgayQua*SoNgay/D141,IF(D93&gt;0,1,0)))</f>
        <v/>
      </c>
      <c r="E189">
        <f>IF($B$5="",0,IF(E141&gt;0,E93/NgayQua*SoNgay/E141,IF(E93&gt;0,1,0)))</f>
        <v/>
      </c>
      <c r="F189">
        <f>IF($B$6="",0,IF(F141&gt;0,F93/NgayQua*SoNgay/F141,IF(F93&gt;0,1,0)))</f>
        <v/>
      </c>
      <c r="G189">
        <f>IF($B$7="",0,IF(G141&gt;0,G93/NgayQua*SoNgay/G141,IF(G93&gt;0,1,0)))</f>
        <v/>
      </c>
      <c r="H189">
        <f>IF($B$8="",0,IF(H141&gt;0,H93/NgayQua*SoNgay/H141,IF(H93&gt;0,1,0)))</f>
        <v/>
      </c>
      <c r="I189">
        <f>IF($B$9="",0,IF(I141&gt;0,I93/NgayQua*SoNgay/I141,IF(I93&gt;0,1,0)))</f>
        <v/>
      </c>
      <c r="J189">
        <f>IF($B$10="",0,IF(J141&gt;0,J93/NgayQua*SoNgay/J141,IF(J93&gt;0,1,0)))</f>
        <v/>
      </c>
      <c r="K189">
        <f>IF($B$11="",0,IF(K141&gt;0,K93/NgayQua*SoNgay/K141,IF(K93&gt;0,1,0)))</f>
        <v/>
      </c>
      <c r="L189">
        <f>IF($B$12="",0,IF(L141&gt;0,L93/NgayQua*SoNgay/L141,IF(L93&gt;0,1,0)))</f>
        <v/>
      </c>
      <c r="M189">
        <f>IF($B$13="",0,IF(M141&gt;0,M93/NgayQua*SoNgay/M141,IF(M93&gt;0,1,0)))</f>
        <v/>
      </c>
      <c r="N189">
        <f>IF($B$14="",0,IF(N141&gt;0,N93/NgayQua*SoNgay/N141,IF(N93&gt;0,1,0)))</f>
        <v/>
      </c>
      <c r="O189">
        <f>IF($B$15="",0,IF(O141&gt;0,O93/NgayQua*SoNgay/O141,IF(O93&gt;0,1,0)))</f>
        <v/>
      </c>
      <c r="P189">
        <f>IF($B$16="",0,IF(P141&gt;0,P93/NgayQua*SoNgay/P141,IF(P93&gt;0,1,0)))</f>
        <v/>
      </c>
      <c r="Q189">
        <f>IF($B$17="",0,IF(Q141&gt;0,Q93/NgayQua*SoNgay/Q141,IF(Q93&gt;0,1,0)))</f>
        <v/>
      </c>
      <c r="R189">
        <f>IF($B$18="",0,IF(R141&gt;0,R93/NgayQua*SoNgay/R141,IF(R93&gt;0,1,0)))</f>
        <v/>
      </c>
      <c r="S189">
        <f>IF($B$19="",0,IF(S141&gt;0,S93/NgayQua*SoNgay/S141,IF(S93&gt;0,1,0)))</f>
        <v/>
      </c>
      <c r="T189">
        <f>IF($B$20="",0,IF(T141&gt;0,T93/NgayQua*SoNgay/T141,IF(T93&gt;0,1,0)))</f>
        <v/>
      </c>
      <c r="U189">
        <f>IF($B$21="",0,IF(U141&gt;0,U93/NgayQua*SoNgay/U141,IF(U93&gt;0,1,0)))</f>
        <v/>
      </c>
      <c r="V189">
        <f>IF($B$22="",0,IF(V141&gt;0,V93/NgayQua*SoNgay/V141,IF(V93&gt;0,1,0)))</f>
        <v/>
      </c>
    </row>
    <row r="190">
      <c r="A190" t="n">
        <v>9</v>
      </c>
      <c r="B190">
        <f>B47</f>
        <v/>
      </c>
      <c r="C190">
        <f>IF($B$3="",0,IF(C142&gt;0,C94/NgayQua*SoNgay/C142,IF(C94&gt;0,1,0)))</f>
        <v/>
      </c>
      <c r="D190">
        <f>IF($B$4="",0,IF(D142&gt;0,D94/NgayQua*SoNgay/D142,IF(D94&gt;0,1,0)))</f>
        <v/>
      </c>
      <c r="E190">
        <f>IF($B$5="",0,IF(E142&gt;0,E94/NgayQua*SoNgay/E142,IF(E94&gt;0,1,0)))</f>
        <v/>
      </c>
      <c r="F190">
        <f>IF($B$6="",0,IF(F142&gt;0,F94/NgayQua*SoNgay/F142,IF(F94&gt;0,1,0)))</f>
        <v/>
      </c>
      <c r="G190">
        <f>IF($B$7="",0,IF(G142&gt;0,G94/NgayQua*SoNgay/G142,IF(G94&gt;0,1,0)))</f>
        <v/>
      </c>
      <c r="H190">
        <f>IF($B$8="",0,IF(H142&gt;0,H94/NgayQua*SoNgay/H142,IF(H94&gt;0,1,0)))</f>
        <v/>
      </c>
      <c r="I190">
        <f>IF($B$9="",0,IF(I142&gt;0,I94/NgayQua*SoNgay/I142,IF(I94&gt;0,1,0)))</f>
        <v/>
      </c>
      <c r="J190">
        <f>IF($B$10="",0,IF(J142&gt;0,J94/NgayQua*SoNgay/J142,IF(J94&gt;0,1,0)))</f>
        <v/>
      </c>
      <c r="K190">
        <f>IF($B$11="",0,IF(K142&gt;0,K94/NgayQua*SoNgay/K142,IF(K94&gt;0,1,0)))</f>
        <v/>
      </c>
      <c r="L190">
        <f>IF($B$12="",0,IF(L142&gt;0,L94/NgayQua*SoNgay/L142,IF(L94&gt;0,1,0)))</f>
        <v/>
      </c>
      <c r="M190">
        <f>IF($B$13="",0,IF(M142&gt;0,M94/NgayQua*SoNgay/M142,IF(M94&gt;0,1,0)))</f>
        <v/>
      </c>
      <c r="N190">
        <f>IF($B$14="",0,IF(N142&gt;0,N94/NgayQua*SoNgay/N142,IF(N94&gt;0,1,0)))</f>
        <v/>
      </c>
      <c r="O190">
        <f>IF($B$15="",0,IF(O142&gt;0,O94/NgayQua*SoNgay/O142,IF(O94&gt;0,1,0)))</f>
        <v/>
      </c>
      <c r="P190">
        <f>IF($B$16="",0,IF(P142&gt;0,P94/NgayQua*SoNgay/P142,IF(P94&gt;0,1,0)))</f>
        <v/>
      </c>
      <c r="Q190">
        <f>IF($B$17="",0,IF(Q142&gt;0,Q94/NgayQua*SoNgay/Q142,IF(Q94&gt;0,1,0)))</f>
        <v/>
      </c>
      <c r="R190">
        <f>IF($B$18="",0,IF(R142&gt;0,R94/NgayQua*SoNgay/R142,IF(R94&gt;0,1,0)))</f>
        <v/>
      </c>
      <c r="S190">
        <f>IF($B$19="",0,IF(S142&gt;0,S94/NgayQua*SoNgay/S142,IF(S94&gt;0,1,0)))</f>
        <v/>
      </c>
      <c r="T190">
        <f>IF($B$20="",0,IF(T142&gt;0,T94/NgayQua*SoNgay/T142,IF(T94&gt;0,1,0)))</f>
        <v/>
      </c>
      <c r="U190">
        <f>IF($B$21="",0,IF(U142&gt;0,U94/NgayQua*SoNgay/U142,IF(U94&gt;0,1,0)))</f>
        <v/>
      </c>
      <c r="V190">
        <f>IF($B$22="",0,IF(V142&gt;0,V94/NgayQua*SoNgay/V142,IF(V94&gt;0,1,0)))</f>
        <v/>
      </c>
    </row>
    <row r="191">
      <c r="A191" t="n">
        <v>10</v>
      </c>
      <c r="B191">
        <f>B48</f>
        <v/>
      </c>
      <c r="C191">
        <f>IF($B$3="",0,IF(C143&gt;0,C95/NgayQua*SoNgay/C143,IF(C95&gt;0,1,0)))</f>
        <v/>
      </c>
      <c r="D191">
        <f>IF($B$4="",0,IF(D143&gt;0,D95/NgayQua*SoNgay/D143,IF(D95&gt;0,1,0)))</f>
        <v/>
      </c>
      <c r="E191">
        <f>IF($B$5="",0,IF(E143&gt;0,E95/NgayQua*SoNgay/E143,IF(E95&gt;0,1,0)))</f>
        <v/>
      </c>
      <c r="F191">
        <f>IF($B$6="",0,IF(F143&gt;0,F95/NgayQua*SoNgay/F143,IF(F95&gt;0,1,0)))</f>
        <v/>
      </c>
      <c r="G191">
        <f>IF($B$7="",0,IF(G143&gt;0,G95/NgayQua*SoNgay/G143,IF(G95&gt;0,1,0)))</f>
        <v/>
      </c>
      <c r="H191">
        <f>IF($B$8="",0,IF(H143&gt;0,H95/NgayQua*SoNgay/H143,IF(H95&gt;0,1,0)))</f>
        <v/>
      </c>
      <c r="I191">
        <f>IF($B$9="",0,IF(I143&gt;0,I95/NgayQua*SoNgay/I143,IF(I95&gt;0,1,0)))</f>
        <v/>
      </c>
      <c r="J191">
        <f>IF($B$10="",0,IF(J143&gt;0,J95/NgayQua*SoNgay/J143,IF(J95&gt;0,1,0)))</f>
        <v/>
      </c>
      <c r="K191">
        <f>IF($B$11="",0,IF(K143&gt;0,K95/NgayQua*SoNgay/K143,IF(K95&gt;0,1,0)))</f>
        <v/>
      </c>
      <c r="L191">
        <f>IF($B$12="",0,IF(L143&gt;0,L95/NgayQua*SoNgay/L143,IF(L95&gt;0,1,0)))</f>
        <v/>
      </c>
      <c r="M191">
        <f>IF($B$13="",0,IF(M143&gt;0,M95/NgayQua*SoNgay/M143,IF(M95&gt;0,1,0)))</f>
        <v/>
      </c>
      <c r="N191">
        <f>IF($B$14="",0,IF(N143&gt;0,N95/NgayQua*SoNgay/N143,IF(N95&gt;0,1,0)))</f>
        <v/>
      </c>
      <c r="O191">
        <f>IF($B$15="",0,IF(O143&gt;0,O95/NgayQua*SoNgay/O143,IF(O95&gt;0,1,0)))</f>
        <v/>
      </c>
      <c r="P191">
        <f>IF($B$16="",0,IF(P143&gt;0,P95/NgayQua*SoNgay/P143,IF(P95&gt;0,1,0)))</f>
        <v/>
      </c>
      <c r="Q191">
        <f>IF($B$17="",0,IF(Q143&gt;0,Q95/NgayQua*SoNgay/Q143,IF(Q95&gt;0,1,0)))</f>
        <v/>
      </c>
      <c r="R191">
        <f>IF($B$18="",0,IF(R143&gt;0,R95/NgayQua*SoNgay/R143,IF(R95&gt;0,1,0)))</f>
        <v/>
      </c>
      <c r="S191">
        <f>IF($B$19="",0,IF(S143&gt;0,S95/NgayQua*SoNgay/S143,IF(S95&gt;0,1,0)))</f>
        <v/>
      </c>
      <c r="T191">
        <f>IF($B$20="",0,IF(T143&gt;0,T95/NgayQua*SoNgay/T143,IF(T95&gt;0,1,0)))</f>
        <v/>
      </c>
      <c r="U191">
        <f>IF($B$21="",0,IF(U143&gt;0,U95/NgayQua*SoNgay/U143,IF(U95&gt;0,1,0)))</f>
        <v/>
      </c>
      <c r="V191">
        <f>IF($B$22="",0,IF(V143&gt;0,V95/NgayQua*SoNgay/V143,IF(V95&gt;0,1,0)))</f>
        <v/>
      </c>
    </row>
    <row r="192">
      <c r="A192" t="n">
        <v>11</v>
      </c>
      <c r="B192">
        <f>B49</f>
        <v/>
      </c>
      <c r="C192">
        <f>IF($B$3="",0,IF(C144&gt;0,C96/NgayQua*SoNgay/C144,IF(C96&gt;0,1,0)))</f>
        <v/>
      </c>
      <c r="D192">
        <f>IF($B$4="",0,IF(D144&gt;0,D96/NgayQua*SoNgay/D144,IF(D96&gt;0,1,0)))</f>
        <v/>
      </c>
      <c r="E192">
        <f>IF($B$5="",0,IF(E144&gt;0,E96/NgayQua*SoNgay/E144,IF(E96&gt;0,1,0)))</f>
        <v/>
      </c>
      <c r="F192">
        <f>IF($B$6="",0,IF(F144&gt;0,F96/NgayQua*SoNgay/F144,IF(F96&gt;0,1,0)))</f>
        <v/>
      </c>
      <c r="G192">
        <f>IF($B$7="",0,IF(G144&gt;0,G96/NgayQua*SoNgay/G144,IF(G96&gt;0,1,0)))</f>
        <v/>
      </c>
      <c r="H192">
        <f>IF($B$8="",0,IF(H144&gt;0,H96/NgayQua*SoNgay/H144,IF(H96&gt;0,1,0)))</f>
        <v/>
      </c>
      <c r="I192">
        <f>IF($B$9="",0,IF(I144&gt;0,I96/NgayQua*SoNgay/I144,IF(I96&gt;0,1,0)))</f>
        <v/>
      </c>
      <c r="J192">
        <f>IF($B$10="",0,IF(J144&gt;0,J96/NgayQua*SoNgay/J144,IF(J96&gt;0,1,0)))</f>
        <v/>
      </c>
      <c r="K192">
        <f>IF($B$11="",0,IF(K144&gt;0,K96/NgayQua*SoNgay/K144,IF(K96&gt;0,1,0)))</f>
        <v/>
      </c>
      <c r="L192">
        <f>IF($B$12="",0,IF(L144&gt;0,L96/NgayQua*SoNgay/L144,IF(L96&gt;0,1,0)))</f>
        <v/>
      </c>
      <c r="M192">
        <f>IF($B$13="",0,IF(M144&gt;0,M96/NgayQua*SoNgay/M144,IF(M96&gt;0,1,0)))</f>
        <v/>
      </c>
      <c r="N192">
        <f>IF($B$14="",0,IF(N144&gt;0,N96/NgayQua*SoNgay/N144,IF(N96&gt;0,1,0)))</f>
        <v/>
      </c>
      <c r="O192">
        <f>IF($B$15="",0,IF(O144&gt;0,O96/NgayQua*SoNgay/O144,IF(O96&gt;0,1,0)))</f>
        <v/>
      </c>
      <c r="P192">
        <f>IF($B$16="",0,IF(P144&gt;0,P96/NgayQua*SoNgay/P144,IF(P96&gt;0,1,0)))</f>
        <v/>
      </c>
      <c r="Q192">
        <f>IF($B$17="",0,IF(Q144&gt;0,Q96/NgayQua*SoNgay/Q144,IF(Q96&gt;0,1,0)))</f>
        <v/>
      </c>
      <c r="R192">
        <f>IF($B$18="",0,IF(R144&gt;0,R96/NgayQua*SoNgay/R144,IF(R96&gt;0,1,0)))</f>
        <v/>
      </c>
      <c r="S192">
        <f>IF($B$19="",0,IF(S144&gt;0,S96/NgayQua*SoNgay/S144,IF(S96&gt;0,1,0)))</f>
        <v/>
      </c>
      <c r="T192">
        <f>IF($B$20="",0,IF(T144&gt;0,T96/NgayQua*SoNgay/T144,IF(T96&gt;0,1,0)))</f>
        <v/>
      </c>
      <c r="U192">
        <f>IF($B$21="",0,IF(U144&gt;0,U96/NgayQua*SoNgay/U144,IF(U96&gt;0,1,0)))</f>
        <v/>
      </c>
      <c r="V192">
        <f>IF($B$22="",0,IF(V144&gt;0,V96/NgayQua*SoNgay/V144,IF(V96&gt;0,1,0)))</f>
        <v/>
      </c>
    </row>
    <row r="193">
      <c r="A193" t="n">
        <v>12</v>
      </c>
      <c r="B193">
        <f>B50</f>
        <v/>
      </c>
      <c r="C193">
        <f>IF($B$3="",0,IF(C145&gt;0,C97/NgayQua*SoNgay/C145,IF(C97&gt;0,1,0)))</f>
        <v/>
      </c>
      <c r="D193">
        <f>IF($B$4="",0,IF(D145&gt;0,D97/NgayQua*SoNgay/D145,IF(D97&gt;0,1,0)))</f>
        <v/>
      </c>
      <c r="E193">
        <f>IF($B$5="",0,IF(E145&gt;0,E97/NgayQua*SoNgay/E145,IF(E97&gt;0,1,0)))</f>
        <v/>
      </c>
      <c r="F193">
        <f>IF($B$6="",0,IF(F145&gt;0,F97/NgayQua*SoNgay/F145,IF(F97&gt;0,1,0)))</f>
        <v/>
      </c>
      <c r="G193">
        <f>IF($B$7="",0,IF(G145&gt;0,G97/NgayQua*SoNgay/G145,IF(G97&gt;0,1,0)))</f>
        <v/>
      </c>
      <c r="H193">
        <f>IF($B$8="",0,IF(H145&gt;0,H97/NgayQua*SoNgay/H145,IF(H97&gt;0,1,0)))</f>
        <v/>
      </c>
      <c r="I193">
        <f>IF($B$9="",0,IF(I145&gt;0,I97/NgayQua*SoNgay/I145,IF(I97&gt;0,1,0)))</f>
        <v/>
      </c>
      <c r="J193">
        <f>IF($B$10="",0,IF(J145&gt;0,J97/NgayQua*SoNgay/J145,IF(J97&gt;0,1,0)))</f>
        <v/>
      </c>
      <c r="K193">
        <f>IF($B$11="",0,IF(K145&gt;0,K97/NgayQua*SoNgay/K145,IF(K97&gt;0,1,0)))</f>
        <v/>
      </c>
      <c r="L193">
        <f>IF($B$12="",0,IF(L145&gt;0,L97/NgayQua*SoNgay/L145,IF(L97&gt;0,1,0)))</f>
        <v/>
      </c>
      <c r="M193">
        <f>IF($B$13="",0,IF(M145&gt;0,M97/NgayQua*SoNgay/M145,IF(M97&gt;0,1,0)))</f>
        <v/>
      </c>
      <c r="N193">
        <f>IF($B$14="",0,IF(N145&gt;0,N97/NgayQua*SoNgay/N145,IF(N97&gt;0,1,0)))</f>
        <v/>
      </c>
      <c r="O193">
        <f>IF($B$15="",0,IF(O145&gt;0,O97/NgayQua*SoNgay/O145,IF(O97&gt;0,1,0)))</f>
        <v/>
      </c>
      <c r="P193">
        <f>IF($B$16="",0,IF(P145&gt;0,P97/NgayQua*SoNgay/P145,IF(P97&gt;0,1,0)))</f>
        <v/>
      </c>
      <c r="Q193">
        <f>IF($B$17="",0,IF(Q145&gt;0,Q97/NgayQua*SoNgay/Q145,IF(Q97&gt;0,1,0)))</f>
        <v/>
      </c>
      <c r="R193">
        <f>IF($B$18="",0,IF(R145&gt;0,R97/NgayQua*SoNgay/R145,IF(R97&gt;0,1,0)))</f>
        <v/>
      </c>
      <c r="S193">
        <f>IF($B$19="",0,IF(S145&gt;0,S97/NgayQua*SoNgay/S145,IF(S97&gt;0,1,0)))</f>
        <v/>
      </c>
      <c r="T193">
        <f>IF($B$20="",0,IF(T145&gt;0,T97/NgayQua*SoNgay/T145,IF(T97&gt;0,1,0)))</f>
        <v/>
      </c>
      <c r="U193">
        <f>IF($B$21="",0,IF(U145&gt;0,U97/NgayQua*SoNgay/U145,IF(U97&gt;0,1,0)))</f>
        <v/>
      </c>
      <c r="V193">
        <f>IF($B$22="",0,IF(V145&gt;0,V97/NgayQua*SoNgay/V145,IF(V97&gt;0,1,0)))</f>
        <v/>
      </c>
    </row>
    <row r="194">
      <c r="A194" t="n">
        <v>13</v>
      </c>
      <c r="B194">
        <f>B51</f>
        <v/>
      </c>
      <c r="C194">
        <f>IF($B$3="",0,IF(C146&gt;0,C98/NgayQua*SoNgay/C146,IF(C98&gt;0,1,0)))</f>
        <v/>
      </c>
      <c r="D194">
        <f>IF($B$4="",0,IF(D146&gt;0,D98/NgayQua*SoNgay/D146,IF(D98&gt;0,1,0)))</f>
        <v/>
      </c>
      <c r="E194">
        <f>IF($B$5="",0,IF(E146&gt;0,E98/NgayQua*SoNgay/E146,IF(E98&gt;0,1,0)))</f>
        <v/>
      </c>
      <c r="F194">
        <f>IF($B$6="",0,IF(F146&gt;0,F98/NgayQua*SoNgay/F146,IF(F98&gt;0,1,0)))</f>
        <v/>
      </c>
      <c r="G194">
        <f>IF($B$7="",0,IF(G146&gt;0,G98/NgayQua*SoNgay/G146,IF(G98&gt;0,1,0)))</f>
        <v/>
      </c>
      <c r="H194">
        <f>IF($B$8="",0,IF(H146&gt;0,H98/NgayQua*SoNgay/H146,IF(H98&gt;0,1,0)))</f>
        <v/>
      </c>
      <c r="I194">
        <f>IF($B$9="",0,IF(I146&gt;0,I98/NgayQua*SoNgay/I146,IF(I98&gt;0,1,0)))</f>
        <v/>
      </c>
      <c r="J194">
        <f>IF($B$10="",0,IF(J146&gt;0,J98/NgayQua*SoNgay/J146,IF(J98&gt;0,1,0)))</f>
        <v/>
      </c>
      <c r="K194">
        <f>IF($B$11="",0,IF(K146&gt;0,K98/NgayQua*SoNgay/K146,IF(K98&gt;0,1,0)))</f>
        <v/>
      </c>
      <c r="L194">
        <f>IF($B$12="",0,IF(L146&gt;0,L98/NgayQua*SoNgay/L146,IF(L98&gt;0,1,0)))</f>
        <v/>
      </c>
      <c r="M194">
        <f>IF($B$13="",0,IF(M146&gt;0,M98/NgayQua*SoNgay/M146,IF(M98&gt;0,1,0)))</f>
        <v/>
      </c>
      <c r="N194">
        <f>IF($B$14="",0,IF(N146&gt;0,N98/NgayQua*SoNgay/N146,IF(N98&gt;0,1,0)))</f>
        <v/>
      </c>
      <c r="O194">
        <f>IF($B$15="",0,IF(O146&gt;0,O98/NgayQua*SoNgay/O146,IF(O98&gt;0,1,0)))</f>
        <v/>
      </c>
      <c r="P194">
        <f>IF($B$16="",0,IF(P146&gt;0,P98/NgayQua*SoNgay/P146,IF(P98&gt;0,1,0)))</f>
        <v/>
      </c>
      <c r="Q194">
        <f>IF($B$17="",0,IF(Q146&gt;0,Q98/NgayQua*SoNgay/Q146,IF(Q98&gt;0,1,0)))</f>
        <v/>
      </c>
      <c r="R194">
        <f>IF($B$18="",0,IF(R146&gt;0,R98/NgayQua*SoNgay/R146,IF(R98&gt;0,1,0)))</f>
        <v/>
      </c>
      <c r="S194">
        <f>IF($B$19="",0,IF(S146&gt;0,S98/NgayQua*SoNgay/S146,IF(S98&gt;0,1,0)))</f>
        <v/>
      </c>
      <c r="T194">
        <f>IF($B$20="",0,IF(T146&gt;0,T98/NgayQua*SoNgay/T146,IF(T98&gt;0,1,0)))</f>
        <v/>
      </c>
      <c r="U194">
        <f>IF($B$21="",0,IF(U146&gt;0,U98/NgayQua*SoNgay/U146,IF(U98&gt;0,1,0)))</f>
        <v/>
      </c>
      <c r="V194">
        <f>IF($B$22="",0,IF(V146&gt;0,V98/NgayQua*SoNgay/V146,IF(V98&gt;0,1,0)))</f>
        <v/>
      </c>
    </row>
    <row r="195">
      <c r="A195" t="n">
        <v>14</v>
      </c>
      <c r="B195">
        <f>B52</f>
        <v/>
      </c>
      <c r="C195">
        <f>IF($B$3="",0,IF(C147&gt;0,C99/NgayQua*SoNgay/C147,IF(C99&gt;0,1,0)))</f>
        <v/>
      </c>
      <c r="D195">
        <f>IF($B$4="",0,IF(D147&gt;0,D99/NgayQua*SoNgay/D147,IF(D99&gt;0,1,0)))</f>
        <v/>
      </c>
      <c r="E195">
        <f>IF($B$5="",0,IF(E147&gt;0,E99/NgayQua*SoNgay/E147,IF(E99&gt;0,1,0)))</f>
        <v/>
      </c>
      <c r="F195">
        <f>IF($B$6="",0,IF(F147&gt;0,F99/NgayQua*SoNgay/F147,IF(F99&gt;0,1,0)))</f>
        <v/>
      </c>
      <c r="G195">
        <f>IF($B$7="",0,IF(G147&gt;0,G99/NgayQua*SoNgay/G147,IF(G99&gt;0,1,0)))</f>
        <v/>
      </c>
      <c r="H195">
        <f>IF($B$8="",0,IF(H147&gt;0,H99/NgayQua*SoNgay/H147,IF(H99&gt;0,1,0)))</f>
        <v/>
      </c>
      <c r="I195">
        <f>IF($B$9="",0,IF(I147&gt;0,I99/NgayQua*SoNgay/I147,IF(I99&gt;0,1,0)))</f>
        <v/>
      </c>
      <c r="J195">
        <f>IF($B$10="",0,IF(J147&gt;0,J99/NgayQua*SoNgay/J147,IF(J99&gt;0,1,0)))</f>
        <v/>
      </c>
      <c r="K195">
        <f>IF($B$11="",0,IF(K147&gt;0,K99/NgayQua*SoNgay/K147,IF(K99&gt;0,1,0)))</f>
        <v/>
      </c>
      <c r="L195">
        <f>IF($B$12="",0,IF(L147&gt;0,L99/NgayQua*SoNgay/L147,IF(L99&gt;0,1,0)))</f>
        <v/>
      </c>
      <c r="M195">
        <f>IF($B$13="",0,IF(M147&gt;0,M99/NgayQua*SoNgay/M147,IF(M99&gt;0,1,0)))</f>
        <v/>
      </c>
      <c r="N195">
        <f>IF($B$14="",0,IF(N147&gt;0,N99/NgayQua*SoNgay/N147,IF(N99&gt;0,1,0)))</f>
        <v/>
      </c>
      <c r="O195">
        <f>IF($B$15="",0,IF(O147&gt;0,O99/NgayQua*SoNgay/O147,IF(O99&gt;0,1,0)))</f>
        <v/>
      </c>
      <c r="P195">
        <f>IF($B$16="",0,IF(P147&gt;0,P99/NgayQua*SoNgay/P147,IF(P99&gt;0,1,0)))</f>
        <v/>
      </c>
      <c r="Q195">
        <f>IF($B$17="",0,IF(Q147&gt;0,Q99/NgayQua*SoNgay/Q147,IF(Q99&gt;0,1,0)))</f>
        <v/>
      </c>
      <c r="R195">
        <f>IF($B$18="",0,IF(R147&gt;0,R99/NgayQua*SoNgay/R147,IF(R99&gt;0,1,0)))</f>
        <v/>
      </c>
      <c r="S195">
        <f>IF($B$19="",0,IF(S147&gt;0,S99/NgayQua*SoNgay/S147,IF(S99&gt;0,1,0)))</f>
        <v/>
      </c>
      <c r="T195">
        <f>IF($B$20="",0,IF(T147&gt;0,T99/NgayQua*SoNgay/T147,IF(T99&gt;0,1,0)))</f>
        <v/>
      </c>
      <c r="U195">
        <f>IF($B$21="",0,IF(U147&gt;0,U99/NgayQua*SoNgay/U147,IF(U99&gt;0,1,0)))</f>
        <v/>
      </c>
      <c r="V195">
        <f>IF($B$22="",0,IF(V147&gt;0,V99/NgayQua*SoNgay/V147,IF(V99&gt;0,1,0)))</f>
        <v/>
      </c>
    </row>
    <row r="196">
      <c r="A196" t="n">
        <v>15</v>
      </c>
      <c r="B196">
        <f>B53</f>
        <v/>
      </c>
      <c r="C196">
        <f>IF($B$3="",0,IF(C148&gt;0,C100/NgayQua*SoNgay/C148,IF(C100&gt;0,1,0)))</f>
        <v/>
      </c>
      <c r="D196">
        <f>IF($B$4="",0,IF(D148&gt;0,D100/NgayQua*SoNgay/D148,IF(D100&gt;0,1,0)))</f>
        <v/>
      </c>
      <c r="E196">
        <f>IF($B$5="",0,IF(E148&gt;0,E100/NgayQua*SoNgay/E148,IF(E100&gt;0,1,0)))</f>
        <v/>
      </c>
      <c r="F196">
        <f>IF($B$6="",0,IF(F148&gt;0,F100/NgayQua*SoNgay/F148,IF(F100&gt;0,1,0)))</f>
        <v/>
      </c>
      <c r="G196">
        <f>IF($B$7="",0,IF(G148&gt;0,G100/NgayQua*SoNgay/G148,IF(G100&gt;0,1,0)))</f>
        <v/>
      </c>
      <c r="H196">
        <f>IF($B$8="",0,IF(H148&gt;0,H100/NgayQua*SoNgay/H148,IF(H100&gt;0,1,0)))</f>
        <v/>
      </c>
      <c r="I196">
        <f>IF($B$9="",0,IF(I148&gt;0,I100/NgayQua*SoNgay/I148,IF(I100&gt;0,1,0)))</f>
        <v/>
      </c>
      <c r="J196">
        <f>IF($B$10="",0,IF(J148&gt;0,J100/NgayQua*SoNgay/J148,IF(J100&gt;0,1,0)))</f>
        <v/>
      </c>
      <c r="K196">
        <f>IF($B$11="",0,IF(K148&gt;0,K100/NgayQua*SoNgay/K148,IF(K100&gt;0,1,0)))</f>
        <v/>
      </c>
      <c r="L196">
        <f>IF($B$12="",0,IF(L148&gt;0,L100/NgayQua*SoNgay/L148,IF(L100&gt;0,1,0)))</f>
        <v/>
      </c>
      <c r="M196">
        <f>IF($B$13="",0,IF(M148&gt;0,M100/NgayQua*SoNgay/M148,IF(M100&gt;0,1,0)))</f>
        <v/>
      </c>
      <c r="N196">
        <f>IF($B$14="",0,IF(N148&gt;0,N100/NgayQua*SoNgay/N148,IF(N100&gt;0,1,0)))</f>
        <v/>
      </c>
      <c r="O196">
        <f>IF($B$15="",0,IF(O148&gt;0,O100/NgayQua*SoNgay/O148,IF(O100&gt;0,1,0)))</f>
        <v/>
      </c>
      <c r="P196">
        <f>IF($B$16="",0,IF(P148&gt;0,P100/NgayQua*SoNgay/P148,IF(P100&gt;0,1,0)))</f>
        <v/>
      </c>
      <c r="Q196">
        <f>IF($B$17="",0,IF(Q148&gt;0,Q100/NgayQua*SoNgay/Q148,IF(Q100&gt;0,1,0)))</f>
        <v/>
      </c>
      <c r="R196">
        <f>IF($B$18="",0,IF(R148&gt;0,R100/NgayQua*SoNgay/R148,IF(R100&gt;0,1,0)))</f>
        <v/>
      </c>
      <c r="S196">
        <f>IF($B$19="",0,IF(S148&gt;0,S100/NgayQua*SoNgay/S148,IF(S100&gt;0,1,0)))</f>
        <v/>
      </c>
      <c r="T196">
        <f>IF($B$20="",0,IF(T148&gt;0,T100/NgayQua*SoNgay/T148,IF(T100&gt;0,1,0)))</f>
        <v/>
      </c>
      <c r="U196">
        <f>IF($B$21="",0,IF(U148&gt;0,U100/NgayQua*SoNgay/U148,IF(U100&gt;0,1,0)))</f>
        <v/>
      </c>
      <c r="V196">
        <f>IF($B$22="",0,IF(V148&gt;0,V100/NgayQua*SoNgay/V148,IF(V100&gt;0,1,0)))</f>
        <v/>
      </c>
    </row>
    <row r="197">
      <c r="A197" t="n">
        <v>16</v>
      </c>
      <c r="B197">
        <f>B54</f>
        <v/>
      </c>
      <c r="C197">
        <f>IF($B$3="",0,IF(C149&gt;0,C101/NgayQua*SoNgay/C149,IF(C101&gt;0,1,0)))</f>
        <v/>
      </c>
      <c r="D197">
        <f>IF($B$4="",0,IF(D149&gt;0,D101/NgayQua*SoNgay/D149,IF(D101&gt;0,1,0)))</f>
        <v/>
      </c>
      <c r="E197">
        <f>IF($B$5="",0,IF(E149&gt;0,E101/NgayQua*SoNgay/E149,IF(E101&gt;0,1,0)))</f>
        <v/>
      </c>
      <c r="F197">
        <f>IF($B$6="",0,IF(F149&gt;0,F101/NgayQua*SoNgay/F149,IF(F101&gt;0,1,0)))</f>
        <v/>
      </c>
      <c r="G197">
        <f>IF($B$7="",0,IF(G149&gt;0,G101/NgayQua*SoNgay/G149,IF(G101&gt;0,1,0)))</f>
        <v/>
      </c>
      <c r="H197">
        <f>IF($B$8="",0,IF(H149&gt;0,H101/NgayQua*SoNgay/H149,IF(H101&gt;0,1,0)))</f>
        <v/>
      </c>
      <c r="I197">
        <f>IF($B$9="",0,IF(I149&gt;0,I101/NgayQua*SoNgay/I149,IF(I101&gt;0,1,0)))</f>
        <v/>
      </c>
      <c r="J197">
        <f>IF($B$10="",0,IF(J149&gt;0,J101/NgayQua*SoNgay/J149,IF(J101&gt;0,1,0)))</f>
        <v/>
      </c>
      <c r="K197">
        <f>IF($B$11="",0,IF(K149&gt;0,K101/NgayQua*SoNgay/K149,IF(K101&gt;0,1,0)))</f>
        <v/>
      </c>
      <c r="L197">
        <f>IF($B$12="",0,IF(L149&gt;0,L101/NgayQua*SoNgay/L149,IF(L101&gt;0,1,0)))</f>
        <v/>
      </c>
      <c r="M197">
        <f>IF($B$13="",0,IF(M149&gt;0,M101/NgayQua*SoNgay/M149,IF(M101&gt;0,1,0)))</f>
        <v/>
      </c>
      <c r="N197">
        <f>IF($B$14="",0,IF(N149&gt;0,N101/NgayQua*SoNgay/N149,IF(N101&gt;0,1,0)))</f>
        <v/>
      </c>
      <c r="O197">
        <f>IF($B$15="",0,IF(O149&gt;0,O101/NgayQua*SoNgay/O149,IF(O101&gt;0,1,0)))</f>
        <v/>
      </c>
      <c r="P197">
        <f>IF($B$16="",0,IF(P149&gt;0,P101/NgayQua*SoNgay/P149,IF(P101&gt;0,1,0)))</f>
        <v/>
      </c>
      <c r="Q197">
        <f>IF($B$17="",0,IF(Q149&gt;0,Q101/NgayQua*SoNgay/Q149,IF(Q101&gt;0,1,0)))</f>
        <v/>
      </c>
      <c r="R197">
        <f>IF($B$18="",0,IF(R149&gt;0,R101/NgayQua*SoNgay/R149,IF(R101&gt;0,1,0)))</f>
        <v/>
      </c>
      <c r="S197">
        <f>IF($B$19="",0,IF(S149&gt;0,S101/NgayQua*SoNgay/S149,IF(S101&gt;0,1,0)))</f>
        <v/>
      </c>
      <c r="T197">
        <f>IF($B$20="",0,IF(T149&gt;0,T101/NgayQua*SoNgay/T149,IF(T101&gt;0,1,0)))</f>
        <v/>
      </c>
      <c r="U197">
        <f>IF($B$21="",0,IF(U149&gt;0,U101/NgayQua*SoNgay/U149,IF(U101&gt;0,1,0)))</f>
        <v/>
      </c>
      <c r="V197">
        <f>IF($B$22="",0,IF(V149&gt;0,V101/NgayQua*SoNgay/V149,IF(V101&gt;0,1,0)))</f>
        <v/>
      </c>
    </row>
    <row r="198">
      <c r="A198" t="n">
        <v>17</v>
      </c>
      <c r="B198">
        <f>B55</f>
        <v/>
      </c>
      <c r="C198">
        <f>IF($B$3="",0,IF(C150&gt;0,C102/NgayQua*SoNgay/C150,IF(C102&gt;0,1,0)))</f>
        <v/>
      </c>
      <c r="D198">
        <f>IF($B$4="",0,IF(D150&gt;0,D102/NgayQua*SoNgay/D150,IF(D102&gt;0,1,0)))</f>
        <v/>
      </c>
      <c r="E198">
        <f>IF($B$5="",0,IF(E150&gt;0,E102/NgayQua*SoNgay/E150,IF(E102&gt;0,1,0)))</f>
        <v/>
      </c>
      <c r="F198">
        <f>IF($B$6="",0,IF(F150&gt;0,F102/NgayQua*SoNgay/F150,IF(F102&gt;0,1,0)))</f>
        <v/>
      </c>
      <c r="G198">
        <f>IF($B$7="",0,IF(G150&gt;0,G102/NgayQua*SoNgay/G150,IF(G102&gt;0,1,0)))</f>
        <v/>
      </c>
      <c r="H198">
        <f>IF($B$8="",0,IF(H150&gt;0,H102/NgayQua*SoNgay/H150,IF(H102&gt;0,1,0)))</f>
        <v/>
      </c>
      <c r="I198">
        <f>IF($B$9="",0,IF(I150&gt;0,I102/NgayQua*SoNgay/I150,IF(I102&gt;0,1,0)))</f>
        <v/>
      </c>
      <c r="J198">
        <f>IF($B$10="",0,IF(J150&gt;0,J102/NgayQua*SoNgay/J150,IF(J102&gt;0,1,0)))</f>
        <v/>
      </c>
      <c r="K198">
        <f>IF($B$11="",0,IF(K150&gt;0,K102/NgayQua*SoNgay/K150,IF(K102&gt;0,1,0)))</f>
        <v/>
      </c>
      <c r="L198">
        <f>IF($B$12="",0,IF(L150&gt;0,L102/NgayQua*SoNgay/L150,IF(L102&gt;0,1,0)))</f>
        <v/>
      </c>
      <c r="M198">
        <f>IF($B$13="",0,IF(M150&gt;0,M102/NgayQua*SoNgay/M150,IF(M102&gt;0,1,0)))</f>
        <v/>
      </c>
      <c r="N198">
        <f>IF($B$14="",0,IF(N150&gt;0,N102/NgayQua*SoNgay/N150,IF(N102&gt;0,1,0)))</f>
        <v/>
      </c>
      <c r="O198">
        <f>IF($B$15="",0,IF(O150&gt;0,O102/NgayQua*SoNgay/O150,IF(O102&gt;0,1,0)))</f>
        <v/>
      </c>
      <c r="P198">
        <f>IF($B$16="",0,IF(P150&gt;0,P102/NgayQua*SoNgay/P150,IF(P102&gt;0,1,0)))</f>
        <v/>
      </c>
      <c r="Q198">
        <f>IF($B$17="",0,IF(Q150&gt;0,Q102/NgayQua*SoNgay/Q150,IF(Q102&gt;0,1,0)))</f>
        <v/>
      </c>
      <c r="R198">
        <f>IF($B$18="",0,IF(R150&gt;0,R102/NgayQua*SoNgay/R150,IF(R102&gt;0,1,0)))</f>
        <v/>
      </c>
      <c r="S198">
        <f>IF($B$19="",0,IF(S150&gt;0,S102/NgayQua*SoNgay/S150,IF(S102&gt;0,1,0)))</f>
        <v/>
      </c>
      <c r="T198">
        <f>IF($B$20="",0,IF(T150&gt;0,T102/NgayQua*SoNgay/T150,IF(T102&gt;0,1,0)))</f>
        <v/>
      </c>
      <c r="U198">
        <f>IF($B$21="",0,IF(U150&gt;0,U102/NgayQua*SoNgay/U150,IF(U102&gt;0,1,0)))</f>
        <v/>
      </c>
      <c r="V198">
        <f>IF($B$22="",0,IF(V150&gt;0,V102/NgayQua*SoNgay/V150,IF(V102&gt;0,1,0)))</f>
        <v/>
      </c>
    </row>
    <row r="199">
      <c r="A199" t="n">
        <v>18</v>
      </c>
      <c r="B199">
        <f>B56</f>
        <v/>
      </c>
      <c r="C199">
        <f>IF($B$3="",0,IF(C151&gt;0,C103/NgayQua*SoNgay/C151,IF(C103&gt;0,1,0)))</f>
        <v/>
      </c>
      <c r="D199">
        <f>IF($B$4="",0,IF(D151&gt;0,D103/NgayQua*SoNgay/D151,IF(D103&gt;0,1,0)))</f>
        <v/>
      </c>
      <c r="E199">
        <f>IF($B$5="",0,IF(E151&gt;0,E103/NgayQua*SoNgay/E151,IF(E103&gt;0,1,0)))</f>
        <v/>
      </c>
      <c r="F199">
        <f>IF($B$6="",0,IF(F151&gt;0,F103/NgayQua*SoNgay/F151,IF(F103&gt;0,1,0)))</f>
        <v/>
      </c>
      <c r="G199">
        <f>IF($B$7="",0,IF(G151&gt;0,G103/NgayQua*SoNgay/G151,IF(G103&gt;0,1,0)))</f>
        <v/>
      </c>
      <c r="H199">
        <f>IF($B$8="",0,IF(H151&gt;0,H103/NgayQua*SoNgay/H151,IF(H103&gt;0,1,0)))</f>
        <v/>
      </c>
      <c r="I199">
        <f>IF($B$9="",0,IF(I151&gt;0,I103/NgayQua*SoNgay/I151,IF(I103&gt;0,1,0)))</f>
        <v/>
      </c>
      <c r="J199">
        <f>IF($B$10="",0,IF(J151&gt;0,J103/NgayQua*SoNgay/J151,IF(J103&gt;0,1,0)))</f>
        <v/>
      </c>
      <c r="K199">
        <f>IF($B$11="",0,IF(K151&gt;0,K103/NgayQua*SoNgay/K151,IF(K103&gt;0,1,0)))</f>
        <v/>
      </c>
      <c r="L199">
        <f>IF($B$12="",0,IF(L151&gt;0,L103/NgayQua*SoNgay/L151,IF(L103&gt;0,1,0)))</f>
        <v/>
      </c>
      <c r="M199">
        <f>IF($B$13="",0,IF(M151&gt;0,M103/NgayQua*SoNgay/M151,IF(M103&gt;0,1,0)))</f>
        <v/>
      </c>
      <c r="N199">
        <f>IF($B$14="",0,IF(N151&gt;0,N103/NgayQua*SoNgay/N151,IF(N103&gt;0,1,0)))</f>
        <v/>
      </c>
      <c r="O199">
        <f>IF($B$15="",0,IF(O151&gt;0,O103/NgayQua*SoNgay/O151,IF(O103&gt;0,1,0)))</f>
        <v/>
      </c>
      <c r="P199">
        <f>IF($B$16="",0,IF(P151&gt;0,P103/NgayQua*SoNgay/P151,IF(P103&gt;0,1,0)))</f>
        <v/>
      </c>
      <c r="Q199">
        <f>IF($B$17="",0,IF(Q151&gt;0,Q103/NgayQua*SoNgay/Q151,IF(Q103&gt;0,1,0)))</f>
        <v/>
      </c>
      <c r="R199">
        <f>IF($B$18="",0,IF(R151&gt;0,R103/NgayQua*SoNgay/R151,IF(R103&gt;0,1,0)))</f>
        <v/>
      </c>
      <c r="S199">
        <f>IF($B$19="",0,IF(S151&gt;0,S103/NgayQua*SoNgay/S151,IF(S103&gt;0,1,0)))</f>
        <v/>
      </c>
      <c r="T199">
        <f>IF($B$20="",0,IF(T151&gt;0,T103/NgayQua*SoNgay/T151,IF(T103&gt;0,1,0)))</f>
        <v/>
      </c>
      <c r="U199">
        <f>IF($B$21="",0,IF(U151&gt;0,U103/NgayQua*SoNgay/U151,IF(U103&gt;0,1,0)))</f>
        <v/>
      </c>
      <c r="V199">
        <f>IF($B$22="",0,IF(V151&gt;0,V103/NgayQua*SoNgay/V151,IF(V103&gt;0,1,0)))</f>
        <v/>
      </c>
    </row>
    <row r="200">
      <c r="A200" t="n">
        <v>19</v>
      </c>
      <c r="B200">
        <f>B57</f>
        <v/>
      </c>
      <c r="C200">
        <f>IF($B$3="",0,IF(C152&gt;0,C104/NgayQua*SoNgay/C152,IF(C104&gt;0,1,0)))</f>
        <v/>
      </c>
      <c r="D200">
        <f>IF($B$4="",0,IF(D152&gt;0,D104/NgayQua*SoNgay/D152,IF(D104&gt;0,1,0)))</f>
        <v/>
      </c>
      <c r="E200">
        <f>IF($B$5="",0,IF(E152&gt;0,E104/NgayQua*SoNgay/E152,IF(E104&gt;0,1,0)))</f>
        <v/>
      </c>
      <c r="F200">
        <f>IF($B$6="",0,IF(F152&gt;0,F104/NgayQua*SoNgay/F152,IF(F104&gt;0,1,0)))</f>
        <v/>
      </c>
      <c r="G200">
        <f>IF($B$7="",0,IF(G152&gt;0,G104/NgayQua*SoNgay/G152,IF(G104&gt;0,1,0)))</f>
        <v/>
      </c>
      <c r="H200">
        <f>IF($B$8="",0,IF(H152&gt;0,H104/NgayQua*SoNgay/H152,IF(H104&gt;0,1,0)))</f>
        <v/>
      </c>
      <c r="I200">
        <f>IF($B$9="",0,IF(I152&gt;0,I104/NgayQua*SoNgay/I152,IF(I104&gt;0,1,0)))</f>
        <v/>
      </c>
      <c r="J200">
        <f>IF($B$10="",0,IF(J152&gt;0,J104/NgayQua*SoNgay/J152,IF(J104&gt;0,1,0)))</f>
        <v/>
      </c>
      <c r="K200">
        <f>IF($B$11="",0,IF(K152&gt;0,K104/NgayQua*SoNgay/K152,IF(K104&gt;0,1,0)))</f>
        <v/>
      </c>
      <c r="L200">
        <f>IF($B$12="",0,IF(L152&gt;0,L104/NgayQua*SoNgay/L152,IF(L104&gt;0,1,0)))</f>
        <v/>
      </c>
      <c r="M200">
        <f>IF($B$13="",0,IF(M152&gt;0,M104/NgayQua*SoNgay/M152,IF(M104&gt;0,1,0)))</f>
        <v/>
      </c>
      <c r="N200">
        <f>IF($B$14="",0,IF(N152&gt;0,N104/NgayQua*SoNgay/N152,IF(N104&gt;0,1,0)))</f>
        <v/>
      </c>
      <c r="O200">
        <f>IF($B$15="",0,IF(O152&gt;0,O104/NgayQua*SoNgay/O152,IF(O104&gt;0,1,0)))</f>
        <v/>
      </c>
      <c r="P200">
        <f>IF($B$16="",0,IF(P152&gt;0,P104/NgayQua*SoNgay/P152,IF(P104&gt;0,1,0)))</f>
        <v/>
      </c>
      <c r="Q200">
        <f>IF($B$17="",0,IF(Q152&gt;0,Q104/NgayQua*SoNgay/Q152,IF(Q104&gt;0,1,0)))</f>
        <v/>
      </c>
      <c r="R200">
        <f>IF($B$18="",0,IF(R152&gt;0,R104/NgayQua*SoNgay/R152,IF(R104&gt;0,1,0)))</f>
        <v/>
      </c>
      <c r="S200">
        <f>IF($B$19="",0,IF(S152&gt;0,S104/NgayQua*SoNgay/S152,IF(S104&gt;0,1,0)))</f>
        <v/>
      </c>
      <c r="T200">
        <f>IF($B$20="",0,IF(T152&gt;0,T104/NgayQua*SoNgay/T152,IF(T104&gt;0,1,0)))</f>
        <v/>
      </c>
      <c r="U200">
        <f>IF($B$21="",0,IF(U152&gt;0,U104/NgayQua*SoNgay/U152,IF(U104&gt;0,1,0)))</f>
        <v/>
      </c>
      <c r="V200">
        <f>IF($B$22="",0,IF(V152&gt;0,V104/NgayQua*SoNgay/V152,IF(V104&gt;0,1,0)))</f>
        <v/>
      </c>
    </row>
    <row r="201">
      <c r="A201" t="n">
        <v>20</v>
      </c>
      <c r="B201">
        <f>B58</f>
        <v/>
      </c>
      <c r="C201">
        <f>IF($B$3="",0,IF(C153&gt;0,C105/NgayQua*SoNgay/C153,IF(C105&gt;0,1,0)))</f>
        <v/>
      </c>
      <c r="D201">
        <f>IF($B$4="",0,IF(D153&gt;0,D105/NgayQua*SoNgay/D153,IF(D105&gt;0,1,0)))</f>
        <v/>
      </c>
      <c r="E201">
        <f>IF($B$5="",0,IF(E153&gt;0,E105/NgayQua*SoNgay/E153,IF(E105&gt;0,1,0)))</f>
        <v/>
      </c>
      <c r="F201">
        <f>IF($B$6="",0,IF(F153&gt;0,F105/NgayQua*SoNgay/F153,IF(F105&gt;0,1,0)))</f>
        <v/>
      </c>
      <c r="G201">
        <f>IF($B$7="",0,IF(G153&gt;0,G105/NgayQua*SoNgay/G153,IF(G105&gt;0,1,0)))</f>
        <v/>
      </c>
      <c r="H201">
        <f>IF($B$8="",0,IF(H153&gt;0,H105/NgayQua*SoNgay/H153,IF(H105&gt;0,1,0)))</f>
        <v/>
      </c>
      <c r="I201">
        <f>IF($B$9="",0,IF(I153&gt;0,I105/NgayQua*SoNgay/I153,IF(I105&gt;0,1,0)))</f>
        <v/>
      </c>
      <c r="J201">
        <f>IF($B$10="",0,IF(J153&gt;0,J105/NgayQua*SoNgay/J153,IF(J105&gt;0,1,0)))</f>
        <v/>
      </c>
      <c r="K201">
        <f>IF($B$11="",0,IF(K153&gt;0,K105/NgayQua*SoNgay/K153,IF(K105&gt;0,1,0)))</f>
        <v/>
      </c>
      <c r="L201">
        <f>IF($B$12="",0,IF(L153&gt;0,L105/NgayQua*SoNgay/L153,IF(L105&gt;0,1,0)))</f>
        <v/>
      </c>
      <c r="M201">
        <f>IF($B$13="",0,IF(M153&gt;0,M105/NgayQua*SoNgay/M153,IF(M105&gt;0,1,0)))</f>
        <v/>
      </c>
      <c r="N201">
        <f>IF($B$14="",0,IF(N153&gt;0,N105/NgayQua*SoNgay/N153,IF(N105&gt;0,1,0)))</f>
        <v/>
      </c>
      <c r="O201">
        <f>IF($B$15="",0,IF(O153&gt;0,O105/NgayQua*SoNgay/O153,IF(O105&gt;0,1,0)))</f>
        <v/>
      </c>
      <c r="P201">
        <f>IF($B$16="",0,IF(P153&gt;0,P105/NgayQua*SoNgay/P153,IF(P105&gt;0,1,0)))</f>
        <v/>
      </c>
      <c r="Q201">
        <f>IF($B$17="",0,IF(Q153&gt;0,Q105/NgayQua*SoNgay/Q153,IF(Q105&gt;0,1,0)))</f>
        <v/>
      </c>
      <c r="R201">
        <f>IF($B$18="",0,IF(R153&gt;0,R105/NgayQua*SoNgay/R153,IF(R105&gt;0,1,0)))</f>
        <v/>
      </c>
      <c r="S201">
        <f>IF($B$19="",0,IF(S153&gt;0,S105/NgayQua*SoNgay/S153,IF(S105&gt;0,1,0)))</f>
        <v/>
      </c>
      <c r="T201">
        <f>IF($B$20="",0,IF(T153&gt;0,T105/NgayQua*SoNgay/T153,IF(T105&gt;0,1,0)))</f>
        <v/>
      </c>
      <c r="U201">
        <f>IF($B$21="",0,IF(U153&gt;0,U105/NgayQua*SoNgay/U153,IF(U105&gt;0,1,0)))</f>
        <v/>
      </c>
      <c r="V201">
        <f>IF($B$22="",0,IF(V153&gt;0,V105/NgayQua*SoNgay/V153,IF(V105&gt;0,1,0)))</f>
        <v/>
      </c>
    </row>
    <row r="202">
      <c r="A202" t="n">
        <v>21</v>
      </c>
      <c r="B202">
        <f>B59</f>
        <v/>
      </c>
      <c r="C202">
        <f>IF($B$3="",0,IF(C154&gt;0,C106/NgayQua*SoNgay/C154,IF(C106&gt;0,1,0)))</f>
        <v/>
      </c>
      <c r="D202">
        <f>IF($B$4="",0,IF(D154&gt;0,D106/NgayQua*SoNgay/D154,IF(D106&gt;0,1,0)))</f>
        <v/>
      </c>
      <c r="E202">
        <f>IF($B$5="",0,IF(E154&gt;0,E106/NgayQua*SoNgay/E154,IF(E106&gt;0,1,0)))</f>
        <v/>
      </c>
      <c r="F202">
        <f>IF($B$6="",0,IF(F154&gt;0,F106/NgayQua*SoNgay/F154,IF(F106&gt;0,1,0)))</f>
        <v/>
      </c>
      <c r="G202">
        <f>IF($B$7="",0,IF(G154&gt;0,G106/NgayQua*SoNgay/G154,IF(G106&gt;0,1,0)))</f>
        <v/>
      </c>
      <c r="H202">
        <f>IF($B$8="",0,IF(H154&gt;0,H106/NgayQua*SoNgay/H154,IF(H106&gt;0,1,0)))</f>
        <v/>
      </c>
      <c r="I202">
        <f>IF($B$9="",0,IF(I154&gt;0,I106/NgayQua*SoNgay/I154,IF(I106&gt;0,1,0)))</f>
        <v/>
      </c>
      <c r="J202">
        <f>IF($B$10="",0,IF(J154&gt;0,J106/NgayQua*SoNgay/J154,IF(J106&gt;0,1,0)))</f>
        <v/>
      </c>
      <c r="K202">
        <f>IF($B$11="",0,IF(K154&gt;0,K106/NgayQua*SoNgay/K154,IF(K106&gt;0,1,0)))</f>
        <v/>
      </c>
      <c r="L202">
        <f>IF($B$12="",0,IF(L154&gt;0,L106/NgayQua*SoNgay/L154,IF(L106&gt;0,1,0)))</f>
        <v/>
      </c>
      <c r="M202">
        <f>IF($B$13="",0,IF(M154&gt;0,M106/NgayQua*SoNgay/M154,IF(M106&gt;0,1,0)))</f>
        <v/>
      </c>
      <c r="N202">
        <f>IF($B$14="",0,IF(N154&gt;0,N106/NgayQua*SoNgay/N154,IF(N106&gt;0,1,0)))</f>
        <v/>
      </c>
      <c r="O202">
        <f>IF($B$15="",0,IF(O154&gt;0,O106/NgayQua*SoNgay/O154,IF(O106&gt;0,1,0)))</f>
        <v/>
      </c>
      <c r="P202">
        <f>IF($B$16="",0,IF(P154&gt;0,P106/NgayQua*SoNgay/P154,IF(P106&gt;0,1,0)))</f>
        <v/>
      </c>
      <c r="Q202">
        <f>IF($B$17="",0,IF(Q154&gt;0,Q106/NgayQua*SoNgay/Q154,IF(Q106&gt;0,1,0)))</f>
        <v/>
      </c>
      <c r="R202">
        <f>IF($B$18="",0,IF(R154&gt;0,R106/NgayQua*SoNgay/R154,IF(R106&gt;0,1,0)))</f>
        <v/>
      </c>
      <c r="S202">
        <f>IF($B$19="",0,IF(S154&gt;0,S106/NgayQua*SoNgay/S154,IF(S106&gt;0,1,0)))</f>
        <v/>
      </c>
      <c r="T202">
        <f>IF($B$20="",0,IF(T154&gt;0,T106/NgayQua*SoNgay/T154,IF(T106&gt;0,1,0)))</f>
        <v/>
      </c>
      <c r="U202">
        <f>IF($B$21="",0,IF(U154&gt;0,U106/NgayQua*SoNgay/U154,IF(U106&gt;0,1,0)))</f>
        <v/>
      </c>
      <c r="V202">
        <f>IF($B$22="",0,IF(V154&gt;0,V106/NgayQua*SoNgay/V154,IF(V106&gt;0,1,0)))</f>
        <v/>
      </c>
    </row>
    <row r="203">
      <c r="A203" t="n">
        <v>22</v>
      </c>
      <c r="B203">
        <f>B60</f>
        <v/>
      </c>
      <c r="C203">
        <f>IF($B$3="",0,IF(C155&gt;0,C107/NgayQua*SoNgay/C155,IF(C107&gt;0,1,0)))</f>
        <v/>
      </c>
      <c r="D203">
        <f>IF($B$4="",0,IF(D155&gt;0,D107/NgayQua*SoNgay/D155,IF(D107&gt;0,1,0)))</f>
        <v/>
      </c>
      <c r="E203">
        <f>IF($B$5="",0,IF(E155&gt;0,E107/NgayQua*SoNgay/E155,IF(E107&gt;0,1,0)))</f>
        <v/>
      </c>
      <c r="F203">
        <f>IF($B$6="",0,IF(F155&gt;0,F107/NgayQua*SoNgay/F155,IF(F107&gt;0,1,0)))</f>
        <v/>
      </c>
      <c r="G203">
        <f>IF($B$7="",0,IF(G155&gt;0,G107/NgayQua*SoNgay/G155,IF(G107&gt;0,1,0)))</f>
        <v/>
      </c>
      <c r="H203">
        <f>IF($B$8="",0,IF(H155&gt;0,H107/NgayQua*SoNgay/H155,IF(H107&gt;0,1,0)))</f>
        <v/>
      </c>
      <c r="I203">
        <f>IF($B$9="",0,IF(I155&gt;0,I107/NgayQua*SoNgay/I155,IF(I107&gt;0,1,0)))</f>
        <v/>
      </c>
      <c r="J203">
        <f>IF($B$10="",0,IF(J155&gt;0,J107/NgayQua*SoNgay/J155,IF(J107&gt;0,1,0)))</f>
        <v/>
      </c>
      <c r="K203">
        <f>IF($B$11="",0,IF(K155&gt;0,K107/NgayQua*SoNgay/K155,IF(K107&gt;0,1,0)))</f>
        <v/>
      </c>
      <c r="L203">
        <f>IF($B$12="",0,IF(L155&gt;0,L107/NgayQua*SoNgay/L155,IF(L107&gt;0,1,0)))</f>
        <v/>
      </c>
      <c r="M203">
        <f>IF($B$13="",0,IF(M155&gt;0,M107/NgayQua*SoNgay/M155,IF(M107&gt;0,1,0)))</f>
        <v/>
      </c>
      <c r="N203">
        <f>IF($B$14="",0,IF(N155&gt;0,N107/NgayQua*SoNgay/N155,IF(N107&gt;0,1,0)))</f>
        <v/>
      </c>
      <c r="O203">
        <f>IF($B$15="",0,IF(O155&gt;0,O107/NgayQua*SoNgay/O155,IF(O107&gt;0,1,0)))</f>
        <v/>
      </c>
      <c r="P203">
        <f>IF($B$16="",0,IF(P155&gt;0,P107/NgayQua*SoNgay/P155,IF(P107&gt;0,1,0)))</f>
        <v/>
      </c>
      <c r="Q203">
        <f>IF($B$17="",0,IF(Q155&gt;0,Q107/NgayQua*SoNgay/Q155,IF(Q107&gt;0,1,0)))</f>
        <v/>
      </c>
      <c r="R203">
        <f>IF($B$18="",0,IF(R155&gt;0,R107/NgayQua*SoNgay/R155,IF(R107&gt;0,1,0)))</f>
        <v/>
      </c>
      <c r="S203">
        <f>IF($B$19="",0,IF(S155&gt;0,S107/NgayQua*SoNgay/S155,IF(S107&gt;0,1,0)))</f>
        <v/>
      </c>
      <c r="T203">
        <f>IF($B$20="",0,IF(T155&gt;0,T107/NgayQua*SoNgay/T155,IF(T107&gt;0,1,0)))</f>
        <v/>
      </c>
      <c r="U203">
        <f>IF($B$21="",0,IF(U155&gt;0,U107/NgayQua*SoNgay/U155,IF(U107&gt;0,1,0)))</f>
        <v/>
      </c>
      <c r="V203">
        <f>IF($B$22="",0,IF(V155&gt;0,V107/NgayQua*SoNgay/V155,IF(V107&gt;0,1,0)))</f>
        <v/>
      </c>
    </row>
    <row r="204">
      <c r="A204" t="n">
        <v>23</v>
      </c>
      <c r="B204">
        <f>B61</f>
        <v/>
      </c>
      <c r="C204">
        <f>IF($B$3="",0,IF(C156&gt;0,C108/NgayQua*SoNgay/C156,IF(C108&gt;0,1,0)))</f>
        <v/>
      </c>
      <c r="D204">
        <f>IF($B$4="",0,IF(D156&gt;0,D108/NgayQua*SoNgay/D156,IF(D108&gt;0,1,0)))</f>
        <v/>
      </c>
      <c r="E204">
        <f>IF($B$5="",0,IF(E156&gt;0,E108/NgayQua*SoNgay/E156,IF(E108&gt;0,1,0)))</f>
        <v/>
      </c>
      <c r="F204">
        <f>IF($B$6="",0,IF(F156&gt;0,F108/NgayQua*SoNgay/F156,IF(F108&gt;0,1,0)))</f>
        <v/>
      </c>
      <c r="G204">
        <f>IF($B$7="",0,IF(G156&gt;0,G108/NgayQua*SoNgay/G156,IF(G108&gt;0,1,0)))</f>
        <v/>
      </c>
      <c r="H204">
        <f>IF($B$8="",0,IF(H156&gt;0,H108/NgayQua*SoNgay/H156,IF(H108&gt;0,1,0)))</f>
        <v/>
      </c>
      <c r="I204">
        <f>IF($B$9="",0,IF(I156&gt;0,I108/NgayQua*SoNgay/I156,IF(I108&gt;0,1,0)))</f>
        <v/>
      </c>
      <c r="J204">
        <f>IF($B$10="",0,IF(J156&gt;0,J108/NgayQua*SoNgay/J156,IF(J108&gt;0,1,0)))</f>
        <v/>
      </c>
      <c r="K204">
        <f>IF($B$11="",0,IF(K156&gt;0,K108/NgayQua*SoNgay/K156,IF(K108&gt;0,1,0)))</f>
        <v/>
      </c>
      <c r="L204">
        <f>IF($B$12="",0,IF(L156&gt;0,L108/NgayQua*SoNgay/L156,IF(L108&gt;0,1,0)))</f>
        <v/>
      </c>
      <c r="M204">
        <f>IF($B$13="",0,IF(M156&gt;0,M108/NgayQua*SoNgay/M156,IF(M108&gt;0,1,0)))</f>
        <v/>
      </c>
      <c r="N204">
        <f>IF($B$14="",0,IF(N156&gt;0,N108/NgayQua*SoNgay/N156,IF(N108&gt;0,1,0)))</f>
        <v/>
      </c>
      <c r="O204">
        <f>IF($B$15="",0,IF(O156&gt;0,O108/NgayQua*SoNgay/O156,IF(O108&gt;0,1,0)))</f>
        <v/>
      </c>
      <c r="P204">
        <f>IF($B$16="",0,IF(P156&gt;0,P108/NgayQua*SoNgay/P156,IF(P108&gt;0,1,0)))</f>
        <v/>
      </c>
      <c r="Q204">
        <f>IF($B$17="",0,IF(Q156&gt;0,Q108/NgayQua*SoNgay/Q156,IF(Q108&gt;0,1,0)))</f>
        <v/>
      </c>
      <c r="R204">
        <f>IF($B$18="",0,IF(R156&gt;0,R108/NgayQua*SoNgay/R156,IF(R108&gt;0,1,0)))</f>
        <v/>
      </c>
      <c r="S204">
        <f>IF($B$19="",0,IF(S156&gt;0,S108/NgayQua*SoNgay/S156,IF(S108&gt;0,1,0)))</f>
        <v/>
      </c>
      <c r="T204">
        <f>IF($B$20="",0,IF(T156&gt;0,T108/NgayQua*SoNgay/T156,IF(T108&gt;0,1,0)))</f>
        <v/>
      </c>
      <c r="U204">
        <f>IF($B$21="",0,IF(U156&gt;0,U108/NgayQua*SoNgay/U156,IF(U108&gt;0,1,0)))</f>
        <v/>
      </c>
      <c r="V204">
        <f>IF($B$22="",0,IF(V156&gt;0,V108/NgayQua*SoNgay/V156,IF(V108&gt;0,1,0)))</f>
        <v/>
      </c>
    </row>
    <row r="205">
      <c r="A205" t="n">
        <v>24</v>
      </c>
      <c r="B205">
        <f>B62</f>
        <v/>
      </c>
      <c r="C205">
        <f>IF($B$3="",0,IF(C157&gt;0,C109/NgayQua*SoNgay/C157,IF(C109&gt;0,1,0)))</f>
        <v/>
      </c>
      <c r="D205">
        <f>IF($B$4="",0,IF(D157&gt;0,D109/NgayQua*SoNgay/D157,IF(D109&gt;0,1,0)))</f>
        <v/>
      </c>
      <c r="E205">
        <f>IF($B$5="",0,IF(E157&gt;0,E109/NgayQua*SoNgay/E157,IF(E109&gt;0,1,0)))</f>
        <v/>
      </c>
      <c r="F205">
        <f>IF($B$6="",0,IF(F157&gt;0,F109/NgayQua*SoNgay/F157,IF(F109&gt;0,1,0)))</f>
        <v/>
      </c>
      <c r="G205">
        <f>IF($B$7="",0,IF(G157&gt;0,G109/NgayQua*SoNgay/G157,IF(G109&gt;0,1,0)))</f>
        <v/>
      </c>
      <c r="H205">
        <f>IF($B$8="",0,IF(H157&gt;0,H109/NgayQua*SoNgay/H157,IF(H109&gt;0,1,0)))</f>
        <v/>
      </c>
      <c r="I205">
        <f>IF($B$9="",0,IF(I157&gt;0,I109/NgayQua*SoNgay/I157,IF(I109&gt;0,1,0)))</f>
        <v/>
      </c>
      <c r="J205">
        <f>IF($B$10="",0,IF(J157&gt;0,J109/NgayQua*SoNgay/J157,IF(J109&gt;0,1,0)))</f>
        <v/>
      </c>
      <c r="K205">
        <f>IF($B$11="",0,IF(K157&gt;0,K109/NgayQua*SoNgay/K157,IF(K109&gt;0,1,0)))</f>
        <v/>
      </c>
      <c r="L205">
        <f>IF($B$12="",0,IF(L157&gt;0,L109/NgayQua*SoNgay/L157,IF(L109&gt;0,1,0)))</f>
        <v/>
      </c>
      <c r="M205">
        <f>IF($B$13="",0,IF(M157&gt;0,M109/NgayQua*SoNgay/M157,IF(M109&gt;0,1,0)))</f>
        <v/>
      </c>
      <c r="N205">
        <f>IF($B$14="",0,IF(N157&gt;0,N109/NgayQua*SoNgay/N157,IF(N109&gt;0,1,0)))</f>
        <v/>
      </c>
      <c r="O205">
        <f>IF($B$15="",0,IF(O157&gt;0,O109/NgayQua*SoNgay/O157,IF(O109&gt;0,1,0)))</f>
        <v/>
      </c>
      <c r="P205">
        <f>IF($B$16="",0,IF(P157&gt;0,P109/NgayQua*SoNgay/P157,IF(P109&gt;0,1,0)))</f>
        <v/>
      </c>
      <c r="Q205">
        <f>IF($B$17="",0,IF(Q157&gt;0,Q109/NgayQua*SoNgay/Q157,IF(Q109&gt;0,1,0)))</f>
        <v/>
      </c>
      <c r="R205">
        <f>IF($B$18="",0,IF(R157&gt;0,R109/NgayQua*SoNgay/R157,IF(R109&gt;0,1,0)))</f>
        <v/>
      </c>
      <c r="S205">
        <f>IF($B$19="",0,IF(S157&gt;0,S109/NgayQua*SoNgay/S157,IF(S109&gt;0,1,0)))</f>
        <v/>
      </c>
      <c r="T205">
        <f>IF($B$20="",0,IF(T157&gt;0,T109/NgayQua*SoNgay/T157,IF(T109&gt;0,1,0)))</f>
        <v/>
      </c>
      <c r="U205">
        <f>IF($B$21="",0,IF(U157&gt;0,U109/NgayQua*SoNgay/U157,IF(U109&gt;0,1,0)))</f>
        <v/>
      </c>
      <c r="V205">
        <f>IF($B$22="",0,IF(V157&gt;0,V109/NgayQua*SoNgay/V157,IF(V109&gt;0,1,0)))</f>
        <v/>
      </c>
    </row>
    <row r="206">
      <c r="A206" t="n">
        <v>25</v>
      </c>
      <c r="B206">
        <f>B63</f>
        <v/>
      </c>
      <c r="C206">
        <f>IF($B$3="",0,IF(C158&gt;0,C110/NgayQua*SoNgay/C158,IF(C110&gt;0,1,0)))</f>
        <v/>
      </c>
      <c r="D206">
        <f>IF($B$4="",0,IF(D158&gt;0,D110/NgayQua*SoNgay/D158,IF(D110&gt;0,1,0)))</f>
        <v/>
      </c>
      <c r="E206">
        <f>IF($B$5="",0,IF(E158&gt;0,E110/NgayQua*SoNgay/E158,IF(E110&gt;0,1,0)))</f>
        <v/>
      </c>
      <c r="F206">
        <f>IF($B$6="",0,IF(F158&gt;0,F110/NgayQua*SoNgay/F158,IF(F110&gt;0,1,0)))</f>
        <v/>
      </c>
      <c r="G206">
        <f>IF($B$7="",0,IF(G158&gt;0,G110/NgayQua*SoNgay/G158,IF(G110&gt;0,1,0)))</f>
        <v/>
      </c>
      <c r="H206">
        <f>IF($B$8="",0,IF(H158&gt;0,H110/NgayQua*SoNgay/H158,IF(H110&gt;0,1,0)))</f>
        <v/>
      </c>
      <c r="I206">
        <f>IF($B$9="",0,IF(I158&gt;0,I110/NgayQua*SoNgay/I158,IF(I110&gt;0,1,0)))</f>
        <v/>
      </c>
      <c r="J206">
        <f>IF($B$10="",0,IF(J158&gt;0,J110/NgayQua*SoNgay/J158,IF(J110&gt;0,1,0)))</f>
        <v/>
      </c>
      <c r="K206">
        <f>IF($B$11="",0,IF(K158&gt;0,K110/NgayQua*SoNgay/K158,IF(K110&gt;0,1,0)))</f>
        <v/>
      </c>
      <c r="L206">
        <f>IF($B$12="",0,IF(L158&gt;0,L110/NgayQua*SoNgay/L158,IF(L110&gt;0,1,0)))</f>
        <v/>
      </c>
      <c r="M206">
        <f>IF($B$13="",0,IF(M158&gt;0,M110/NgayQua*SoNgay/M158,IF(M110&gt;0,1,0)))</f>
        <v/>
      </c>
      <c r="N206">
        <f>IF($B$14="",0,IF(N158&gt;0,N110/NgayQua*SoNgay/N158,IF(N110&gt;0,1,0)))</f>
        <v/>
      </c>
      <c r="O206">
        <f>IF($B$15="",0,IF(O158&gt;0,O110/NgayQua*SoNgay/O158,IF(O110&gt;0,1,0)))</f>
        <v/>
      </c>
      <c r="P206">
        <f>IF($B$16="",0,IF(P158&gt;0,P110/NgayQua*SoNgay/P158,IF(P110&gt;0,1,0)))</f>
        <v/>
      </c>
      <c r="Q206">
        <f>IF($B$17="",0,IF(Q158&gt;0,Q110/NgayQua*SoNgay/Q158,IF(Q110&gt;0,1,0)))</f>
        <v/>
      </c>
      <c r="R206">
        <f>IF($B$18="",0,IF(R158&gt;0,R110/NgayQua*SoNgay/R158,IF(R110&gt;0,1,0)))</f>
        <v/>
      </c>
      <c r="S206">
        <f>IF($B$19="",0,IF(S158&gt;0,S110/NgayQua*SoNgay/S158,IF(S110&gt;0,1,0)))</f>
        <v/>
      </c>
      <c r="T206">
        <f>IF($B$20="",0,IF(T158&gt;0,T110/NgayQua*SoNgay/T158,IF(T110&gt;0,1,0)))</f>
        <v/>
      </c>
      <c r="U206">
        <f>IF($B$21="",0,IF(U158&gt;0,U110/NgayQua*SoNgay/U158,IF(U110&gt;0,1,0)))</f>
        <v/>
      </c>
      <c r="V206">
        <f>IF($B$22="",0,IF(V158&gt;0,V110/NgayQua*SoNgay/V158,IF(V110&gt;0,1,0)))</f>
        <v/>
      </c>
    </row>
    <row r="207">
      <c r="A207" t="n">
        <v>26</v>
      </c>
      <c r="B207">
        <f>B64</f>
        <v/>
      </c>
      <c r="C207">
        <f>IF($B$3="",0,IF(C159&gt;0,C111/NgayQua*SoNgay/C159,IF(C111&gt;0,1,0)))</f>
        <v/>
      </c>
      <c r="D207">
        <f>IF($B$4="",0,IF(D159&gt;0,D111/NgayQua*SoNgay/D159,IF(D111&gt;0,1,0)))</f>
        <v/>
      </c>
      <c r="E207">
        <f>IF($B$5="",0,IF(E159&gt;0,E111/NgayQua*SoNgay/E159,IF(E111&gt;0,1,0)))</f>
        <v/>
      </c>
      <c r="F207">
        <f>IF($B$6="",0,IF(F159&gt;0,F111/NgayQua*SoNgay/F159,IF(F111&gt;0,1,0)))</f>
        <v/>
      </c>
      <c r="G207">
        <f>IF($B$7="",0,IF(G159&gt;0,G111/NgayQua*SoNgay/G159,IF(G111&gt;0,1,0)))</f>
        <v/>
      </c>
      <c r="H207">
        <f>IF($B$8="",0,IF(H159&gt;0,H111/NgayQua*SoNgay/H159,IF(H111&gt;0,1,0)))</f>
        <v/>
      </c>
      <c r="I207">
        <f>IF($B$9="",0,IF(I159&gt;0,I111/NgayQua*SoNgay/I159,IF(I111&gt;0,1,0)))</f>
        <v/>
      </c>
      <c r="J207">
        <f>IF($B$10="",0,IF(J159&gt;0,J111/NgayQua*SoNgay/J159,IF(J111&gt;0,1,0)))</f>
        <v/>
      </c>
      <c r="K207">
        <f>IF($B$11="",0,IF(K159&gt;0,K111/NgayQua*SoNgay/K159,IF(K111&gt;0,1,0)))</f>
        <v/>
      </c>
      <c r="L207">
        <f>IF($B$12="",0,IF(L159&gt;0,L111/NgayQua*SoNgay/L159,IF(L111&gt;0,1,0)))</f>
        <v/>
      </c>
      <c r="M207">
        <f>IF($B$13="",0,IF(M159&gt;0,M111/NgayQua*SoNgay/M159,IF(M111&gt;0,1,0)))</f>
        <v/>
      </c>
      <c r="N207">
        <f>IF($B$14="",0,IF(N159&gt;0,N111/NgayQua*SoNgay/N159,IF(N111&gt;0,1,0)))</f>
        <v/>
      </c>
      <c r="O207">
        <f>IF($B$15="",0,IF(O159&gt;0,O111/NgayQua*SoNgay/O159,IF(O111&gt;0,1,0)))</f>
        <v/>
      </c>
      <c r="P207">
        <f>IF($B$16="",0,IF(P159&gt;0,P111/NgayQua*SoNgay/P159,IF(P111&gt;0,1,0)))</f>
        <v/>
      </c>
      <c r="Q207">
        <f>IF($B$17="",0,IF(Q159&gt;0,Q111/NgayQua*SoNgay/Q159,IF(Q111&gt;0,1,0)))</f>
        <v/>
      </c>
      <c r="R207">
        <f>IF($B$18="",0,IF(R159&gt;0,R111/NgayQua*SoNgay/R159,IF(R111&gt;0,1,0)))</f>
        <v/>
      </c>
      <c r="S207">
        <f>IF($B$19="",0,IF(S159&gt;0,S111/NgayQua*SoNgay/S159,IF(S111&gt;0,1,0)))</f>
        <v/>
      </c>
      <c r="T207">
        <f>IF($B$20="",0,IF(T159&gt;0,T111/NgayQua*SoNgay/T159,IF(T111&gt;0,1,0)))</f>
        <v/>
      </c>
      <c r="U207">
        <f>IF($B$21="",0,IF(U159&gt;0,U111/NgayQua*SoNgay/U159,IF(U111&gt;0,1,0)))</f>
        <v/>
      </c>
      <c r="V207">
        <f>IF($B$22="",0,IF(V159&gt;0,V111/NgayQua*SoNgay/V159,IF(V111&gt;0,1,0)))</f>
        <v/>
      </c>
    </row>
    <row r="208">
      <c r="A208" t="n">
        <v>27</v>
      </c>
      <c r="B208">
        <f>B65</f>
        <v/>
      </c>
      <c r="C208">
        <f>IF($B$3="",0,IF(C160&gt;0,C112/NgayQua*SoNgay/C160,IF(C112&gt;0,1,0)))</f>
        <v/>
      </c>
      <c r="D208">
        <f>IF($B$4="",0,IF(D160&gt;0,D112/NgayQua*SoNgay/D160,IF(D112&gt;0,1,0)))</f>
        <v/>
      </c>
      <c r="E208">
        <f>IF($B$5="",0,IF(E160&gt;0,E112/NgayQua*SoNgay/E160,IF(E112&gt;0,1,0)))</f>
        <v/>
      </c>
      <c r="F208">
        <f>IF($B$6="",0,IF(F160&gt;0,F112/NgayQua*SoNgay/F160,IF(F112&gt;0,1,0)))</f>
        <v/>
      </c>
      <c r="G208">
        <f>IF($B$7="",0,IF(G160&gt;0,G112/NgayQua*SoNgay/G160,IF(G112&gt;0,1,0)))</f>
        <v/>
      </c>
      <c r="H208">
        <f>IF($B$8="",0,IF(H160&gt;0,H112/NgayQua*SoNgay/H160,IF(H112&gt;0,1,0)))</f>
        <v/>
      </c>
      <c r="I208">
        <f>IF($B$9="",0,IF(I160&gt;0,I112/NgayQua*SoNgay/I160,IF(I112&gt;0,1,0)))</f>
        <v/>
      </c>
      <c r="J208">
        <f>IF($B$10="",0,IF(J160&gt;0,J112/NgayQua*SoNgay/J160,IF(J112&gt;0,1,0)))</f>
        <v/>
      </c>
      <c r="K208">
        <f>IF($B$11="",0,IF(K160&gt;0,K112/NgayQua*SoNgay/K160,IF(K112&gt;0,1,0)))</f>
        <v/>
      </c>
      <c r="L208">
        <f>IF($B$12="",0,IF(L160&gt;0,L112/NgayQua*SoNgay/L160,IF(L112&gt;0,1,0)))</f>
        <v/>
      </c>
      <c r="M208">
        <f>IF($B$13="",0,IF(M160&gt;0,M112/NgayQua*SoNgay/M160,IF(M112&gt;0,1,0)))</f>
        <v/>
      </c>
      <c r="N208">
        <f>IF($B$14="",0,IF(N160&gt;0,N112/NgayQua*SoNgay/N160,IF(N112&gt;0,1,0)))</f>
        <v/>
      </c>
      <c r="O208">
        <f>IF($B$15="",0,IF(O160&gt;0,O112/NgayQua*SoNgay/O160,IF(O112&gt;0,1,0)))</f>
        <v/>
      </c>
      <c r="P208">
        <f>IF($B$16="",0,IF(P160&gt;0,P112/NgayQua*SoNgay/P160,IF(P112&gt;0,1,0)))</f>
        <v/>
      </c>
      <c r="Q208">
        <f>IF($B$17="",0,IF(Q160&gt;0,Q112/NgayQua*SoNgay/Q160,IF(Q112&gt;0,1,0)))</f>
        <v/>
      </c>
      <c r="R208">
        <f>IF($B$18="",0,IF(R160&gt;0,R112/NgayQua*SoNgay/R160,IF(R112&gt;0,1,0)))</f>
        <v/>
      </c>
      <c r="S208">
        <f>IF($B$19="",0,IF(S160&gt;0,S112/NgayQua*SoNgay/S160,IF(S112&gt;0,1,0)))</f>
        <v/>
      </c>
      <c r="T208">
        <f>IF($B$20="",0,IF(T160&gt;0,T112/NgayQua*SoNgay/T160,IF(T112&gt;0,1,0)))</f>
        <v/>
      </c>
      <c r="U208">
        <f>IF($B$21="",0,IF(U160&gt;0,U112/NgayQua*SoNgay/U160,IF(U112&gt;0,1,0)))</f>
        <v/>
      </c>
      <c r="V208">
        <f>IF($B$22="",0,IF(V160&gt;0,V112/NgayQua*SoNgay/V160,IF(V112&gt;0,1,0)))</f>
        <v/>
      </c>
    </row>
    <row r="209">
      <c r="A209" t="n">
        <v>28</v>
      </c>
      <c r="B209">
        <f>B66</f>
        <v/>
      </c>
      <c r="C209">
        <f>IF($B$3="",0,IF(C161&gt;0,C113/NgayQua*SoNgay/C161,IF(C113&gt;0,1,0)))</f>
        <v/>
      </c>
      <c r="D209">
        <f>IF($B$4="",0,IF(D161&gt;0,D113/NgayQua*SoNgay/D161,IF(D113&gt;0,1,0)))</f>
        <v/>
      </c>
      <c r="E209">
        <f>IF($B$5="",0,IF(E161&gt;0,E113/NgayQua*SoNgay/E161,IF(E113&gt;0,1,0)))</f>
        <v/>
      </c>
      <c r="F209">
        <f>IF($B$6="",0,IF(F161&gt;0,F113/NgayQua*SoNgay/F161,IF(F113&gt;0,1,0)))</f>
        <v/>
      </c>
      <c r="G209">
        <f>IF($B$7="",0,IF(G161&gt;0,G113/NgayQua*SoNgay/G161,IF(G113&gt;0,1,0)))</f>
        <v/>
      </c>
      <c r="H209">
        <f>IF($B$8="",0,IF(H161&gt;0,H113/NgayQua*SoNgay/H161,IF(H113&gt;0,1,0)))</f>
        <v/>
      </c>
      <c r="I209">
        <f>IF($B$9="",0,IF(I161&gt;0,I113/NgayQua*SoNgay/I161,IF(I113&gt;0,1,0)))</f>
        <v/>
      </c>
      <c r="J209">
        <f>IF($B$10="",0,IF(J161&gt;0,J113/NgayQua*SoNgay/J161,IF(J113&gt;0,1,0)))</f>
        <v/>
      </c>
      <c r="K209">
        <f>IF($B$11="",0,IF(K161&gt;0,K113/NgayQua*SoNgay/K161,IF(K113&gt;0,1,0)))</f>
        <v/>
      </c>
      <c r="L209">
        <f>IF($B$12="",0,IF(L161&gt;0,L113/NgayQua*SoNgay/L161,IF(L113&gt;0,1,0)))</f>
        <v/>
      </c>
      <c r="M209">
        <f>IF($B$13="",0,IF(M161&gt;0,M113/NgayQua*SoNgay/M161,IF(M113&gt;0,1,0)))</f>
        <v/>
      </c>
      <c r="N209">
        <f>IF($B$14="",0,IF(N161&gt;0,N113/NgayQua*SoNgay/N161,IF(N113&gt;0,1,0)))</f>
        <v/>
      </c>
      <c r="O209">
        <f>IF($B$15="",0,IF(O161&gt;0,O113/NgayQua*SoNgay/O161,IF(O113&gt;0,1,0)))</f>
        <v/>
      </c>
      <c r="P209">
        <f>IF($B$16="",0,IF(P161&gt;0,P113/NgayQua*SoNgay/P161,IF(P113&gt;0,1,0)))</f>
        <v/>
      </c>
      <c r="Q209">
        <f>IF($B$17="",0,IF(Q161&gt;0,Q113/NgayQua*SoNgay/Q161,IF(Q113&gt;0,1,0)))</f>
        <v/>
      </c>
      <c r="R209">
        <f>IF($B$18="",0,IF(R161&gt;0,R113/NgayQua*SoNgay/R161,IF(R113&gt;0,1,0)))</f>
        <v/>
      </c>
      <c r="S209">
        <f>IF($B$19="",0,IF(S161&gt;0,S113/NgayQua*SoNgay/S161,IF(S113&gt;0,1,0)))</f>
        <v/>
      </c>
      <c r="T209">
        <f>IF($B$20="",0,IF(T161&gt;0,T113/NgayQua*SoNgay/T161,IF(T113&gt;0,1,0)))</f>
        <v/>
      </c>
      <c r="U209">
        <f>IF($B$21="",0,IF(U161&gt;0,U113/NgayQua*SoNgay/U161,IF(U113&gt;0,1,0)))</f>
        <v/>
      </c>
      <c r="V209">
        <f>IF($B$22="",0,IF(V161&gt;0,V113/NgayQua*SoNgay/V161,IF(V113&gt;0,1,0)))</f>
        <v/>
      </c>
    </row>
    <row r="210">
      <c r="A210" t="n">
        <v>29</v>
      </c>
      <c r="B210">
        <f>B67</f>
        <v/>
      </c>
      <c r="C210">
        <f>IF($B$3="",0,IF(C162&gt;0,C114/NgayQua*SoNgay/C162,IF(C114&gt;0,1,0)))</f>
        <v/>
      </c>
      <c r="D210">
        <f>IF($B$4="",0,IF(D162&gt;0,D114/NgayQua*SoNgay/D162,IF(D114&gt;0,1,0)))</f>
        <v/>
      </c>
      <c r="E210">
        <f>IF($B$5="",0,IF(E162&gt;0,E114/NgayQua*SoNgay/E162,IF(E114&gt;0,1,0)))</f>
        <v/>
      </c>
      <c r="F210">
        <f>IF($B$6="",0,IF(F162&gt;0,F114/NgayQua*SoNgay/F162,IF(F114&gt;0,1,0)))</f>
        <v/>
      </c>
      <c r="G210">
        <f>IF($B$7="",0,IF(G162&gt;0,G114/NgayQua*SoNgay/G162,IF(G114&gt;0,1,0)))</f>
        <v/>
      </c>
      <c r="H210">
        <f>IF($B$8="",0,IF(H162&gt;0,H114/NgayQua*SoNgay/H162,IF(H114&gt;0,1,0)))</f>
        <v/>
      </c>
      <c r="I210">
        <f>IF($B$9="",0,IF(I162&gt;0,I114/NgayQua*SoNgay/I162,IF(I114&gt;0,1,0)))</f>
        <v/>
      </c>
      <c r="J210">
        <f>IF($B$10="",0,IF(J162&gt;0,J114/NgayQua*SoNgay/J162,IF(J114&gt;0,1,0)))</f>
        <v/>
      </c>
      <c r="K210">
        <f>IF($B$11="",0,IF(K162&gt;0,K114/NgayQua*SoNgay/K162,IF(K114&gt;0,1,0)))</f>
        <v/>
      </c>
      <c r="L210">
        <f>IF($B$12="",0,IF(L162&gt;0,L114/NgayQua*SoNgay/L162,IF(L114&gt;0,1,0)))</f>
        <v/>
      </c>
      <c r="M210">
        <f>IF($B$13="",0,IF(M162&gt;0,M114/NgayQua*SoNgay/M162,IF(M114&gt;0,1,0)))</f>
        <v/>
      </c>
      <c r="N210">
        <f>IF($B$14="",0,IF(N162&gt;0,N114/NgayQua*SoNgay/N162,IF(N114&gt;0,1,0)))</f>
        <v/>
      </c>
      <c r="O210">
        <f>IF($B$15="",0,IF(O162&gt;0,O114/NgayQua*SoNgay/O162,IF(O114&gt;0,1,0)))</f>
        <v/>
      </c>
      <c r="P210">
        <f>IF($B$16="",0,IF(P162&gt;0,P114/NgayQua*SoNgay/P162,IF(P114&gt;0,1,0)))</f>
        <v/>
      </c>
      <c r="Q210">
        <f>IF($B$17="",0,IF(Q162&gt;0,Q114/NgayQua*SoNgay/Q162,IF(Q114&gt;0,1,0)))</f>
        <v/>
      </c>
      <c r="R210">
        <f>IF($B$18="",0,IF(R162&gt;0,R114/NgayQua*SoNgay/R162,IF(R114&gt;0,1,0)))</f>
        <v/>
      </c>
      <c r="S210">
        <f>IF($B$19="",0,IF(S162&gt;0,S114/NgayQua*SoNgay/S162,IF(S114&gt;0,1,0)))</f>
        <v/>
      </c>
      <c r="T210">
        <f>IF($B$20="",0,IF(T162&gt;0,T114/NgayQua*SoNgay/T162,IF(T114&gt;0,1,0)))</f>
        <v/>
      </c>
      <c r="U210">
        <f>IF($B$21="",0,IF(U162&gt;0,U114/NgayQua*SoNgay/U162,IF(U114&gt;0,1,0)))</f>
        <v/>
      </c>
      <c r="V210">
        <f>IF($B$22="",0,IF(V162&gt;0,V114/NgayQua*SoNgay/V162,IF(V114&gt;0,1,0)))</f>
        <v/>
      </c>
    </row>
    <row r="211">
      <c r="A211" t="n">
        <v>30</v>
      </c>
      <c r="B211">
        <f>B68</f>
        <v/>
      </c>
      <c r="C211">
        <f>IF($B$3="",0,IF(C163&gt;0,C115/NgayQua*SoNgay/C163,IF(C115&gt;0,1,0)))</f>
        <v/>
      </c>
      <c r="D211">
        <f>IF($B$4="",0,IF(D163&gt;0,D115/NgayQua*SoNgay/D163,IF(D115&gt;0,1,0)))</f>
        <v/>
      </c>
      <c r="E211">
        <f>IF($B$5="",0,IF(E163&gt;0,E115/NgayQua*SoNgay/E163,IF(E115&gt;0,1,0)))</f>
        <v/>
      </c>
      <c r="F211">
        <f>IF($B$6="",0,IF(F163&gt;0,F115/NgayQua*SoNgay/F163,IF(F115&gt;0,1,0)))</f>
        <v/>
      </c>
      <c r="G211">
        <f>IF($B$7="",0,IF(G163&gt;0,G115/NgayQua*SoNgay/G163,IF(G115&gt;0,1,0)))</f>
        <v/>
      </c>
      <c r="H211">
        <f>IF($B$8="",0,IF(H163&gt;0,H115/NgayQua*SoNgay/H163,IF(H115&gt;0,1,0)))</f>
        <v/>
      </c>
      <c r="I211">
        <f>IF($B$9="",0,IF(I163&gt;0,I115/NgayQua*SoNgay/I163,IF(I115&gt;0,1,0)))</f>
        <v/>
      </c>
      <c r="J211">
        <f>IF($B$10="",0,IF(J163&gt;0,J115/NgayQua*SoNgay/J163,IF(J115&gt;0,1,0)))</f>
        <v/>
      </c>
      <c r="K211">
        <f>IF($B$11="",0,IF(K163&gt;0,K115/NgayQua*SoNgay/K163,IF(K115&gt;0,1,0)))</f>
        <v/>
      </c>
      <c r="L211">
        <f>IF($B$12="",0,IF(L163&gt;0,L115/NgayQua*SoNgay/L163,IF(L115&gt;0,1,0)))</f>
        <v/>
      </c>
      <c r="M211">
        <f>IF($B$13="",0,IF(M163&gt;0,M115/NgayQua*SoNgay/M163,IF(M115&gt;0,1,0)))</f>
        <v/>
      </c>
      <c r="N211">
        <f>IF($B$14="",0,IF(N163&gt;0,N115/NgayQua*SoNgay/N163,IF(N115&gt;0,1,0)))</f>
        <v/>
      </c>
      <c r="O211">
        <f>IF($B$15="",0,IF(O163&gt;0,O115/NgayQua*SoNgay/O163,IF(O115&gt;0,1,0)))</f>
        <v/>
      </c>
      <c r="P211">
        <f>IF($B$16="",0,IF(P163&gt;0,P115/NgayQua*SoNgay/P163,IF(P115&gt;0,1,0)))</f>
        <v/>
      </c>
      <c r="Q211">
        <f>IF($B$17="",0,IF(Q163&gt;0,Q115/NgayQua*SoNgay/Q163,IF(Q115&gt;0,1,0)))</f>
        <v/>
      </c>
      <c r="R211">
        <f>IF($B$18="",0,IF(R163&gt;0,R115/NgayQua*SoNgay/R163,IF(R115&gt;0,1,0)))</f>
        <v/>
      </c>
      <c r="S211">
        <f>IF($B$19="",0,IF(S163&gt;0,S115/NgayQua*SoNgay/S163,IF(S115&gt;0,1,0)))</f>
        <v/>
      </c>
      <c r="T211">
        <f>IF($B$20="",0,IF(T163&gt;0,T115/NgayQua*SoNgay/T163,IF(T115&gt;0,1,0)))</f>
        <v/>
      </c>
      <c r="U211">
        <f>IF($B$21="",0,IF(U163&gt;0,U115/NgayQua*SoNgay/U163,IF(U115&gt;0,1,0)))</f>
        <v/>
      </c>
      <c r="V211">
        <f>IF($B$22="",0,IF(V163&gt;0,V115/NgayQua*SoNgay/V163,IF(V115&gt;0,1,0)))</f>
        <v/>
      </c>
    </row>
    <row r="212">
      <c r="A212" t="n">
        <v>31</v>
      </c>
      <c r="B212">
        <f>B69</f>
        <v/>
      </c>
      <c r="C212">
        <f>IF($B$3="",0,IF(C164&gt;0,C116/NgayQua*SoNgay/C164,IF(C116&gt;0,1,0)))</f>
        <v/>
      </c>
      <c r="D212">
        <f>IF($B$4="",0,IF(D164&gt;0,D116/NgayQua*SoNgay/D164,IF(D116&gt;0,1,0)))</f>
        <v/>
      </c>
      <c r="E212">
        <f>IF($B$5="",0,IF(E164&gt;0,E116/NgayQua*SoNgay/E164,IF(E116&gt;0,1,0)))</f>
        <v/>
      </c>
      <c r="F212">
        <f>IF($B$6="",0,IF(F164&gt;0,F116/NgayQua*SoNgay/F164,IF(F116&gt;0,1,0)))</f>
        <v/>
      </c>
      <c r="G212">
        <f>IF($B$7="",0,IF(G164&gt;0,G116/NgayQua*SoNgay/G164,IF(G116&gt;0,1,0)))</f>
        <v/>
      </c>
      <c r="H212">
        <f>IF($B$8="",0,IF(H164&gt;0,H116/NgayQua*SoNgay/H164,IF(H116&gt;0,1,0)))</f>
        <v/>
      </c>
      <c r="I212">
        <f>IF($B$9="",0,IF(I164&gt;0,I116/NgayQua*SoNgay/I164,IF(I116&gt;0,1,0)))</f>
        <v/>
      </c>
      <c r="J212">
        <f>IF($B$10="",0,IF(J164&gt;0,J116/NgayQua*SoNgay/J164,IF(J116&gt;0,1,0)))</f>
        <v/>
      </c>
      <c r="K212">
        <f>IF($B$11="",0,IF(K164&gt;0,K116/NgayQua*SoNgay/K164,IF(K116&gt;0,1,0)))</f>
        <v/>
      </c>
      <c r="L212">
        <f>IF($B$12="",0,IF(L164&gt;0,L116/NgayQua*SoNgay/L164,IF(L116&gt;0,1,0)))</f>
        <v/>
      </c>
      <c r="M212">
        <f>IF($B$13="",0,IF(M164&gt;0,M116/NgayQua*SoNgay/M164,IF(M116&gt;0,1,0)))</f>
        <v/>
      </c>
      <c r="N212">
        <f>IF($B$14="",0,IF(N164&gt;0,N116/NgayQua*SoNgay/N164,IF(N116&gt;0,1,0)))</f>
        <v/>
      </c>
      <c r="O212">
        <f>IF($B$15="",0,IF(O164&gt;0,O116/NgayQua*SoNgay/O164,IF(O116&gt;0,1,0)))</f>
        <v/>
      </c>
      <c r="P212">
        <f>IF($B$16="",0,IF(P164&gt;0,P116/NgayQua*SoNgay/P164,IF(P116&gt;0,1,0)))</f>
        <v/>
      </c>
      <c r="Q212">
        <f>IF($B$17="",0,IF(Q164&gt;0,Q116/NgayQua*SoNgay/Q164,IF(Q116&gt;0,1,0)))</f>
        <v/>
      </c>
      <c r="R212">
        <f>IF($B$18="",0,IF(R164&gt;0,R116/NgayQua*SoNgay/R164,IF(R116&gt;0,1,0)))</f>
        <v/>
      </c>
      <c r="S212">
        <f>IF($B$19="",0,IF(S164&gt;0,S116/NgayQua*SoNgay/S164,IF(S116&gt;0,1,0)))</f>
        <v/>
      </c>
      <c r="T212">
        <f>IF($B$20="",0,IF(T164&gt;0,T116/NgayQua*SoNgay/T164,IF(T116&gt;0,1,0)))</f>
        <v/>
      </c>
      <c r="U212">
        <f>IF($B$21="",0,IF(U164&gt;0,U116/NgayQua*SoNgay/U164,IF(U116&gt;0,1,0)))</f>
        <v/>
      </c>
      <c r="V212">
        <f>IF($B$22="",0,IF(V164&gt;0,V116/NgayQua*SoNgay/V164,IF(V116&gt;0,1,0)))</f>
        <v/>
      </c>
    </row>
    <row r="213">
      <c r="A213" t="n">
        <v>32</v>
      </c>
      <c r="B213">
        <f>B70</f>
        <v/>
      </c>
      <c r="C213">
        <f>IF($B$3="",0,IF(C165&gt;0,C117/NgayQua*SoNgay/C165,IF(C117&gt;0,1,0)))</f>
        <v/>
      </c>
      <c r="D213">
        <f>IF($B$4="",0,IF(D165&gt;0,D117/NgayQua*SoNgay/D165,IF(D117&gt;0,1,0)))</f>
        <v/>
      </c>
      <c r="E213">
        <f>IF($B$5="",0,IF(E165&gt;0,E117/NgayQua*SoNgay/E165,IF(E117&gt;0,1,0)))</f>
        <v/>
      </c>
      <c r="F213">
        <f>IF($B$6="",0,IF(F165&gt;0,F117/NgayQua*SoNgay/F165,IF(F117&gt;0,1,0)))</f>
        <v/>
      </c>
      <c r="G213">
        <f>IF($B$7="",0,IF(G165&gt;0,G117/NgayQua*SoNgay/G165,IF(G117&gt;0,1,0)))</f>
        <v/>
      </c>
      <c r="H213">
        <f>IF($B$8="",0,IF(H165&gt;0,H117/NgayQua*SoNgay/H165,IF(H117&gt;0,1,0)))</f>
        <v/>
      </c>
      <c r="I213">
        <f>IF($B$9="",0,IF(I165&gt;0,I117/NgayQua*SoNgay/I165,IF(I117&gt;0,1,0)))</f>
        <v/>
      </c>
      <c r="J213">
        <f>IF($B$10="",0,IF(J165&gt;0,J117/NgayQua*SoNgay/J165,IF(J117&gt;0,1,0)))</f>
        <v/>
      </c>
      <c r="K213">
        <f>IF($B$11="",0,IF(K165&gt;0,K117/NgayQua*SoNgay/K165,IF(K117&gt;0,1,0)))</f>
        <v/>
      </c>
      <c r="L213">
        <f>IF($B$12="",0,IF(L165&gt;0,L117/NgayQua*SoNgay/L165,IF(L117&gt;0,1,0)))</f>
        <v/>
      </c>
      <c r="M213">
        <f>IF($B$13="",0,IF(M165&gt;0,M117/NgayQua*SoNgay/M165,IF(M117&gt;0,1,0)))</f>
        <v/>
      </c>
      <c r="N213">
        <f>IF($B$14="",0,IF(N165&gt;0,N117/NgayQua*SoNgay/N165,IF(N117&gt;0,1,0)))</f>
        <v/>
      </c>
      <c r="O213">
        <f>IF($B$15="",0,IF(O165&gt;0,O117/NgayQua*SoNgay/O165,IF(O117&gt;0,1,0)))</f>
        <v/>
      </c>
      <c r="P213">
        <f>IF($B$16="",0,IF(P165&gt;0,P117/NgayQua*SoNgay/P165,IF(P117&gt;0,1,0)))</f>
        <v/>
      </c>
      <c r="Q213">
        <f>IF($B$17="",0,IF(Q165&gt;0,Q117/NgayQua*SoNgay/Q165,IF(Q117&gt;0,1,0)))</f>
        <v/>
      </c>
      <c r="R213">
        <f>IF($B$18="",0,IF(R165&gt;0,R117/NgayQua*SoNgay/R165,IF(R117&gt;0,1,0)))</f>
        <v/>
      </c>
      <c r="S213">
        <f>IF($B$19="",0,IF(S165&gt;0,S117/NgayQua*SoNgay/S165,IF(S117&gt;0,1,0)))</f>
        <v/>
      </c>
      <c r="T213">
        <f>IF($B$20="",0,IF(T165&gt;0,T117/NgayQua*SoNgay/T165,IF(T117&gt;0,1,0)))</f>
        <v/>
      </c>
      <c r="U213">
        <f>IF($B$21="",0,IF(U165&gt;0,U117/NgayQua*SoNgay/U165,IF(U117&gt;0,1,0)))</f>
        <v/>
      </c>
      <c r="V213">
        <f>IF($B$22="",0,IF(V165&gt;0,V117/NgayQua*SoNgay/V165,IF(V117&gt;0,1,0)))</f>
        <v/>
      </c>
    </row>
    <row r="214">
      <c r="A214" t="n">
        <v>33</v>
      </c>
      <c r="B214">
        <f>B71</f>
        <v/>
      </c>
      <c r="C214">
        <f>IF($B$3="",0,IF(C166&gt;0,C118/NgayQua*SoNgay/C166,IF(C118&gt;0,1,0)))</f>
        <v/>
      </c>
      <c r="D214">
        <f>IF($B$4="",0,IF(D166&gt;0,D118/NgayQua*SoNgay/D166,IF(D118&gt;0,1,0)))</f>
        <v/>
      </c>
      <c r="E214">
        <f>IF($B$5="",0,IF(E166&gt;0,E118/NgayQua*SoNgay/E166,IF(E118&gt;0,1,0)))</f>
        <v/>
      </c>
      <c r="F214">
        <f>IF($B$6="",0,IF(F166&gt;0,F118/NgayQua*SoNgay/F166,IF(F118&gt;0,1,0)))</f>
        <v/>
      </c>
      <c r="G214">
        <f>IF($B$7="",0,IF(G166&gt;0,G118/NgayQua*SoNgay/G166,IF(G118&gt;0,1,0)))</f>
        <v/>
      </c>
      <c r="H214">
        <f>IF($B$8="",0,IF(H166&gt;0,H118/NgayQua*SoNgay/H166,IF(H118&gt;0,1,0)))</f>
        <v/>
      </c>
      <c r="I214">
        <f>IF($B$9="",0,IF(I166&gt;0,I118/NgayQua*SoNgay/I166,IF(I118&gt;0,1,0)))</f>
        <v/>
      </c>
      <c r="J214">
        <f>IF($B$10="",0,IF(J166&gt;0,J118/NgayQua*SoNgay/J166,IF(J118&gt;0,1,0)))</f>
        <v/>
      </c>
      <c r="K214">
        <f>IF($B$11="",0,IF(K166&gt;0,K118/NgayQua*SoNgay/K166,IF(K118&gt;0,1,0)))</f>
        <v/>
      </c>
      <c r="L214">
        <f>IF($B$12="",0,IF(L166&gt;0,L118/NgayQua*SoNgay/L166,IF(L118&gt;0,1,0)))</f>
        <v/>
      </c>
      <c r="M214">
        <f>IF($B$13="",0,IF(M166&gt;0,M118/NgayQua*SoNgay/M166,IF(M118&gt;0,1,0)))</f>
        <v/>
      </c>
      <c r="N214">
        <f>IF($B$14="",0,IF(N166&gt;0,N118/NgayQua*SoNgay/N166,IF(N118&gt;0,1,0)))</f>
        <v/>
      </c>
      <c r="O214">
        <f>IF($B$15="",0,IF(O166&gt;0,O118/NgayQua*SoNgay/O166,IF(O118&gt;0,1,0)))</f>
        <v/>
      </c>
      <c r="P214">
        <f>IF($B$16="",0,IF(P166&gt;0,P118/NgayQua*SoNgay/P166,IF(P118&gt;0,1,0)))</f>
        <v/>
      </c>
      <c r="Q214">
        <f>IF($B$17="",0,IF(Q166&gt;0,Q118/NgayQua*SoNgay/Q166,IF(Q118&gt;0,1,0)))</f>
        <v/>
      </c>
      <c r="R214">
        <f>IF($B$18="",0,IF(R166&gt;0,R118/NgayQua*SoNgay/R166,IF(R118&gt;0,1,0)))</f>
        <v/>
      </c>
      <c r="S214">
        <f>IF($B$19="",0,IF(S166&gt;0,S118/NgayQua*SoNgay/S166,IF(S118&gt;0,1,0)))</f>
        <v/>
      </c>
      <c r="T214">
        <f>IF($B$20="",0,IF(T166&gt;0,T118/NgayQua*SoNgay/T166,IF(T118&gt;0,1,0)))</f>
        <v/>
      </c>
      <c r="U214">
        <f>IF($B$21="",0,IF(U166&gt;0,U118/NgayQua*SoNgay/U166,IF(U118&gt;0,1,0)))</f>
        <v/>
      </c>
      <c r="V214">
        <f>IF($B$22="",0,IF(V166&gt;0,V118/NgayQua*SoNgay/V166,IF(V118&gt;0,1,0)))</f>
        <v/>
      </c>
    </row>
    <row r="215">
      <c r="A215" t="n">
        <v>34</v>
      </c>
      <c r="B215">
        <f>B72</f>
        <v/>
      </c>
      <c r="C215">
        <f>IF($B$3="",0,IF(C167&gt;0,C119/NgayQua*SoNgay/C167,IF(C119&gt;0,1,0)))</f>
        <v/>
      </c>
      <c r="D215">
        <f>IF($B$4="",0,IF(D167&gt;0,D119/NgayQua*SoNgay/D167,IF(D119&gt;0,1,0)))</f>
        <v/>
      </c>
      <c r="E215">
        <f>IF($B$5="",0,IF(E167&gt;0,E119/NgayQua*SoNgay/E167,IF(E119&gt;0,1,0)))</f>
        <v/>
      </c>
      <c r="F215">
        <f>IF($B$6="",0,IF(F167&gt;0,F119/NgayQua*SoNgay/F167,IF(F119&gt;0,1,0)))</f>
        <v/>
      </c>
      <c r="G215">
        <f>IF($B$7="",0,IF(G167&gt;0,G119/NgayQua*SoNgay/G167,IF(G119&gt;0,1,0)))</f>
        <v/>
      </c>
      <c r="H215">
        <f>IF($B$8="",0,IF(H167&gt;0,H119/NgayQua*SoNgay/H167,IF(H119&gt;0,1,0)))</f>
        <v/>
      </c>
      <c r="I215">
        <f>IF($B$9="",0,IF(I167&gt;0,I119/NgayQua*SoNgay/I167,IF(I119&gt;0,1,0)))</f>
        <v/>
      </c>
      <c r="J215">
        <f>IF($B$10="",0,IF(J167&gt;0,J119/NgayQua*SoNgay/J167,IF(J119&gt;0,1,0)))</f>
        <v/>
      </c>
      <c r="K215">
        <f>IF($B$11="",0,IF(K167&gt;0,K119/NgayQua*SoNgay/K167,IF(K119&gt;0,1,0)))</f>
        <v/>
      </c>
      <c r="L215">
        <f>IF($B$12="",0,IF(L167&gt;0,L119/NgayQua*SoNgay/L167,IF(L119&gt;0,1,0)))</f>
        <v/>
      </c>
      <c r="M215">
        <f>IF($B$13="",0,IF(M167&gt;0,M119/NgayQua*SoNgay/M167,IF(M119&gt;0,1,0)))</f>
        <v/>
      </c>
      <c r="N215">
        <f>IF($B$14="",0,IF(N167&gt;0,N119/NgayQua*SoNgay/N167,IF(N119&gt;0,1,0)))</f>
        <v/>
      </c>
      <c r="O215">
        <f>IF($B$15="",0,IF(O167&gt;0,O119/NgayQua*SoNgay/O167,IF(O119&gt;0,1,0)))</f>
        <v/>
      </c>
      <c r="P215">
        <f>IF($B$16="",0,IF(P167&gt;0,P119/NgayQua*SoNgay/P167,IF(P119&gt;0,1,0)))</f>
        <v/>
      </c>
      <c r="Q215">
        <f>IF($B$17="",0,IF(Q167&gt;0,Q119/NgayQua*SoNgay/Q167,IF(Q119&gt;0,1,0)))</f>
        <v/>
      </c>
      <c r="R215">
        <f>IF($B$18="",0,IF(R167&gt;0,R119/NgayQua*SoNgay/R167,IF(R119&gt;0,1,0)))</f>
        <v/>
      </c>
      <c r="S215">
        <f>IF($B$19="",0,IF(S167&gt;0,S119/NgayQua*SoNgay/S167,IF(S119&gt;0,1,0)))</f>
        <v/>
      </c>
      <c r="T215">
        <f>IF($B$20="",0,IF(T167&gt;0,T119/NgayQua*SoNgay/T167,IF(T119&gt;0,1,0)))</f>
        <v/>
      </c>
      <c r="U215">
        <f>IF($B$21="",0,IF(U167&gt;0,U119/NgayQua*SoNgay/U167,IF(U119&gt;0,1,0)))</f>
        <v/>
      </c>
      <c r="V215">
        <f>IF($B$22="",0,IF(V167&gt;0,V119/NgayQua*SoNgay/V167,IF(V119&gt;0,1,0)))</f>
        <v/>
      </c>
    </row>
    <row r="216">
      <c r="A216" t="n">
        <v>35</v>
      </c>
      <c r="B216">
        <f>B73</f>
        <v/>
      </c>
      <c r="C216">
        <f>IF($B$3="",0,IF(C168&gt;0,C120/NgayQua*SoNgay/C168,IF(C120&gt;0,1,0)))</f>
        <v/>
      </c>
      <c r="D216">
        <f>IF($B$4="",0,IF(D168&gt;0,D120/NgayQua*SoNgay/D168,IF(D120&gt;0,1,0)))</f>
        <v/>
      </c>
      <c r="E216">
        <f>IF($B$5="",0,IF(E168&gt;0,E120/NgayQua*SoNgay/E168,IF(E120&gt;0,1,0)))</f>
        <v/>
      </c>
      <c r="F216">
        <f>IF($B$6="",0,IF(F168&gt;0,F120/NgayQua*SoNgay/F168,IF(F120&gt;0,1,0)))</f>
        <v/>
      </c>
      <c r="G216">
        <f>IF($B$7="",0,IF(G168&gt;0,G120/NgayQua*SoNgay/G168,IF(G120&gt;0,1,0)))</f>
        <v/>
      </c>
      <c r="H216">
        <f>IF($B$8="",0,IF(H168&gt;0,H120/NgayQua*SoNgay/H168,IF(H120&gt;0,1,0)))</f>
        <v/>
      </c>
      <c r="I216">
        <f>IF($B$9="",0,IF(I168&gt;0,I120/NgayQua*SoNgay/I168,IF(I120&gt;0,1,0)))</f>
        <v/>
      </c>
      <c r="J216">
        <f>IF($B$10="",0,IF(J168&gt;0,J120/NgayQua*SoNgay/J168,IF(J120&gt;0,1,0)))</f>
        <v/>
      </c>
      <c r="K216">
        <f>IF($B$11="",0,IF(K168&gt;0,K120/NgayQua*SoNgay/K168,IF(K120&gt;0,1,0)))</f>
        <v/>
      </c>
      <c r="L216">
        <f>IF($B$12="",0,IF(L168&gt;0,L120/NgayQua*SoNgay/L168,IF(L120&gt;0,1,0)))</f>
        <v/>
      </c>
      <c r="M216">
        <f>IF($B$13="",0,IF(M168&gt;0,M120/NgayQua*SoNgay/M168,IF(M120&gt;0,1,0)))</f>
        <v/>
      </c>
      <c r="N216">
        <f>IF($B$14="",0,IF(N168&gt;0,N120/NgayQua*SoNgay/N168,IF(N120&gt;0,1,0)))</f>
        <v/>
      </c>
      <c r="O216">
        <f>IF($B$15="",0,IF(O168&gt;0,O120/NgayQua*SoNgay/O168,IF(O120&gt;0,1,0)))</f>
        <v/>
      </c>
      <c r="P216">
        <f>IF($B$16="",0,IF(P168&gt;0,P120/NgayQua*SoNgay/P168,IF(P120&gt;0,1,0)))</f>
        <v/>
      </c>
      <c r="Q216">
        <f>IF($B$17="",0,IF(Q168&gt;0,Q120/NgayQua*SoNgay/Q168,IF(Q120&gt;0,1,0)))</f>
        <v/>
      </c>
      <c r="R216">
        <f>IF($B$18="",0,IF(R168&gt;0,R120/NgayQua*SoNgay/R168,IF(R120&gt;0,1,0)))</f>
        <v/>
      </c>
      <c r="S216">
        <f>IF($B$19="",0,IF(S168&gt;0,S120/NgayQua*SoNgay/S168,IF(S120&gt;0,1,0)))</f>
        <v/>
      </c>
      <c r="T216">
        <f>IF($B$20="",0,IF(T168&gt;0,T120/NgayQua*SoNgay/T168,IF(T120&gt;0,1,0)))</f>
        <v/>
      </c>
      <c r="U216">
        <f>IF($B$21="",0,IF(U168&gt;0,U120/NgayQua*SoNgay/U168,IF(U120&gt;0,1,0)))</f>
        <v/>
      </c>
      <c r="V216">
        <f>IF($B$22="",0,IF(V168&gt;0,V120/NgayQua*SoNgay/V168,IF(V120&gt;0,1,0)))</f>
        <v/>
      </c>
    </row>
    <row r="217">
      <c r="A217" t="n">
        <v>36</v>
      </c>
      <c r="B217">
        <f>B74</f>
        <v/>
      </c>
      <c r="C217">
        <f>IF($B$3="",0,IF(C169&gt;0,C121/NgayQua*SoNgay/C169,IF(C121&gt;0,1,0)))</f>
        <v/>
      </c>
      <c r="D217">
        <f>IF($B$4="",0,IF(D169&gt;0,D121/NgayQua*SoNgay/D169,IF(D121&gt;0,1,0)))</f>
        <v/>
      </c>
      <c r="E217">
        <f>IF($B$5="",0,IF(E169&gt;0,E121/NgayQua*SoNgay/E169,IF(E121&gt;0,1,0)))</f>
        <v/>
      </c>
      <c r="F217">
        <f>IF($B$6="",0,IF(F169&gt;0,F121/NgayQua*SoNgay/F169,IF(F121&gt;0,1,0)))</f>
        <v/>
      </c>
      <c r="G217">
        <f>IF($B$7="",0,IF(G169&gt;0,G121/NgayQua*SoNgay/G169,IF(G121&gt;0,1,0)))</f>
        <v/>
      </c>
      <c r="H217">
        <f>IF($B$8="",0,IF(H169&gt;0,H121/NgayQua*SoNgay/H169,IF(H121&gt;0,1,0)))</f>
        <v/>
      </c>
      <c r="I217">
        <f>IF($B$9="",0,IF(I169&gt;0,I121/NgayQua*SoNgay/I169,IF(I121&gt;0,1,0)))</f>
        <v/>
      </c>
      <c r="J217">
        <f>IF($B$10="",0,IF(J169&gt;0,J121/NgayQua*SoNgay/J169,IF(J121&gt;0,1,0)))</f>
        <v/>
      </c>
      <c r="K217">
        <f>IF($B$11="",0,IF(K169&gt;0,K121/NgayQua*SoNgay/K169,IF(K121&gt;0,1,0)))</f>
        <v/>
      </c>
      <c r="L217">
        <f>IF($B$12="",0,IF(L169&gt;0,L121/NgayQua*SoNgay/L169,IF(L121&gt;0,1,0)))</f>
        <v/>
      </c>
      <c r="M217">
        <f>IF($B$13="",0,IF(M169&gt;0,M121/NgayQua*SoNgay/M169,IF(M121&gt;0,1,0)))</f>
        <v/>
      </c>
      <c r="N217">
        <f>IF($B$14="",0,IF(N169&gt;0,N121/NgayQua*SoNgay/N169,IF(N121&gt;0,1,0)))</f>
        <v/>
      </c>
      <c r="O217">
        <f>IF($B$15="",0,IF(O169&gt;0,O121/NgayQua*SoNgay/O169,IF(O121&gt;0,1,0)))</f>
        <v/>
      </c>
      <c r="P217">
        <f>IF($B$16="",0,IF(P169&gt;0,P121/NgayQua*SoNgay/P169,IF(P121&gt;0,1,0)))</f>
        <v/>
      </c>
      <c r="Q217">
        <f>IF($B$17="",0,IF(Q169&gt;0,Q121/NgayQua*SoNgay/Q169,IF(Q121&gt;0,1,0)))</f>
        <v/>
      </c>
      <c r="R217">
        <f>IF($B$18="",0,IF(R169&gt;0,R121/NgayQua*SoNgay/R169,IF(R121&gt;0,1,0)))</f>
        <v/>
      </c>
      <c r="S217">
        <f>IF($B$19="",0,IF(S169&gt;0,S121/NgayQua*SoNgay/S169,IF(S121&gt;0,1,0)))</f>
        <v/>
      </c>
      <c r="T217">
        <f>IF($B$20="",0,IF(T169&gt;0,T121/NgayQua*SoNgay/T169,IF(T121&gt;0,1,0)))</f>
        <v/>
      </c>
      <c r="U217">
        <f>IF($B$21="",0,IF(U169&gt;0,U121/NgayQua*SoNgay/U169,IF(U121&gt;0,1,0)))</f>
        <v/>
      </c>
      <c r="V217">
        <f>IF($B$22="",0,IF(V169&gt;0,V121/NgayQua*SoNgay/V169,IF(V121&gt;0,1,0)))</f>
        <v/>
      </c>
    </row>
    <row r="218">
      <c r="A218" t="n">
        <v>37</v>
      </c>
      <c r="B218">
        <f>B75</f>
        <v/>
      </c>
      <c r="C218">
        <f>IF($B$3="",0,IF(C170&gt;0,C122/NgayQua*SoNgay/C170,IF(C122&gt;0,1,0)))</f>
        <v/>
      </c>
      <c r="D218">
        <f>IF($B$4="",0,IF(D170&gt;0,D122/NgayQua*SoNgay/D170,IF(D122&gt;0,1,0)))</f>
        <v/>
      </c>
      <c r="E218">
        <f>IF($B$5="",0,IF(E170&gt;0,E122/NgayQua*SoNgay/E170,IF(E122&gt;0,1,0)))</f>
        <v/>
      </c>
      <c r="F218">
        <f>IF($B$6="",0,IF(F170&gt;0,F122/NgayQua*SoNgay/F170,IF(F122&gt;0,1,0)))</f>
        <v/>
      </c>
      <c r="G218">
        <f>IF($B$7="",0,IF(G170&gt;0,G122/NgayQua*SoNgay/G170,IF(G122&gt;0,1,0)))</f>
        <v/>
      </c>
      <c r="H218">
        <f>IF($B$8="",0,IF(H170&gt;0,H122/NgayQua*SoNgay/H170,IF(H122&gt;0,1,0)))</f>
        <v/>
      </c>
      <c r="I218">
        <f>IF($B$9="",0,IF(I170&gt;0,I122/NgayQua*SoNgay/I170,IF(I122&gt;0,1,0)))</f>
        <v/>
      </c>
      <c r="J218">
        <f>IF($B$10="",0,IF(J170&gt;0,J122/NgayQua*SoNgay/J170,IF(J122&gt;0,1,0)))</f>
        <v/>
      </c>
      <c r="K218">
        <f>IF($B$11="",0,IF(K170&gt;0,K122/NgayQua*SoNgay/K170,IF(K122&gt;0,1,0)))</f>
        <v/>
      </c>
      <c r="L218">
        <f>IF($B$12="",0,IF(L170&gt;0,L122/NgayQua*SoNgay/L170,IF(L122&gt;0,1,0)))</f>
        <v/>
      </c>
      <c r="M218">
        <f>IF($B$13="",0,IF(M170&gt;0,M122/NgayQua*SoNgay/M170,IF(M122&gt;0,1,0)))</f>
        <v/>
      </c>
      <c r="N218">
        <f>IF($B$14="",0,IF(N170&gt;0,N122/NgayQua*SoNgay/N170,IF(N122&gt;0,1,0)))</f>
        <v/>
      </c>
      <c r="O218">
        <f>IF($B$15="",0,IF(O170&gt;0,O122/NgayQua*SoNgay/O170,IF(O122&gt;0,1,0)))</f>
        <v/>
      </c>
      <c r="P218">
        <f>IF($B$16="",0,IF(P170&gt;0,P122/NgayQua*SoNgay/P170,IF(P122&gt;0,1,0)))</f>
        <v/>
      </c>
      <c r="Q218">
        <f>IF($B$17="",0,IF(Q170&gt;0,Q122/NgayQua*SoNgay/Q170,IF(Q122&gt;0,1,0)))</f>
        <v/>
      </c>
      <c r="R218">
        <f>IF($B$18="",0,IF(R170&gt;0,R122/NgayQua*SoNgay/R170,IF(R122&gt;0,1,0)))</f>
        <v/>
      </c>
      <c r="S218">
        <f>IF($B$19="",0,IF(S170&gt;0,S122/NgayQua*SoNgay/S170,IF(S122&gt;0,1,0)))</f>
        <v/>
      </c>
      <c r="T218">
        <f>IF($B$20="",0,IF(T170&gt;0,T122/NgayQua*SoNgay/T170,IF(T122&gt;0,1,0)))</f>
        <v/>
      </c>
      <c r="U218">
        <f>IF($B$21="",0,IF(U170&gt;0,U122/NgayQua*SoNgay/U170,IF(U122&gt;0,1,0)))</f>
        <v/>
      </c>
      <c r="V218">
        <f>IF($B$22="",0,IF(V170&gt;0,V122/NgayQua*SoNgay/V170,IF(V122&gt;0,1,0)))</f>
        <v/>
      </c>
    </row>
    <row r="219">
      <c r="A219" t="n">
        <v>38</v>
      </c>
      <c r="B219">
        <f>B76</f>
        <v/>
      </c>
      <c r="C219">
        <f>IF($B$3="",0,IF(C171&gt;0,C123/NgayQua*SoNgay/C171,IF(C123&gt;0,1,0)))</f>
        <v/>
      </c>
      <c r="D219">
        <f>IF($B$4="",0,IF(D171&gt;0,D123/NgayQua*SoNgay/D171,IF(D123&gt;0,1,0)))</f>
        <v/>
      </c>
      <c r="E219">
        <f>IF($B$5="",0,IF(E171&gt;0,E123/NgayQua*SoNgay/E171,IF(E123&gt;0,1,0)))</f>
        <v/>
      </c>
      <c r="F219">
        <f>IF($B$6="",0,IF(F171&gt;0,F123/NgayQua*SoNgay/F171,IF(F123&gt;0,1,0)))</f>
        <v/>
      </c>
      <c r="G219">
        <f>IF($B$7="",0,IF(G171&gt;0,G123/NgayQua*SoNgay/G171,IF(G123&gt;0,1,0)))</f>
        <v/>
      </c>
      <c r="H219">
        <f>IF($B$8="",0,IF(H171&gt;0,H123/NgayQua*SoNgay/H171,IF(H123&gt;0,1,0)))</f>
        <v/>
      </c>
      <c r="I219">
        <f>IF($B$9="",0,IF(I171&gt;0,I123/NgayQua*SoNgay/I171,IF(I123&gt;0,1,0)))</f>
        <v/>
      </c>
      <c r="J219">
        <f>IF($B$10="",0,IF(J171&gt;0,J123/NgayQua*SoNgay/J171,IF(J123&gt;0,1,0)))</f>
        <v/>
      </c>
      <c r="K219">
        <f>IF($B$11="",0,IF(K171&gt;0,K123/NgayQua*SoNgay/K171,IF(K123&gt;0,1,0)))</f>
        <v/>
      </c>
      <c r="L219">
        <f>IF($B$12="",0,IF(L171&gt;0,L123/NgayQua*SoNgay/L171,IF(L123&gt;0,1,0)))</f>
        <v/>
      </c>
      <c r="M219">
        <f>IF($B$13="",0,IF(M171&gt;0,M123/NgayQua*SoNgay/M171,IF(M123&gt;0,1,0)))</f>
        <v/>
      </c>
      <c r="N219">
        <f>IF($B$14="",0,IF(N171&gt;0,N123/NgayQua*SoNgay/N171,IF(N123&gt;0,1,0)))</f>
        <v/>
      </c>
      <c r="O219">
        <f>IF($B$15="",0,IF(O171&gt;0,O123/NgayQua*SoNgay/O171,IF(O123&gt;0,1,0)))</f>
        <v/>
      </c>
      <c r="P219">
        <f>IF($B$16="",0,IF(P171&gt;0,P123/NgayQua*SoNgay/P171,IF(P123&gt;0,1,0)))</f>
        <v/>
      </c>
      <c r="Q219">
        <f>IF($B$17="",0,IF(Q171&gt;0,Q123/NgayQua*SoNgay/Q171,IF(Q123&gt;0,1,0)))</f>
        <v/>
      </c>
      <c r="R219">
        <f>IF($B$18="",0,IF(R171&gt;0,R123/NgayQua*SoNgay/R171,IF(R123&gt;0,1,0)))</f>
        <v/>
      </c>
      <c r="S219">
        <f>IF($B$19="",0,IF(S171&gt;0,S123/NgayQua*SoNgay/S171,IF(S123&gt;0,1,0)))</f>
        <v/>
      </c>
      <c r="T219">
        <f>IF($B$20="",0,IF(T171&gt;0,T123/NgayQua*SoNgay/T171,IF(T123&gt;0,1,0)))</f>
        <v/>
      </c>
      <c r="U219">
        <f>IF($B$21="",0,IF(U171&gt;0,U123/NgayQua*SoNgay/U171,IF(U123&gt;0,1,0)))</f>
        <v/>
      </c>
      <c r="V219">
        <f>IF($B$22="",0,IF(V171&gt;0,V123/NgayQua*SoNgay/V171,IF(V123&gt;0,1,0)))</f>
        <v/>
      </c>
    </row>
    <row r="220">
      <c r="A220" t="n">
        <v>39</v>
      </c>
      <c r="B220">
        <f>B77</f>
        <v/>
      </c>
      <c r="C220">
        <f>IF($B$3="",0,IF(C172&gt;0,C124/NgayQua*SoNgay/C172,IF(C124&gt;0,1,0)))</f>
        <v/>
      </c>
      <c r="D220">
        <f>IF($B$4="",0,IF(D172&gt;0,D124/NgayQua*SoNgay/D172,IF(D124&gt;0,1,0)))</f>
        <v/>
      </c>
      <c r="E220">
        <f>IF($B$5="",0,IF(E172&gt;0,E124/NgayQua*SoNgay/E172,IF(E124&gt;0,1,0)))</f>
        <v/>
      </c>
      <c r="F220">
        <f>IF($B$6="",0,IF(F172&gt;0,F124/NgayQua*SoNgay/F172,IF(F124&gt;0,1,0)))</f>
        <v/>
      </c>
      <c r="G220">
        <f>IF($B$7="",0,IF(G172&gt;0,G124/NgayQua*SoNgay/G172,IF(G124&gt;0,1,0)))</f>
        <v/>
      </c>
      <c r="H220">
        <f>IF($B$8="",0,IF(H172&gt;0,H124/NgayQua*SoNgay/H172,IF(H124&gt;0,1,0)))</f>
        <v/>
      </c>
      <c r="I220">
        <f>IF($B$9="",0,IF(I172&gt;0,I124/NgayQua*SoNgay/I172,IF(I124&gt;0,1,0)))</f>
        <v/>
      </c>
      <c r="J220">
        <f>IF($B$10="",0,IF(J172&gt;0,J124/NgayQua*SoNgay/J172,IF(J124&gt;0,1,0)))</f>
        <v/>
      </c>
      <c r="K220">
        <f>IF($B$11="",0,IF(K172&gt;0,K124/NgayQua*SoNgay/K172,IF(K124&gt;0,1,0)))</f>
        <v/>
      </c>
      <c r="L220">
        <f>IF($B$12="",0,IF(L172&gt;0,L124/NgayQua*SoNgay/L172,IF(L124&gt;0,1,0)))</f>
        <v/>
      </c>
      <c r="M220">
        <f>IF($B$13="",0,IF(M172&gt;0,M124/NgayQua*SoNgay/M172,IF(M124&gt;0,1,0)))</f>
        <v/>
      </c>
      <c r="N220">
        <f>IF($B$14="",0,IF(N172&gt;0,N124/NgayQua*SoNgay/N172,IF(N124&gt;0,1,0)))</f>
        <v/>
      </c>
      <c r="O220">
        <f>IF($B$15="",0,IF(O172&gt;0,O124/NgayQua*SoNgay/O172,IF(O124&gt;0,1,0)))</f>
        <v/>
      </c>
      <c r="P220">
        <f>IF($B$16="",0,IF(P172&gt;0,P124/NgayQua*SoNgay/P172,IF(P124&gt;0,1,0)))</f>
        <v/>
      </c>
      <c r="Q220">
        <f>IF($B$17="",0,IF(Q172&gt;0,Q124/NgayQua*SoNgay/Q172,IF(Q124&gt;0,1,0)))</f>
        <v/>
      </c>
      <c r="R220">
        <f>IF($B$18="",0,IF(R172&gt;0,R124/NgayQua*SoNgay/R172,IF(R124&gt;0,1,0)))</f>
        <v/>
      </c>
      <c r="S220">
        <f>IF($B$19="",0,IF(S172&gt;0,S124/NgayQua*SoNgay/S172,IF(S124&gt;0,1,0)))</f>
        <v/>
      </c>
      <c r="T220">
        <f>IF($B$20="",0,IF(T172&gt;0,T124/NgayQua*SoNgay/T172,IF(T124&gt;0,1,0)))</f>
        <v/>
      </c>
      <c r="U220">
        <f>IF($B$21="",0,IF(U172&gt;0,U124/NgayQua*SoNgay/U172,IF(U124&gt;0,1,0)))</f>
        <v/>
      </c>
      <c r="V220">
        <f>IF($B$22="",0,IF(V172&gt;0,V124/NgayQua*SoNgay/V172,IF(V124&gt;0,1,0)))</f>
        <v/>
      </c>
    </row>
    <row r="221">
      <c r="A221" t="n">
        <v>40</v>
      </c>
      <c r="B221">
        <f>B78</f>
        <v/>
      </c>
      <c r="C221">
        <f>IF($B$3="",0,IF(C173&gt;0,C125/NgayQua*SoNgay/C173,IF(C125&gt;0,1,0)))</f>
        <v/>
      </c>
      <c r="D221">
        <f>IF($B$4="",0,IF(D173&gt;0,D125/NgayQua*SoNgay/D173,IF(D125&gt;0,1,0)))</f>
        <v/>
      </c>
      <c r="E221">
        <f>IF($B$5="",0,IF(E173&gt;0,E125/NgayQua*SoNgay/E173,IF(E125&gt;0,1,0)))</f>
        <v/>
      </c>
      <c r="F221">
        <f>IF($B$6="",0,IF(F173&gt;0,F125/NgayQua*SoNgay/F173,IF(F125&gt;0,1,0)))</f>
        <v/>
      </c>
      <c r="G221">
        <f>IF($B$7="",0,IF(G173&gt;0,G125/NgayQua*SoNgay/G173,IF(G125&gt;0,1,0)))</f>
        <v/>
      </c>
      <c r="H221">
        <f>IF($B$8="",0,IF(H173&gt;0,H125/NgayQua*SoNgay/H173,IF(H125&gt;0,1,0)))</f>
        <v/>
      </c>
      <c r="I221">
        <f>IF($B$9="",0,IF(I173&gt;0,I125/NgayQua*SoNgay/I173,IF(I125&gt;0,1,0)))</f>
        <v/>
      </c>
      <c r="J221">
        <f>IF($B$10="",0,IF(J173&gt;0,J125/NgayQua*SoNgay/J173,IF(J125&gt;0,1,0)))</f>
        <v/>
      </c>
      <c r="K221">
        <f>IF($B$11="",0,IF(K173&gt;0,K125/NgayQua*SoNgay/K173,IF(K125&gt;0,1,0)))</f>
        <v/>
      </c>
      <c r="L221">
        <f>IF($B$12="",0,IF(L173&gt;0,L125/NgayQua*SoNgay/L173,IF(L125&gt;0,1,0)))</f>
        <v/>
      </c>
      <c r="M221">
        <f>IF($B$13="",0,IF(M173&gt;0,M125/NgayQua*SoNgay/M173,IF(M125&gt;0,1,0)))</f>
        <v/>
      </c>
      <c r="N221">
        <f>IF($B$14="",0,IF(N173&gt;0,N125/NgayQua*SoNgay/N173,IF(N125&gt;0,1,0)))</f>
        <v/>
      </c>
      <c r="O221">
        <f>IF($B$15="",0,IF(O173&gt;0,O125/NgayQua*SoNgay/O173,IF(O125&gt;0,1,0)))</f>
        <v/>
      </c>
      <c r="P221">
        <f>IF($B$16="",0,IF(P173&gt;0,P125/NgayQua*SoNgay/P173,IF(P125&gt;0,1,0)))</f>
        <v/>
      </c>
      <c r="Q221">
        <f>IF($B$17="",0,IF(Q173&gt;0,Q125/NgayQua*SoNgay/Q173,IF(Q125&gt;0,1,0)))</f>
        <v/>
      </c>
      <c r="R221">
        <f>IF($B$18="",0,IF(R173&gt;0,R125/NgayQua*SoNgay/R173,IF(R125&gt;0,1,0)))</f>
        <v/>
      </c>
      <c r="S221">
        <f>IF($B$19="",0,IF(S173&gt;0,S125/NgayQua*SoNgay/S173,IF(S125&gt;0,1,0)))</f>
        <v/>
      </c>
      <c r="T221">
        <f>IF($B$20="",0,IF(T173&gt;0,T125/NgayQua*SoNgay/T173,IF(T125&gt;0,1,0)))</f>
        <v/>
      </c>
      <c r="U221">
        <f>IF($B$21="",0,IF(U173&gt;0,U125/NgayQua*SoNgay/U173,IF(U125&gt;0,1,0)))</f>
        <v/>
      </c>
      <c r="V221">
        <f>IF($B$22="",0,IF(V173&gt;0,V125/NgayQua*SoNgay/V173,IF(V125&gt;0,1,0)))</f>
        <v/>
      </c>
    </row>
    <row r="222">
      <c r="A222" t="n">
        <v>41</v>
      </c>
      <c r="B222">
        <f>B79</f>
        <v/>
      </c>
      <c r="C222">
        <f>IF($B$3="",0,IF(C174&gt;0,C126/NgayQua*SoNgay/C174,IF(C126&gt;0,1,0)))</f>
        <v/>
      </c>
      <c r="D222">
        <f>IF($B$4="",0,IF(D174&gt;0,D126/NgayQua*SoNgay/D174,IF(D126&gt;0,1,0)))</f>
        <v/>
      </c>
      <c r="E222">
        <f>IF($B$5="",0,IF(E174&gt;0,E126/NgayQua*SoNgay/E174,IF(E126&gt;0,1,0)))</f>
        <v/>
      </c>
      <c r="F222">
        <f>IF($B$6="",0,IF(F174&gt;0,F126/NgayQua*SoNgay/F174,IF(F126&gt;0,1,0)))</f>
        <v/>
      </c>
      <c r="G222">
        <f>IF($B$7="",0,IF(G174&gt;0,G126/NgayQua*SoNgay/G174,IF(G126&gt;0,1,0)))</f>
        <v/>
      </c>
      <c r="H222">
        <f>IF($B$8="",0,IF(H174&gt;0,H126/NgayQua*SoNgay/H174,IF(H126&gt;0,1,0)))</f>
        <v/>
      </c>
      <c r="I222">
        <f>IF($B$9="",0,IF(I174&gt;0,I126/NgayQua*SoNgay/I174,IF(I126&gt;0,1,0)))</f>
        <v/>
      </c>
      <c r="J222">
        <f>IF($B$10="",0,IF(J174&gt;0,J126/NgayQua*SoNgay/J174,IF(J126&gt;0,1,0)))</f>
        <v/>
      </c>
      <c r="K222">
        <f>IF($B$11="",0,IF(K174&gt;0,K126/NgayQua*SoNgay/K174,IF(K126&gt;0,1,0)))</f>
        <v/>
      </c>
      <c r="L222">
        <f>IF($B$12="",0,IF(L174&gt;0,L126/NgayQua*SoNgay/L174,IF(L126&gt;0,1,0)))</f>
        <v/>
      </c>
      <c r="M222">
        <f>IF($B$13="",0,IF(M174&gt;0,M126/NgayQua*SoNgay/M174,IF(M126&gt;0,1,0)))</f>
        <v/>
      </c>
      <c r="N222">
        <f>IF($B$14="",0,IF(N174&gt;0,N126/NgayQua*SoNgay/N174,IF(N126&gt;0,1,0)))</f>
        <v/>
      </c>
      <c r="O222">
        <f>IF($B$15="",0,IF(O174&gt;0,O126/NgayQua*SoNgay/O174,IF(O126&gt;0,1,0)))</f>
        <v/>
      </c>
      <c r="P222">
        <f>IF($B$16="",0,IF(P174&gt;0,P126/NgayQua*SoNgay/P174,IF(P126&gt;0,1,0)))</f>
        <v/>
      </c>
      <c r="Q222">
        <f>IF($B$17="",0,IF(Q174&gt;0,Q126/NgayQua*SoNgay/Q174,IF(Q126&gt;0,1,0)))</f>
        <v/>
      </c>
      <c r="R222">
        <f>IF($B$18="",0,IF(R174&gt;0,R126/NgayQua*SoNgay/R174,IF(R126&gt;0,1,0)))</f>
        <v/>
      </c>
      <c r="S222">
        <f>IF($B$19="",0,IF(S174&gt;0,S126/NgayQua*SoNgay/S174,IF(S126&gt;0,1,0)))</f>
        <v/>
      </c>
      <c r="T222">
        <f>IF($B$20="",0,IF(T174&gt;0,T126/NgayQua*SoNgay/T174,IF(T126&gt;0,1,0)))</f>
        <v/>
      </c>
      <c r="U222">
        <f>IF($B$21="",0,IF(U174&gt;0,U126/NgayQua*SoNgay/U174,IF(U126&gt;0,1,0)))</f>
        <v/>
      </c>
      <c r="V222">
        <f>IF($B$22="",0,IF(V174&gt;0,V126/NgayQua*SoNgay/V174,IF(V126&gt;0,1,0)))</f>
        <v/>
      </c>
    </row>
    <row r="223">
      <c r="A223" t="n">
        <v>42</v>
      </c>
      <c r="B223">
        <f>B80</f>
        <v/>
      </c>
      <c r="C223">
        <f>IF($B$3="",0,IF(C175&gt;0,C127/NgayQua*SoNgay/C175,IF(C127&gt;0,1,0)))</f>
        <v/>
      </c>
      <c r="D223">
        <f>IF($B$4="",0,IF(D175&gt;0,D127/NgayQua*SoNgay/D175,IF(D127&gt;0,1,0)))</f>
        <v/>
      </c>
      <c r="E223">
        <f>IF($B$5="",0,IF(E175&gt;0,E127/NgayQua*SoNgay/E175,IF(E127&gt;0,1,0)))</f>
        <v/>
      </c>
      <c r="F223">
        <f>IF($B$6="",0,IF(F175&gt;0,F127/NgayQua*SoNgay/F175,IF(F127&gt;0,1,0)))</f>
        <v/>
      </c>
      <c r="G223">
        <f>IF($B$7="",0,IF(G175&gt;0,G127/NgayQua*SoNgay/G175,IF(G127&gt;0,1,0)))</f>
        <v/>
      </c>
      <c r="H223">
        <f>IF($B$8="",0,IF(H175&gt;0,H127/NgayQua*SoNgay/H175,IF(H127&gt;0,1,0)))</f>
        <v/>
      </c>
      <c r="I223">
        <f>IF($B$9="",0,IF(I175&gt;0,I127/NgayQua*SoNgay/I175,IF(I127&gt;0,1,0)))</f>
        <v/>
      </c>
      <c r="J223">
        <f>IF($B$10="",0,IF(J175&gt;0,J127/NgayQua*SoNgay/J175,IF(J127&gt;0,1,0)))</f>
        <v/>
      </c>
      <c r="K223">
        <f>IF($B$11="",0,IF(K175&gt;0,K127/NgayQua*SoNgay/K175,IF(K127&gt;0,1,0)))</f>
        <v/>
      </c>
      <c r="L223">
        <f>IF($B$12="",0,IF(L175&gt;0,L127/NgayQua*SoNgay/L175,IF(L127&gt;0,1,0)))</f>
        <v/>
      </c>
      <c r="M223">
        <f>IF($B$13="",0,IF(M175&gt;0,M127/NgayQua*SoNgay/M175,IF(M127&gt;0,1,0)))</f>
        <v/>
      </c>
      <c r="N223">
        <f>IF($B$14="",0,IF(N175&gt;0,N127/NgayQua*SoNgay/N175,IF(N127&gt;0,1,0)))</f>
        <v/>
      </c>
      <c r="O223">
        <f>IF($B$15="",0,IF(O175&gt;0,O127/NgayQua*SoNgay/O175,IF(O127&gt;0,1,0)))</f>
        <v/>
      </c>
      <c r="P223">
        <f>IF($B$16="",0,IF(P175&gt;0,P127/NgayQua*SoNgay/P175,IF(P127&gt;0,1,0)))</f>
        <v/>
      </c>
      <c r="Q223">
        <f>IF($B$17="",0,IF(Q175&gt;0,Q127/NgayQua*SoNgay/Q175,IF(Q127&gt;0,1,0)))</f>
        <v/>
      </c>
      <c r="R223">
        <f>IF($B$18="",0,IF(R175&gt;0,R127/NgayQua*SoNgay/R175,IF(R127&gt;0,1,0)))</f>
        <v/>
      </c>
      <c r="S223">
        <f>IF($B$19="",0,IF(S175&gt;0,S127/NgayQua*SoNgay/S175,IF(S127&gt;0,1,0)))</f>
        <v/>
      </c>
      <c r="T223">
        <f>IF($B$20="",0,IF(T175&gt;0,T127/NgayQua*SoNgay/T175,IF(T127&gt;0,1,0)))</f>
        <v/>
      </c>
      <c r="U223">
        <f>IF($B$21="",0,IF(U175&gt;0,U127/NgayQua*SoNgay/U175,IF(U127&gt;0,1,0)))</f>
        <v/>
      </c>
      <c r="V223">
        <f>IF($B$22="",0,IF(V175&gt;0,V127/NgayQua*SoNgay/V175,IF(V127&gt;0,1,0)))</f>
        <v/>
      </c>
    </row>
    <row r="224">
      <c r="A224" t="n">
        <v>43</v>
      </c>
      <c r="B224">
        <f>B81</f>
        <v/>
      </c>
      <c r="C224">
        <f>IF($B$3="",0,IF(C176&gt;0,C128/NgayQua*SoNgay/C176,IF(C128&gt;0,1,0)))</f>
        <v/>
      </c>
      <c r="D224">
        <f>IF($B$4="",0,IF(D176&gt;0,D128/NgayQua*SoNgay/D176,IF(D128&gt;0,1,0)))</f>
        <v/>
      </c>
      <c r="E224">
        <f>IF($B$5="",0,IF(E176&gt;0,E128/NgayQua*SoNgay/E176,IF(E128&gt;0,1,0)))</f>
        <v/>
      </c>
      <c r="F224">
        <f>IF($B$6="",0,IF(F176&gt;0,F128/NgayQua*SoNgay/F176,IF(F128&gt;0,1,0)))</f>
        <v/>
      </c>
      <c r="G224">
        <f>IF($B$7="",0,IF(G176&gt;0,G128/NgayQua*SoNgay/G176,IF(G128&gt;0,1,0)))</f>
        <v/>
      </c>
      <c r="H224">
        <f>IF($B$8="",0,IF(H176&gt;0,H128/NgayQua*SoNgay/H176,IF(H128&gt;0,1,0)))</f>
        <v/>
      </c>
      <c r="I224">
        <f>IF($B$9="",0,IF(I176&gt;0,I128/NgayQua*SoNgay/I176,IF(I128&gt;0,1,0)))</f>
        <v/>
      </c>
      <c r="J224">
        <f>IF($B$10="",0,IF(J176&gt;0,J128/NgayQua*SoNgay/J176,IF(J128&gt;0,1,0)))</f>
        <v/>
      </c>
      <c r="K224">
        <f>IF($B$11="",0,IF(K176&gt;0,K128/NgayQua*SoNgay/K176,IF(K128&gt;0,1,0)))</f>
        <v/>
      </c>
      <c r="L224">
        <f>IF($B$12="",0,IF(L176&gt;0,L128/NgayQua*SoNgay/L176,IF(L128&gt;0,1,0)))</f>
        <v/>
      </c>
      <c r="M224">
        <f>IF($B$13="",0,IF(M176&gt;0,M128/NgayQua*SoNgay/M176,IF(M128&gt;0,1,0)))</f>
        <v/>
      </c>
      <c r="N224">
        <f>IF($B$14="",0,IF(N176&gt;0,N128/NgayQua*SoNgay/N176,IF(N128&gt;0,1,0)))</f>
        <v/>
      </c>
      <c r="O224">
        <f>IF($B$15="",0,IF(O176&gt;0,O128/NgayQua*SoNgay/O176,IF(O128&gt;0,1,0)))</f>
        <v/>
      </c>
      <c r="P224">
        <f>IF($B$16="",0,IF(P176&gt;0,P128/NgayQua*SoNgay/P176,IF(P128&gt;0,1,0)))</f>
        <v/>
      </c>
      <c r="Q224">
        <f>IF($B$17="",0,IF(Q176&gt;0,Q128/NgayQua*SoNgay/Q176,IF(Q128&gt;0,1,0)))</f>
        <v/>
      </c>
      <c r="R224">
        <f>IF($B$18="",0,IF(R176&gt;0,R128/NgayQua*SoNgay/R176,IF(R128&gt;0,1,0)))</f>
        <v/>
      </c>
      <c r="S224">
        <f>IF($B$19="",0,IF(S176&gt;0,S128/NgayQua*SoNgay/S176,IF(S128&gt;0,1,0)))</f>
        <v/>
      </c>
      <c r="T224">
        <f>IF($B$20="",0,IF(T176&gt;0,T128/NgayQua*SoNgay/T176,IF(T128&gt;0,1,0)))</f>
        <v/>
      </c>
      <c r="U224">
        <f>IF($B$21="",0,IF(U176&gt;0,U128/NgayQua*SoNgay/U176,IF(U128&gt;0,1,0)))</f>
        <v/>
      </c>
      <c r="V224">
        <f>IF($B$22="",0,IF(V176&gt;0,V128/NgayQua*SoNgay/V176,IF(V128&gt;0,1,0)))</f>
        <v/>
      </c>
    </row>
    <row r="225">
      <c r="A225" t="n">
        <v>44</v>
      </c>
      <c r="B225">
        <f>B82</f>
        <v/>
      </c>
      <c r="C225">
        <f>IF($B$3="",0,IF(C177&gt;0,C129/NgayQua*SoNgay/C177,IF(C129&gt;0,1,0)))</f>
        <v/>
      </c>
      <c r="D225">
        <f>IF($B$4="",0,IF(D177&gt;0,D129/NgayQua*SoNgay/D177,IF(D129&gt;0,1,0)))</f>
        <v/>
      </c>
      <c r="E225">
        <f>IF($B$5="",0,IF(E177&gt;0,E129/NgayQua*SoNgay/E177,IF(E129&gt;0,1,0)))</f>
        <v/>
      </c>
      <c r="F225">
        <f>IF($B$6="",0,IF(F177&gt;0,F129/NgayQua*SoNgay/F177,IF(F129&gt;0,1,0)))</f>
        <v/>
      </c>
      <c r="G225">
        <f>IF($B$7="",0,IF(G177&gt;0,G129/NgayQua*SoNgay/G177,IF(G129&gt;0,1,0)))</f>
        <v/>
      </c>
      <c r="H225">
        <f>IF($B$8="",0,IF(H177&gt;0,H129/NgayQua*SoNgay/H177,IF(H129&gt;0,1,0)))</f>
        <v/>
      </c>
      <c r="I225">
        <f>IF($B$9="",0,IF(I177&gt;0,I129/NgayQua*SoNgay/I177,IF(I129&gt;0,1,0)))</f>
        <v/>
      </c>
      <c r="J225">
        <f>IF($B$10="",0,IF(J177&gt;0,J129/NgayQua*SoNgay/J177,IF(J129&gt;0,1,0)))</f>
        <v/>
      </c>
      <c r="K225">
        <f>IF($B$11="",0,IF(K177&gt;0,K129/NgayQua*SoNgay/K177,IF(K129&gt;0,1,0)))</f>
        <v/>
      </c>
      <c r="L225">
        <f>IF($B$12="",0,IF(L177&gt;0,L129/NgayQua*SoNgay/L177,IF(L129&gt;0,1,0)))</f>
        <v/>
      </c>
      <c r="M225">
        <f>IF($B$13="",0,IF(M177&gt;0,M129/NgayQua*SoNgay/M177,IF(M129&gt;0,1,0)))</f>
        <v/>
      </c>
      <c r="N225">
        <f>IF($B$14="",0,IF(N177&gt;0,N129/NgayQua*SoNgay/N177,IF(N129&gt;0,1,0)))</f>
        <v/>
      </c>
      <c r="O225">
        <f>IF($B$15="",0,IF(O177&gt;0,O129/NgayQua*SoNgay/O177,IF(O129&gt;0,1,0)))</f>
        <v/>
      </c>
      <c r="P225">
        <f>IF($B$16="",0,IF(P177&gt;0,P129/NgayQua*SoNgay/P177,IF(P129&gt;0,1,0)))</f>
        <v/>
      </c>
      <c r="Q225">
        <f>IF($B$17="",0,IF(Q177&gt;0,Q129/NgayQua*SoNgay/Q177,IF(Q129&gt;0,1,0)))</f>
        <v/>
      </c>
      <c r="R225">
        <f>IF($B$18="",0,IF(R177&gt;0,R129/NgayQua*SoNgay/R177,IF(R129&gt;0,1,0)))</f>
        <v/>
      </c>
      <c r="S225">
        <f>IF($B$19="",0,IF(S177&gt;0,S129/NgayQua*SoNgay/S177,IF(S129&gt;0,1,0)))</f>
        <v/>
      </c>
      <c r="T225">
        <f>IF($B$20="",0,IF(T177&gt;0,T129/NgayQua*SoNgay/T177,IF(T129&gt;0,1,0)))</f>
        <v/>
      </c>
      <c r="U225">
        <f>IF($B$21="",0,IF(U177&gt;0,U129/NgayQua*SoNgay/U177,IF(U129&gt;0,1,0)))</f>
        <v/>
      </c>
      <c r="V225">
        <f>IF($B$22="",0,IF(V177&gt;0,V129/NgayQua*SoNgay/V177,IF(V129&gt;0,1,0)))</f>
        <v/>
      </c>
    </row>
    <row r="226">
      <c r="A226" t="n">
        <v>45</v>
      </c>
      <c r="B226">
        <f>B83</f>
        <v/>
      </c>
      <c r="C226">
        <f>IF($B$3="",0,IF(C178&gt;0,C130/NgayQua*SoNgay/C178,IF(C130&gt;0,1,0)))</f>
        <v/>
      </c>
      <c r="D226">
        <f>IF($B$4="",0,IF(D178&gt;0,D130/NgayQua*SoNgay/D178,IF(D130&gt;0,1,0)))</f>
        <v/>
      </c>
      <c r="E226">
        <f>IF($B$5="",0,IF(E178&gt;0,E130/NgayQua*SoNgay/E178,IF(E130&gt;0,1,0)))</f>
        <v/>
      </c>
      <c r="F226">
        <f>IF($B$6="",0,IF(F178&gt;0,F130/NgayQua*SoNgay/F178,IF(F130&gt;0,1,0)))</f>
        <v/>
      </c>
      <c r="G226">
        <f>IF($B$7="",0,IF(G178&gt;0,G130/NgayQua*SoNgay/G178,IF(G130&gt;0,1,0)))</f>
        <v/>
      </c>
      <c r="H226">
        <f>IF($B$8="",0,IF(H178&gt;0,H130/NgayQua*SoNgay/H178,IF(H130&gt;0,1,0)))</f>
        <v/>
      </c>
      <c r="I226">
        <f>IF($B$9="",0,IF(I178&gt;0,I130/NgayQua*SoNgay/I178,IF(I130&gt;0,1,0)))</f>
        <v/>
      </c>
      <c r="J226">
        <f>IF($B$10="",0,IF(J178&gt;0,J130/NgayQua*SoNgay/J178,IF(J130&gt;0,1,0)))</f>
        <v/>
      </c>
      <c r="K226">
        <f>IF($B$11="",0,IF(K178&gt;0,K130/NgayQua*SoNgay/K178,IF(K130&gt;0,1,0)))</f>
        <v/>
      </c>
      <c r="L226">
        <f>IF($B$12="",0,IF(L178&gt;0,L130/NgayQua*SoNgay/L178,IF(L130&gt;0,1,0)))</f>
        <v/>
      </c>
      <c r="M226">
        <f>IF($B$13="",0,IF(M178&gt;0,M130/NgayQua*SoNgay/M178,IF(M130&gt;0,1,0)))</f>
        <v/>
      </c>
      <c r="N226">
        <f>IF($B$14="",0,IF(N178&gt;0,N130/NgayQua*SoNgay/N178,IF(N130&gt;0,1,0)))</f>
        <v/>
      </c>
      <c r="O226">
        <f>IF($B$15="",0,IF(O178&gt;0,O130/NgayQua*SoNgay/O178,IF(O130&gt;0,1,0)))</f>
        <v/>
      </c>
      <c r="P226">
        <f>IF($B$16="",0,IF(P178&gt;0,P130/NgayQua*SoNgay/P178,IF(P130&gt;0,1,0)))</f>
        <v/>
      </c>
      <c r="Q226">
        <f>IF($B$17="",0,IF(Q178&gt;0,Q130/NgayQua*SoNgay/Q178,IF(Q130&gt;0,1,0)))</f>
        <v/>
      </c>
      <c r="R226">
        <f>IF($B$18="",0,IF(R178&gt;0,R130/NgayQua*SoNgay/R178,IF(R130&gt;0,1,0)))</f>
        <v/>
      </c>
      <c r="S226">
        <f>IF($B$19="",0,IF(S178&gt;0,S130/NgayQua*SoNgay/S178,IF(S130&gt;0,1,0)))</f>
        <v/>
      </c>
      <c r="T226">
        <f>IF($B$20="",0,IF(T178&gt;0,T130/NgayQua*SoNgay/T178,IF(T130&gt;0,1,0)))</f>
        <v/>
      </c>
      <c r="U226">
        <f>IF($B$21="",0,IF(U178&gt;0,U130/NgayQua*SoNgay/U178,IF(U130&gt;0,1,0)))</f>
        <v/>
      </c>
      <c r="V226">
        <f>IF($B$22="",0,IF(V178&gt;0,V130/NgayQua*SoNgay/V178,IF(V130&gt;0,1,0)))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2026-10-26T09:11:03Z</dcterms:created>
  <dcterms:modified xmlns:dcterms="http://purl.org/dc/terms/" xmlns:xsi="http://www.w3.org/2001/XMLSchema-instance" xsi:type="dcterms:W3CDTF">2026-10-26T09:11:03Z</dcterms:modified>
</cp:coreProperties>
</file>